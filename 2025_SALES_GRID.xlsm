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Resource Directory" sheetId="17" state="visible" r:id="rId17"/>
    <sheet name="Property Registry" sheetId="18" state="visible" r:id="rId18"/>
    <sheet name="Expense Database" sheetId="19" state="visible" r:id="rId19"/>
    <sheet name="PSF Summary" sheetId="20" state="visible" r:id="rId20"/>
  </sheets>
  <externalReferences>
    <externalReference r:id="rId21"/>
    <externalReference r:id="rId22"/>
    <externalReference r:id="rId23"/>
    <externalReference r:id="rId24"/>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6"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36">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s>
  <fills count="46">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s>
  <borders count="69">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261">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externalLink" Target="/xl/externalLinks/externalLink1.xml" Id="rId21" /><Relationship Type="http://schemas.openxmlformats.org/officeDocument/2006/relationships/externalLink" Target="/xl/externalLinks/externalLink2.xml" Id="rId22" /><Relationship Type="http://schemas.openxmlformats.org/officeDocument/2006/relationships/externalLink" Target="/xl/externalLinks/externalLink3.xml" Id="rId23" /><Relationship Type="http://schemas.openxmlformats.org/officeDocument/2006/relationships/externalLink" Target="/xl/externalLinks/externalLink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7.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0E7490"/>
    <outlinePr summaryBelow="1" summaryRight="1"/>
    <pageSetUpPr/>
  </sheetPr>
  <dimension ref="A1:O8"/>
  <sheetViews>
    <sheetView showGridLines="0" workbookViewId="0">
      <selection activeCell="C21" sqref="C21"/>
    </sheetView>
  </sheetViews>
  <sheetFormatPr baseColWidth="8" defaultColWidth="9.1640625" defaultRowHeight="14.25"/>
  <cols>
    <col width="52" customWidth="1" style="229" min="1" max="1"/>
    <col width="7" customWidth="1" style="229" min="2" max="2"/>
    <col width="30" customWidth="1" style="229" min="3" max="3"/>
    <col width="9.1640625" customWidth="1" style="229" min="4" max="16384"/>
  </cols>
  <sheetData>
    <row r="1">
      <c r="A1" s="1147" t="inlineStr">
        <is>
          <t>Click on the tab at the bottom to switch between worksheets</t>
        </is>
      </c>
      <c r="B1" s="977" t="n"/>
      <c r="C1" s="977" t="n"/>
      <c r="D1" s="977" t="n"/>
      <c r="E1" s="977" t="n"/>
      <c r="F1" s="977" t="n"/>
      <c r="G1" s="977" t="n"/>
      <c r="H1" s="977" t="n"/>
    </row>
    <row r="2" ht="9" customHeight="1"/>
    <row r="3">
      <c r="A3" s="1148" t="inlineStr">
        <is>
          <t>To print all sheets, click printer icon on toolbar.</t>
        </is>
      </c>
    </row>
    <row r="4" ht="9.6" customHeight="1"/>
    <row r="5" ht="40.9" customHeight="1">
      <c r="A5" s="1148"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1149" t="inlineStr">
        <is>
          <t>Appeal Year</t>
        </is>
      </c>
      <c r="B8" s="979"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0E7490"/>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25" customWidth="1" min="1" max="1"/>
    <col width="24" customWidth="1" min="2" max="2"/>
    <col width="6" customWidth="1" min="3" max="3"/>
    <col width="16" customWidth="1" min="4" max="4"/>
    <col width="20" customWidth="1" min="5" max="5"/>
    <col width="22" customWidth="1" min="6" max="6"/>
    <col width="27" customWidth="1" min="7" max="7"/>
    <col width="28" customWidth="1" min="8" max="8"/>
    <col width="6" customWidth="1" min="25" max="25"/>
    <col hidden="1" width="13" customWidth="1" min="26" max="26"/>
  </cols>
  <sheetData>
    <row r="1" ht="23.45" customHeight="1">
      <c r="A1" s="5" t="n"/>
      <c r="B1" t="n"/>
      <c r="E1" s="1" t="inlineStr">
        <is>
          <t>y</t>
        </is>
      </c>
    </row>
    <row r="2" ht="25.5" customHeight="1">
      <c r="A2" s="980" t="inlineStr">
        <is>
          <t>MARKET SALES &amp; RENT COMPARABLES</t>
        </is>
      </c>
      <c r="B2" s="980" t="n"/>
      <c r="C2" s="980" t="n"/>
      <c r="D2" s="980" t="n"/>
      <c r="E2" s="980" t="n"/>
      <c r="F2" s="980" t="n"/>
      <c r="G2" s="980" t="n"/>
      <c r="H2" s="980"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981" t="inlineStr">
        <is>
          <t>SUBJECT  PROPERTY  INFORMATION</t>
        </is>
      </c>
      <c r="B7" s="982" t="n"/>
      <c r="C7" s="982" t="n"/>
      <c r="D7" s="982" t="n"/>
      <c r="E7" s="982" t="n"/>
      <c r="F7" s="982" t="n"/>
      <c r="G7" s="982" t="n"/>
      <c r="H7" s="983" t="n"/>
    </row>
    <row r="8" ht="12" customHeight="1">
      <c r="A8" s="984" t="n"/>
      <c r="B8" s="985" t="inlineStr">
        <is>
          <t>Account Number</t>
        </is>
      </c>
      <c r="C8" s="986" t="inlineStr">
        <is>
          <t>Ngbh</t>
        </is>
      </c>
      <c r="D8" s="986" t="inlineStr">
        <is>
          <t xml:space="preserve">Land Area </t>
        </is>
      </c>
      <c r="E8" s="987" t="inlineStr">
        <is>
          <t>Quality</t>
        </is>
      </c>
      <c r="F8" s="986" t="inlineStr">
        <is>
          <t>Rent / Sq Ft</t>
        </is>
      </c>
      <c r="G8" s="986" t="inlineStr">
        <is>
          <t>Subject Sale Information</t>
        </is>
      </c>
      <c r="H8" s="988" t="inlineStr">
        <is>
          <t>Parcel Number</t>
        </is>
      </c>
    </row>
    <row r="9" ht="12" customHeight="1">
      <c r="A9" s="12" t="n"/>
      <c r="B9" s="985" t="inlineStr">
        <is>
          <t>Property Address</t>
        </is>
      </c>
      <c r="C9" s="986" t="inlineStr">
        <is>
          <t>Zone</t>
        </is>
      </c>
      <c r="D9" s="986" t="inlineStr">
        <is>
          <t xml:space="preserve">L : B  Ratio </t>
        </is>
      </c>
      <c r="E9" s="987" t="inlineStr">
        <is>
          <t>Physical Condition</t>
        </is>
      </c>
      <c r="F9" s="986" t="inlineStr">
        <is>
          <t>Vacancy</t>
        </is>
      </c>
      <c r="G9" s="986" t="inlineStr">
        <is>
          <t>Last Sale Date</t>
        </is>
      </c>
      <c r="H9" s="989" t="inlineStr">
        <is>
          <t>Assigned Value / Sq Ft</t>
        </is>
      </c>
    </row>
    <row r="10" ht="12" customHeight="1">
      <c r="A10" s="18" t="n"/>
      <c r="B10" s="990" t="inlineStr">
        <is>
          <t>Property Type</t>
        </is>
      </c>
      <c r="C10" s="991" t="inlineStr">
        <is>
          <t>YOC</t>
        </is>
      </c>
      <c r="D10" s="991" t="inlineStr">
        <is>
          <t xml:space="preserve">Building Area </t>
        </is>
      </c>
      <c r="E10" s="992" t="inlineStr">
        <is>
          <t>Functional Utility</t>
        </is>
      </c>
      <c r="F10" s="991" t="inlineStr">
        <is>
          <t>Expense Ratio</t>
        </is>
      </c>
      <c r="G10" s="991" t="inlineStr">
        <is>
          <t>Last Sale Price</t>
        </is>
      </c>
      <c r="H10" s="993" t="inlineStr">
        <is>
          <t>Assigned Value</t>
        </is>
      </c>
    </row>
    <row r="11" ht="12" customHeight="1">
      <c r="A11" s="12" t="n"/>
      <c r="B11" s="994" t="n"/>
      <c r="C11" s="995" t="n"/>
      <c r="D11" s="996">
        <f>Subj_SiteSF</f>
        <v/>
      </c>
      <c r="E11" s="997">
        <f>Subj_Quality</f>
        <v/>
      </c>
      <c r="F11" s="998" t="n"/>
      <c r="G11" s="999" t="n"/>
      <c r="H11" s="1000" t="n"/>
    </row>
    <row r="12" ht="12" customHeight="1">
      <c r="A12" s="12" t="n"/>
      <c r="B12" s="1001">
        <f>Subj_Address</f>
        <v/>
      </c>
      <c r="C12" s="1002">
        <f>Subj_Zoning</f>
        <v/>
      </c>
      <c r="D12" s="1003">
        <f>IF(OR(D13="",D13=0),"",ROUND(D11/D13,1)&amp;":1")</f>
        <v/>
      </c>
      <c r="E12" s="997">
        <f>Subj_Condition</f>
        <v/>
      </c>
      <c r="F12" s="1004" t="n"/>
      <c r="G12" s="1005" t="n"/>
      <c r="H12" s="518">
        <f>IF(D13=0,0,ROUND(H13/D13,2))</f>
        <v/>
      </c>
    </row>
    <row r="13" ht="12" customHeight="1" thickBot="1">
      <c r="A13" s="23" t="n"/>
      <c r="B13" s="1006">
        <f>IFERROR(INDEX(OCC_TABLE_DESC,MATCH(Subj_OccCode,OCC_TABLE_CODE,0)),"")</f>
        <v/>
      </c>
      <c r="C13" s="1007">
        <f>Subj_YOC</f>
        <v/>
      </c>
      <c r="D13" s="1008">
        <f>Subj_BldgSF</f>
        <v/>
      </c>
      <c r="E13" s="1009" t="n"/>
      <c r="F13" s="1010" t="n"/>
      <c r="G13" s="1011" t="n"/>
      <c r="H13" s="1012"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981" t="inlineStr">
        <is>
          <t>MARKET  SALE  COMPARABLES</t>
        </is>
      </c>
      <c r="B16" s="982" t="n"/>
      <c r="C16" s="1013" t="n"/>
      <c r="D16" s="1013" t="n"/>
      <c r="E16" s="982" t="n"/>
      <c r="F16" s="1013" t="n"/>
      <c r="G16" s="1013" t="n"/>
      <c r="H16" s="1014" t="n"/>
    </row>
    <row r="17" ht="12" customHeight="1">
      <c r="A17" s="1015" t="n"/>
      <c r="B17" s="1016" t="inlineStr">
        <is>
          <t>Account Number</t>
        </is>
      </c>
      <c r="C17" s="1017" t="inlineStr">
        <is>
          <t>Ngbh</t>
        </is>
      </c>
      <c r="D17" s="1018" t="inlineStr">
        <is>
          <t xml:space="preserve">Land Area </t>
        </is>
      </c>
      <c r="E17" s="1019" t="inlineStr">
        <is>
          <t>Quality</t>
        </is>
      </c>
      <c r="F17" s="1018" t="inlineStr">
        <is>
          <t xml:space="preserve">Sale Date </t>
        </is>
      </c>
      <c r="G17" s="1020" t="inlineStr">
        <is>
          <t>Adj Sale Price / Sq Ft</t>
        </is>
      </c>
      <c r="H17" s="988" t="inlineStr">
        <is>
          <t>Parcel Number</t>
        </is>
      </c>
    </row>
    <row r="18" ht="12" customHeight="1">
      <c r="A18" s="1021" t="n"/>
      <c r="B18" s="1022" t="inlineStr">
        <is>
          <t>Property Address</t>
        </is>
      </c>
      <c r="C18" s="1023" t="inlineStr">
        <is>
          <t>Zone</t>
        </is>
      </c>
      <c r="D18" s="1024" t="inlineStr">
        <is>
          <t xml:space="preserve">L : B  Ratio </t>
        </is>
      </c>
      <c r="E18" s="1025" t="inlineStr">
        <is>
          <t>Physical Condition</t>
        </is>
      </c>
      <c r="F18" s="1024" t="inlineStr">
        <is>
          <t xml:space="preserve">Sale Price </t>
        </is>
      </c>
      <c r="G18" s="986" t="inlineStr">
        <is>
          <t>Net Adjustments</t>
        </is>
      </c>
      <c r="H18" s="989" t="inlineStr">
        <is>
          <t>Sale Remarks</t>
        </is>
      </c>
    </row>
    <row r="19" ht="12" customHeight="1">
      <c r="A19" s="1026" t="inlineStr">
        <is>
          <t>#</t>
        </is>
      </c>
      <c r="B19" s="1027" t="inlineStr">
        <is>
          <t>Property Type</t>
        </is>
      </c>
      <c r="C19" s="1028" t="inlineStr">
        <is>
          <t>YOC</t>
        </is>
      </c>
      <c r="D19" s="1029" t="inlineStr">
        <is>
          <t xml:space="preserve">Building Area </t>
        </is>
      </c>
      <c r="E19" s="1030" t="inlineStr">
        <is>
          <t>Functional Utility</t>
        </is>
      </c>
      <c r="F19" s="1029" t="inlineStr">
        <is>
          <t xml:space="preserve">Adjusted Sale Price </t>
        </is>
      </c>
      <c r="G19" s="991" t="inlineStr">
        <is>
          <t>Adj Value of Comp / Sq Ft</t>
        </is>
      </c>
      <c r="H19" s="993"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1031"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1031"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1031"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981" t="inlineStr">
        <is>
          <t>RENT  COMPARABLE  INFORMATION</t>
        </is>
      </c>
      <c r="B36" s="982" t="n"/>
      <c r="C36" s="982" t="n"/>
      <c r="D36" s="982" t="n"/>
      <c r="E36" s="982" t="n"/>
      <c r="F36" s="982" t="n"/>
      <c r="G36" s="1032" t="n"/>
      <c r="H36" s="977" t="n"/>
    </row>
    <row r="37" ht="12" customHeight="1">
      <c r="A37" s="1033" t="n"/>
      <c r="B37" s="1034" t="inlineStr">
        <is>
          <t xml:space="preserve"> Source of Information</t>
        </is>
      </c>
      <c r="C37" s="1020" t="inlineStr">
        <is>
          <t>Ngbh</t>
        </is>
      </c>
      <c r="D37" s="1020" t="inlineStr">
        <is>
          <t xml:space="preserve">Land Area </t>
        </is>
      </c>
      <c r="E37" s="1035" t="inlineStr">
        <is>
          <t>Quality</t>
        </is>
      </c>
      <c r="F37" s="1020" t="inlineStr">
        <is>
          <t>Rent / Sq Ft</t>
        </is>
      </c>
      <c r="G37" s="1036" t="n"/>
      <c r="H37" s="1037" t="n"/>
    </row>
    <row r="38" ht="12" customHeight="1">
      <c r="A38" s="1038" t="n"/>
      <c r="B38" s="985" t="inlineStr">
        <is>
          <t xml:space="preserve">  Location</t>
        </is>
      </c>
      <c r="C38" s="986" t="inlineStr">
        <is>
          <t>Zone</t>
        </is>
      </c>
      <c r="D38" s="986" t="inlineStr">
        <is>
          <t xml:space="preserve">L : B  Ratio </t>
        </is>
      </c>
      <c r="E38" s="987" t="n"/>
      <c r="F38" s="986" t="inlineStr">
        <is>
          <t>Vacancy</t>
        </is>
      </c>
      <c r="G38" s="1039" t="inlineStr">
        <is>
          <t xml:space="preserve">Net Adjustments </t>
        </is>
      </c>
      <c r="H38" s="1037" t="n"/>
    </row>
    <row r="39" ht="12" customHeight="1">
      <c r="A39" s="1040" t="inlineStr">
        <is>
          <t>#</t>
        </is>
      </c>
      <c r="B39" s="990" t="inlineStr">
        <is>
          <t xml:space="preserve"> Property Type</t>
        </is>
      </c>
      <c r="C39" s="991" t="inlineStr">
        <is>
          <t>YOC</t>
        </is>
      </c>
      <c r="D39" s="991" t="inlineStr">
        <is>
          <t xml:space="preserve">Building Area </t>
        </is>
      </c>
      <c r="E39" s="992" t="n"/>
      <c r="F39" s="991" t="inlineStr">
        <is>
          <t>Expense Ratio</t>
        </is>
      </c>
      <c r="G39" s="1041" t="inlineStr">
        <is>
          <t xml:space="preserve">Adjusted Rent </t>
        </is>
      </c>
      <c r="H39" s="1037"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0E7490"/>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9" customWidth="1" style="413" min="1" max="1"/>
    <col width="18" customWidth="1" style="413" min="2" max="2"/>
    <col width="18" customWidth="1" style="413" min="3" max="3"/>
    <col width="22" customWidth="1" style="413" min="4" max="4"/>
    <col width="20" customWidth="1" style="413" min="5" max="5"/>
    <col width="19" customWidth="1" style="413" min="6" max="6"/>
    <col width="10" customWidth="1" style="413" min="7" max="7"/>
    <col width="10" bestFit="1" customWidth="1" style="413" min="8" max="8"/>
    <col width="19" customWidth="1" style="413" min="9" max="9"/>
    <col width="18.1640625" customWidth="1" style="413" min="10" max="10"/>
    <col width="13.6640625" customWidth="1" style="413" min="11" max="16384"/>
    <col width="6" customWidth="1" min="25" max="25"/>
    <col hidden="1" width="13" customWidth="1" min="26" max="26"/>
  </cols>
  <sheetData>
    <row r="1" ht="26.25" customHeight="1">
      <c r="A1" s="1042" t="inlineStr">
        <is>
          <t>IMPROVED MARKET APPROACH</t>
        </is>
      </c>
      <c r="B1" s="1042" t="n"/>
      <c r="C1" s="1042" t="n"/>
      <c r="D1" s="1042" t="n"/>
      <c r="E1" s="1042" t="n"/>
      <c r="F1" s="1042" t="n"/>
      <c r="G1" s="1042" t="n"/>
      <c r="H1" s="1042" t="n"/>
      <c r="I1" s="1042" t="n"/>
      <c r="J1" s="977" t="n"/>
      <c r="K1" s="977" t="n"/>
    </row>
    <row r="3" ht="21" customHeight="1" thickBot="1">
      <c r="A3" s="131" t="inlineStr">
        <is>
          <t>SUBJECT</t>
        </is>
      </c>
      <c r="B3" s="131" t="n"/>
      <c r="C3" s="131" t="n"/>
      <c r="D3" s="131" t="n"/>
      <c r="E3" s="131" t="n"/>
      <c r="F3" s="131" t="n"/>
      <c r="G3" s="131" t="n"/>
      <c r="H3" s="131" t="n"/>
      <c r="I3" s="131" t="n"/>
    </row>
    <row r="4" ht="13.5" customHeight="1" thickTop="1">
      <c r="B4" s="1043" t="inlineStr">
        <is>
          <t>Account Number</t>
        </is>
      </c>
      <c r="C4" s="1043" t="inlineStr">
        <is>
          <t>Grantor</t>
        </is>
      </c>
      <c r="D4" s="1044" t="inlineStr">
        <is>
          <t xml:space="preserve">Sale Price </t>
        </is>
      </c>
      <c r="E4" s="1044" t="inlineStr">
        <is>
          <t>Location</t>
        </is>
      </c>
      <c r="F4" s="1044" t="inlineStr">
        <is>
          <t>Age</t>
        </is>
      </c>
      <c r="G4" s="1045" t="n"/>
      <c r="H4" s="1046" t="n"/>
      <c r="I4" s="1047" t="inlineStr">
        <is>
          <t>Value of the</t>
        </is>
      </c>
    </row>
    <row r="5">
      <c r="B5" s="1048" t="inlineStr">
        <is>
          <t>Property Address</t>
        </is>
      </c>
      <c r="C5" s="1048" t="inlineStr">
        <is>
          <t>Grantee</t>
        </is>
      </c>
      <c r="D5" s="1049" t="inlineStr">
        <is>
          <t>Sale Price  / SF</t>
        </is>
      </c>
      <c r="E5" s="1049" t="inlineStr">
        <is>
          <t>Land Size</t>
        </is>
      </c>
      <c r="F5" s="1049" t="inlineStr">
        <is>
          <t>Quality</t>
        </is>
      </c>
      <c r="G5" s="1050" t="n"/>
      <c r="H5" s="1051" t="n"/>
      <c r="I5" s="1052" t="inlineStr">
        <is>
          <t xml:space="preserve"> Subject/SF</t>
        </is>
      </c>
    </row>
    <row r="6">
      <c r="B6" s="1048" t="inlineStr">
        <is>
          <t>Parcel Number</t>
        </is>
      </c>
      <c r="C6" s="1048" t="inlineStr">
        <is>
          <t>Reception Number</t>
        </is>
      </c>
      <c r="D6" s="1053" t="inlineStr">
        <is>
          <t>PP/Time/Mkt Cond</t>
        </is>
      </c>
      <c r="E6" s="1049" t="inlineStr">
        <is>
          <t>L : B  Ratio</t>
        </is>
      </c>
      <c r="F6" s="1053" t="inlineStr">
        <is>
          <t>Phy./Funct Rating</t>
        </is>
      </c>
      <c r="G6" s="1054" t="n"/>
      <c r="H6" s="1051" t="n"/>
      <c r="I6" s="1053" t="inlineStr">
        <is>
          <t>Value</t>
        </is>
      </c>
    </row>
    <row r="7" ht="13.5" customHeight="1" thickBot="1">
      <c r="B7" s="1055" t="inlineStr">
        <is>
          <t>Property Type</t>
        </is>
      </c>
      <c r="C7" s="1056" t="inlineStr">
        <is>
          <t>Sale Date</t>
        </is>
      </c>
      <c r="D7" s="1057" t="inlineStr">
        <is>
          <t>Adj S P  / SF</t>
        </is>
      </c>
      <c r="E7" s="1058" t="inlineStr">
        <is>
          <t>Building Size</t>
        </is>
      </c>
      <c r="F7" s="1058" t="inlineStr">
        <is>
          <t>Zoning</t>
        </is>
      </c>
      <c r="G7" s="1059" t="inlineStr">
        <is>
          <t>Comments</t>
        </is>
      </c>
      <c r="H7" s="1060" t="n"/>
      <c r="I7" s="1057"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042" t="inlineStr">
        <is>
          <t>COMPARABLE SALE PROPERTIES</t>
        </is>
      </c>
      <c r="B15" s="1042" t="n"/>
      <c r="C15" s="1042" t="n"/>
      <c r="D15" s="1042" t="n"/>
      <c r="E15" s="1042" t="n"/>
      <c r="F15" s="1042" t="n"/>
      <c r="G15" s="1042" t="n"/>
      <c r="H15" s="1042" t="n"/>
      <c r="I15" s="1042" t="n"/>
      <c r="J15" s="977" t="n"/>
      <c r="K15" s="977" t="n"/>
    </row>
    <row r="16" ht="13.5" customHeight="1" thickTop="1">
      <c r="A16" s="1037" t="n"/>
      <c r="B16" s="1043" t="inlineStr">
        <is>
          <t>Account Number</t>
        </is>
      </c>
      <c r="C16" s="1043" t="inlineStr">
        <is>
          <t>Grantor</t>
        </is>
      </c>
      <c r="D16" s="1044" t="inlineStr">
        <is>
          <t xml:space="preserve">Sale Price </t>
        </is>
      </c>
      <c r="E16" s="1044" t="inlineStr">
        <is>
          <t>Location</t>
        </is>
      </c>
      <c r="F16" s="1044" t="inlineStr">
        <is>
          <t>Age</t>
        </is>
      </c>
      <c r="G16" s="1044" t="n"/>
      <c r="H16" s="1044" t="n"/>
      <c r="I16" s="1044" t="inlineStr">
        <is>
          <t>Indicated Value</t>
        </is>
      </c>
    </row>
    <row r="17">
      <c r="A17" s="1037" t="n"/>
      <c r="B17" s="1048" t="inlineStr">
        <is>
          <t>Property Address</t>
        </is>
      </c>
      <c r="C17" s="1048" t="inlineStr">
        <is>
          <t>Grantee</t>
        </is>
      </c>
      <c r="D17" s="1049" t="inlineStr">
        <is>
          <t>Sale Price  / SF</t>
        </is>
      </c>
      <c r="E17" s="1049" t="inlineStr">
        <is>
          <t>Land Size</t>
        </is>
      </c>
      <c r="F17" s="1049" t="inlineStr">
        <is>
          <t>Quality</t>
        </is>
      </c>
      <c r="G17" s="1049" t="n"/>
      <c r="H17" s="1049" t="inlineStr">
        <is>
          <t>Adjusted</t>
        </is>
      </c>
      <c r="I17" s="1052" t="inlineStr">
        <is>
          <t>of the Subject/SF</t>
        </is>
      </c>
    </row>
    <row r="18">
      <c r="A18" s="1037" t="n"/>
      <c r="B18" s="1048" t="inlineStr">
        <is>
          <t>Parcel Number</t>
        </is>
      </c>
      <c r="C18" s="1048" t="inlineStr">
        <is>
          <t>Reception Number</t>
        </is>
      </c>
      <c r="D18" s="1053" t="inlineStr">
        <is>
          <t>PP/Time/Mkt Cond Adj</t>
        </is>
      </c>
      <c r="E18" s="1049" t="inlineStr">
        <is>
          <t>L : B  Ratio</t>
        </is>
      </c>
      <c r="F18" s="1053" t="inlineStr">
        <is>
          <t>Phy/Funct Rating</t>
        </is>
      </c>
      <c r="G18" s="1053" t="inlineStr">
        <is>
          <t>Net</t>
        </is>
      </c>
      <c r="H18" s="1049" t="inlineStr">
        <is>
          <t>Sale</t>
        </is>
      </c>
      <c r="I18" s="1053" t="inlineStr">
        <is>
          <t>Indicated Value</t>
        </is>
      </c>
    </row>
    <row r="19" ht="13.5" customHeight="1" thickBot="1">
      <c r="A19" s="1037" t="n"/>
      <c r="B19" s="1055" t="inlineStr">
        <is>
          <t>Property Type</t>
        </is>
      </c>
      <c r="C19" s="1056" t="inlineStr">
        <is>
          <t>Sale Date</t>
        </is>
      </c>
      <c r="D19" s="1057" t="inlineStr">
        <is>
          <t>Adj S P  / SF</t>
        </is>
      </c>
      <c r="E19" s="1058" t="inlineStr">
        <is>
          <t>Building Size/Keys</t>
        </is>
      </c>
      <c r="F19" s="1058" t="inlineStr">
        <is>
          <t>Zoning</t>
        </is>
      </c>
      <c r="G19" s="1057" t="inlineStr">
        <is>
          <t>Adj.</t>
        </is>
      </c>
      <c r="H19" s="1058" t="inlineStr">
        <is>
          <t>Price/SF</t>
        </is>
      </c>
      <c r="I19" s="1057"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1031"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1031"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1031"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1031"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0E7490"/>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18" customWidth="1" style="132" min="2" max="2"/>
    <col width="19" customWidth="1" style="133" min="3" max="6"/>
    <col width="15" customWidth="1" min="4" max="4"/>
    <col width="18" customWidth="1" min="5" max="5"/>
    <col width="7" customWidth="1" min="6" max="6"/>
    <col width="13" customWidth="1" style="133" min="7" max="7"/>
    <col width="13" customWidth="1" style="132" min="8" max="8"/>
    <col width="12.5" customWidth="1" style="132" min="9" max="16384"/>
  </cols>
  <sheetData>
    <row r="1" ht="32.25" customHeight="1">
      <c r="B1" t="n"/>
    </row>
    <row r="2" ht="26.25" customHeight="1">
      <c r="A2" s="977" t="n"/>
      <c r="B2" s="1061" t="inlineStr">
        <is>
          <t>RENT COMPARABLES</t>
        </is>
      </c>
      <c r="C2" s="1061" t="n"/>
      <c r="D2" s="1061" t="n"/>
      <c r="E2" s="1061" t="n"/>
      <c r="F2" s="1061" t="n"/>
      <c r="G2" s="1061" t="n"/>
      <c r="H2" s="1061" t="n"/>
    </row>
    <row r="4" ht="25.15" customHeight="1" thickBot="1">
      <c r="B4" s="1062" t="inlineStr">
        <is>
          <t>SUBJECT</t>
        </is>
      </c>
      <c r="C4" s="1063" t="n"/>
      <c r="D4" s="1063" t="n"/>
      <c r="E4" s="1063" t="n"/>
      <c r="F4" s="1063" t="n"/>
      <c r="G4" s="1063" t="n"/>
      <c r="H4" s="1063" t="n"/>
    </row>
    <row r="5" ht="13.5" customHeight="1" thickTop="1">
      <c r="B5" s="1064" t="inlineStr">
        <is>
          <t>Schedule Number</t>
        </is>
      </c>
      <c r="C5" s="1065" t="inlineStr">
        <is>
          <t>Rent/Sq.Ft.</t>
        </is>
      </c>
      <c r="D5" s="1066" t="inlineStr">
        <is>
          <t>Location</t>
        </is>
      </c>
      <c r="E5" s="1066" t="inlineStr">
        <is>
          <t>Age</t>
        </is>
      </c>
      <c r="F5" s="1066" t="n"/>
      <c r="G5" s="1067" t="n"/>
      <c r="H5" s="1068" t="n"/>
    </row>
    <row r="6">
      <c r="B6" s="1069" t="inlineStr">
        <is>
          <t>Property Address</t>
        </is>
      </c>
      <c r="C6" s="1070" t="inlineStr">
        <is>
          <t>Vacancy</t>
        </is>
      </c>
      <c r="D6" s="1071" t="inlineStr">
        <is>
          <t>Land Size</t>
        </is>
      </c>
      <c r="E6" s="1071" t="inlineStr">
        <is>
          <t>Quality</t>
        </is>
      </c>
      <c r="F6" s="1071" t="n"/>
      <c r="G6" s="1072" t="n"/>
      <c r="H6" s="1073" t="n"/>
    </row>
    <row r="7">
      <c r="B7" s="1069" t="inlineStr">
        <is>
          <t>Property Name</t>
        </is>
      </c>
      <c r="C7" s="1071" t="inlineStr">
        <is>
          <t>Expense / Sq. Ft.</t>
        </is>
      </c>
      <c r="D7" s="1071" t="inlineStr">
        <is>
          <t>L:B Ratio</t>
        </is>
      </c>
      <c r="E7" s="1071" t="inlineStr">
        <is>
          <t>Phy/Funct Rating</t>
        </is>
      </c>
      <c r="F7" s="1071" t="n"/>
      <c r="G7" s="1072" t="n"/>
      <c r="H7" s="1073" t="n"/>
    </row>
    <row r="8" ht="13.5" customHeight="1" thickBot="1">
      <c r="B8" s="1074" t="inlineStr">
        <is>
          <t>Property Type</t>
        </is>
      </c>
      <c r="C8" s="1075" t="inlineStr">
        <is>
          <t>Expense Ratio</t>
        </is>
      </c>
      <c r="D8" s="1076" t="inlineStr">
        <is>
          <t>Building Size</t>
        </is>
      </c>
      <c r="E8" s="1076" t="inlineStr">
        <is>
          <t>Zoning</t>
        </is>
      </c>
      <c r="F8" s="1076" t="inlineStr">
        <is>
          <t>Other</t>
        </is>
      </c>
      <c r="G8" s="1077" t="inlineStr">
        <is>
          <t>Comments</t>
        </is>
      </c>
      <c r="H8" s="1078"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977" t="n"/>
      <c r="B17" s="1079" t="inlineStr">
        <is>
          <t>COMPARABLE RENTAL PROPERTIES</t>
        </is>
      </c>
      <c r="C17" s="1079" t="n"/>
      <c r="D17" s="1079" t="n"/>
      <c r="E17" s="1079" t="n"/>
      <c r="F17" s="1079" t="n"/>
      <c r="G17" s="1079" t="n"/>
      <c r="H17" s="1079" t="n"/>
    </row>
    <row r="18" ht="13.5" customHeight="1" thickTop="1">
      <c r="A18" s="1037" t="n"/>
      <c r="B18" s="1064" t="n"/>
      <c r="C18" s="1065" t="inlineStr">
        <is>
          <t>Rent/Sq.Ft.</t>
        </is>
      </c>
      <c r="D18" s="1066" t="inlineStr">
        <is>
          <t>Location</t>
        </is>
      </c>
      <c r="E18" s="1066" t="inlineStr">
        <is>
          <t>Age</t>
        </is>
      </c>
      <c r="F18" s="1066" t="n"/>
      <c r="G18" s="1066" t="n"/>
      <c r="H18" s="1064" t="n"/>
    </row>
    <row r="19">
      <c r="A19" s="1037" t="n"/>
      <c r="B19" s="1069" t="inlineStr">
        <is>
          <t>OFFICE</t>
        </is>
      </c>
      <c r="C19" s="1070" t="inlineStr">
        <is>
          <t>Vacancy</t>
        </is>
      </c>
      <c r="D19" s="1071" t="inlineStr">
        <is>
          <t>Land Size</t>
        </is>
      </c>
      <c r="E19" s="1071" t="inlineStr">
        <is>
          <t>Quality</t>
        </is>
      </c>
      <c r="F19" s="1071" t="n"/>
      <c r="G19" s="1071" t="n"/>
      <c r="H19" s="1070" t="n"/>
    </row>
    <row r="20">
      <c r="A20" s="1037" t="n"/>
      <c r="B20" s="1069" t="inlineStr">
        <is>
          <t>Source</t>
        </is>
      </c>
      <c r="C20" s="1071" t="inlineStr">
        <is>
          <t>Expense / Sq. Ft.</t>
        </is>
      </c>
      <c r="D20" s="1071" t="inlineStr">
        <is>
          <t>L:B Ratio</t>
        </is>
      </c>
      <c r="E20" s="1071" t="inlineStr">
        <is>
          <t>Phy/Funct Rating</t>
        </is>
      </c>
      <c r="F20" s="1071" t="n"/>
      <c r="G20" s="1070" t="inlineStr">
        <is>
          <t>Net</t>
        </is>
      </c>
      <c r="H20" s="1070" t="inlineStr">
        <is>
          <t>Adjusted</t>
        </is>
      </c>
    </row>
    <row r="21" ht="13.5" customHeight="1" thickBot="1">
      <c r="A21" s="1037" t="n"/>
      <c r="B21" s="1074" t="inlineStr">
        <is>
          <t>Property Type</t>
        </is>
      </c>
      <c r="C21" s="1075" t="inlineStr">
        <is>
          <t>Expense Ratio</t>
        </is>
      </c>
      <c r="D21" s="1076" t="inlineStr">
        <is>
          <t>Building Size</t>
        </is>
      </c>
      <c r="E21" s="1076" t="inlineStr">
        <is>
          <t>Zoning</t>
        </is>
      </c>
      <c r="F21" s="1076" t="inlineStr">
        <is>
          <t>Other</t>
        </is>
      </c>
      <c r="G21" s="1075" t="inlineStr">
        <is>
          <t>Adjustments</t>
        </is>
      </c>
      <c r="H21" s="1075"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0E7490"/>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1640625" customWidth="1" style="162" min="5" max="5"/>
    <col width="6" customWidth="1" style="162" min="6" max="6"/>
    <col width="6.6640625" customWidth="1" style="162" min="7" max="7"/>
    <col width="10" customWidth="1" style="162" min="8" max="8"/>
    <col width="2.1640625" customWidth="1" style="162" min="9" max="9"/>
    <col width="6" customWidth="1" style="162" min="10" max="10"/>
    <col width="9" customWidth="1" style="162" min="11" max="11"/>
    <col width="7" customWidth="1" style="162" min="12" max="12"/>
    <col width="12.5" customWidth="1" style="162" min="13" max="16384"/>
    <col width="6" customWidth="1" min="25" max="25"/>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1031"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1031"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1031"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0E7490"/>
    <outlinePr summaryBelow="1" summaryRight="1"/>
    <pageSetUpPr fitToPage="1"/>
  </sheetPr>
  <dimension ref="A1:Z48"/>
  <sheetViews>
    <sheetView workbookViewId="0">
      <selection activeCell="P15" sqref="P15"/>
    </sheetView>
  </sheetViews>
  <sheetFormatPr baseColWidth="8" defaultColWidth="11.5" defaultRowHeight="12.75"/>
  <cols>
    <col width="32" customWidth="1" style="203" min="1" max="1"/>
    <col width="18" customWidth="1" style="203" min="2" max="2"/>
    <col width="10" customWidth="1" style="203" min="3" max="3"/>
    <col width="16" customWidth="1" style="203" min="4" max="4"/>
    <col width="6.83203125" customWidth="1" style="203" min="5" max="5"/>
    <col width="6" customWidth="1" style="203" min="6" max="6"/>
    <col width="11" customWidth="1" style="203" min="7" max="7"/>
    <col width="7" customWidth="1" style="203" min="8" max="8"/>
    <col width="10.6640625" customWidth="1" style="203" min="9" max="9"/>
    <col width="9" customWidth="1" style="203" min="10" max="10"/>
    <col width="7" customWidth="1" style="203" min="11" max="11"/>
    <col width="11.5" customWidth="1" style="203" min="12" max="16384"/>
    <col width="6" customWidth="1" min="25" max="25"/>
    <col hidden="1" width="13" customWidth="1" min="26" max="26"/>
  </cols>
  <sheetData>
    <row r="1" ht="34.9" customHeight="1">
      <c r="A1" s="1080" t="inlineStr">
        <is>
          <t>2025 APPEAL WORKSHEET</t>
        </is>
      </c>
      <c r="B1" s="1081" t="n"/>
      <c r="C1" s="1081" t="n"/>
      <c r="D1" s="1081" t="n"/>
      <c r="E1" s="1081" t="n"/>
      <c r="F1" s="1081" t="n"/>
      <c r="G1" s="1081" t="n"/>
      <c r="H1" s="1081" t="n"/>
      <c r="I1" s="1081" t="n"/>
      <c r="J1" s="1081" t="n"/>
      <c r="K1" s="1081" t="n"/>
    </row>
    <row r="2" ht="16.15" customHeight="1">
      <c r="A2" s="845" t="inlineStr">
        <is>
          <t>ACCOUNT NUMBER</t>
        </is>
      </c>
      <c r="D2" s="1082" t="inlineStr">
        <is>
          <t> </t>
        </is>
      </c>
      <c r="E2" s="204" t="n"/>
      <c r="F2" s="204" t="n"/>
      <c r="G2" s="204" t="n"/>
      <c r="H2" s="204" t="n"/>
    </row>
    <row r="3" ht="16.15" customHeight="1">
      <c r="A3" s="845" t="inlineStr">
        <is>
          <t>PROPERTY ADDRESS</t>
        </is>
      </c>
      <c r="D3" s="1083" t="inlineStr">
        <is>
          <t> </t>
        </is>
      </c>
      <c r="E3" s="205" t="n"/>
      <c r="F3" s="205" t="n"/>
      <c r="G3" s="205" t="n"/>
      <c r="H3" s="205" t="n"/>
    </row>
    <row r="4" ht="16.15" customHeight="1">
      <c r="A4" s="845" t="inlineStr">
        <is>
          <t>PROTEST NUMBER</t>
        </is>
      </c>
      <c r="D4" s="1083" t="inlineStr">
        <is>
          <t> </t>
        </is>
      </c>
      <c r="E4" s="205" t="n"/>
      <c r="F4" s="205" t="n"/>
      <c r="G4" s="205" t="n"/>
      <c r="H4" s="205" t="n"/>
    </row>
    <row r="5" ht="16.15" customHeight="1">
      <c r="A5" s="845" t="inlineStr">
        <is>
          <t>PETITIONER'S NAME</t>
        </is>
      </c>
      <c r="D5" s="1083"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1084" t="inlineStr">
        <is>
          <t>MARKET RENT COMPARABLES</t>
        </is>
      </c>
      <c r="B18" s="1085" t="n"/>
      <c r="C18" s="1085" t="n"/>
      <c r="D18" s="1085" t="n"/>
      <c r="E18" s="1085" t="n"/>
      <c r="F18" s="1085" t="n"/>
      <c r="G18" s="1085" t="n"/>
      <c r="H18" s="1086" t="inlineStr">
        <is>
          <t>BUILDING</t>
        </is>
      </c>
      <c r="I18" s="1086" t="n"/>
      <c r="J18" s="1086" t="n"/>
      <c r="K18" s="1087" t="inlineStr">
        <is>
          <t>EXP</t>
        </is>
      </c>
    </row>
    <row r="19" ht="15" customHeight="1">
      <c r="A19" s="324" t="n"/>
      <c r="B19" s="1088" t="inlineStr">
        <is>
          <t>OFFICE</t>
        </is>
      </c>
      <c r="C19" s="1089" t="inlineStr">
        <is>
          <t>USE TYPE</t>
        </is>
      </c>
      <c r="D19" s="1089" t="n"/>
      <c r="E19" s="1089" t="n"/>
      <c r="F19" s="1090" t="inlineStr">
        <is>
          <t>ZONE</t>
        </is>
      </c>
      <c r="G19" s="1088" t="inlineStr">
        <is>
          <t>YOC</t>
        </is>
      </c>
      <c r="H19" s="1091" t="inlineStr">
        <is>
          <t>SQ FT</t>
        </is>
      </c>
      <c r="I19" s="1092" t="inlineStr">
        <is>
          <t>RENT</t>
        </is>
      </c>
      <c r="J19" s="1092" t="inlineStr">
        <is>
          <t>VACANCY</t>
        </is>
      </c>
      <c r="K19" s="1093"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1084" t="inlineStr">
        <is>
          <t>MARKET SALE COMPARABLES</t>
        </is>
      </c>
      <c r="B26" s="1085" t="n"/>
      <c r="C26" s="1085" t="n"/>
      <c r="D26" s="1085" t="n"/>
      <c r="E26" s="1085" t="n"/>
      <c r="F26" s="1085" t="n"/>
      <c r="G26" s="1085" t="n"/>
      <c r="H26" s="1094" t="inlineStr">
        <is>
          <t>BUILDING</t>
        </is>
      </c>
      <c r="I26" s="1094" t="inlineStr">
        <is>
          <t>SALE</t>
        </is>
      </c>
      <c r="J26" s="1094" t="inlineStr">
        <is>
          <t>SALE</t>
        </is>
      </c>
      <c r="K26" s="1095" t="inlineStr">
        <is>
          <t>S.P./</t>
        </is>
      </c>
    </row>
    <row r="27" ht="15" customHeight="1">
      <c r="A27" s="333" t="n"/>
      <c r="B27" s="1089" t="inlineStr">
        <is>
          <t>PROPERTY ADDRESS</t>
        </is>
      </c>
      <c r="C27" s="1089" t="n"/>
      <c r="D27" s="1089" t="inlineStr">
        <is>
          <t>ACCOUNT NUMBER</t>
        </is>
      </c>
      <c r="E27" s="1089" t="n"/>
      <c r="F27" s="1089" t="n"/>
      <c r="G27" s="1090" t="inlineStr">
        <is>
          <t>YOC</t>
        </is>
      </c>
      <c r="H27" s="1092" t="inlineStr">
        <is>
          <t>SQ FT</t>
        </is>
      </c>
      <c r="I27" s="1092" t="inlineStr">
        <is>
          <t>DATE</t>
        </is>
      </c>
      <c r="J27" s="1092" t="inlineStr">
        <is>
          <t>PRICE</t>
        </is>
      </c>
      <c r="K27" s="109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1031"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1031"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1031" t="n">
        <v>3</v>
      </c>
      <c r="Z32">
        <f>IFERROR(MATCH(_xlfn.AGGREGATE(15,6,Sales!$AJ$2:$AJ$941,$Y$32),Sales!$AJ$2:$AJ$941,0)+1,"")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256">
        <f>HYPERLINK(INDEX(RES_MATRIX_C,MATCH($C$5,RES_MATRIX_JUR,0)),INDEX(RES_MATRIX_C,MATCH($C$5,RES_MATRIX_JUR,0)))</f>
        <v/>
      </c>
    </row>
    <row r="10">
      <c r="B10" s="1255" t="inlineStr">
        <is>
          <t>Property / GIS maps</t>
        </is>
      </c>
      <c r="C10" s="1256">
        <f>HYPERLINK(INDEX(RES_MATRIX_D,MATCH($C$5,RES_MATRIX_JUR,0)),INDEX(RES_MATRIX_D,MATCH($C$5,RES_MATRIX_JUR,0)))</f>
        <v/>
      </c>
    </row>
    <row r="11">
      <c r="B11" s="1255" t="inlineStr">
        <is>
          <t>Zoning / land-use code</t>
        </is>
      </c>
      <c r="C11" s="1256">
        <f>HYPERLINK(INDEX(RES_MATRIX_E,MATCH($C$5,RES_MATRIX_JUR,0)),INDEX(RES_MATRIX_E,MATCH($C$5,RES_MATRIX_JUR,0)))</f>
        <v/>
      </c>
    </row>
    <row r="12">
      <c r="B12" s="1255" t="inlineStr">
        <is>
          <t>Planning department</t>
        </is>
      </c>
      <c r="C12" s="1256">
        <f>HYPERLINK(INDEX(RES_MATRIX_F,MATCH($C$5,RES_MATRIX_JUR,0)),INDEX(RES_MATRIX_F,MATCH($C$5,RES_MATRIX_JUR,0)))</f>
        <v/>
      </c>
    </row>
    <row r="13">
      <c r="B13" s="1255" t="inlineStr">
        <is>
          <t>Active development / projects</t>
        </is>
      </c>
      <c r="C13" s="1256">
        <f>HYPERLINK(INDEX(RES_MATRIX_G,MATCH($C$5,RES_MATRIX_JUR,0)),INDEX(RES_MATRIX_G,MATCH($C$5,RES_MATRIX_JUR,0)))</f>
        <v/>
      </c>
    </row>
    <row r="14">
      <c r="B14" s="1255" t="inlineStr">
        <is>
          <t>Permits</t>
        </is>
      </c>
      <c r="C14" s="1256">
        <f>HYPERLINK(INDEX(RES_MATRIX_H,MATCH($C$5,RES_MATRIX_JUR,0)),INDEX(RES_MATRIX_H,MATCH($C$5,RES_MATRIX_JUR,0)))</f>
        <v/>
      </c>
    </row>
    <row r="15">
      <c r="B15" s="1255" t="inlineStr">
        <is>
          <t>Long-range / comprehensive plan</t>
        </is>
      </c>
      <c r="C15" s="1256">
        <f>HYPERLINK(INDEX(RES_MATRIX_I,MATCH($C$5,RES_MATRIX_JUR,0)),INDEX(RES_MATRIX_I,MATCH($C$5,RES_MATRIX_JUR,0)))</f>
        <v/>
      </c>
    </row>
    <row r="16">
      <c r="B16" s="1255" t="inlineStr">
        <is>
          <t>Agendas &amp; meetings</t>
        </is>
      </c>
      <c r="C16" s="1256">
        <f>HYPERLINK(INDEX(RES_MATRIX_J,MATCH($C$5,RES_MATRIX_JUR,0)),INDEX(RES_MATRIX_J,MATCH($C$5,RES_MATRIX_JUR,0)))</f>
        <v/>
      </c>
    </row>
    <row r="17">
      <c r="B17" s="1255" t="inlineStr">
        <is>
          <t>Public / legal notices</t>
        </is>
      </c>
      <c r="C17" s="1256">
        <f>HYPERLINK(INDEX(RES_MATRIX_K,MATCH($C$5,RES_MATRIX_JUR,0)),INDEX(RES_MATRIX_K,MATCH($C$5,RES_MATRIX_JUR,0)))</f>
        <v/>
      </c>
    </row>
    <row r="18">
      <c r="B18" s="1255" t="inlineStr">
        <is>
          <t>News</t>
        </is>
      </c>
      <c r="C18" s="1256">
        <f>HYPERLINK(INDEX(RES_MATRIX_L,MATCH($C$5,RES_MATRIX_JUR,0)),INDEX(RES_MATRIX_L,MATCH($C$5,RES_MATRIX_JUR,0)))</f>
        <v/>
      </c>
    </row>
    <row r="20">
      <c r="B20" s="1250" t="inlineStr">
        <is>
          <t>STEP 3 — County records (work for ANY Adams County property, regardless of city)</t>
        </is>
      </c>
      <c r="C20" s="1253" t="n"/>
      <c r="D20" s="1253" t="n"/>
      <c r="E20" s="1253" t="n"/>
      <c r="F20" s="1253" t="n"/>
    </row>
    <row r="21">
      <c r="B21" s="1255" t="inlineStr">
        <is>
          <t>Parcel / owner / value search</t>
        </is>
      </c>
      <c r="C21" s="1256" t="inlineStr">
        <is>
          <t>https://adamscountyco.gov/service/search-real-property/</t>
        </is>
      </c>
    </row>
    <row r="22">
      <c r="B22" s="1255" t="inlineStr">
        <is>
          <t>Fast parcel lookup (GIS)</t>
        </is>
      </c>
      <c r="C22" s="1256" t="inlineStr">
        <is>
          <t>https://gisapp.adcogov.org/quicksearch/</t>
        </is>
      </c>
    </row>
    <row r="23">
      <c r="B23" s="1255" t="inlineStr">
        <is>
          <t>Interactive county maps</t>
        </is>
      </c>
      <c r="C23" s="1256" t="inlineStr">
        <is>
          <t>https://adamscountyco.gov/service/gis-interactive-maps/</t>
        </is>
      </c>
    </row>
    <row r="24">
      <c r="B24" s="1255" t="inlineStr">
        <is>
          <t>Recorded deeds &amp; documents</t>
        </is>
      </c>
      <c r="C24" s="1256" t="inlineStr">
        <is>
          <t>https://recording.adamscountyco.gov/landmarkweb/</t>
        </is>
      </c>
    </row>
    <row r="25">
      <c r="B25" s="1255" t="inlineStr">
        <is>
          <t>Survey plats</t>
        </is>
      </c>
      <c r="C25" s="1256" t="inlineStr">
        <is>
          <t>https://adamscountyco.gov/our-county/elected-officials/clerk-recorder/recording/land-survey-plats/</t>
        </is>
      </c>
    </row>
    <row r="26">
      <c r="B26" s="1255" t="inlineStr">
        <is>
          <t>Property taxes / balances</t>
        </is>
      </c>
      <c r="C26" s="1256" t="inlineStr">
        <is>
          <t>https://adcotax.com/</t>
        </is>
      </c>
    </row>
    <row r="27">
      <c r="B27" s="1255" t="inlineStr">
        <is>
          <t>Foreclosure records</t>
        </is>
      </c>
      <c r="C27" s="1256" t="inlineStr">
        <is>
          <t>https://apps.adcogov.org/PTForeclosureSearch/?ds=1</t>
        </is>
      </c>
    </row>
    <row r="28">
      <c r="B28" s="1255" t="inlineStr">
        <is>
          <t>Unincorporated planning &amp; zoning</t>
        </is>
      </c>
      <c r="C28" s="1256" t="inlineStr">
        <is>
          <t>https://adamscountyco.gov/our-county/community-economic-development/planning-development/</t>
        </is>
      </c>
    </row>
    <row r="29">
      <c r="B29" s="1255" t="inlineStr">
        <is>
          <t>Pending land-use cases &amp; hearings</t>
        </is>
      </c>
      <c r="C29" s="1256" t="inlineStr">
        <is>
          <t>https://adamscountyco.gov/our-county/community-economic-development/planning-development/current-land-use-cases/</t>
        </is>
      </c>
    </row>
    <row r="30">
      <c r="B30" s="1255" t="inlineStr">
        <is>
          <t>Unincorporated building permits</t>
        </is>
      </c>
      <c r="C30" s="1256" t="inlineStr">
        <is>
          <t>https://adamscountyco.gov/our-county/community-economic-development/building-safety/building-permit/</t>
        </is>
      </c>
    </row>
    <row r="32">
      <c r="B32" s="1250" t="inlineStr">
        <is>
          <t>STEP 4 — State &amp; federal checks (apply everywhere)</t>
        </is>
      </c>
      <c r="C32" s="1253" t="n"/>
      <c r="D32" s="1253" t="n"/>
      <c r="E32" s="1253" t="n"/>
      <c r="F32" s="1253" t="n"/>
    </row>
    <row r="33">
      <c r="B33" s="1255" t="inlineStr">
        <is>
          <t>Who owns the LLC? (Secretary of State)</t>
        </is>
      </c>
      <c r="C33" s="1256" t="inlineStr">
        <is>
          <t>https://co.colorado.gov/search-business-records</t>
        </is>
      </c>
    </row>
    <row r="34">
      <c r="B34" s="1255" t="inlineStr">
        <is>
          <t>Municipal boundary map (DOLA)</t>
        </is>
      </c>
      <c r="C34" s="1256" t="inlineStr">
        <is>
          <t>https://gis.dola.colorado.gov/CO_SpecialDistrict/</t>
        </is>
      </c>
    </row>
    <row r="35">
      <c r="B35" s="1255" t="inlineStr">
        <is>
          <t>Special / metro districts (DOLA)</t>
        </is>
      </c>
      <c r="C35" s="1256" t="inlineStr">
        <is>
          <t>https://gis.dola.colorado.gov/CO_SpecialDistrict/</t>
        </is>
      </c>
    </row>
    <row r="36">
      <c r="B36" s="1255" t="inlineStr">
        <is>
          <t>Water rights, wells &amp; structures (DWR)</t>
        </is>
      </c>
      <c r="C36" s="1256" t="inlineStr">
        <is>
          <t>https://gis.dola.colorado.gov/CO_SpecialDistrict/</t>
        </is>
      </c>
    </row>
    <row r="37">
      <c r="B37" s="1255" t="inlineStr">
        <is>
          <t>Oil &amp; gas wells (ECMC)</t>
        </is>
      </c>
      <c r="C37" s="1256" t="inlineStr">
        <is>
          <t>https://ecmc.state.co.us/maps.html</t>
        </is>
      </c>
    </row>
    <row r="38">
      <c r="B38" s="1255" t="inlineStr">
        <is>
          <t>FEMA flood map</t>
        </is>
      </c>
      <c r="C38" s="1256" t="inlineStr">
        <is>
          <t>https://www.fema.gov/flood-maps</t>
        </is>
      </c>
    </row>
    <row r="39">
      <c r="B39" s="1255" t="inlineStr">
        <is>
          <t>Environmental records (CDPHE)</t>
        </is>
      </c>
      <c r="C39" s="1256" t="inlineStr">
        <is>
          <t>https://cdphe.colorado.gov/maps-and-gis-for-health-and-environment</t>
        </is>
      </c>
    </row>
    <row r="40">
      <c r="B40" s="1255" t="inlineStr">
        <is>
          <t>Soils survey (USDA NRCS)</t>
        </is>
      </c>
      <c r="C40" s="1256" t="inlineStr">
        <is>
          <t>https://websoilsurvey.nrcs.usda.gov/</t>
        </is>
      </c>
    </row>
    <row r="41">
      <c r="B41" s="1255" t="inlineStr">
        <is>
          <t>State highway access (CDOT)</t>
        </is>
      </c>
      <c r="C41" s="1256" t="inlineStr">
        <is>
          <t>https://dtdapps.codot.gov/otis</t>
        </is>
      </c>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2026-07-12T21:07:35Z</dcterms:modified>
  <cp:lastModifiedBy>Armon Goldanloo</cp:lastModifiedBy>
  <cp:lastPrinted>2021-04-29T19:41:45Z</cp:lastPrinted>
</cp:coreProperties>
</file>