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Property Registry" sheetId="16" state="visible" r:id="rId16"/>
    <sheet name="Expense Database" sheetId="17" state="visible" r:id="rId17"/>
    <sheet name="PSF Summary" sheetId="18" state="visible" r:id="rId18"/>
  </sheets>
  <externalReferences>
    <externalReference r:id="rId19"/>
    <externalReference r:id="rId20"/>
    <externalReference r:id="rId21"/>
    <externalReference r:id="rId22"/>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12">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901">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externalLink" Target="/xl/externalLinks/externalLink1.xml" Id="rId19" /><Relationship Type="http://schemas.openxmlformats.org/officeDocument/2006/relationships/externalLink" Target="/xl/externalLinks/externalLink2.xml" Id="rId20" /><Relationship Type="http://schemas.openxmlformats.org/officeDocument/2006/relationships/externalLink" Target="/xl/externalLinks/externalLink3.xml" Id="rId21" /><Relationship Type="http://schemas.openxmlformats.org/officeDocument/2006/relationships/externalLink" Target="/xl/externalLinks/externalLink4.xml" Id="rId22" /><Relationship Type="http://schemas.openxmlformats.org/officeDocument/2006/relationships/styles" Target="styles.xml" Id="rId23" /><Relationship Type="http://schemas.openxmlformats.org/officeDocument/2006/relationships/theme" Target="theme/theme1.xml" Id="rId24" /><Relationship Type="http://schemas.microsoft.com/office/2006/relationships/vbaProject" Target="vbaProject.bin" Id="rId25"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tabColor rgb="00C00000"/>
    <outlinePr summaryBelow="1" summaryRight="1"/>
    <pageSetUpPr/>
  </sheetPr>
  <dimension ref="B1:H35"/>
  <sheetViews>
    <sheetView showGridLines="0" workbookViewId="0">
      <selection activeCell="A1" sqref="A1"/>
    </sheetView>
  </sheetViews>
  <sheetFormatPr baseColWidth="8" defaultRowHeight="15"/>
  <cols>
    <col width="2" customWidth="1" min="1" max="1"/>
    <col width="26" customWidth="1" min="2" max="2"/>
    <col width="22" customWidth="1" min="3" max="3"/>
    <col width="24" customWidth="1" min="4" max="4"/>
    <col width="18" customWidth="1" min="5" max="5"/>
    <col width="45" customWidth="1" min="6" max="6"/>
    <col hidden="1" width="13" customWidth="1" min="8" max="8"/>
  </cols>
  <sheetData>
    <row r="1" ht="22" customHeight="1">
      <c r="B1" s="872" t="inlineStr">
        <is>
          <t>SUBJECT PROPERTY — MASTER INPUT</t>
        </is>
      </c>
      <c r="C1" s="872" t="n"/>
      <c r="D1" s="872" t="n"/>
      <c r="E1" s="872" t="n"/>
      <c r="F1" s="872"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875" t="n"/>
      <c r="D4" s="874" t="inlineStr">
        <is>
          <t>City</t>
        </is>
      </c>
      <c r="E4" s="898" t="inlineStr"/>
    </row>
    <row r="5">
      <c r="B5" s="874" t="inlineStr">
        <is>
          <t>OCC Code</t>
        </is>
      </c>
      <c r="C5" s="875" t="n"/>
      <c r="D5" s="874" t="inlineStr">
        <is>
          <t>Code (parsed):</t>
        </is>
      </c>
      <c r="E5" s="877">
        <f>IFERROR(VALUE(LEFT($C$5,FIND(" - ",$C$5)-1)),"")</f>
        <v/>
      </c>
      <c r="F5" s="876" t="n"/>
    </row>
    <row r="6">
      <c r="B6" s="874" t="inlineStr">
        <is>
          <t>Building Size (SF)</t>
        </is>
      </c>
      <c r="C6" s="878" t="n"/>
    </row>
    <row r="7">
      <c r="B7" s="874" t="inlineStr">
        <is>
          <t>Site / Land Size (SF)</t>
        </is>
      </c>
      <c r="C7" s="878" t="n"/>
    </row>
    <row r="8">
      <c r="B8" s="874" t="inlineStr">
        <is>
          <t>Zoning</t>
        </is>
      </c>
      <c r="C8" s="875" t="n"/>
    </row>
    <row r="9">
      <c r="B9" s="874" t="inlineStr">
        <is>
          <t>Condition</t>
        </is>
      </c>
      <c r="C9" s="875" t="n"/>
    </row>
    <row r="10">
      <c r="B10" s="874" t="inlineStr">
        <is>
          <t>Quality</t>
        </is>
      </c>
      <c r="C10" s="875" t="n"/>
    </row>
    <row r="11">
      <c r="B11" s="874" t="inlineStr">
        <is>
          <t>Year Built (YOC)</t>
        </is>
      </c>
      <c r="C11" s="879" t="n"/>
      <c r="D11" s="874" t="inlineStr">
        <is>
          <t>Actual Age (yrs, auto):</t>
        </is>
      </c>
      <c r="E11" s="880">
        <f>IF($C$11="","",Year-$C$11)</f>
        <v/>
      </c>
    </row>
    <row r="13">
      <c r="B13" s="874" t="inlineStr">
        <is>
          <t>Size Match Tolerance (+/-)</t>
        </is>
      </c>
      <c r="C13" s="881" t="n">
        <v>0.25</v>
      </c>
    </row>
    <row r="16" ht="20" customHeight="1">
      <c r="B16" s="872" t="inlineStr">
        <is>
          <t>AUTOMATED COMP MATCHING</t>
        </is>
      </c>
      <c r="C16" s="872" t="n"/>
      <c r="D16" s="872" t="n"/>
      <c r="E16" s="872" t="n"/>
      <c r="F16" s="872" t="n"/>
    </row>
    <row r="17">
      <c r="B17" s="874" t="inlineStr">
        <is>
          <t>Matching Sales Comps found:</t>
        </is>
      </c>
      <c r="C17" s="88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88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894" t="inlineStr">
        <is>
          <t>Top Expense Comps (auto, best match first)</t>
        </is>
      </c>
      <c r="C29" s="896" t="n"/>
      <c r="D29" s="896" t="n"/>
      <c r="E29" s="896" t="n"/>
      <c r="F29" s="896" t="n"/>
    </row>
    <row r="30">
      <c r="B30" s="897" t="inlineStr">
        <is>
          <t>Address</t>
        </is>
      </c>
      <c r="C30" s="897" t="inlineStr">
        <is>
          <t>City</t>
        </is>
      </c>
      <c r="D30" s="897" t="inlineStr">
        <is>
          <t>Bldg SF</t>
        </is>
      </c>
      <c r="E30" s="897" t="inlineStr">
        <is>
          <t>Year</t>
        </is>
      </c>
      <c r="F30" s="897"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C00000"/>
    <outlinePr summaryBelow="1" summaryRight="1"/>
    <pageSetUpPr/>
  </sheetPr>
  <dimension ref="B1:J39"/>
  <sheetViews>
    <sheetView showGridLines="0" workbookViewId="0">
      <selection activeCell="A1" sqref="A1"/>
    </sheetView>
  </sheetViews>
  <sheetFormatPr baseColWidth="8" defaultRowHeight="15"/>
  <cols>
    <col width="8" customWidth="1" min="2" max="2"/>
    <col width="26" customWidth="1" min="3" max="3"/>
    <col width="14" customWidth="1" min="4" max="4"/>
    <col width="10" customWidth="1" min="5" max="5"/>
    <col width="10" customWidth="1" min="6" max="6"/>
    <col width="12" customWidth="1" min="7" max="7"/>
    <col width="14" customWidth="1" min="8" max="8"/>
    <col hidden="1" width="13" customWidth="1" min="10" max="10"/>
  </cols>
  <sheetData>
    <row r="1">
      <c r="B1" s="872" t="inlineStr">
        <is>
          <t>COMP PICKER -- browse all ranked matches, then type the rank # into WO / BAA Market / BOCC / Appeal</t>
        </is>
      </c>
      <c r="C1" s="896" t="n"/>
      <c r="D1" s="896" t="n"/>
      <c r="E1" s="896" t="n"/>
      <c r="F1" s="896" t="n"/>
      <c r="G1" s="896" t="n"/>
      <c r="H1" s="896" t="n"/>
      <c r="I1" s="896"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894" t="inlineStr">
        <is>
          <t>Top Sales Comps (auto-ranked by size closeness)</t>
        </is>
      </c>
      <c r="C4" s="896" t="n"/>
      <c r="D4" s="896" t="n"/>
      <c r="E4" s="896" t="n"/>
      <c r="F4" s="896" t="n"/>
      <c r="G4" s="896" t="n"/>
      <c r="H4" s="896" t="n"/>
    </row>
    <row r="5">
      <c r="B5" s="897" t="inlineStr">
        <is>
          <t>Rank</t>
        </is>
      </c>
      <c r="C5" s="897" t="inlineStr">
        <is>
          <t>Address</t>
        </is>
      </c>
      <c r="D5" s="897" t="inlineStr">
        <is>
          <t>Sale Price</t>
        </is>
      </c>
      <c r="E5" s="897" t="inlineStr">
        <is>
          <t>NRA (SF)</t>
        </is>
      </c>
      <c r="F5" s="897" t="inlineStr">
        <is>
          <t>YOC</t>
        </is>
      </c>
      <c r="G5" s="897" t="inlineStr">
        <is>
          <t>Sale Date</t>
        </is>
      </c>
      <c r="H5" s="897" t="inlineStr">
        <is>
          <t>Parcel #</t>
        </is>
      </c>
    </row>
    <row r="6">
      <c r="B6">
        <f>IF($J6="","",1)</f>
        <v/>
      </c>
      <c r="C6">
        <f>IF($J6="","",IFERROR(INDEX(Sales!D:D,$J6),""))</f>
        <v/>
      </c>
      <c r="D6">
        <f>IF($J6="","",IFERROR(INDEX(Sales!AA:AA,$J6),""))</f>
        <v/>
      </c>
      <c r="E6">
        <f>IF($J6="","",IFERROR(INDEX(Sales!L:L,$J6),""))</f>
        <v/>
      </c>
      <c r="F6">
        <f>IF($J6="","",IFERROR(INDEX(Sales!M:M,$J6),""))</f>
        <v/>
      </c>
      <c r="G6">
        <f>IF($J6="","",IFERROR(INDEX(Sales!I:I,$J6),""))</f>
        <v/>
      </c>
      <c r="H6">
        <f>IF($J6="","",IFERROR(INDEX(Sales!AC:AC,$J6),""))</f>
        <v/>
      </c>
      <c r="J6">
        <f>IFERROR(MATCH(_xlfn.AGGREGATE(15,6,Sales!$AJ$2:$AJ$941,1),Sales!$AJ$2:$AJ$941,0)+1,"")</f>
        <v/>
      </c>
    </row>
    <row r="7">
      <c r="B7">
        <f>IF($J7="","",2)</f>
        <v/>
      </c>
      <c r="C7">
        <f>IF($J7="","",IFERROR(INDEX(Sales!D:D,$J7),""))</f>
        <v/>
      </c>
      <c r="D7">
        <f>IF($J7="","",IFERROR(INDEX(Sales!AA:AA,$J7),""))</f>
        <v/>
      </c>
      <c r="E7">
        <f>IF($J7="","",IFERROR(INDEX(Sales!L:L,$J7),""))</f>
        <v/>
      </c>
      <c r="F7">
        <f>IF($J7="","",IFERROR(INDEX(Sales!M:M,$J7),""))</f>
        <v/>
      </c>
      <c r="G7">
        <f>IF($J7="","",IFERROR(INDEX(Sales!I:I,$J7),""))</f>
        <v/>
      </c>
      <c r="H7">
        <f>IF($J7="","",IFERROR(INDEX(Sales!AC:AC,$J7),""))</f>
        <v/>
      </c>
      <c r="J7">
        <f>IFERROR(MATCH(_xlfn.AGGREGATE(15,6,Sales!$AJ$2:$AJ$941,2),Sales!$AJ$2:$AJ$941,0)+1,"")</f>
        <v/>
      </c>
    </row>
    <row r="8">
      <c r="B8">
        <f>IF($J8="","",3)</f>
        <v/>
      </c>
      <c r="C8">
        <f>IF($J8="","",IFERROR(INDEX(Sales!D:D,$J8),""))</f>
        <v/>
      </c>
      <c r="D8">
        <f>IF($J8="","",IFERROR(INDEX(Sales!AA:AA,$J8),""))</f>
        <v/>
      </c>
      <c r="E8">
        <f>IF($J8="","",IFERROR(INDEX(Sales!L:L,$J8),""))</f>
        <v/>
      </c>
      <c r="F8">
        <f>IF($J8="","",IFERROR(INDEX(Sales!M:M,$J8),""))</f>
        <v/>
      </c>
      <c r="G8">
        <f>IF($J8="","",IFERROR(INDEX(Sales!I:I,$J8),""))</f>
        <v/>
      </c>
      <c r="H8">
        <f>IF($J8="","",IFERROR(INDEX(Sales!AC:AC,$J8),""))</f>
        <v/>
      </c>
      <c r="J8">
        <f>IFERROR(MATCH(_xlfn.AGGREGATE(15,6,Sales!$AJ$2:$AJ$941,3),Sales!$AJ$2:$AJ$941,0)+1,"")</f>
        <v/>
      </c>
    </row>
    <row r="9">
      <c r="B9">
        <f>IF($J9="","",4)</f>
        <v/>
      </c>
      <c r="C9">
        <f>IF($J9="","",IFERROR(INDEX(Sales!D:D,$J9),""))</f>
        <v/>
      </c>
      <c r="D9">
        <f>IF($J9="","",IFERROR(INDEX(Sales!AA:AA,$J9),""))</f>
        <v/>
      </c>
      <c r="E9">
        <f>IF($J9="","",IFERROR(INDEX(Sales!L:L,$J9),""))</f>
        <v/>
      </c>
      <c r="F9">
        <f>IF($J9="","",IFERROR(INDEX(Sales!M:M,$J9),""))</f>
        <v/>
      </c>
      <c r="G9">
        <f>IF($J9="","",IFERROR(INDEX(Sales!I:I,$J9),""))</f>
        <v/>
      </c>
      <c r="H9">
        <f>IF($J9="","",IFERROR(INDEX(Sales!AC:AC,$J9),""))</f>
        <v/>
      </c>
      <c r="J9">
        <f>IFERROR(MATCH(_xlfn.AGGREGATE(15,6,Sales!$AJ$2:$AJ$941,4),Sales!$AJ$2:$AJ$941,0)+1,"")</f>
        <v/>
      </c>
    </row>
    <row r="10">
      <c r="B10">
        <f>IF($J10="","",5)</f>
        <v/>
      </c>
      <c r="C10">
        <f>IF($J10="","",IFERROR(INDEX(Sales!D:D,$J10),""))</f>
        <v/>
      </c>
      <c r="D10">
        <f>IF($J10="","",IFERROR(INDEX(Sales!AA:AA,$J10),""))</f>
        <v/>
      </c>
      <c r="E10">
        <f>IF($J10="","",IFERROR(INDEX(Sales!L:L,$J10),""))</f>
        <v/>
      </c>
      <c r="F10">
        <f>IF($J10="","",IFERROR(INDEX(Sales!M:M,$J10),""))</f>
        <v/>
      </c>
      <c r="G10">
        <f>IF($J10="","",IFERROR(INDEX(Sales!I:I,$J10),""))</f>
        <v/>
      </c>
      <c r="H10">
        <f>IF($J10="","",IFERROR(INDEX(Sales!AC:AC,$J10),""))</f>
        <v/>
      </c>
      <c r="J10">
        <f>IFERROR(MATCH(_xlfn.AGGREGATE(15,6,Sales!$AJ$2:$AJ$941,5),Sales!$AJ$2:$AJ$941,0)+1,"")</f>
        <v/>
      </c>
    </row>
    <row r="11">
      <c r="B11">
        <f>IF($J11="","",6)</f>
        <v/>
      </c>
      <c r="C11">
        <f>IF($J11="","",IFERROR(INDEX(Sales!D:D,$J11),""))</f>
        <v/>
      </c>
      <c r="D11">
        <f>IF($J11="","",IFERROR(INDEX(Sales!AA:AA,$J11),""))</f>
        <v/>
      </c>
      <c r="E11">
        <f>IF($J11="","",IFERROR(INDEX(Sales!L:L,$J11),""))</f>
        <v/>
      </c>
      <c r="F11">
        <f>IF($J11="","",IFERROR(INDEX(Sales!M:M,$J11),""))</f>
        <v/>
      </c>
      <c r="G11">
        <f>IF($J11="","",IFERROR(INDEX(Sales!I:I,$J11),""))</f>
        <v/>
      </c>
      <c r="H11">
        <f>IF($J11="","",IFERROR(INDEX(Sales!AC:AC,$J11),""))</f>
        <v/>
      </c>
      <c r="J11">
        <f>IFERROR(MATCH(_xlfn.AGGREGATE(15,6,Sales!$AJ$2:$AJ$941,6),Sales!$AJ$2:$AJ$941,0)+1,"")</f>
        <v/>
      </c>
    </row>
    <row r="12">
      <c r="B12">
        <f>IF($J12="","",7)</f>
        <v/>
      </c>
      <c r="C12">
        <f>IF($J12="","",IFERROR(INDEX(Sales!D:D,$J12),""))</f>
        <v/>
      </c>
      <c r="D12">
        <f>IF($J12="","",IFERROR(INDEX(Sales!AA:AA,$J12),""))</f>
        <v/>
      </c>
      <c r="E12">
        <f>IF($J12="","",IFERROR(INDEX(Sales!L:L,$J12),""))</f>
        <v/>
      </c>
      <c r="F12">
        <f>IF($J12="","",IFERROR(INDEX(Sales!M:M,$J12),""))</f>
        <v/>
      </c>
      <c r="G12">
        <f>IF($J12="","",IFERROR(INDEX(Sales!I:I,$J12),""))</f>
        <v/>
      </c>
      <c r="H12">
        <f>IF($J12="","",IFERROR(INDEX(Sales!AC:AC,$J12),""))</f>
        <v/>
      </c>
      <c r="J12">
        <f>IFERROR(MATCH(_xlfn.AGGREGATE(15,6,Sales!$AJ$2:$AJ$941,7),Sales!$AJ$2:$AJ$941,0)+1,"")</f>
        <v/>
      </c>
    </row>
    <row r="13">
      <c r="B13">
        <f>IF($J13="","",8)</f>
        <v/>
      </c>
      <c r="C13">
        <f>IF($J13="","",IFERROR(INDEX(Sales!D:D,$J13),""))</f>
        <v/>
      </c>
      <c r="D13">
        <f>IF($J13="","",IFERROR(INDEX(Sales!AA:AA,$J13),""))</f>
        <v/>
      </c>
      <c r="E13">
        <f>IF($J13="","",IFERROR(INDEX(Sales!L:L,$J13),""))</f>
        <v/>
      </c>
      <c r="F13">
        <f>IF($J13="","",IFERROR(INDEX(Sales!M:M,$J13),""))</f>
        <v/>
      </c>
      <c r="G13">
        <f>IF($J13="","",IFERROR(INDEX(Sales!I:I,$J13),""))</f>
        <v/>
      </c>
      <c r="H13">
        <f>IF($J13="","",IFERROR(INDEX(Sales!AC:AC,$J13),""))</f>
        <v/>
      </c>
      <c r="J13">
        <f>IFERROR(MATCH(_xlfn.AGGREGATE(15,6,Sales!$AJ$2:$AJ$941,8),Sales!$AJ$2:$AJ$941,0)+1,"")</f>
        <v/>
      </c>
    </row>
    <row r="14">
      <c r="B14">
        <f>IF($J14="","",9)</f>
        <v/>
      </c>
      <c r="C14">
        <f>IF($J14="","",IFERROR(INDEX(Sales!D:D,$J14),""))</f>
        <v/>
      </c>
      <c r="D14">
        <f>IF($J14="","",IFERROR(INDEX(Sales!AA:AA,$J14),""))</f>
        <v/>
      </c>
      <c r="E14">
        <f>IF($J14="","",IFERROR(INDEX(Sales!L:L,$J14),""))</f>
        <v/>
      </c>
      <c r="F14">
        <f>IF($J14="","",IFERROR(INDEX(Sales!M:M,$J14),""))</f>
        <v/>
      </c>
      <c r="G14">
        <f>IF($J14="","",IFERROR(INDEX(Sales!I:I,$J14),""))</f>
        <v/>
      </c>
      <c r="H14">
        <f>IF($J14="","",IFERROR(INDEX(Sales!AC:AC,$J14),""))</f>
        <v/>
      </c>
      <c r="J14">
        <f>IFERROR(MATCH(_xlfn.AGGREGATE(15,6,Sales!$AJ$2:$AJ$941,9),Sales!$AJ$2:$AJ$941,0)+1,"")</f>
        <v/>
      </c>
    </row>
    <row r="15">
      <c r="B15">
        <f>IF($J15="","",10)</f>
        <v/>
      </c>
      <c r="C15">
        <f>IF($J15="","",IFERROR(INDEX(Sales!D:D,$J15),""))</f>
        <v/>
      </c>
      <c r="D15">
        <f>IF($J15="","",IFERROR(INDEX(Sales!AA:AA,$J15),""))</f>
        <v/>
      </c>
      <c r="E15">
        <f>IF($J15="","",IFERROR(INDEX(Sales!L:L,$J15),""))</f>
        <v/>
      </c>
      <c r="F15">
        <f>IF($J15="","",IFERROR(INDEX(Sales!M:M,$J15),""))</f>
        <v/>
      </c>
      <c r="G15">
        <f>IF($J15="","",IFERROR(INDEX(Sales!I:I,$J15),""))</f>
        <v/>
      </c>
      <c r="H15">
        <f>IF($J15="","",IFERROR(INDEX(Sales!AC:AC,$J15),""))</f>
        <v/>
      </c>
      <c r="J15">
        <f>IFERROR(MATCH(_xlfn.AGGREGATE(15,6,Sales!$AJ$2:$AJ$941,10),Sales!$AJ$2:$AJ$941,0)+1,"")</f>
        <v/>
      </c>
    </row>
    <row r="16">
      <c r="B16">
        <f>IF($J16="","",11)</f>
        <v/>
      </c>
      <c r="C16">
        <f>IF($J16="","",IFERROR(INDEX(Sales!D:D,$J16),""))</f>
        <v/>
      </c>
      <c r="D16">
        <f>IF($J16="","",IFERROR(INDEX(Sales!AA:AA,$J16),""))</f>
        <v/>
      </c>
      <c r="E16">
        <f>IF($J16="","",IFERROR(INDEX(Sales!L:L,$J16),""))</f>
        <v/>
      </c>
      <c r="F16">
        <f>IF($J16="","",IFERROR(INDEX(Sales!M:M,$J16),""))</f>
        <v/>
      </c>
      <c r="G16">
        <f>IF($J16="","",IFERROR(INDEX(Sales!I:I,$J16),""))</f>
        <v/>
      </c>
      <c r="H16">
        <f>IF($J16="","",IFERROR(INDEX(Sales!AC:AC,$J16),""))</f>
        <v/>
      </c>
      <c r="J16">
        <f>IFERROR(MATCH(_xlfn.AGGREGATE(15,6,Sales!$AJ$2:$AJ$941,11),Sales!$AJ$2:$AJ$941,0)+1,"")</f>
        <v/>
      </c>
    </row>
    <row r="17">
      <c r="B17">
        <f>IF($J17="","",12)</f>
        <v/>
      </c>
      <c r="C17">
        <f>IF($J17="","",IFERROR(INDEX(Sales!D:D,$J17),""))</f>
        <v/>
      </c>
      <c r="D17">
        <f>IF($J17="","",IFERROR(INDEX(Sales!AA:AA,$J17),""))</f>
        <v/>
      </c>
      <c r="E17">
        <f>IF($J17="","",IFERROR(INDEX(Sales!L:L,$J17),""))</f>
        <v/>
      </c>
      <c r="F17">
        <f>IF($J17="","",IFERROR(INDEX(Sales!M:M,$J17),""))</f>
        <v/>
      </c>
      <c r="G17">
        <f>IF($J17="","",IFERROR(INDEX(Sales!I:I,$J17),""))</f>
        <v/>
      </c>
      <c r="H17">
        <f>IF($J17="","",IFERROR(INDEX(Sales!AC:AC,$J17),""))</f>
        <v/>
      </c>
      <c r="J17">
        <f>IFERROR(MATCH(_xlfn.AGGREGATE(15,6,Sales!$AJ$2:$AJ$941,12),Sales!$AJ$2:$AJ$941,0)+1,"")</f>
        <v/>
      </c>
    </row>
    <row r="18">
      <c r="B18">
        <f>IF($J18="","",13)</f>
        <v/>
      </c>
      <c r="C18">
        <f>IF($J18="","",IFERROR(INDEX(Sales!D:D,$J18),""))</f>
        <v/>
      </c>
      <c r="D18">
        <f>IF($J18="","",IFERROR(INDEX(Sales!AA:AA,$J18),""))</f>
        <v/>
      </c>
      <c r="E18">
        <f>IF($J18="","",IFERROR(INDEX(Sales!L:L,$J18),""))</f>
        <v/>
      </c>
      <c r="F18">
        <f>IF($J18="","",IFERROR(INDEX(Sales!M:M,$J18),""))</f>
        <v/>
      </c>
      <c r="G18">
        <f>IF($J18="","",IFERROR(INDEX(Sales!I:I,$J18),""))</f>
        <v/>
      </c>
      <c r="H18">
        <f>IF($J18="","",IFERROR(INDEX(Sales!AC:AC,$J18),""))</f>
        <v/>
      </c>
      <c r="J18">
        <f>IFERROR(MATCH(_xlfn.AGGREGATE(15,6,Sales!$AJ$2:$AJ$941,13),Sales!$AJ$2:$AJ$941,0)+1,"")</f>
        <v/>
      </c>
    </row>
    <row r="19">
      <c r="B19">
        <f>IF($J19="","",14)</f>
        <v/>
      </c>
      <c r="C19">
        <f>IF($J19="","",IFERROR(INDEX(Sales!D:D,$J19),""))</f>
        <v/>
      </c>
      <c r="D19">
        <f>IF($J19="","",IFERROR(INDEX(Sales!AA:AA,$J19),""))</f>
        <v/>
      </c>
      <c r="E19">
        <f>IF($J19="","",IFERROR(INDEX(Sales!L:L,$J19),""))</f>
        <v/>
      </c>
      <c r="F19">
        <f>IF($J19="","",IFERROR(INDEX(Sales!M:M,$J19),""))</f>
        <v/>
      </c>
      <c r="G19">
        <f>IF($J19="","",IFERROR(INDEX(Sales!I:I,$J19),""))</f>
        <v/>
      </c>
      <c r="H19">
        <f>IF($J19="","",IFERROR(INDEX(Sales!AC:AC,$J19),""))</f>
        <v/>
      </c>
      <c r="J19">
        <f>IFERROR(MATCH(_xlfn.AGGREGATE(15,6,Sales!$AJ$2:$AJ$941,14),Sales!$AJ$2:$AJ$941,0)+1,"")</f>
        <v/>
      </c>
    </row>
    <row r="20">
      <c r="B20">
        <f>IF($J20="","",15)</f>
        <v/>
      </c>
      <c r="C20">
        <f>IF($J20="","",IFERROR(INDEX(Sales!D:D,$J20),""))</f>
        <v/>
      </c>
      <c r="D20">
        <f>IF($J20="","",IFERROR(INDEX(Sales!AA:AA,$J20),""))</f>
        <v/>
      </c>
      <c r="E20">
        <f>IF($J20="","",IFERROR(INDEX(Sales!L:L,$J20),""))</f>
        <v/>
      </c>
      <c r="F20">
        <f>IF($J20="","",IFERROR(INDEX(Sales!M:M,$J20),""))</f>
        <v/>
      </c>
      <c r="G20">
        <f>IF($J20="","",IFERROR(INDEX(Sales!I:I,$J20),""))</f>
        <v/>
      </c>
      <c r="H20">
        <f>IF($J20="","",IFERROR(INDEX(Sales!AC:AC,$J20),""))</f>
        <v/>
      </c>
      <c r="J20">
        <f>IFERROR(MATCH(_xlfn.AGGREGATE(15,6,Sales!$AJ$2:$AJ$941,15),Sales!$AJ$2:$AJ$941,0)+1,"")</f>
        <v/>
      </c>
    </row>
    <row r="23">
      <c r="B23" s="894" t="inlineStr">
        <is>
          <t>Top Expense Comps (auto-ranked by size closeness)</t>
        </is>
      </c>
      <c r="C23" s="896" t="n"/>
      <c r="D23" s="896" t="n"/>
      <c r="E23" s="896" t="n"/>
      <c r="F23" s="896" t="n"/>
      <c r="G23" s="896" t="n"/>
    </row>
    <row r="24">
      <c r="B24" s="897" t="inlineStr">
        <is>
          <t>Rank</t>
        </is>
      </c>
      <c r="C24" s="897" t="inlineStr">
        <is>
          <t>Address</t>
        </is>
      </c>
      <c r="D24" s="897" t="inlineStr">
        <is>
          <t>City</t>
        </is>
      </c>
      <c r="E24" s="897" t="inlineStr">
        <is>
          <t>Bldg SF</t>
        </is>
      </c>
      <c r="F24" s="897" t="inlineStr">
        <is>
          <t>Year</t>
        </is>
      </c>
      <c r="G24" s="897" t="inlineStr">
        <is>
          <t>NOI ($/SF)</t>
        </is>
      </c>
    </row>
    <row r="25">
      <c r="B25">
        <f>IF($J25="","",1)</f>
        <v/>
      </c>
      <c r="C25">
        <f>IF($J25="","",IFERROR(INDEX('Expense Database'!D:D,$J25),""))</f>
        <v/>
      </c>
      <c r="D25">
        <f>IF($J25="","",IFERROR(INDEX('Expense Database'!E:E,$J25),""))</f>
        <v/>
      </c>
      <c r="E25">
        <f>IF($J25="","",IFERROR(INDEX('Expense Database'!J:J,$J25),""))</f>
        <v/>
      </c>
      <c r="F25">
        <f>IF($J25="","",IFERROR(INDEX('Expense Database'!K:K,$J25),""))</f>
        <v/>
      </c>
      <c r="G25">
        <f>IF($J25="","",IFERROR(INDEX('PSF Summary'!AK:AK,$J25),""))</f>
        <v/>
      </c>
      <c r="J25">
        <f>IFERROR(MATCH(_xlfn.AGGREGATE(15,6,'Expense Database'!$AO$4:$AO$197,1),'Expense Database'!$AO$4:$AO$197,0)+3,"")</f>
        <v/>
      </c>
    </row>
    <row r="26">
      <c r="B26">
        <f>IF($J26="","",2)</f>
        <v/>
      </c>
      <c r="C26">
        <f>IF($J26="","",IFERROR(INDEX('Expense Database'!D:D,$J26),""))</f>
        <v/>
      </c>
      <c r="D26">
        <f>IF($J26="","",IFERROR(INDEX('Expense Database'!E:E,$J26),""))</f>
        <v/>
      </c>
      <c r="E26">
        <f>IF($J26="","",IFERROR(INDEX('Expense Database'!J:J,$J26),""))</f>
        <v/>
      </c>
      <c r="F26">
        <f>IF($J26="","",IFERROR(INDEX('Expense Database'!K:K,$J26),""))</f>
        <v/>
      </c>
      <c r="G26">
        <f>IF($J26="","",IFERROR(INDEX('PSF Summary'!AK:AK,$J26),""))</f>
        <v/>
      </c>
      <c r="J26">
        <f>IFERROR(MATCH(_xlfn.AGGREGATE(15,6,'Expense Database'!$AO$4:$AO$197,2),'Expense Database'!$AO$4:$AO$197,0)+3,"")</f>
        <v/>
      </c>
    </row>
    <row r="27">
      <c r="B27">
        <f>IF($J27="","",3)</f>
        <v/>
      </c>
      <c r="C27">
        <f>IF($J27="","",IFERROR(INDEX('Expense Database'!D:D,$J27),""))</f>
        <v/>
      </c>
      <c r="D27">
        <f>IF($J27="","",IFERROR(INDEX('Expense Database'!E:E,$J27),""))</f>
        <v/>
      </c>
      <c r="E27">
        <f>IF($J27="","",IFERROR(INDEX('Expense Database'!J:J,$J27),""))</f>
        <v/>
      </c>
      <c r="F27">
        <f>IF($J27="","",IFERROR(INDEX('Expense Database'!K:K,$J27),""))</f>
        <v/>
      </c>
      <c r="G27">
        <f>IF($J27="","",IFERROR(INDEX('PSF Summary'!AK:AK,$J27),""))</f>
        <v/>
      </c>
      <c r="J27">
        <f>IFERROR(MATCH(_xlfn.AGGREGATE(15,6,'Expense Database'!$AO$4:$AO$197,3),'Expense Database'!$AO$4:$AO$197,0)+3,"")</f>
        <v/>
      </c>
    </row>
    <row r="28">
      <c r="B28">
        <f>IF($J28="","",4)</f>
        <v/>
      </c>
      <c r="C28">
        <f>IF($J28="","",IFERROR(INDEX('Expense Database'!D:D,$J28),""))</f>
        <v/>
      </c>
      <c r="D28">
        <f>IF($J28="","",IFERROR(INDEX('Expense Database'!E:E,$J28),""))</f>
        <v/>
      </c>
      <c r="E28">
        <f>IF($J28="","",IFERROR(INDEX('Expense Database'!J:J,$J28),""))</f>
        <v/>
      </c>
      <c r="F28">
        <f>IF($J28="","",IFERROR(INDEX('Expense Database'!K:K,$J28),""))</f>
        <v/>
      </c>
      <c r="G28">
        <f>IF($J28="","",IFERROR(INDEX('PSF Summary'!AK:AK,$J28),""))</f>
        <v/>
      </c>
      <c r="J28">
        <f>IFERROR(MATCH(_xlfn.AGGREGATE(15,6,'Expense Database'!$AO$4:$AO$197,4),'Expense Database'!$AO$4:$AO$197,0)+3,"")</f>
        <v/>
      </c>
    </row>
    <row r="29">
      <c r="B29">
        <f>IF($J29="","",5)</f>
        <v/>
      </c>
      <c r="C29">
        <f>IF($J29="","",IFERROR(INDEX('Expense Database'!D:D,$J29),""))</f>
        <v/>
      </c>
      <c r="D29">
        <f>IF($J29="","",IFERROR(INDEX('Expense Database'!E:E,$J29),""))</f>
        <v/>
      </c>
      <c r="E29">
        <f>IF($J29="","",IFERROR(INDEX('Expense Database'!J:J,$J29),""))</f>
        <v/>
      </c>
      <c r="F29">
        <f>IF($J29="","",IFERROR(INDEX('Expense Database'!K:K,$J29),""))</f>
        <v/>
      </c>
      <c r="G29">
        <f>IF($J29="","",IFERROR(INDEX('PSF Summary'!AK:AK,$J29),""))</f>
        <v/>
      </c>
      <c r="J29">
        <f>IFERROR(MATCH(_xlfn.AGGREGATE(15,6,'Expense Database'!$AO$4:$AO$197,5),'Expense Database'!$AO$4:$AO$197,0)+3,"")</f>
        <v/>
      </c>
    </row>
    <row r="30">
      <c r="B30">
        <f>IF($J30="","",6)</f>
        <v/>
      </c>
      <c r="C30">
        <f>IF($J30="","",IFERROR(INDEX('Expense Database'!D:D,$J30),""))</f>
        <v/>
      </c>
      <c r="D30">
        <f>IF($J30="","",IFERROR(INDEX('Expense Database'!E:E,$J30),""))</f>
        <v/>
      </c>
      <c r="E30">
        <f>IF($J30="","",IFERROR(INDEX('Expense Database'!J:J,$J30),""))</f>
        <v/>
      </c>
      <c r="F30">
        <f>IF($J30="","",IFERROR(INDEX('Expense Database'!K:K,$J30),""))</f>
        <v/>
      </c>
      <c r="G30">
        <f>IF($J30="","",IFERROR(INDEX('PSF Summary'!AK:AK,$J30),""))</f>
        <v/>
      </c>
      <c r="J30">
        <f>IFERROR(MATCH(_xlfn.AGGREGATE(15,6,'Expense Database'!$AO$4:$AO$197,6),'Expense Database'!$AO$4:$AO$197,0)+3,"")</f>
        <v/>
      </c>
    </row>
    <row r="31">
      <c r="B31">
        <f>IF($J31="","",7)</f>
        <v/>
      </c>
      <c r="C31">
        <f>IF($J31="","",IFERROR(INDEX('Expense Database'!D:D,$J31),""))</f>
        <v/>
      </c>
      <c r="D31">
        <f>IF($J31="","",IFERROR(INDEX('Expense Database'!E:E,$J31),""))</f>
        <v/>
      </c>
      <c r="E31">
        <f>IF($J31="","",IFERROR(INDEX('Expense Database'!J:J,$J31),""))</f>
        <v/>
      </c>
      <c r="F31">
        <f>IF($J31="","",IFERROR(INDEX('Expense Database'!K:K,$J31),""))</f>
        <v/>
      </c>
      <c r="G31">
        <f>IF($J31="","",IFERROR(INDEX('PSF Summary'!AK:AK,$J31),""))</f>
        <v/>
      </c>
      <c r="J31">
        <f>IFERROR(MATCH(_xlfn.AGGREGATE(15,6,'Expense Database'!$AO$4:$AO$197,7),'Expense Database'!$AO$4:$AO$197,0)+3,"")</f>
        <v/>
      </c>
    </row>
    <row r="32">
      <c r="B32">
        <f>IF($J32="","",8)</f>
        <v/>
      </c>
      <c r="C32">
        <f>IF($J32="","",IFERROR(INDEX('Expense Database'!D:D,$J32),""))</f>
        <v/>
      </c>
      <c r="D32">
        <f>IF($J32="","",IFERROR(INDEX('Expense Database'!E:E,$J32),""))</f>
        <v/>
      </c>
      <c r="E32">
        <f>IF($J32="","",IFERROR(INDEX('Expense Database'!J:J,$J32),""))</f>
        <v/>
      </c>
      <c r="F32">
        <f>IF($J32="","",IFERROR(INDEX('Expense Database'!K:K,$J32),""))</f>
        <v/>
      </c>
      <c r="G32">
        <f>IF($J32="","",IFERROR(INDEX('PSF Summary'!AK:AK,$J32),""))</f>
        <v/>
      </c>
      <c r="J32">
        <f>IFERROR(MATCH(_xlfn.AGGREGATE(15,6,'Expense Database'!$AO$4:$AO$197,8),'Expense Database'!$AO$4:$AO$197,0)+3,"")</f>
        <v/>
      </c>
    </row>
    <row r="33">
      <c r="B33">
        <f>IF($J33="","",9)</f>
        <v/>
      </c>
      <c r="C33">
        <f>IF($J33="","",IFERROR(INDEX('Expense Database'!D:D,$J33),""))</f>
        <v/>
      </c>
      <c r="D33">
        <f>IF($J33="","",IFERROR(INDEX('Expense Database'!E:E,$J33),""))</f>
        <v/>
      </c>
      <c r="E33">
        <f>IF($J33="","",IFERROR(INDEX('Expense Database'!J:J,$J33),""))</f>
        <v/>
      </c>
      <c r="F33">
        <f>IF($J33="","",IFERROR(INDEX('Expense Database'!K:K,$J33),""))</f>
        <v/>
      </c>
      <c r="G33">
        <f>IF($J33="","",IFERROR(INDEX('PSF Summary'!AK:AK,$J33),""))</f>
        <v/>
      </c>
      <c r="J33">
        <f>IFERROR(MATCH(_xlfn.AGGREGATE(15,6,'Expense Database'!$AO$4:$AO$197,9),'Expense Database'!$AO$4:$AO$197,0)+3,"")</f>
        <v/>
      </c>
    </row>
    <row r="34">
      <c r="B34">
        <f>IF($J34="","",10)</f>
        <v/>
      </c>
      <c r="C34">
        <f>IF($J34="","",IFERROR(INDEX('Expense Database'!D:D,$J34),""))</f>
        <v/>
      </c>
      <c r="D34">
        <f>IF($J34="","",IFERROR(INDEX('Expense Database'!E:E,$J34),""))</f>
        <v/>
      </c>
      <c r="E34">
        <f>IF($J34="","",IFERROR(INDEX('Expense Database'!J:J,$J34),""))</f>
        <v/>
      </c>
      <c r="F34">
        <f>IF($J34="","",IFERROR(INDEX('Expense Database'!K:K,$J34),""))</f>
        <v/>
      </c>
      <c r="G34">
        <f>IF($J34="","",IFERROR(INDEX('PSF Summary'!AK:AK,$J34),""))</f>
        <v/>
      </c>
      <c r="J34">
        <f>IFERROR(MATCH(_xlfn.AGGREGATE(15,6,'Expense Database'!$AO$4:$AO$197,10),'Expense Database'!$AO$4:$AO$197,0)+3,"")</f>
        <v/>
      </c>
    </row>
    <row r="35">
      <c r="B35">
        <f>IF($J35="","",11)</f>
        <v/>
      </c>
      <c r="C35">
        <f>IF($J35="","",IFERROR(INDEX('Expense Database'!D:D,$J35),""))</f>
        <v/>
      </c>
      <c r="D35">
        <f>IF($J35="","",IFERROR(INDEX('Expense Database'!E:E,$J35),""))</f>
        <v/>
      </c>
      <c r="E35">
        <f>IF($J35="","",IFERROR(INDEX('Expense Database'!J:J,$J35),""))</f>
        <v/>
      </c>
      <c r="F35">
        <f>IF($J35="","",IFERROR(INDEX('Expense Database'!K:K,$J35),""))</f>
        <v/>
      </c>
      <c r="G35">
        <f>IF($J35="","",IFERROR(INDEX('PSF Summary'!AK:AK,$J35),""))</f>
        <v/>
      </c>
      <c r="J35">
        <f>IFERROR(MATCH(_xlfn.AGGREGATE(15,6,'Expense Database'!$AO$4:$AO$197,11),'Expense Database'!$AO$4:$AO$197,0)+3,"")</f>
        <v/>
      </c>
    </row>
    <row r="36">
      <c r="B36">
        <f>IF($J36="","",12)</f>
        <v/>
      </c>
      <c r="C36">
        <f>IF($J36="","",IFERROR(INDEX('Expense Database'!D:D,$J36),""))</f>
        <v/>
      </c>
      <c r="D36">
        <f>IF($J36="","",IFERROR(INDEX('Expense Database'!E:E,$J36),""))</f>
        <v/>
      </c>
      <c r="E36">
        <f>IF($J36="","",IFERROR(INDEX('Expense Database'!J:J,$J36),""))</f>
        <v/>
      </c>
      <c r="F36">
        <f>IF($J36="","",IFERROR(INDEX('Expense Database'!K:K,$J36),""))</f>
        <v/>
      </c>
      <c r="G36">
        <f>IF($J36="","",IFERROR(INDEX('PSF Summary'!AK:AK,$J36),""))</f>
        <v/>
      </c>
      <c r="J36">
        <f>IFERROR(MATCH(_xlfn.AGGREGATE(15,6,'Expense Database'!$AO$4:$AO$197,12),'Expense Database'!$AO$4:$AO$197,0)+3,"")</f>
        <v/>
      </c>
    </row>
    <row r="37">
      <c r="B37">
        <f>IF($J37="","",13)</f>
        <v/>
      </c>
      <c r="C37">
        <f>IF($J37="","",IFERROR(INDEX('Expense Database'!D:D,$J37),""))</f>
        <v/>
      </c>
      <c r="D37">
        <f>IF($J37="","",IFERROR(INDEX('Expense Database'!E:E,$J37),""))</f>
        <v/>
      </c>
      <c r="E37">
        <f>IF($J37="","",IFERROR(INDEX('Expense Database'!J:J,$J37),""))</f>
        <v/>
      </c>
      <c r="F37">
        <f>IF($J37="","",IFERROR(INDEX('Expense Database'!K:K,$J37),""))</f>
        <v/>
      </c>
      <c r="G37">
        <f>IF($J37="","",IFERROR(INDEX('PSF Summary'!AK:AK,$J37),""))</f>
        <v/>
      </c>
      <c r="J37">
        <f>IFERROR(MATCH(_xlfn.AGGREGATE(15,6,'Expense Database'!$AO$4:$AO$197,13),'Expense Database'!$AO$4:$AO$197,0)+3,"")</f>
        <v/>
      </c>
    </row>
    <row r="38">
      <c r="B38">
        <f>IF($J38="","",14)</f>
        <v/>
      </c>
      <c r="C38">
        <f>IF($J38="","",IFERROR(INDEX('Expense Database'!D:D,$J38),""))</f>
        <v/>
      </c>
      <c r="D38">
        <f>IF($J38="","",IFERROR(INDEX('Expense Database'!E:E,$J38),""))</f>
        <v/>
      </c>
      <c r="E38">
        <f>IF($J38="","",IFERROR(INDEX('Expense Database'!J:J,$J38),""))</f>
        <v/>
      </c>
      <c r="F38">
        <f>IF($J38="","",IFERROR(INDEX('Expense Database'!K:K,$J38),""))</f>
        <v/>
      </c>
      <c r="G38">
        <f>IF($J38="","",IFERROR(INDEX('PSF Summary'!AK:AK,$J38),""))</f>
        <v/>
      </c>
      <c r="J38">
        <f>IFERROR(MATCH(_xlfn.AGGREGATE(15,6,'Expense Database'!$AO$4:$AO$197,14),'Expense Database'!$AO$4:$AO$197,0)+3,"")</f>
        <v/>
      </c>
    </row>
    <row r="39">
      <c r="B39">
        <f>IF($J39="","",15)</f>
        <v/>
      </c>
      <c r="C39">
        <f>IF($J39="","",IFERROR(INDEX('Expense Database'!D:D,$J39),""))</f>
        <v/>
      </c>
      <c r="D39">
        <f>IF($J39="","",IFERROR(INDEX('Expense Database'!E:E,$J39),""))</f>
        <v/>
      </c>
      <c r="E39">
        <f>IF($J39="","",IFERROR(INDEX('Expense Database'!J:J,$J39),""))</f>
        <v/>
      </c>
      <c r="F39">
        <f>IF($J39="","",IFERROR(INDEX('Expense Database'!K:K,$J39),""))</f>
        <v/>
      </c>
      <c r="G39">
        <f>IF($J39="","",IFERROR(INDEX('PSF Summary'!AK:AK,$J39),""))</f>
        <v/>
      </c>
      <c r="J39">
        <f>IFERROR(MATCH(_xlfn.AGGREGATE(15,6,'Expense Database'!$AO$4:$AO$197,15),'Expense Database'!$AO$4:$AO$197,0)+3,"")</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2E75B6"/>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 width="6" customWidth="1" min="25" max="25"/>
    <col hidden="1" width="13" customWidth="1" min="26" max="26"/>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885">
        <f>Subj_SiteSF</f>
        <v/>
      </c>
      <c r="E11" s="886">
        <f>Subj_Quality</f>
        <v/>
      </c>
      <c r="F11" s="763" t="n"/>
      <c r="G11" s="764" t="n"/>
      <c r="H11" s="765" t="n"/>
    </row>
    <row r="12" ht="12" customHeight="1">
      <c r="A12" s="12" t="n"/>
      <c r="B12" s="887">
        <f>Subj_Address</f>
        <v/>
      </c>
      <c r="C12" s="888">
        <f>Subj_Zoning</f>
        <v/>
      </c>
      <c r="D12" s="889">
        <f>IF(OR(D13="",D13=0),"",ROUND(D11/D13,1)&amp;":1")</f>
        <v/>
      </c>
      <c r="E12" s="886">
        <f>Subj_Condition</f>
        <v/>
      </c>
      <c r="F12" s="767" t="n"/>
      <c r="G12" s="768" t="n"/>
      <c r="H12" s="518">
        <f>IF(D13=0,0,ROUND(H13/D13,2))</f>
        <v/>
      </c>
    </row>
    <row r="13" ht="12" customHeight="1" thickBot="1">
      <c r="A13" s="23" t="n"/>
      <c r="B13" s="890">
        <f>IFERROR(INDEX(OCC_TABLE_DESC,MATCH(Subj_OccCode,OCC_TABLE_CODE,0)),"")</f>
        <v/>
      </c>
      <c r="C13" s="891">
        <f>Subj_YOC</f>
        <v/>
      </c>
      <c r="D13" s="892">
        <f>Subj_BldgSF</f>
        <v/>
      </c>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900"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900"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900"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2E75B6"/>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 width="6" customWidth="1" min="25" max="25"/>
    <col hidden="1" width="13" customWidth="1" min="26" max="26"/>
  </cols>
  <sheetData>
    <row r="1" ht="26.25" customHeight="1">
      <c r="A1" s="805" t="inlineStr">
        <is>
          <t>IMPROVED MARKET APPROACH</t>
        </is>
      </c>
      <c r="B1" s="805" t="n"/>
      <c r="C1" s="805" t="n"/>
      <c r="D1" s="805" t="n"/>
      <c r="E1" s="805" t="n"/>
      <c r="F1" s="805" t="n"/>
      <c r="G1" s="805" t="n"/>
      <c r="H1" s="805" t="n"/>
      <c r="I1" s="805" t="n"/>
      <c r="J1" s="742" t="n"/>
      <c r="K1" s="742" t="n"/>
    </row>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900"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900"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900"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900"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2E75B6"/>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 width="6" customWidth="1" min="25" max="25"/>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900"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900"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900"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2E75B6"/>
    <outlinePr summaryBelow="1" summaryRight="1"/>
    <pageSetUpPr fitToPage="1"/>
  </sheetPr>
  <dimension ref="A1:Z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 width="6" customWidth="1" min="25" max="25"/>
    <col hidden="1" width="13" customWidth="1" min="26" max="26"/>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900"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900"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900" t="n">
        <v>3</v>
      </c>
      <c r="Z32">
        <f>IFERROR(MATCH(_xlfn.AGGREGATE(15,6,Sales!$AJ$2:$AJ$941,$Y$32),Sales!$AJ$2:$AJ$941,0)+1,"")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n">
        <v>406</v>
      </c>
      <c r="D293" t="inlineStr">
        <is>
          <t>14</t>
        </is>
      </c>
      <c r="E293" t="inlineStr">
        <is>
          <t>26</t>
        </is>
      </c>
      <c r="F293" t="inlineStr">
        <is>
          <t>14</t>
        </is>
      </c>
    </row>
    <row r="294">
      <c r="B294" t="inlineStr">
        <is>
          <t>Distribution Warehouses</t>
        </is>
      </c>
      <c r="C294" t="n">
        <v>407</v>
      </c>
      <c r="D294" t="inlineStr">
        <is>
          <t>14</t>
        </is>
      </c>
      <c r="E294" t="inlineStr">
        <is>
          <t>23</t>
        </is>
      </c>
      <c r="F294" t="inlineStr">
        <is>
          <t>14</t>
        </is>
      </c>
    </row>
    <row r="295">
      <c r="B295" t="inlineStr">
        <is>
          <t>Mini-Warehouses / Self-Storage</t>
        </is>
      </c>
      <c r="C295" t="n">
        <v>386</v>
      </c>
      <c r="D295" t="inlineStr">
        <is>
          <t>14</t>
        </is>
      </c>
      <c r="E295" t="inlineStr">
        <is>
          <t>28</t>
        </is>
      </c>
      <c r="F295" t="inlineStr">
        <is>
          <t>14</t>
        </is>
      </c>
    </row>
    <row r="296">
      <c r="B296" t="inlineStr">
        <is>
          <t>Mini-Warehouses, High-Rise</t>
        </is>
      </c>
      <c r="C296" t="n">
        <v>525</v>
      </c>
      <c r="D296" t="inlineStr">
        <is>
          <t>14</t>
        </is>
      </c>
      <c r="E296" t="inlineStr">
        <is>
          <t>28</t>
        </is>
      </c>
      <c r="F296" t="inlineStr">
        <is>
          <t>14</t>
        </is>
      </c>
    </row>
    <row r="297">
      <c r="B297" t="inlineStr">
        <is>
          <t>Industrials, Light Manufacturing</t>
        </is>
      </c>
      <c r="C297" t="n">
        <v>334</v>
      </c>
      <c r="D297" t="inlineStr">
        <is>
          <t>14</t>
        </is>
      </c>
      <c r="E297" t="inlineStr">
        <is>
          <t>14</t>
        </is>
      </c>
      <c r="F297" t="inlineStr">
        <is>
          <t>14</t>
        </is>
      </c>
    </row>
    <row r="298">
      <c r="B298" t="inlineStr">
        <is>
          <t>Industrials, Heavy (Process) Manufacturing</t>
        </is>
      </c>
      <c r="C298" t="n">
        <v>333</v>
      </c>
      <c r="D298" t="inlineStr">
        <is>
          <t>14</t>
        </is>
      </c>
      <c r="E298" t="inlineStr">
        <is>
          <t>15</t>
        </is>
      </c>
      <c r="F298" t="inlineStr">
        <is>
          <t>14</t>
        </is>
      </c>
    </row>
    <row r="299">
      <c r="B299" t="inlineStr">
        <is>
          <t>Service Garages (Commercial/Repair)</t>
        </is>
      </c>
      <c r="C299" t="n">
        <v>325</v>
      </c>
      <c r="D299" t="inlineStr">
        <is>
          <t>14</t>
        </is>
      </c>
      <c r="E299" t="inlineStr">
        <is>
          <t>32</t>
        </is>
      </c>
      <c r="F299" t="inlineStr">
        <is>
          <t>14</t>
        </is>
      </c>
    </row>
    <row r="300">
      <c r="B300" t="inlineStr">
        <is>
          <t>Retail Stores</t>
        </is>
      </c>
      <c r="C300" t="n">
        <v>353</v>
      </c>
      <c r="D300" t="inlineStr">
        <is>
          <t>13</t>
        </is>
      </c>
      <c r="E300" t="inlineStr">
        <is>
          <t>26</t>
        </is>
      </c>
      <c r="F300" t="inlineStr">
        <is>
          <t>13</t>
        </is>
      </c>
    </row>
    <row r="301">
      <c r="B301" t="inlineStr">
        <is>
          <t>Neighborhood Shopping Centers</t>
        </is>
      </c>
      <c r="C301" t="n">
        <v>412</v>
      </c>
      <c r="D301" t="inlineStr">
        <is>
          <t>13</t>
        </is>
      </c>
      <c r="E301" t="inlineStr">
        <is>
          <t>33</t>
        </is>
      </c>
      <c r="F301" t="inlineStr">
        <is>
          <t>13</t>
        </is>
      </c>
    </row>
    <row r="302">
      <c r="B302" t="inlineStr">
        <is>
          <t>Community Shopping Centers</t>
        </is>
      </c>
      <c r="C302" t="n">
        <v>413</v>
      </c>
      <c r="D302" t="inlineStr">
        <is>
          <t>13</t>
        </is>
      </c>
      <c r="E302" t="inlineStr">
        <is>
          <t>34</t>
        </is>
      </c>
      <c r="F302" t="inlineStr">
        <is>
          <t>13</t>
        </is>
      </c>
    </row>
    <row r="303">
      <c r="B303" t="inlineStr">
        <is>
          <t>Regional Shopping Centers</t>
        </is>
      </c>
      <c r="C303" t="n">
        <v>414</v>
      </c>
      <c r="D303" t="inlineStr">
        <is>
          <t>13</t>
        </is>
      </c>
      <c r="E303" t="inlineStr">
        <is>
          <t>35</t>
        </is>
      </c>
      <c r="F303" t="inlineStr">
        <is>
          <t>13</t>
        </is>
      </c>
    </row>
    <row r="304">
      <c r="B304" t="inlineStr">
        <is>
          <t>Department Stores</t>
        </is>
      </c>
      <c r="C304" t="n">
        <v>318</v>
      </c>
      <c r="D304" t="inlineStr">
        <is>
          <t>13</t>
        </is>
      </c>
      <c r="E304" t="inlineStr">
        <is>
          <t>27</t>
        </is>
      </c>
      <c r="F304" t="inlineStr">
        <is>
          <t>13</t>
        </is>
      </c>
    </row>
    <row r="305">
      <c r="B305" t="inlineStr">
        <is>
          <t>Discount Stores</t>
        </is>
      </c>
      <c r="C305" t="n">
        <v>319</v>
      </c>
      <c r="D305" t="inlineStr">
        <is>
          <t>13</t>
        </is>
      </c>
      <c r="E305" t="inlineStr">
        <is>
          <t>28</t>
        </is>
      </c>
      <c r="F305" t="inlineStr">
        <is>
          <t>13</t>
        </is>
      </c>
    </row>
    <row r="306">
      <c r="B306" t="inlineStr">
        <is>
          <t>Office Buildings</t>
        </is>
      </c>
      <c r="C306" t="n">
        <v>344</v>
      </c>
      <c r="D306" t="inlineStr">
        <is>
          <t>15</t>
        </is>
      </c>
      <c r="E306" t="inlineStr">
        <is>
          <t>17</t>
        </is>
      </c>
      <c r="F306" t="inlineStr">
        <is>
          <t>15</t>
        </is>
      </c>
    </row>
    <row r="307">
      <c r="B307" t="inlineStr">
        <is>
          <t>Medical Office Buildings</t>
        </is>
      </c>
      <c r="C307" t="n">
        <v>341</v>
      </c>
      <c r="D307" t="inlineStr">
        <is>
          <t>15</t>
        </is>
      </c>
      <c r="E307" t="inlineStr">
        <is>
          <t>22</t>
        </is>
      </c>
      <c r="F307" t="inlineStr">
        <is>
          <t>15</t>
        </is>
      </c>
    </row>
    <row r="308">
      <c r="B308" t="inlineStr">
        <is>
          <t>Banks, Branch</t>
        </is>
      </c>
      <c r="C308" t="n">
        <v>304</v>
      </c>
      <c r="D308" t="inlineStr">
        <is>
          <t>15</t>
        </is>
      </c>
      <c r="E308" t="inlineStr">
        <is>
          <t>21</t>
        </is>
      </c>
      <c r="F308" t="inlineStr">
        <is>
          <t>15</t>
        </is>
      </c>
    </row>
    <row r="309">
      <c r="B309" t="inlineStr">
        <is>
          <t>Hotels, Full Service</t>
        </is>
      </c>
      <c r="C309" t="n">
        <v>332</v>
      </c>
      <c r="D309" t="inlineStr">
        <is>
          <t>11</t>
        </is>
      </c>
      <c r="E309" t="inlineStr">
        <is>
          <t>25</t>
        </is>
      </c>
      <c r="F309" t="inlineStr">
        <is>
          <t>11</t>
        </is>
      </c>
    </row>
    <row r="310">
      <c r="B310" t="inlineStr">
        <is>
          <t>Hotels, Limited Service</t>
        </is>
      </c>
      <c r="C310" t="n">
        <v>1332</v>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10.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f>IF(Subj_OccCode="","Storage Warehouses",IFERROR(INDEX(OCC_NAME,MATCH(Subj_OccCode,'M&amp;S Inputs'!$C$293:$C$310,0)),"No MVS cost data for OCC "&amp;Subj_OccCode&amp;" -- select manually"))</f>
        <v/>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f>Subj_Quality</f>
        <v/>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f>IFERROR('Subject Property'!$E$11,0)</f>
        <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1.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hidden="1" width="9.33203125" customWidth="1" style="245" min="35" max="16384"/>
    <col hidden="1" width="13" customWidth="1" min="36" max="36"/>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c r="AI1" s="893"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7030A0"/>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 width="50" customWidth="1" min="6" max="6"/>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c r="F5" s="894" t="inlineStr">
        <is>
          <t>Code + Description (dropdown source)</t>
        </is>
      </c>
    </row>
    <row r="6">
      <c r="B6" t="n">
        <v>26</v>
      </c>
      <c r="C6" t="inlineStr">
        <is>
          <t>Commercial</t>
        </is>
      </c>
      <c r="D6" t="n">
        <v>1</v>
      </c>
      <c r="E6" t="inlineStr">
        <is>
          <t>Studio Loft</t>
        </is>
      </c>
      <c r="F6">
        <f>B6&amp;" - "&amp;E6</f>
        <v/>
      </c>
    </row>
    <row r="7">
      <c r="B7" t="n">
        <v>90</v>
      </c>
      <c r="C7" t="inlineStr">
        <is>
          <t>Commercial</t>
        </is>
      </c>
      <c r="D7" t="n">
        <v>2</v>
      </c>
      <c r="E7" t="inlineStr">
        <is>
          <t>Residential Out Structure</t>
        </is>
      </c>
      <c r="F7">
        <f>B7&amp;" - "&amp;E7</f>
        <v/>
      </c>
    </row>
    <row r="8">
      <c r="B8" t="n">
        <v>99</v>
      </c>
      <c r="C8" t="inlineStr">
        <is>
          <t>Commercial</t>
        </is>
      </c>
      <c r="D8" t="n">
        <v>6</v>
      </c>
      <c r="E8" t="inlineStr">
        <is>
          <t>Detached Garage</t>
        </is>
      </c>
      <c r="F8">
        <f>B8&amp;" - "&amp;E8</f>
        <v/>
      </c>
    </row>
    <row r="9">
      <c r="B9" t="n">
        <v>100</v>
      </c>
      <c r="C9" t="inlineStr">
        <is>
          <t>Commercial</t>
        </is>
      </c>
      <c r="D9" t="n">
        <v>75</v>
      </c>
      <c r="E9" t="inlineStr">
        <is>
          <t>Single Family Residential</t>
        </is>
      </c>
      <c r="F9">
        <f>B9&amp;" - "&amp;E9</f>
        <v/>
      </c>
    </row>
    <row r="10">
      <c r="B10" t="n">
        <v>100</v>
      </c>
      <c r="C10" t="inlineStr">
        <is>
          <t>Industrial</t>
        </is>
      </c>
      <c r="D10" t="n">
        <v>2</v>
      </c>
      <c r="E10" t="inlineStr">
        <is>
          <t>Single Family Residential</t>
        </is>
      </c>
      <c r="F10">
        <f>B10&amp;" - "&amp;E10</f>
        <v/>
      </c>
    </row>
    <row r="11">
      <c r="B11" t="n">
        <v>101</v>
      </c>
      <c r="C11" t="inlineStr">
        <is>
          <t>Commercial</t>
        </is>
      </c>
      <c r="D11" t="n">
        <v>2</v>
      </c>
      <c r="E11" t="inlineStr">
        <is>
          <t>Ag Single Family Residential-not integral</t>
        </is>
      </c>
      <c r="F11">
        <f>B11&amp;" - "&amp;E11</f>
        <v/>
      </c>
    </row>
    <row r="12">
      <c r="B12" t="n">
        <v>102</v>
      </c>
      <c r="C12" t="inlineStr">
        <is>
          <t>Commercial</t>
        </is>
      </c>
      <c r="D12" t="n">
        <v>1</v>
      </c>
      <c r="E12" t="inlineStr">
        <is>
          <t>Duplex</t>
        </is>
      </c>
      <c r="F12">
        <f>B12&amp;" - "&amp;E12</f>
        <v/>
      </c>
    </row>
    <row r="13">
      <c r="B13" t="n">
        <v>105</v>
      </c>
      <c r="C13" t="inlineStr">
        <is>
          <t>Commercial</t>
        </is>
      </c>
      <c r="D13" t="n">
        <v>6</v>
      </c>
      <c r="E13" t="inlineStr">
        <is>
          <t>Attached Single Family Residential</t>
        </is>
      </c>
      <c r="F13">
        <f>B13&amp;" - "&amp;E13</f>
        <v/>
      </c>
    </row>
    <row r="14">
      <c r="B14" t="n">
        <v>116</v>
      </c>
      <c r="C14" t="inlineStr">
        <is>
          <t>Commercial</t>
        </is>
      </c>
      <c r="D14" t="n">
        <v>3</v>
      </c>
      <c r="E14" t="inlineStr">
        <is>
          <t>Apartment w/4-8 Units</t>
        </is>
      </c>
      <c r="F14">
        <f>B14&amp;" - "&amp;E14</f>
        <v/>
      </c>
    </row>
    <row r="15">
      <c r="B15" t="n">
        <v>118</v>
      </c>
      <c r="C15" t="inlineStr">
        <is>
          <t>Commercial</t>
        </is>
      </c>
      <c r="D15" t="n">
        <v>12</v>
      </c>
      <c r="E15" t="inlineStr">
        <is>
          <t>Apartment w/9 + Units</t>
        </is>
      </c>
      <c r="F15">
        <f>B15&amp;" - "&amp;E15</f>
        <v/>
      </c>
    </row>
    <row r="16">
      <c r="B16" t="n">
        <v>140</v>
      </c>
      <c r="C16" t="inlineStr">
        <is>
          <t>Commercial</t>
        </is>
      </c>
      <c r="D16" t="n">
        <v>66</v>
      </c>
      <c r="E16" t="inlineStr">
        <is>
          <t>Parking Lot</t>
        </is>
      </c>
      <c r="F16">
        <f>B16&amp;" - "&amp;E16</f>
        <v/>
      </c>
    </row>
    <row r="17">
      <c r="B17" t="n">
        <v>140</v>
      </c>
      <c r="C17" t="inlineStr">
        <is>
          <t>Industrial</t>
        </is>
      </c>
      <c r="D17" t="n">
        <v>1</v>
      </c>
      <c r="E17" t="inlineStr">
        <is>
          <t>Parking Lot</t>
        </is>
      </c>
      <c r="F17">
        <f>B17&amp;" - "&amp;E17</f>
        <v/>
      </c>
    </row>
    <row r="18">
      <c r="B18" t="n">
        <v>186</v>
      </c>
      <c r="C18" t="inlineStr">
        <is>
          <t>Industrial</t>
        </is>
      </c>
      <c r="D18" t="n">
        <v>2</v>
      </c>
      <c r="E18" t="inlineStr">
        <is>
          <t>Light Commercial - Manufacturing Utility Bldg</t>
        </is>
      </c>
      <c r="F18">
        <f>B18&amp;" - "&amp;E18</f>
        <v/>
      </c>
    </row>
    <row r="19">
      <c r="B19" t="n">
        <v>204</v>
      </c>
      <c r="C19" t="inlineStr">
        <is>
          <t>Commercial</t>
        </is>
      </c>
      <c r="D19" t="n">
        <v>1</v>
      </c>
      <c r="E19" t="inlineStr">
        <is>
          <t>Computer Centers</t>
        </is>
      </c>
      <c r="F19">
        <f>B19&amp;" - "&amp;E19</f>
        <v/>
      </c>
    </row>
    <row r="20">
      <c r="B20" t="n">
        <v>207</v>
      </c>
      <c r="C20" t="inlineStr">
        <is>
          <t>Commercial</t>
        </is>
      </c>
      <c r="D20" t="n">
        <v>1</v>
      </c>
      <c r="E20" t="inlineStr">
        <is>
          <t>Firing Range Buildings</t>
        </is>
      </c>
      <c r="F20">
        <f>B20&amp;" - "&amp;E20</f>
        <v/>
      </c>
    </row>
    <row r="21">
      <c r="B21" t="n">
        <v>208</v>
      </c>
      <c r="C21" t="inlineStr">
        <is>
          <t>Commercial</t>
        </is>
      </c>
      <c r="D21" t="n">
        <v>14</v>
      </c>
      <c r="E21" t="inlineStr">
        <is>
          <t>Golf Course *CODE</t>
        </is>
      </c>
      <c r="F21">
        <f>B21&amp;" - "&amp;E21</f>
        <v/>
      </c>
    </row>
    <row r="22">
      <c r="B22" t="n">
        <v>209</v>
      </c>
      <c r="C22" t="inlineStr">
        <is>
          <t>Commercial</t>
        </is>
      </c>
      <c r="D22" t="n">
        <v>2</v>
      </c>
      <c r="E22" t="inlineStr">
        <is>
          <t>Nursery/Greenhouse</t>
        </is>
      </c>
      <c r="F22">
        <f>B22&amp;" - "&amp;E22</f>
        <v/>
      </c>
    </row>
    <row r="23">
      <c r="B23" t="n">
        <v>210</v>
      </c>
      <c r="C23" t="inlineStr">
        <is>
          <t>Commercial</t>
        </is>
      </c>
      <c r="D23" t="n">
        <v>35</v>
      </c>
      <c r="E23" t="inlineStr">
        <is>
          <t>Industrial Flex Mall Building</t>
        </is>
      </c>
      <c r="F23">
        <f>B23&amp;" - "&amp;E23</f>
        <v/>
      </c>
    </row>
    <row r="24">
      <c r="B24" t="n">
        <v>210</v>
      </c>
      <c r="C24" t="inlineStr">
        <is>
          <t>Industrial</t>
        </is>
      </c>
      <c r="D24" t="n">
        <v>14</v>
      </c>
      <c r="E24" t="inlineStr">
        <is>
          <t>Industrial Flex Mall Building</t>
        </is>
      </c>
      <c r="F24">
        <f>B24&amp;" - "&amp;E24</f>
        <v/>
      </c>
    </row>
    <row r="25">
      <c r="B25" t="n">
        <v>211</v>
      </c>
      <c r="C25" t="inlineStr">
        <is>
          <t>Industrial</t>
        </is>
      </c>
      <c r="D25" t="n">
        <v>2</v>
      </c>
      <c r="E25" t="inlineStr">
        <is>
          <t>Industiral Interior Office Space</t>
        </is>
      </c>
      <c r="F25">
        <f>B25&amp;" - "&amp;E25</f>
        <v/>
      </c>
    </row>
    <row r="26">
      <c r="B26" t="n">
        <v>212</v>
      </c>
      <c r="C26" t="inlineStr">
        <is>
          <t>Industrial</t>
        </is>
      </c>
      <c r="D26" t="n">
        <v>2</v>
      </c>
      <c r="E26" t="inlineStr">
        <is>
          <t>Laboratories</t>
        </is>
      </c>
      <c r="F26">
        <f>B26&amp;" - "&amp;E26</f>
        <v/>
      </c>
    </row>
    <row r="27">
      <c r="B27" t="n">
        <v>213</v>
      </c>
      <c r="C27" t="inlineStr">
        <is>
          <t>Commercial</t>
        </is>
      </c>
      <c r="D27" t="n">
        <v>1</v>
      </c>
      <c r="E27" t="inlineStr">
        <is>
          <t>Light Industrial Shell Buildings</t>
        </is>
      </c>
      <c r="F27">
        <f>B27&amp;" - "&amp;E27</f>
        <v/>
      </c>
    </row>
    <row r="28">
      <c r="B28" t="n">
        <v>213</v>
      </c>
      <c r="C28" t="inlineStr">
        <is>
          <t>Industrial</t>
        </is>
      </c>
      <c r="D28" t="n">
        <v>2</v>
      </c>
      <c r="E28" t="inlineStr">
        <is>
          <t>Light Industrial Shell Buildings</t>
        </is>
      </c>
      <c r="F28">
        <f>B28&amp;" - "&amp;E28</f>
        <v/>
      </c>
    </row>
    <row r="29">
      <c r="B29" t="n">
        <v>217</v>
      </c>
      <c r="C29" t="inlineStr">
        <is>
          <t>Commercial</t>
        </is>
      </c>
      <c r="D29" t="n">
        <v>1</v>
      </c>
      <c r="E29" t="inlineStr">
        <is>
          <t>Miscellaneous OB</t>
        </is>
      </c>
      <c r="F29">
        <f>B29&amp;" - "&amp;E29</f>
        <v/>
      </c>
    </row>
    <row r="30">
      <c r="B30" t="n">
        <v>220</v>
      </c>
      <c r="C30" t="inlineStr">
        <is>
          <t>Commercial</t>
        </is>
      </c>
      <c r="D30" t="n">
        <v>1</v>
      </c>
      <c r="E30" t="inlineStr">
        <is>
          <t>Recreational Pool Enclosure</t>
        </is>
      </c>
      <c r="F30">
        <f>B30&amp;" - "&amp;E30</f>
        <v/>
      </c>
    </row>
    <row r="31">
      <c r="B31" t="n">
        <v>227</v>
      </c>
      <c r="C31" t="inlineStr">
        <is>
          <t>Commercial</t>
        </is>
      </c>
      <c r="D31" t="n">
        <v>20</v>
      </c>
      <c r="E31" t="inlineStr">
        <is>
          <t>Complete Auto Dealership</t>
        </is>
      </c>
      <c r="F31">
        <f>B31&amp;" - "&amp;E31</f>
        <v/>
      </c>
    </row>
    <row r="32">
      <c r="B32" t="n">
        <v>228</v>
      </c>
      <c r="C32" t="inlineStr">
        <is>
          <t>Commercial</t>
        </is>
      </c>
      <c r="D32" t="n">
        <v>3</v>
      </c>
      <c r="E32" t="inlineStr">
        <is>
          <t>Kennel</t>
        </is>
      </c>
      <c r="F32">
        <f>B32&amp;" - "&amp;E32</f>
        <v/>
      </c>
    </row>
    <row r="33">
      <c r="B33" t="n">
        <v>228</v>
      </c>
      <c r="C33" t="inlineStr">
        <is>
          <t>Industrial</t>
        </is>
      </c>
      <c r="D33" t="n">
        <v>1</v>
      </c>
      <c r="E33" t="inlineStr">
        <is>
          <t>Kennel</t>
        </is>
      </c>
      <c r="F33">
        <f>B33&amp;" - "&amp;E33</f>
        <v/>
      </c>
    </row>
    <row r="34">
      <c r="B34" t="n">
        <v>300</v>
      </c>
      <c r="C34" t="inlineStr">
        <is>
          <t>Commercial</t>
        </is>
      </c>
      <c r="D34" t="n">
        <v>1</v>
      </c>
      <c r="E34" t="inlineStr">
        <is>
          <t>Apartments (Hi-Rise)</t>
        </is>
      </c>
      <c r="F34">
        <f>B34&amp;" - "&amp;E34</f>
        <v/>
      </c>
    </row>
    <row r="35">
      <c r="B35" t="n">
        <v>302</v>
      </c>
      <c r="C35" t="inlineStr">
        <is>
          <t>Commercial</t>
        </is>
      </c>
      <c r="D35" t="n">
        <v>2</v>
      </c>
      <c r="E35" t="inlineStr">
        <is>
          <t>Auditorium</t>
        </is>
      </c>
      <c r="F35">
        <f>B35&amp;" - "&amp;E35</f>
        <v/>
      </c>
    </row>
    <row r="36">
      <c r="B36" t="n">
        <v>303</v>
      </c>
      <c r="C36" t="inlineStr">
        <is>
          <t>Commercial</t>
        </is>
      </c>
      <c r="D36" t="n">
        <v>11</v>
      </c>
      <c r="E36" t="inlineStr">
        <is>
          <t>Showroom</t>
        </is>
      </c>
      <c r="F36">
        <f>B36&amp;" - "&amp;E36</f>
        <v/>
      </c>
    </row>
    <row r="37">
      <c r="B37" t="n">
        <v>304</v>
      </c>
      <c r="C37" t="inlineStr">
        <is>
          <t>Commercial</t>
        </is>
      </c>
      <c r="D37" t="n">
        <v>89</v>
      </c>
      <c r="E37" t="inlineStr">
        <is>
          <t>Bank</t>
        </is>
      </c>
      <c r="F37">
        <f>B37&amp;" - "&amp;E37</f>
        <v/>
      </c>
    </row>
    <row r="38">
      <c r="B38" t="n">
        <v>305</v>
      </c>
      <c r="C38" t="inlineStr">
        <is>
          <t>Commercial</t>
        </is>
      </c>
      <c r="D38" t="n">
        <v>1</v>
      </c>
      <c r="E38" t="inlineStr">
        <is>
          <t>Drive-up Mini Banks</t>
        </is>
      </c>
      <c r="F38">
        <f>B38&amp;" - "&amp;E38</f>
        <v/>
      </c>
    </row>
    <row r="39">
      <c r="B39" t="n">
        <v>306</v>
      </c>
      <c r="C39" t="inlineStr">
        <is>
          <t>Commercial</t>
        </is>
      </c>
      <c r="D39" t="n">
        <v>6</v>
      </c>
      <c r="E39" t="inlineStr">
        <is>
          <t>Bowling Alley</t>
        </is>
      </c>
      <c r="F39">
        <f>B39&amp;" - "&amp;E39</f>
        <v/>
      </c>
    </row>
    <row r="40">
      <c r="B40" t="n">
        <v>309</v>
      </c>
      <c r="C40" t="inlineStr">
        <is>
          <t>Commercial</t>
        </is>
      </c>
      <c r="D40" t="n">
        <v>18</v>
      </c>
      <c r="E40" t="inlineStr">
        <is>
          <t>Church</t>
        </is>
      </c>
      <c r="F40">
        <f>B40&amp;" - "&amp;E40</f>
        <v/>
      </c>
    </row>
    <row r="41">
      <c r="B41" t="n">
        <v>310</v>
      </c>
      <c r="C41" t="inlineStr">
        <is>
          <t>Commercial</t>
        </is>
      </c>
      <c r="D41" t="n">
        <v>1</v>
      </c>
      <c r="E41" t="inlineStr">
        <is>
          <t>City Club</t>
        </is>
      </c>
      <c r="F41">
        <f>B41&amp;" - "&amp;E41</f>
        <v/>
      </c>
    </row>
    <row r="42">
      <c r="B42" t="n">
        <v>311</v>
      </c>
      <c r="C42" t="inlineStr">
        <is>
          <t>Commercial</t>
        </is>
      </c>
      <c r="D42" t="n">
        <v>5</v>
      </c>
      <c r="E42" t="inlineStr">
        <is>
          <t>Clubhouse</t>
        </is>
      </c>
      <c r="F42">
        <f>B42&amp;" - "&amp;E42</f>
        <v/>
      </c>
    </row>
    <row r="43">
      <c r="B43" t="n">
        <v>313</v>
      </c>
      <c r="C43" t="inlineStr">
        <is>
          <t>Commercial</t>
        </is>
      </c>
      <c r="D43" t="n">
        <v>1</v>
      </c>
      <c r="E43" t="inlineStr">
        <is>
          <t>Convlsnt Hosp Nursing Home</t>
        </is>
      </c>
      <c r="F43">
        <f>B43&amp;" - "&amp;E43</f>
        <v/>
      </c>
    </row>
    <row r="44">
      <c r="B44" t="n">
        <v>314</v>
      </c>
      <c r="C44" t="inlineStr">
        <is>
          <t>Commercial</t>
        </is>
      </c>
      <c r="D44" t="n">
        <v>1</v>
      </c>
      <c r="E44" t="inlineStr">
        <is>
          <t>Country Club</t>
        </is>
      </c>
      <c r="F44">
        <f>B44&amp;" - "&amp;E44</f>
        <v/>
      </c>
    </row>
    <row r="45">
      <c r="B45" t="n">
        <v>318</v>
      </c>
      <c r="C45" t="inlineStr">
        <is>
          <t>Commercial</t>
        </is>
      </c>
      <c r="D45" t="n">
        <v>3</v>
      </c>
      <c r="E45" t="inlineStr">
        <is>
          <t>Department Store</t>
        </is>
      </c>
      <c r="F45">
        <f>B45&amp;" - "&amp;E45</f>
        <v/>
      </c>
    </row>
    <row r="46">
      <c r="B46" t="n">
        <v>319</v>
      </c>
      <c r="C46" t="inlineStr">
        <is>
          <t>Commercial</t>
        </is>
      </c>
      <c r="D46" t="n">
        <v>47</v>
      </c>
      <c r="E46" t="inlineStr">
        <is>
          <t>Discount Store</t>
        </is>
      </c>
      <c r="F46">
        <f>B46&amp;" - "&amp;E46</f>
        <v/>
      </c>
    </row>
    <row r="47">
      <c r="B47" t="n">
        <v>320</v>
      </c>
      <c r="C47" t="inlineStr">
        <is>
          <t>Commercial</t>
        </is>
      </c>
      <c r="D47" t="n">
        <v>3</v>
      </c>
      <c r="E47" t="inlineStr">
        <is>
          <t>Dispensary</t>
        </is>
      </c>
      <c r="F47">
        <f>B47&amp;" - "&amp;E47</f>
        <v/>
      </c>
    </row>
    <row r="48">
      <c r="B48" t="n">
        <v>320</v>
      </c>
      <c r="C48" t="inlineStr">
        <is>
          <t>Industrial</t>
        </is>
      </c>
      <c r="D48" t="n">
        <v>1</v>
      </c>
      <c r="E48" t="inlineStr">
        <is>
          <t>Dispensary</t>
        </is>
      </c>
      <c r="F48">
        <f>B48&amp;" - "&amp;E48</f>
        <v/>
      </c>
    </row>
    <row r="49">
      <c r="B49" t="n">
        <v>321</v>
      </c>
      <c r="C49" t="inlineStr">
        <is>
          <t>Commercial</t>
        </is>
      </c>
      <c r="D49" t="n">
        <v>1</v>
      </c>
      <c r="E49" t="inlineStr">
        <is>
          <t>Dormitory Residence Halls</t>
        </is>
      </c>
      <c r="F49">
        <f>B49&amp;" - "&amp;E49</f>
        <v/>
      </c>
    </row>
    <row r="50">
      <c r="B50" t="n">
        <v>323</v>
      </c>
      <c r="C50" t="inlineStr">
        <is>
          <t>Commercial</t>
        </is>
      </c>
      <c r="D50" t="n">
        <v>5</v>
      </c>
      <c r="E50" t="inlineStr">
        <is>
          <t>Fraternal Building</t>
        </is>
      </c>
      <c r="F50">
        <f>B50&amp;" - "&amp;E50</f>
        <v/>
      </c>
    </row>
    <row r="51">
      <c r="B51" t="n">
        <v>325</v>
      </c>
      <c r="C51" t="inlineStr">
        <is>
          <t>Commercial</t>
        </is>
      </c>
      <c r="D51" t="n">
        <v>573</v>
      </c>
      <c r="E51" t="inlineStr">
        <is>
          <t>Service Garage</t>
        </is>
      </c>
      <c r="F51">
        <f>B51&amp;" - "&amp;E51</f>
        <v/>
      </c>
    </row>
    <row r="52">
      <c r="B52" t="n">
        <v>325</v>
      </c>
      <c r="C52" t="inlineStr">
        <is>
          <t>Industrial</t>
        </is>
      </c>
      <c r="D52" t="n">
        <v>38</v>
      </c>
      <c r="E52" t="inlineStr">
        <is>
          <t>Service Garage</t>
        </is>
      </c>
      <c r="F52">
        <f>B52&amp;" - "&amp;E52</f>
        <v/>
      </c>
    </row>
    <row r="53">
      <c r="B53" t="n">
        <v>326</v>
      </c>
      <c r="C53" t="inlineStr">
        <is>
          <t>Commercial</t>
        </is>
      </c>
      <c r="D53" t="n">
        <v>28</v>
      </c>
      <c r="E53" t="inlineStr">
        <is>
          <t>Storage Garage</t>
        </is>
      </c>
      <c r="F53">
        <f>B53&amp;" - "&amp;E53</f>
        <v/>
      </c>
    </row>
    <row r="54">
      <c r="B54" t="n">
        <v>326</v>
      </c>
      <c r="C54" t="inlineStr">
        <is>
          <t>Industrial</t>
        </is>
      </c>
      <c r="D54" t="n">
        <v>4</v>
      </c>
      <c r="E54" t="inlineStr">
        <is>
          <t>Storage Garage</t>
        </is>
      </c>
      <c r="F54">
        <f>B54&amp;" - "&amp;E54</f>
        <v/>
      </c>
    </row>
    <row r="55">
      <c r="B55" t="n">
        <v>328</v>
      </c>
      <c r="C55" t="inlineStr">
        <is>
          <t>Commercial</t>
        </is>
      </c>
      <c r="D55" t="n">
        <v>163</v>
      </c>
      <c r="E55" t="inlineStr">
        <is>
          <t>Storage Hanger</t>
        </is>
      </c>
      <c r="F55">
        <f>B55&amp;" - "&amp;E55</f>
        <v/>
      </c>
    </row>
    <row r="56">
      <c r="B56" t="n">
        <v>331</v>
      </c>
      <c r="C56" t="inlineStr">
        <is>
          <t>Commercial</t>
        </is>
      </c>
      <c r="D56" t="n">
        <v>4</v>
      </c>
      <c r="E56" t="inlineStr">
        <is>
          <t>Hospital</t>
        </is>
      </c>
      <c r="F56">
        <f>B56&amp;" - "&amp;E56</f>
        <v/>
      </c>
    </row>
    <row r="57">
      <c r="B57" t="n">
        <v>332</v>
      </c>
      <c r="C57" t="inlineStr">
        <is>
          <t>Commercial</t>
        </is>
      </c>
      <c r="D57" t="n">
        <v>13</v>
      </c>
      <c r="E57" t="inlineStr">
        <is>
          <t>Hotel - Full Service</t>
        </is>
      </c>
      <c r="F57">
        <f>B57&amp;" - "&amp;E57</f>
        <v/>
      </c>
    </row>
    <row r="58">
      <c r="B58" t="n">
        <v>333</v>
      </c>
      <c r="C58" t="inlineStr">
        <is>
          <t>Commercial</t>
        </is>
      </c>
      <c r="D58" t="n">
        <v>2</v>
      </c>
      <c r="E58" t="inlineStr">
        <is>
          <t>Indust Heavy Manufacturing</t>
        </is>
      </c>
      <c r="F58">
        <f>B58&amp;" - "&amp;E58</f>
        <v/>
      </c>
    </row>
    <row r="59">
      <c r="B59" t="n">
        <v>333</v>
      </c>
      <c r="C59" t="inlineStr">
        <is>
          <t>Industrial</t>
        </is>
      </c>
      <c r="D59" t="n">
        <v>1</v>
      </c>
      <c r="E59" t="inlineStr">
        <is>
          <t>Indust Heavy Manufacturing</t>
        </is>
      </c>
      <c r="F59">
        <f>B59&amp;" - "&amp;E59</f>
        <v/>
      </c>
    </row>
    <row r="60">
      <c r="B60" t="n">
        <v>334</v>
      </c>
      <c r="C60" t="inlineStr">
        <is>
          <t>Commercial</t>
        </is>
      </c>
      <c r="D60" t="n">
        <v>47</v>
      </c>
      <c r="E60" t="inlineStr">
        <is>
          <t>Indust Lght Manufacturing</t>
        </is>
      </c>
      <c r="F60">
        <f>B60&amp;" - "&amp;E60</f>
        <v/>
      </c>
    </row>
    <row r="61">
      <c r="B61" t="n">
        <v>334</v>
      </c>
      <c r="C61" t="inlineStr">
        <is>
          <t>Industrial</t>
        </is>
      </c>
      <c r="D61" t="n">
        <v>79</v>
      </c>
      <c r="E61" t="inlineStr">
        <is>
          <t>Indust Lght Manufacturing</t>
        </is>
      </c>
      <c r="F61">
        <f>B61&amp;" - "&amp;E61</f>
        <v/>
      </c>
    </row>
    <row r="62">
      <c r="B62" t="n">
        <v>335</v>
      </c>
      <c r="C62" t="inlineStr">
        <is>
          <t>Commercial</t>
        </is>
      </c>
      <c r="D62" t="n">
        <v>1</v>
      </c>
      <c r="E62" t="inlineStr">
        <is>
          <t>Jail - Correctional Facility</t>
        </is>
      </c>
      <c r="F62">
        <f>B62&amp;" - "&amp;E62</f>
        <v/>
      </c>
    </row>
    <row r="63">
      <c r="B63" t="n">
        <v>336</v>
      </c>
      <c r="C63" t="inlineStr">
        <is>
          <t>Commercial</t>
        </is>
      </c>
      <c r="D63" t="n">
        <v>5</v>
      </c>
      <c r="E63" t="inlineStr">
        <is>
          <t>Laundromat</t>
        </is>
      </c>
      <c r="F63">
        <f>B63&amp;" - "&amp;E63</f>
        <v/>
      </c>
    </row>
    <row r="64">
      <c r="B64" t="n">
        <v>339</v>
      </c>
      <c r="C64" t="inlineStr">
        <is>
          <t>Commercial</t>
        </is>
      </c>
      <c r="D64" t="n">
        <v>16</v>
      </c>
      <c r="E64" t="inlineStr">
        <is>
          <t>Lumber Storage - Horizontal</t>
        </is>
      </c>
      <c r="F64">
        <f>B64&amp;" - "&amp;E64</f>
        <v/>
      </c>
    </row>
    <row r="65">
      <c r="B65" t="n">
        <v>339</v>
      </c>
      <c r="C65" t="inlineStr">
        <is>
          <t>Industrial</t>
        </is>
      </c>
      <c r="D65" t="n">
        <v>2</v>
      </c>
      <c r="E65" t="inlineStr">
        <is>
          <t>Lumber Storage - Horizontal</t>
        </is>
      </c>
      <c r="F65">
        <f>B65&amp;" - "&amp;E65</f>
        <v/>
      </c>
    </row>
    <row r="66">
      <c r="B66" t="n">
        <v>340</v>
      </c>
      <c r="C66" t="inlineStr">
        <is>
          <t>Commercial</t>
        </is>
      </c>
      <c r="D66" t="n">
        <v>9</v>
      </c>
      <c r="E66" t="inlineStr">
        <is>
          <t>Market</t>
        </is>
      </c>
      <c r="F66">
        <f>B66&amp;" - "&amp;E66</f>
        <v/>
      </c>
    </row>
    <row r="67">
      <c r="B67" t="n">
        <v>341</v>
      </c>
      <c r="C67" t="inlineStr">
        <is>
          <t>Commercial</t>
        </is>
      </c>
      <c r="D67" t="n">
        <v>307</v>
      </c>
      <c r="E67" t="inlineStr">
        <is>
          <t>Medical Offices</t>
        </is>
      </c>
      <c r="F67">
        <f>B67&amp;" - "&amp;E67</f>
        <v/>
      </c>
    </row>
    <row r="68">
      <c r="B68" t="n">
        <v>342</v>
      </c>
      <c r="C68" t="inlineStr">
        <is>
          <t>Commercial</t>
        </is>
      </c>
      <c r="D68" t="n">
        <v>6</v>
      </c>
      <c r="E68" t="inlineStr">
        <is>
          <t>Mortuary</t>
        </is>
      </c>
      <c r="F68">
        <f>B68&amp;" - "&amp;E68</f>
        <v/>
      </c>
    </row>
    <row r="69">
      <c r="B69" t="n">
        <v>343</v>
      </c>
      <c r="C69" t="inlineStr">
        <is>
          <t>Commercial</t>
        </is>
      </c>
      <c r="D69" t="n">
        <v>16</v>
      </c>
      <c r="E69" t="inlineStr">
        <is>
          <t>Motel</t>
        </is>
      </c>
      <c r="F69">
        <f>B69&amp;" - "&amp;E69</f>
        <v/>
      </c>
    </row>
    <row r="70">
      <c r="B70" t="n">
        <v>344</v>
      </c>
      <c r="C70" t="inlineStr">
        <is>
          <t>Commercial</t>
        </is>
      </c>
      <c r="D70" t="n">
        <v>509</v>
      </c>
      <c r="E70" t="inlineStr">
        <is>
          <t>Office Building</t>
        </is>
      </c>
      <c r="F70">
        <f>B70&amp;" - "&amp;E70</f>
        <v/>
      </c>
    </row>
    <row r="71">
      <c r="B71" t="n">
        <v>344</v>
      </c>
      <c r="C71" t="inlineStr">
        <is>
          <t>Industrial</t>
        </is>
      </c>
      <c r="D71" t="n">
        <v>57</v>
      </c>
      <c r="E71" t="inlineStr">
        <is>
          <t>Office Building</t>
        </is>
      </c>
      <c r="F71">
        <f>B71&amp;" - "&amp;E71</f>
        <v/>
      </c>
    </row>
    <row r="72">
      <c r="B72" t="n">
        <v>345</v>
      </c>
      <c r="C72" t="inlineStr">
        <is>
          <t>Commercial</t>
        </is>
      </c>
      <c r="D72" t="n">
        <v>5</v>
      </c>
      <c r="E72" t="inlineStr">
        <is>
          <t>Parking Structure</t>
        </is>
      </c>
      <c r="F72">
        <f>B72&amp;" - "&amp;E72</f>
        <v/>
      </c>
    </row>
    <row r="73">
      <c r="B73" t="n">
        <v>345</v>
      </c>
      <c r="C73" t="inlineStr">
        <is>
          <t>Industrial</t>
        </is>
      </c>
      <c r="D73" t="n">
        <v>1</v>
      </c>
      <c r="E73" t="inlineStr">
        <is>
          <t>Parking Structure</t>
        </is>
      </c>
      <c r="F73">
        <f>B73&amp;" - "&amp;E73</f>
        <v/>
      </c>
    </row>
    <row r="74">
      <c r="B74" t="n">
        <v>346</v>
      </c>
      <c r="C74" t="inlineStr">
        <is>
          <t>Commercial</t>
        </is>
      </c>
      <c r="D74" t="n">
        <v>12</v>
      </c>
      <c r="E74" t="inlineStr">
        <is>
          <t>Post Office</t>
        </is>
      </c>
      <c r="F74">
        <f>B74&amp;" - "&amp;E74</f>
        <v/>
      </c>
    </row>
    <row r="75">
      <c r="B75" t="n">
        <v>349</v>
      </c>
      <c r="C75" t="inlineStr">
        <is>
          <t>Commercial</t>
        </is>
      </c>
      <c r="D75" t="n">
        <v>194</v>
      </c>
      <c r="E75" t="inlineStr">
        <is>
          <t>Fast Food Restaurant</t>
        </is>
      </c>
      <c r="F75">
        <f>B75&amp;" - "&amp;E75</f>
        <v/>
      </c>
    </row>
    <row r="76">
      <c r="B76" t="n">
        <v>350</v>
      </c>
      <c r="C76" t="inlineStr">
        <is>
          <t>Commercial</t>
        </is>
      </c>
      <c r="D76" t="n">
        <v>186</v>
      </c>
      <c r="E76" t="inlineStr">
        <is>
          <t>Restaurant</t>
        </is>
      </c>
      <c r="F76">
        <f>B76&amp;" - "&amp;E76</f>
        <v/>
      </c>
    </row>
    <row r="77">
      <c r="B77" t="n">
        <v>352</v>
      </c>
      <c r="C77" t="inlineStr">
        <is>
          <t>Commercial</t>
        </is>
      </c>
      <c r="D77" t="n">
        <v>6</v>
      </c>
      <c r="E77" t="inlineStr">
        <is>
          <t>Multiple - Residential</t>
        </is>
      </c>
      <c r="F77">
        <f>B77&amp;" - "&amp;E77</f>
        <v/>
      </c>
    </row>
    <row r="78">
      <c r="B78" t="n">
        <v>352</v>
      </c>
      <c r="C78" t="inlineStr">
        <is>
          <t>Industrial</t>
        </is>
      </c>
      <c r="D78" t="n">
        <v>1</v>
      </c>
      <c r="E78" t="inlineStr">
        <is>
          <t>Multiple - Residential</t>
        </is>
      </c>
      <c r="F78">
        <f>B78&amp;" - "&amp;E78</f>
        <v/>
      </c>
    </row>
    <row r="79">
      <c r="B79" t="n">
        <v>353</v>
      </c>
      <c r="C79" t="inlineStr">
        <is>
          <t>Commercial</t>
        </is>
      </c>
      <c r="D79" t="n">
        <v>698</v>
      </c>
      <c r="E79" t="inlineStr">
        <is>
          <t>Retail Store</t>
        </is>
      </c>
      <c r="F79">
        <f>B79&amp;" - "&amp;E79</f>
        <v/>
      </c>
    </row>
    <row r="80">
      <c r="B80" t="n">
        <v>353</v>
      </c>
      <c r="C80" t="inlineStr">
        <is>
          <t>Industrial</t>
        </is>
      </c>
      <c r="D80" t="n">
        <v>2</v>
      </c>
      <c r="E80" t="inlineStr">
        <is>
          <t>Retail Store</t>
        </is>
      </c>
      <c r="F80">
        <f>B80&amp;" - "&amp;E80</f>
        <v/>
      </c>
    </row>
    <row r="81">
      <c r="B81" t="n">
        <v>356</v>
      </c>
      <c r="C81" t="inlineStr">
        <is>
          <t>Commercial</t>
        </is>
      </c>
      <c r="D81" t="n">
        <v>1</v>
      </c>
      <c r="E81" t="inlineStr">
        <is>
          <t>School - Classroom</t>
        </is>
      </c>
      <c r="F81">
        <f>B81&amp;" - "&amp;E81</f>
        <v/>
      </c>
    </row>
    <row r="82">
      <c r="B82" t="n">
        <v>358</v>
      </c>
      <c r="C82" t="inlineStr">
        <is>
          <t>Commercial</t>
        </is>
      </c>
      <c r="D82" t="n">
        <v>5</v>
      </c>
      <c r="E82" t="inlineStr">
        <is>
          <t>School - Gymnasium</t>
        </is>
      </c>
      <c r="F82">
        <f>B82&amp;" - "&amp;E82</f>
        <v/>
      </c>
    </row>
    <row r="83">
      <c r="B83" t="n">
        <v>359</v>
      </c>
      <c r="C83" t="inlineStr">
        <is>
          <t>Commercial</t>
        </is>
      </c>
      <c r="D83" t="n">
        <v>2</v>
      </c>
      <c r="E83" t="inlineStr">
        <is>
          <t>School - Lecture Hall</t>
        </is>
      </c>
      <c r="F83">
        <f>B83&amp;" - "&amp;E83</f>
        <v/>
      </c>
    </row>
    <row r="84">
      <c r="B84" t="n">
        <v>361</v>
      </c>
      <c r="C84" t="inlineStr">
        <is>
          <t>Commercial</t>
        </is>
      </c>
      <c r="D84" t="n">
        <v>2</v>
      </c>
      <c r="E84" t="inlineStr">
        <is>
          <t>School - Manual Arts</t>
        </is>
      </c>
      <c r="F84">
        <f>B84&amp;" - "&amp;E84</f>
        <v/>
      </c>
    </row>
    <row r="85">
      <c r="B85" t="n">
        <v>368</v>
      </c>
      <c r="C85" t="inlineStr">
        <is>
          <t>Commercial</t>
        </is>
      </c>
      <c r="D85" t="n">
        <v>2</v>
      </c>
      <c r="E85" t="inlineStr">
        <is>
          <t>College - Classrooms</t>
        </is>
      </c>
      <c r="F85">
        <f>B85&amp;" - "&amp;E85</f>
        <v/>
      </c>
    </row>
    <row r="86">
      <c r="B86" t="n">
        <v>378</v>
      </c>
      <c r="C86" t="inlineStr">
        <is>
          <t>Commercial</t>
        </is>
      </c>
      <c r="D86" t="n">
        <v>1</v>
      </c>
      <c r="E86" t="inlineStr">
        <is>
          <t>Stable</t>
        </is>
      </c>
      <c r="F86">
        <f>B86&amp;" - "&amp;E86</f>
        <v/>
      </c>
    </row>
    <row r="87">
      <c r="B87" t="n">
        <v>380</v>
      </c>
      <c r="C87" t="inlineStr">
        <is>
          <t>Commercial</t>
        </is>
      </c>
      <c r="D87" t="n">
        <v>2</v>
      </c>
      <c r="E87" t="inlineStr">
        <is>
          <t>Theatre - Motion</t>
        </is>
      </c>
      <c r="F87">
        <f>B87&amp;" - "&amp;E87</f>
        <v/>
      </c>
    </row>
    <row r="88">
      <c r="B88" t="n">
        <v>381</v>
      </c>
      <c r="C88" t="inlineStr">
        <is>
          <t>Commercial</t>
        </is>
      </c>
      <c r="D88" t="n">
        <v>21</v>
      </c>
      <c r="E88" t="inlineStr">
        <is>
          <t>Veterinary Hospital</t>
        </is>
      </c>
      <c r="F88">
        <f>B88&amp;" - "&amp;E88</f>
        <v/>
      </c>
    </row>
    <row r="89">
      <c r="B89" t="n">
        <v>382</v>
      </c>
      <c r="C89" t="inlineStr">
        <is>
          <t>Commercial</t>
        </is>
      </c>
      <c r="D89" t="n">
        <v>1</v>
      </c>
      <c r="E89" t="inlineStr">
        <is>
          <t>Medical Office Buildings</t>
        </is>
      </c>
      <c r="F89">
        <f>B89&amp;" - "&amp;E89</f>
        <v/>
      </c>
    </row>
    <row r="90">
      <c r="B90" t="n">
        <v>384</v>
      </c>
      <c r="C90" t="inlineStr">
        <is>
          <t>Commercial</t>
        </is>
      </c>
      <c r="D90" t="n">
        <v>9</v>
      </c>
      <c r="E90" t="inlineStr">
        <is>
          <t>Barber/Beauty Shop</t>
        </is>
      </c>
      <c r="F90">
        <f>B90&amp;" - "&amp;E90</f>
        <v/>
      </c>
    </row>
    <row r="91">
      <c r="B91" t="n">
        <v>386</v>
      </c>
      <c r="C91" t="inlineStr">
        <is>
          <t>Commercial</t>
        </is>
      </c>
      <c r="D91" t="n">
        <v>77</v>
      </c>
      <c r="E91" t="inlineStr">
        <is>
          <t>Mini Warehouse</t>
        </is>
      </c>
      <c r="F91">
        <f>B91&amp;" - "&amp;E91</f>
        <v/>
      </c>
    </row>
    <row r="92">
      <c r="B92" t="n">
        <v>386</v>
      </c>
      <c r="C92" t="inlineStr">
        <is>
          <t>Industrial</t>
        </is>
      </c>
      <c r="D92" t="n">
        <v>4</v>
      </c>
      <c r="E92" t="inlineStr">
        <is>
          <t>Mini Warehouse</t>
        </is>
      </c>
      <c r="F92">
        <f>B92&amp;" - "&amp;E92</f>
        <v/>
      </c>
    </row>
    <row r="93">
      <c r="B93" t="n">
        <v>387</v>
      </c>
      <c r="C93" t="inlineStr">
        <is>
          <t>Commercial</t>
        </is>
      </c>
      <c r="D93" t="n">
        <v>27</v>
      </c>
      <c r="E93" t="inlineStr">
        <is>
          <t>Transit Warehouse</t>
        </is>
      </c>
      <c r="F93">
        <f>B93&amp;" - "&amp;E93</f>
        <v/>
      </c>
    </row>
    <row r="94">
      <c r="B94" t="n">
        <v>387</v>
      </c>
      <c r="C94" t="inlineStr">
        <is>
          <t>Industrial</t>
        </is>
      </c>
      <c r="D94" t="n">
        <v>4</v>
      </c>
      <c r="E94" t="inlineStr">
        <is>
          <t>Transit Warehouse</t>
        </is>
      </c>
      <c r="F94">
        <f>B94&amp;" - "&amp;E94</f>
        <v/>
      </c>
    </row>
    <row r="95">
      <c r="B95" t="n">
        <v>389</v>
      </c>
      <c r="C95" t="inlineStr">
        <is>
          <t>Commercial</t>
        </is>
      </c>
      <c r="D95" t="n">
        <v>7</v>
      </c>
      <c r="E95" t="inlineStr">
        <is>
          <t>Equipment Implement</t>
        </is>
      </c>
      <c r="F95">
        <f>B95&amp;" - "&amp;E95</f>
        <v/>
      </c>
    </row>
    <row r="96">
      <c r="B96" t="n">
        <v>389</v>
      </c>
      <c r="C96" t="inlineStr">
        <is>
          <t>Industrial</t>
        </is>
      </c>
      <c r="D96" t="n">
        <v>3</v>
      </c>
      <c r="E96" t="inlineStr">
        <is>
          <t>Equipment Implement</t>
        </is>
      </c>
      <c r="F96">
        <f>B96&amp;" - "&amp;E96</f>
        <v/>
      </c>
    </row>
    <row r="97">
      <c r="B97" t="n">
        <v>390</v>
      </c>
      <c r="C97" t="inlineStr">
        <is>
          <t>Commercial</t>
        </is>
      </c>
      <c r="D97" t="n">
        <v>4</v>
      </c>
      <c r="E97" t="inlineStr">
        <is>
          <t>Lumber Storage - Vertical</t>
        </is>
      </c>
      <c r="F97">
        <f>B97&amp;" - "&amp;E97</f>
        <v/>
      </c>
    </row>
    <row r="98">
      <c r="B98" t="n">
        <v>391</v>
      </c>
      <c r="C98" t="inlineStr">
        <is>
          <t>Commercial</t>
        </is>
      </c>
      <c r="D98" t="n">
        <v>10</v>
      </c>
      <c r="E98" t="inlineStr">
        <is>
          <t>Storage - Material</t>
        </is>
      </c>
      <c r="F98">
        <f>B98&amp;" - "&amp;E98</f>
        <v/>
      </c>
    </row>
    <row r="99">
      <c r="B99" t="n">
        <v>391</v>
      </c>
      <c r="C99" t="inlineStr">
        <is>
          <t>Industrial</t>
        </is>
      </c>
      <c r="D99" t="n">
        <v>3</v>
      </c>
      <c r="E99" t="inlineStr">
        <is>
          <t>Storage - Material</t>
        </is>
      </c>
      <c r="F99">
        <f>B99&amp;" - "&amp;E99</f>
        <v/>
      </c>
    </row>
    <row r="100">
      <c r="B100" t="n">
        <v>392</v>
      </c>
      <c r="C100" t="inlineStr">
        <is>
          <t>Commercial</t>
        </is>
      </c>
      <c r="D100" t="n">
        <v>2</v>
      </c>
      <c r="E100" t="inlineStr">
        <is>
          <t>Industrial Engineering &amp; Research</t>
        </is>
      </c>
      <c r="F100">
        <f>B100&amp;" - "&amp;E100</f>
        <v/>
      </c>
    </row>
    <row r="101">
      <c r="B101" t="n">
        <v>392</v>
      </c>
      <c r="C101" t="inlineStr">
        <is>
          <t>Industrial</t>
        </is>
      </c>
      <c r="D101" t="n">
        <v>2</v>
      </c>
      <c r="E101" t="inlineStr">
        <is>
          <t>Industrial Engineering &amp; Research</t>
        </is>
      </c>
      <c r="F101">
        <f>B101&amp;" - "&amp;E101</f>
        <v/>
      </c>
    </row>
    <row r="102">
      <c r="B102" t="n">
        <v>397</v>
      </c>
      <c r="C102" t="inlineStr">
        <is>
          <t>Commercial</t>
        </is>
      </c>
      <c r="D102" t="n">
        <v>2</v>
      </c>
      <c r="E102" t="inlineStr">
        <is>
          <t>Barn</t>
        </is>
      </c>
      <c r="F102">
        <f>B102&amp;" - "&amp;E102</f>
        <v/>
      </c>
    </row>
    <row r="103">
      <c r="B103" t="n">
        <v>401</v>
      </c>
      <c r="C103" t="inlineStr">
        <is>
          <t>Commercial</t>
        </is>
      </c>
      <c r="D103" t="n">
        <v>16</v>
      </c>
      <c r="E103" t="inlineStr">
        <is>
          <t>Shed - Equipment</t>
        </is>
      </c>
      <c r="F103">
        <f>B103&amp;" - "&amp;E103</f>
        <v/>
      </c>
    </row>
    <row r="104">
      <c r="B104" t="n">
        <v>401</v>
      </c>
      <c r="C104" t="inlineStr">
        <is>
          <t>Industrial</t>
        </is>
      </c>
      <c r="D104" t="n">
        <v>5</v>
      </c>
      <c r="E104" t="inlineStr">
        <is>
          <t>Shed - Equipment</t>
        </is>
      </c>
      <c r="F104">
        <f>B104&amp;" - "&amp;E104</f>
        <v/>
      </c>
    </row>
    <row r="105">
      <c r="B105" t="n">
        <v>403</v>
      </c>
      <c r="C105" t="inlineStr">
        <is>
          <t>Commercial</t>
        </is>
      </c>
      <c r="D105" t="n">
        <v>2</v>
      </c>
      <c r="E105" t="inlineStr">
        <is>
          <t>Shower Building</t>
        </is>
      </c>
      <c r="F105">
        <f>B105&amp;" - "&amp;E105</f>
        <v/>
      </c>
    </row>
    <row r="106">
      <c r="B106" t="n">
        <v>403</v>
      </c>
      <c r="C106" t="inlineStr">
        <is>
          <t>Industrial</t>
        </is>
      </c>
      <c r="D106" t="n">
        <v>2</v>
      </c>
      <c r="E106" t="inlineStr">
        <is>
          <t>Shower Building</t>
        </is>
      </c>
      <c r="F106">
        <f>B106&amp;" - "&amp;E106</f>
        <v/>
      </c>
    </row>
    <row r="107">
      <c r="B107" t="n">
        <v>404</v>
      </c>
      <c r="C107" t="inlineStr">
        <is>
          <t>Commercial</t>
        </is>
      </c>
      <c r="D107" t="n">
        <v>28</v>
      </c>
      <c r="E107" t="inlineStr">
        <is>
          <t>Farm Utility Building</t>
        </is>
      </c>
      <c r="F107">
        <f>B107&amp;" - "&amp;E107</f>
        <v/>
      </c>
    </row>
    <row r="108">
      <c r="B108" t="n">
        <v>404</v>
      </c>
      <c r="C108" t="inlineStr">
        <is>
          <t>Industrial</t>
        </is>
      </c>
      <c r="D108" t="n">
        <v>6</v>
      </c>
      <c r="E108" t="inlineStr">
        <is>
          <t>Farm Utility Building</t>
        </is>
      </c>
      <c r="F108">
        <f>B108&amp;" - "&amp;E108</f>
        <v/>
      </c>
    </row>
    <row r="109">
      <c r="B109" t="n">
        <v>405</v>
      </c>
      <c r="C109" t="inlineStr">
        <is>
          <t>Commercial</t>
        </is>
      </c>
      <c r="D109" t="n">
        <v>2</v>
      </c>
      <c r="E109" t="inlineStr">
        <is>
          <t>Skating Rink</t>
        </is>
      </c>
      <c r="F109">
        <f>B109&amp;" - "&amp;E109</f>
        <v/>
      </c>
    </row>
    <row r="110">
      <c r="B110" t="n">
        <v>406</v>
      </c>
      <c r="C110" t="inlineStr">
        <is>
          <t>Commercial</t>
        </is>
      </c>
      <c r="D110" t="n">
        <v>642</v>
      </c>
      <c r="E110" t="inlineStr">
        <is>
          <t>Storage Warehouse</t>
        </is>
      </c>
      <c r="F110">
        <f>B110&amp;" - "&amp;E110</f>
        <v/>
      </c>
    </row>
    <row r="111">
      <c r="B111" t="n">
        <v>406</v>
      </c>
      <c r="C111" t="inlineStr">
        <is>
          <t>Industrial</t>
        </is>
      </c>
      <c r="D111" t="n">
        <v>75</v>
      </c>
      <c r="E111" t="inlineStr">
        <is>
          <t>Storage Warehouse</t>
        </is>
      </c>
      <c r="F111">
        <f>B111&amp;" - "&amp;E111</f>
        <v/>
      </c>
    </row>
    <row r="112">
      <c r="B112" t="n">
        <v>407</v>
      </c>
      <c r="C112" t="inlineStr">
        <is>
          <t>Commercial</t>
        </is>
      </c>
      <c r="D112" t="n">
        <v>501</v>
      </c>
      <c r="E112" t="inlineStr">
        <is>
          <t>Distribution Warehouse</t>
        </is>
      </c>
      <c r="F112">
        <f>B112&amp;" - "&amp;E112</f>
        <v/>
      </c>
    </row>
    <row r="113">
      <c r="B113" t="n">
        <v>407</v>
      </c>
      <c r="C113" t="inlineStr">
        <is>
          <t>Industrial</t>
        </is>
      </c>
      <c r="D113" t="n">
        <v>154</v>
      </c>
      <c r="E113" t="inlineStr">
        <is>
          <t>Distribution Warehouse</t>
        </is>
      </c>
      <c r="F113">
        <f>B113&amp;" - "&amp;E113</f>
        <v/>
      </c>
    </row>
    <row r="114">
      <c r="B114" t="n">
        <v>408</v>
      </c>
      <c r="C114" t="inlineStr">
        <is>
          <t>Commercial</t>
        </is>
      </c>
      <c r="D114" t="n">
        <v>10</v>
      </c>
      <c r="E114" t="inlineStr">
        <is>
          <t>Service Station</t>
        </is>
      </c>
      <c r="F114">
        <f>B114&amp;" - "&amp;E114</f>
        <v/>
      </c>
    </row>
    <row r="115">
      <c r="B115" t="n">
        <v>409</v>
      </c>
      <c r="C115" t="inlineStr">
        <is>
          <t>Commercial</t>
        </is>
      </c>
      <c r="D115" t="n">
        <v>23</v>
      </c>
      <c r="E115" t="inlineStr">
        <is>
          <t>T-Hanger</t>
        </is>
      </c>
      <c r="F115">
        <f>B115&amp;" - "&amp;E115</f>
        <v/>
      </c>
    </row>
    <row r="116">
      <c r="B116" t="n">
        <v>410</v>
      </c>
      <c r="C116" t="inlineStr">
        <is>
          <t>Commercial</t>
        </is>
      </c>
      <c r="D116" t="n">
        <v>7</v>
      </c>
      <c r="E116" t="inlineStr">
        <is>
          <t>Automotive Center</t>
        </is>
      </c>
      <c r="F116">
        <f>B116&amp;" - "&amp;E116</f>
        <v/>
      </c>
    </row>
    <row r="117">
      <c r="B117" t="n">
        <v>412</v>
      </c>
      <c r="C117" t="inlineStr">
        <is>
          <t>Commercial</t>
        </is>
      </c>
      <c r="D117" t="n">
        <v>43</v>
      </c>
      <c r="E117" t="inlineStr">
        <is>
          <t>Neighborhood Shopping Center</t>
        </is>
      </c>
      <c r="F117">
        <f>B117&amp;" - "&amp;E117</f>
        <v/>
      </c>
    </row>
    <row r="118">
      <c r="B118" t="n">
        <v>413</v>
      </c>
      <c r="C118" t="inlineStr">
        <is>
          <t>Commercial</t>
        </is>
      </c>
      <c r="D118" t="n">
        <v>20</v>
      </c>
      <c r="E118" t="inlineStr">
        <is>
          <t>Community Shopping Center</t>
        </is>
      </c>
      <c r="F118">
        <f>B118&amp;" - "&amp;E118</f>
        <v/>
      </c>
    </row>
    <row r="119">
      <c r="B119" t="n">
        <v>414</v>
      </c>
      <c r="C119" t="inlineStr">
        <is>
          <t>Commercial</t>
        </is>
      </c>
      <c r="D119" t="n">
        <v>8</v>
      </c>
      <c r="E119" t="inlineStr">
        <is>
          <t>Regional Shopping Center</t>
        </is>
      </c>
      <c r="F119">
        <f>B119&amp;" - "&amp;E119</f>
        <v/>
      </c>
    </row>
    <row r="120">
      <c r="B120" t="n">
        <v>415</v>
      </c>
      <c r="C120" t="inlineStr">
        <is>
          <t>Commercial</t>
        </is>
      </c>
      <c r="D120" t="n">
        <v>2</v>
      </c>
      <c r="E120" t="inlineStr">
        <is>
          <t>Utility Bldg Res</t>
        </is>
      </c>
      <c r="F120">
        <f>B120&amp;" - "&amp;E120</f>
        <v/>
      </c>
    </row>
    <row r="121">
      <c r="B121" t="n">
        <v>418</v>
      </c>
      <c r="C121" t="inlineStr">
        <is>
          <t>Commercial</t>
        </is>
      </c>
      <c r="D121" t="n">
        <v>2</v>
      </c>
      <c r="E121" t="inlineStr">
        <is>
          <t>Health Club</t>
        </is>
      </c>
      <c r="F121">
        <f>B121&amp;" - "&amp;E121</f>
        <v/>
      </c>
    </row>
    <row r="122">
      <c r="B122" t="n">
        <v>419</v>
      </c>
      <c r="C122" t="inlineStr">
        <is>
          <t>Commercial</t>
        </is>
      </c>
      <c r="D122" t="n">
        <v>139</v>
      </c>
      <c r="E122" t="inlineStr">
        <is>
          <t>Convenience Store</t>
        </is>
      </c>
      <c r="F122">
        <f>B122&amp;" - "&amp;E122</f>
        <v/>
      </c>
    </row>
    <row r="123">
      <c r="B123" t="n">
        <v>419</v>
      </c>
      <c r="C123" t="inlineStr">
        <is>
          <t>Industrial</t>
        </is>
      </c>
      <c r="D123" t="n">
        <v>1</v>
      </c>
      <c r="E123" t="inlineStr">
        <is>
          <t>Convenience Store</t>
        </is>
      </c>
      <c r="F123">
        <f>B123&amp;" - "&amp;E123</f>
        <v/>
      </c>
    </row>
    <row r="124">
      <c r="B124" t="n">
        <v>421</v>
      </c>
      <c r="C124" t="inlineStr">
        <is>
          <t>Commercial</t>
        </is>
      </c>
      <c r="D124" t="n">
        <v>1</v>
      </c>
      <c r="E124" t="inlineStr">
        <is>
          <t>Shed - Tool</t>
        </is>
      </c>
      <c r="F124">
        <f>B124&amp;" - "&amp;E124</f>
        <v/>
      </c>
    </row>
    <row r="125">
      <c r="B125" t="n">
        <v>423</v>
      </c>
      <c r="C125" t="inlineStr">
        <is>
          <t>Commercial</t>
        </is>
      </c>
      <c r="D125" t="n">
        <v>23</v>
      </c>
      <c r="E125" t="inlineStr">
        <is>
          <t>Mini Lube Garage</t>
        </is>
      </c>
      <c r="F125">
        <f>B125&amp;" - "&amp;E125</f>
        <v/>
      </c>
    </row>
    <row r="126">
      <c r="B126" t="n">
        <v>425</v>
      </c>
      <c r="C126" t="inlineStr">
        <is>
          <t>Commercial</t>
        </is>
      </c>
      <c r="D126" t="n">
        <v>356</v>
      </c>
      <c r="E126" t="inlineStr">
        <is>
          <t>Industrial WH Condo</t>
        </is>
      </c>
      <c r="F126">
        <f>B126&amp;" - "&amp;E126</f>
        <v/>
      </c>
    </row>
    <row r="127">
      <c r="B127" t="n">
        <v>425</v>
      </c>
      <c r="C127" t="inlineStr">
        <is>
          <t>Industrial</t>
        </is>
      </c>
      <c r="D127" t="n">
        <v>12</v>
      </c>
      <c r="E127" t="inlineStr">
        <is>
          <t>Industrial WH Condo</t>
        </is>
      </c>
      <c r="F127">
        <f>B127&amp;" - "&amp;E127</f>
        <v/>
      </c>
    </row>
    <row r="128">
      <c r="B128" t="n">
        <v>426</v>
      </c>
      <c r="C128" t="inlineStr">
        <is>
          <t>Commercial</t>
        </is>
      </c>
      <c r="D128" t="n">
        <v>35</v>
      </c>
      <c r="E128" t="inlineStr">
        <is>
          <t>Day Care Center</t>
        </is>
      </c>
      <c r="F128">
        <f>B128&amp;" - "&amp;E128</f>
        <v/>
      </c>
    </row>
    <row r="129">
      <c r="B129" t="n">
        <v>430</v>
      </c>
      <c r="C129" t="inlineStr">
        <is>
          <t>Industrial</t>
        </is>
      </c>
      <c r="D129" t="n">
        <v>1</v>
      </c>
      <c r="E129" t="inlineStr">
        <is>
          <t>Storage - Utility Grain</t>
        </is>
      </c>
      <c r="F129">
        <f>B129&amp;" - "&amp;E129</f>
        <v/>
      </c>
    </row>
    <row r="130">
      <c r="B130" t="n">
        <v>431</v>
      </c>
      <c r="C130" t="inlineStr">
        <is>
          <t>Commercial</t>
        </is>
      </c>
      <c r="D130" t="n">
        <v>1</v>
      </c>
      <c r="E130" t="inlineStr">
        <is>
          <t>Surgical Center - Out patient</t>
        </is>
      </c>
      <c r="F130">
        <f>B130&amp;" - "&amp;E130</f>
        <v/>
      </c>
    </row>
    <row r="131">
      <c r="B131" t="n">
        <v>432</v>
      </c>
      <c r="C131" t="inlineStr">
        <is>
          <t>Industrial</t>
        </is>
      </c>
      <c r="D131" t="n">
        <v>1</v>
      </c>
      <c r="E131" t="inlineStr">
        <is>
          <t>Restroom Building/Concessions</t>
        </is>
      </c>
      <c r="F131">
        <f>B131&amp;" - "&amp;E131</f>
        <v/>
      </c>
    </row>
    <row r="132">
      <c r="B132" t="n">
        <v>434</v>
      </c>
      <c r="C132" t="inlineStr">
        <is>
          <t>Commercial</t>
        </is>
      </c>
      <c r="D132" t="n">
        <v>55</v>
      </c>
      <c r="E132" t="inlineStr">
        <is>
          <t>Car Wash - Self Service</t>
        </is>
      </c>
      <c r="F132">
        <f>B132&amp;" - "&amp;E132</f>
        <v/>
      </c>
    </row>
    <row r="133">
      <c r="B133" t="n">
        <v>434</v>
      </c>
      <c r="C133" t="inlineStr">
        <is>
          <t>Industrial</t>
        </is>
      </c>
      <c r="D133" t="n">
        <v>1</v>
      </c>
      <c r="E133" t="inlineStr">
        <is>
          <t>Car Wash - Self Service</t>
        </is>
      </c>
      <c r="F133">
        <f>B133&amp;" - "&amp;E133</f>
        <v/>
      </c>
    </row>
    <row r="134">
      <c r="B134" t="n">
        <v>435</v>
      </c>
      <c r="C134" t="inlineStr">
        <is>
          <t>Commercial</t>
        </is>
      </c>
      <c r="D134" t="n">
        <v>22</v>
      </c>
      <c r="E134" t="inlineStr">
        <is>
          <t>Car Wash - Drive thru</t>
        </is>
      </c>
      <c r="F134">
        <f>B134&amp;" - "&amp;E134</f>
        <v/>
      </c>
    </row>
    <row r="135">
      <c r="B135" t="n">
        <v>436</v>
      </c>
      <c r="C135" t="inlineStr">
        <is>
          <t>Commercial</t>
        </is>
      </c>
      <c r="D135" t="n">
        <v>52</v>
      </c>
      <c r="E135" t="inlineStr">
        <is>
          <t>Car Wash - Automatic</t>
        </is>
      </c>
      <c r="F135">
        <f>B135&amp;" - "&amp;E135</f>
        <v/>
      </c>
    </row>
    <row r="136">
      <c r="B136" t="n">
        <v>438</v>
      </c>
      <c r="C136" t="inlineStr">
        <is>
          <t>Industrial</t>
        </is>
      </c>
      <c r="D136" t="n">
        <v>1</v>
      </c>
      <c r="E136" t="inlineStr">
        <is>
          <t>Prefab Metal Building *CODE</t>
        </is>
      </c>
      <c r="F136">
        <f>B136&amp;" - "&amp;E136</f>
        <v/>
      </c>
    </row>
    <row r="137">
      <c r="B137" t="n">
        <v>441</v>
      </c>
      <c r="C137" t="inlineStr">
        <is>
          <t>Commercial</t>
        </is>
      </c>
      <c r="D137" t="n">
        <v>2</v>
      </c>
      <c r="E137" t="inlineStr">
        <is>
          <t>Cocktail Lounge</t>
        </is>
      </c>
      <c r="F137">
        <f>B137&amp;" - "&amp;E137</f>
        <v/>
      </c>
    </row>
    <row r="138">
      <c r="B138" t="n">
        <v>442</v>
      </c>
      <c r="C138" t="inlineStr">
        <is>
          <t>Commercial</t>
        </is>
      </c>
      <c r="D138" t="n">
        <v>41</v>
      </c>
      <c r="E138" t="inlineStr">
        <is>
          <t>Bar/Tavern</t>
        </is>
      </c>
      <c r="F138">
        <f>B138&amp;" - "&amp;E138</f>
        <v/>
      </c>
    </row>
    <row r="139">
      <c r="B139" t="n">
        <v>442</v>
      </c>
      <c r="C139" t="inlineStr">
        <is>
          <t>Industrial</t>
        </is>
      </c>
      <c r="D139" t="n">
        <v>1</v>
      </c>
      <c r="E139" t="inlineStr">
        <is>
          <t>Bar/Tavern</t>
        </is>
      </c>
      <c r="F139">
        <f>B139&amp;" - "&amp;E139</f>
        <v/>
      </c>
    </row>
    <row r="140">
      <c r="B140" t="n">
        <v>444</v>
      </c>
      <c r="C140" t="inlineStr">
        <is>
          <t>Commercial</t>
        </is>
      </c>
      <c r="D140" t="n">
        <v>18</v>
      </c>
      <c r="E140" t="inlineStr">
        <is>
          <t>Dental Office/ Clinic</t>
        </is>
      </c>
      <c r="F140">
        <f>B140&amp;" - "&amp;E140</f>
        <v/>
      </c>
    </row>
    <row r="141">
      <c r="B141" t="n">
        <v>446</v>
      </c>
      <c r="C141" t="inlineStr">
        <is>
          <t>Commercial</t>
        </is>
      </c>
      <c r="D141" t="n">
        <v>30</v>
      </c>
      <c r="E141" t="inlineStr">
        <is>
          <t>SuperMarket</t>
        </is>
      </c>
      <c r="F141">
        <f>B141&amp;" - "&amp;E141</f>
        <v/>
      </c>
    </row>
    <row r="142">
      <c r="B142" t="n">
        <v>447</v>
      </c>
      <c r="C142" t="inlineStr">
        <is>
          <t>Commercial</t>
        </is>
      </c>
      <c r="D142" t="n">
        <v>8</v>
      </c>
      <c r="E142" t="inlineStr">
        <is>
          <t>Cold Storage Warehouse</t>
        </is>
      </c>
      <c r="F142">
        <f>B142&amp;" - "&amp;E142</f>
        <v/>
      </c>
    </row>
    <row r="143">
      <c r="B143" t="n">
        <v>447</v>
      </c>
      <c r="C143" t="inlineStr">
        <is>
          <t>Industrial</t>
        </is>
      </c>
      <c r="D143" t="n">
        <v>2</v>
      </c>
      <c r="E143" t="inlineStr">
        <is>
          <t>Cold Storage Warehouse</t>
        </is>
      </c>
      <c r="F143">
        <f>B143&amp;" - "&amp;E143</f>
        <v/>
      </c>
    </row>
    <row r="144">
      <c r="B144" t="n">
        <v>448</v>
      </c>
      <c r="C144" t="inlineStr">
        <is>
          <t>Commercial</t>
        </is>
      </c>
      <c r="D144" t="n">
        <v>7</v>
      </c>
      <c r="E144" t="inlineStr">
        <is>
          <t>Self Service Booth</t>
        </is>
      </c>
      <c r="F144">
        <f>B144&amp;" - "&amp;E144</f>
        <v/>
      </c>
    </row>
    <row r="145">
      <c r="B145" t="n">
        <v>451</v>
      </c>
      <c r="C145" t="inlineStr">
        <is>
          <t>Commercial</t>
        </is>
      </c>
      <c r="D145" t="n">
        <v>2</v>
      </c>
      <c r="E145" t="inlineStr">
        <is>
          <t>Grain Elevator Concrete</t>
        </is>
      </c>
      <c r="F145">
        <f>B145&amp;" - "&amp;E145</f>
        <v/>
      </c>
    </row>
    <row r="146">
      <c r="B146" t="n">
        <v>452</v>
      </c>
      <c r="C146" t="inlineStr">
        <is>
          <t>Commercial</t>
        </is>
      </c>
      <c r="D146" t="n">
        <v>1</v>
      </c>
      <c r="E146" t="inlineStr">
        <is>
          <t>Grain Elevator Conc Annex</t>
        </is>
      </c>
      <c r="F146">
        <f>B146&amp;" - "&amp;E146</f>
        <v/>
      </c>
    </row>
    <row r="147">
      <c r="B147" t="n">
        <v>464</v>
      </c>
      <c r="C147" t="inlineStr">
        <is>
          <t>Commercial</t>
        </is>
      </c>
      <c r="D147" t="n">
        <v>2</v>
      </c>
      <c r="E147" t="inlineStr">
        <is>
          <t>Grain Elevator Low</t>
        </is>
      </c>
      <c r="F147">
        <f>B147&amp;" - "&amp;E147</f>
        <v/>
      </c>
    </row>
    <row r="148">
      <c r="B148" t="n">
        <v>465</v>
      </c>
      <c r="C148" t="inlineStr">
        <is>
          <t>Commercial</t>
        </is>
      </c>
      <c r="D148" t="n">
        <v>3</v>
      </c>
      <c r="E148" t="inlineStr">
        <is>
          <t>Grain Elevator Average</t>
        </is>
      </c>
      <c r="F148">
        <f>B148&amp;" - "&amp;E148</f>
        <v/>
      </c>
    </row>
    <row r="149">
      <c r="B149" t="n">
        <v>468</v>
      </c>
      <c r="C149" t="inlineStr">
        <is>
          <t>Commercial</t>
        </is>
      </c>
      <c r="D149" t="n">
        <v>1</v>
      </c>
      <c r="E149" t="inlineStr">
        <is>
          <t>Farm Office</t>
        </is>
      </c>
      <c r="F149">
        <f>B149&amp;" - "&amp;E149</f>
        <v/>
      </c>
    </row>
    <row r="150">
      <c r="B150" t="n">
        <v>468</v>
      </c>
      <c r="C150" t="inlineStr">
        <is>
          <t>Industrial</t>
        </is>
      </c>
      <c r="D150" t="n">
        <v>1</v>
      </c>
      <c r="E150" t="inlineStr">
        <is>
          <t>Farm Office</t>
        </is>
      </c>
      <c r="F150">
        <f>B150&amp;" - "&amp;E150</f>
        <v/>
      </c>
    </row>
    <row r="151">
      <c r="B151" t="n">
        <v>473</v>
      </c>
      <c r="C151" t="inlineStr">
        <is>
          <t>Commercial</t>
        </is>
      </c>
      <c r="D151" t="n">
        <v>9</v>
      </c>
      <c r="E151" t="inlineStr">
        <is>
          <t>Equipment Building</t>
        </is>
      </c>
      <c r="F151">
        <f>B151&amp;" - "&amp;E151</f>
        <v/>
      </c>
    </row>
    <row r="152">
      <c r="B152" t="n">
        <v>473</v>
      </c>
      <c r="C152" t="inlineStr">
        <is>
          <t>Industrial</t>
        </is>
      </c>
      <c r="D152" t="n">
        <v>1</v>
      </c>
      <c r="E152" t="inlineStr">
        <is>
          <t>Equipment Building</t>
        </is>
      </c>
      <c r="F152">
        <f>B152&amp;" - "&amp;E152</f>
        <v/>
      </c>
    </row>
    <row r="153">
      <c r="B153" t="n">
        <v>474</v>
      </c>
      <c r="C153" t="inlineStr">
        <is>
          <t>Commercial</t>
        </is>
      </c>
      <c r="D153" t="n">
        <v>19</v>
      </c>
      <c r="E153" t="inlineStr">
        <is>
          <t>Modular Office</t>
        </is>
      </c>
      <c r="F153">
        <f>B153&amp;" - "&amp;E153</f>
        <v/>
      </c>
    </row>
    <row r="154">
      <c r="B154" t="n">
        <v>474</v>
      </c>
      <c r="C154" t="inlineStr">
        <is>
          <t>Industrial</t>
        </is>
      </c>
      <c r="D154" t="n">
        <v>4</v>
      </c>
      <c r="E154" t="inlineStr">
        <is>
          <t>Modular Office</t>
        </is>
      </c>
      <c r="F154">
        <f>B154&amp;" - "&amp;E154</f>
        <v/>
      </c>
    </row>
    <row r="155">
      <c r="B155" t="n">
        <v>480</v>
      </c>
      <c r="C155" t="inlineStr">
        <is>
          <t>Commercial</t>
        </is>
      </c>
      <c r="D155" t="n">
        <v>1</v>
      </c>
      <c r="E155" t="inlineStr">
        <is>
          <t>Vegetable Building</t>
        </is>
      </c>
      <c r="F155">
        <f>B155&amp;" - "&amp;E155</f>
        <v/>
      </c>
    </row>
    <row r="156">
      <c r="B156" t="n">
        <v>482</v>
      </c>
      <c r="C156" t="inlineStr">
        <is>
          <t>Commercial</t>
        </is>
      </c>
      <c r="D156" t="n">
        <v>3</v>
      </c>
      <c r="E156" t="inlineStr">
        <is>
          <t>Convention Center</t>
        </is>
      </c>
      <c r="F156">
        <f>B156&amp;" - "&amp;E156</f>
        <v/>
      </c>
    </row>
    <row r="157">
      <c r="B157" t="n">
        <v>483</v>
      </c>
      <c r="C157" t="inlineStr">
        <is>
          <t>Commercial</t>
        </is>
      </c>
      <c r="D157" t="n">
        <v>4</v>
      </c>
      <c r="E157" t="inlineStr">
        <is>
          <t>Fitness Center</t>
        </is>
      </c>
      <c r="F157">
        <f>B157&amp;" - "&amp;E157</f>
        <v/>
      </c>
    </row>
    <row r="158">
      <c r="B158" t="n">
        <v>499</v>
      </c>
      <c r="C158" t="inlineStr">
        <is>
          <t>Commercial</t>
        </is>
      </c>
      <c r="D158" t="n">
        <v>3</v>
      </c>
      <c r="E158" t="inlineStr">
        <is>
          <t>Salvage</t>
        </is>
      </c>
      <c r="F158">
        <f>B158&amp;" - "&amp;E158</f>
        <v/>
      </c>
    </row>
    <row r="159">
      <c r="B159" t="n">
        <v>500</v>
      </c>
      <c r="C159" t="inlineStr">
        <is>
          <t>Commercial</t>
        </is>
      </c>
      <c r="D159" t="n">
        <v>3</v>
      </c>
      <c r="E159" t="inlineStr">
        <is>
          <t>R V Parks *CODE</t>
        </is>
      </c>
      <c r="F159">
        <f>B159&amp;" - "&amp;E159</f>
        <v/>
      </c>
    </row>
    <row r="160">
      <c r="B160" t="n">
        <v>501</v>
      </c>
      <c r="C160" t="inlineStr">
        <is>
          <t>Commercial</t>
        </is>
      </c>
      <c r="D160" t="n">
        <v>13</v>
      </c>
      <c r="E160" t="inlineStr">
        <is>
          <t>Mini-Mart Convenience Stores</t>
        </is>
      </c>
      <c r="F160">
        <f>B160&amp;" - "&amp;E160</f>
        <v/>
      </c>
    </row>
    <row r="161">
      <c r="B161" t="n">
        <v>501</v>
      </c>
      <c r="C161" t="inlineStr">
        <is>
          <t>Industrial</t>
        </is>
      </c>
      <c r="D161" t="n">
        <v>2</v>
      </c>
      <c r="E161" t="inlineStr">
        <is>
          <t>Miscellaneous OB</t>
        </is>
      </c>
      <c r="F161">
        <f>B161&amp;" - "&amp;E161</f>
        <v/>
      </c>
    </row>
    <row r="162">
      <c r="B162" t="n">
        <v>519</v>
      </c>
      <c r="C162" t="inlineStr">
        <is>
          <t>Commercial</t>
        </is>
      </c>
      <c r="D162" t="n">
        <v>1</v>
      </c>
      <c r="E162" t="inlineStr">
        <is>
          <t>Greenhouse Shade Shelters</t>
        </is>
      </c>
      <c r="F162">
        <f>B162&amp;" - "&amp;E162</f>
        <v/>
      </c>
    </row>
    <row r="163">
      <c r="B163" t="n">
        <v>523</v>
      </c>
      <c r="C163" t="inlineStr">
        <is>
          <t>Commercial</t>
        </is>
      </c>
      <c r="D163" t="n">
        <v>1</v>
      </c>
      <c r="E163" t="inlineStr">
        <is>
          <t>Golf Cart Storage Bldgs</t>
        </is>
      </c>
      <c r="F163">
        <f>B163&amp;" - "&amp;E163</f>
        <v/>
      </c>
    </row>
    <row r="164">
      <c r="B164" t="n">
        <v>525</v>
      </c>
      <c r="C164" t="inlineStr">
        <is>
          <t>Commercial</t>
        </is>
      </c>
      <c r="D164" t="n">
        <v>1</v>
      </c>
      <c r="E164" t="inlineStr">
        <is>
          <t>Mini Warehouse Hi-rise</t>
        </is>
      </c>
      <c r="F164">
        <f>B164&amp;" - "&amp;E164</f>
        <v/>
      </c>
    </row>
    <row r="165">
      <c r="B165" t="n">
        <v>526</v>
      </c>
      <c r="C165" t="inlineStr">
        <is>
          <t>Commercial</t>
        </is>
      </c>
      <c r="D165" t="n">
        <v>3</v>
      </c>
      <c r="E165" t="inlineStr">
        <is>
          <t>Service Garage Sheds</t>
        </is>
      </c>
      <c r="F165">
        <f>B165&amp;" - "&amp;E165</f>
        <v/>
      </c>
    </row>
    <row r="166">
      <c r="B166" t="n">
        <v>529</v>
      </c>
      <c r="C166" t="inlineStr">
        <is>
          <t>Commercial</t>
        </is>
      </c>
      <c r="D166" t="n">
        <v>1</v>
      </c>
      <c r="E166" t="inlineStr">
        <is>
          <t>Snack Bar</t>
        </is>
      </c>
      <c r="F166">
        <f>B166&amp;" - "&amp;E166</f>
        <v/>
      </c>
    </row>
    <row r="167">
      <c r="B167" t="n">
        <v>531</v>
      </c>
      <c r="C167" t="inlineStr">
        <is>
          <t>Commercial</t>
        </is>
      </c>
      <c r="D167" t="n">
        <v>2</v>
      </c>
      <c r="E167" t="inlineStr">
        <is>
          <t>Mobile Home Parks *CODE</t>
        </is>
      </c>
      <c r="F167">
        <f>B167&amp;" - "&amp;E167</f>
        <v/>
      </c>
    </row>
    <row r="168">
      <c r="B168" t="n">
        <v>533</v>
      </c>
      <c r="C168" t="inlineStr">
        <is>
          <t>Commercial</t>
        </is>
      </c>
      <c r="D168" t="n">
        <v>2</v>
      </c>
      <c r="E168" t="inlineStr">
        <is>
          <t>Warehouse Food Store</t>
        </is>
      </c>
      <c r="F168">
        <f>B168&amp;" - "&amp;E168</f>
        <v/>
      </c>
    </row>
    <row r="169">
      <c r="B169" t="n">
        <v>534</v>
      </c>
      <c r="C169" t="inlineStr">
        <is>
          <t>Commercial</t>
        </is>
      </c>
      <c r="D169" t="n">
        <v>10</v>
      </c>
      <c r="E169" t="inlineStr">
        <is>
          <t>Warehouse Showroom Store</t>
        </is>
      </c>
      <c r="F169">
        <f>B169&amp;" - "&amp;E169</f>
        <v/>
      </c>
    </row>
    <row r="170">
      <c r="B170" t="n">
        <v>534</v>
      </c>
      <c r="C170" t="inlineStr">
        <is>
          <t>Industrial</t>
        </is>
      </c>
      <c r="D170" t="n">
        <v>1</v>
      </c>
      <c r="E170" t="inlineStr">
        <is>
          <t>Warehouse Showroom Store</t>
        </is>
      </c>
      <c r="F170">
        <f>B170&amp;" - "&amp;E170</f>
        <v/>
      </c>
    </row>
    <row r="171">
      <c r="B171" t="n">
        <v>540</v>
      </c>
      <c r="C171" t="inlineStr">
        <is>
          <t>Commercial</t>
        </is>
      </c>
      <c r="D171" t="n">
        <v>1</v>
      </c>
      <c r="E171" t="inlineStr">
        <is>
          <t>Motel Guest Rooms</t>
        </is>
      </c>
      <c r="F171">
        <f>B171&amp;" - "&amp;E171</f>
        <v/>
      </c>
    </row>
    <row r="172">
      <c r="B172" t="n">
        <v>544</v>
      </c>
      <c r="C172" t="inlineStr">
        <is>
          <t>Commercial</t>
        </is>
      </c>
      <c r="D172" t="n">
        <v>4</v>
      </c>
      <c r="E172" t="inlineStr">
        <is>
          <t>Office-Apartment</t>
        </is>
      </c>
      <c r="F172">
        <f>B172&amp;" - "&amp;E172</f>
        <v/>
      </c>
    </row>
    <row r="173">
      <c r="B173" t="n">
        <v>557</v>
      </c>
      <c r="C173" t="inlineStr">
        <is>
          <t>Commercial</t>
        </is>
      </c>
      <c r="D173" t="n">
        <v>2</v>
      </c>
      <c r="E173" t="inlineStr">
        <is>
          <t>Arch-Rib Quonset Utility</t>
        </is>
      </c>
      <c r="F173">
        <f>B173&amp;" - "&amp;E173</f>
        <v/>
      </c>
    </row>
    <row r="174">
      <c r="B174" t="n">
        <v>558</v>
      </c>
      <c r="C174" t="inlineStr">
        <is>
          <t>Commercial</t>
        </is>
      </c>
      <c r="D174" t="n">
        <v>1</v>
      </c>
      <c r="E174" t="inlineStr">
        <is>
          <t>Arch-Rib Quonset Farm Implement</t>
        </is>
      </c>
      <c r="F174">
        <f>B174&amp;" - "&amp;E174</f>
        <v/>
      </c>
    </row>
    <row r="175">
      <c r="B175" t="n">
        <v>573</v>
      </c>
      <c r="C175" t="inlineStr">
        <is>
          <t>Commercial</t>
        </is>
      </c>
      <c r="D175" t="n">
        <v>1</v>
      </c>
      <c r="E175" t="inlineStr">
        <is>
          <t>Arcade</t>
        </is>
      </c>
      <c r="F175">
        <f>B175&amp;" - "&amp;E175</f>
        <v/>
      </c>
    </row>
    <row r="176">
      <c r="B176" t="n">
        <v>580</v>
      </c>
      <c r="C176" t="inlineStr">
        <is>
          <t>Commercial</t>
        </is>
      </c>
      <c r="D176" t="n">
        <v>2</v>
      </c>
      <c r="E176" t="inlineStr">
        <is>
          <t>Truck Stop Restaurant</t>
        </is>
      </c>
      <c r="F176">
        <f>B176&amp;" - "&amp;E176</f>
        <v/>
      </c>
    </row>
    <row r="177">
      <c r="B177" t="n">
        <v>582</v>
      </c>
      <c r="C177" t="inlineStr">
        <is>
          <t>Commercial</t>
        </is>
      </c>
      <c r="D177" t="n">
        <v>1</v>
      </c>
      <c r="E177" t="inlineStr">
        <is>
          <t>Branch Post Office</t>
        </is>
      </c>
      <c r="F177">
        <f>B177&amp;" - "&amp;E177</f>
        <v/>
      </c>
    </row>
    <row r="178">
      <c r="B178" t="n">
        <v>584</v>
      </c>
      <c r="C178" t="inlineStr">
        <is>
          <t>Commercial</t>
        </is>
      </c>
      <c r="D178" t="n">
        <v>56</v>
      </c>
      <c r="E178" t="inlineStr">
        <is>
          <t>Mega Warehouse</t>
        </is>
      </c>
      <c r="F178">
        <f>B178&amp;" - "&amp;E178</f>
        <v/>
      </c>
    </row>
    <row r="179">
      <c r="B179" t="n">
        <v>584</v>
      </c>
      <c r="C179" t="inlineStr">
        <is>
          <t>Industrial</t>
        </is>
      </c>
      <c r="D179" t="n">
        <v>21</v>
      </c>
      <c r="E179" t="inlineStr">
        <is>
          <t>Mega Warehouse</t>
        </is>
      </c>
      <c r="F179">
        <f>B179&amp;" - "&amp;E179</f>
        <v/>
      </c>
    </row>
    <row r="180">
      <c r="B180" t="n">
        <v>718</v>
      </c>
      <c r="C180" t="inlineStr">
        <is>
          <t>Commercial</t>
        </is>
      </c>
      <c r="D180" t="n">
        <v>3</v>
      </c>
      <c r="E180" t="inlineStr">
        <is>
          <t>Banquet Halls</t>
        </is>
      </c>
      <c r="F180">
        <f>B180&amp;" - "&amp;E180</f>
        <v/>
      </c>
    </row>
    <row r="181">
      <c r="B181" t="n">
        <v>1104</v>
      </c>
      <c r="C181" t="inlineStr">
        <is>
          <t>Commercial</t>
        </is>
      </c>
      <c r="D181" t="n">
        <v>1</v>
      </c>
      <c r="E181" t="inlineStr">
        <is>
          <t>Light Commercial-Commodity Warehouse</t>
        </is>
      </c>
      <c r="F181">
        <f>B181&amp;" - "&amp;E181</f>
        <v/>
      </c>
    </row>
    <row r="182">
      <c r="B182" t="n">
        <v>1104</v>
      </c>
      <c r="C182" t="inlineStr">
        <is>
          <t>Industrial</t>
        </is>
      </c>
      <c r="D182" t="n">
        <v>1</v>
      </c>
      <c r="E182" t="inlineStr">
        <is>
          <t>Light Commercial-Commodity Warehouse</t>
        </is>
      </c>
      <c r="F182">
        <f>B182&amp;" - "&amp;E182</f>
        <v/>
      </c>
    </row>
    <row r="183">
      <c r="B183" t="n">
        <v>1111</v>
      </c>
      <c r="C183" t="inlineStr">
        <is>
          <t>Commercial</t>
        </is>
      </c>
      <c r="D183" t="n">
        <v>2</v>
      </c>
      <c r="E183" t="inlineStr">
        <is>
          <t>Parking Lot</t>
        </is>
      </c>
      <c r="F183">
        <f>B183&amp;" - "&amp;E183</f>
        <v/>
      </c>
    </row>
    <row r="184">
      <c r="B184" t="n">
        <v>1112</v>
      </c>
      <c r="C184" t="inlineStr">
        <is>
          <t>Commercial</t>
        </is>
      </c>
      <c r="D184" t="n">
        <v>1</v>
      </c>
      <c r="E184" t="inlineStr">
        <is>
          <t>Parking Lot Income Producing</t>
        </is>
      </c>
      <c r="F184">
        <f>B184&amp;" - "&amp;E184</f>
        <v/>
      </c>
    </row>
    <row r="185">
      <c r="B185" t="n">
        <v>1157</v>
      </c>
      <c r="C185" t="inlineStr">
        <is>
          <t>Commercial</t>
        </is>
      </c>
      <c r="D185" t="n">
        <v>2</v>
      </c>
      <c r="E185" t="inlineStr">
        <is>
          <t>Maintenance (Storage) Buildings</t>
        </is>
      </c>
      <c r="F185">
        <f>B185&amp;" - "&amp;E185</f>
        <v/>
      </c>
    </row>
    <row r="186">
      <c r="B186" t="n">
        <v>1332</v>
      </c>
      <c r="C186" t="inlineStr">
        <is>
          <t>Commercial</t>
        </is>
      </c>
      <c r="D186" t="n">
        <v>39</v>
      </c>
      <c r="E186" t="inlineStr">
        <is>
          <t>Hotels - Limited Service</t>
        </is>
      </c>
      <c r="F186">
        <f>B186&amp;" - "&amp;E186</f>
        <v/>
      </c>
    </row>
    <row r="187">
      <c r="B187" t="n">
        <v>1332</v>
      </c>
      <c r="C187" t="inlineStr">
        <is>
          <t>Industrial</t>
        </is>
      </c>
      <c r="D187" t="n">
        <v>1</v>
      </c>
      <c r="E187" t="inlineStr">
        <is>
          <t>Hotels - Limited Service</t>
        </is>
      </c>
      <c r="F187">
        <f>B187&amp;" - "&amp;E187</f>
        <v/>
      </c>
    </row>
    <row r="188">
      <c r="B188" t="n">
        <v>1343</v>
      </c>
      <c r="C188" t="inlineStr">
        <is>
          <t>Commercial</t>
        </is>
      </c>
      <c r="D188" t="n">
        <v>4</v>
      </c>
      <c r="E188" t="inlineStr">
        <is>
          <t>Extended Stay Motels</t>
        </is>
      </c>
      <c r="F188">
        <f>B188&amp;" - "&amp;E188</f>
        <v/>
      </c>
    </row>
    <row r="189">
      <c r="B189" t="n">
        <v>1344</v>
      </c>
      <c r="C189" t="inlineStr">
        <is>
          <t>Commercial</t>
        </is>
      </c>
      <c r="D189" t="n">
        <v>173</v>
      </c>
      <c r="E189" t="inlineStr">
        <is>
          <t>Office Building - Condo</t>
        </is>
      </c>
      <c r="F189">
        <f>B189&amp;" - "&amp;E189</f>
        <v/>
      </c>
    </row>
    <row r="190">
      <c r="B190" t="n">
        <v>1353</v>
      </c>
      <c r="C190" t="inlineStr">
        <is>
          <t>Commercial</t>
        </is>
      </c>
      <c r="D190" t="n">
        <v>20</v>
      </c>
      <c r="E190" t="inlineStr">
        <is>
          <t>Retail Store - Condo</t>
        </is>
      </c>
      <c r="F190">
        <f>B190&amp;" - "&amp;E190</f>
        <v/>
      </c>
    </row>
    <row r="191">
      <c r="B191" t="n">
        <v>1458</v>
      </c>
      <c r="C191" t="inlineStr">
        <is>
          <t>Commercial</t>
        </is>
      </c>
      <c r="D191" t="n">
        <v>8</v>
      </c>
      <c r="E191" t="inlineStr">
        <is>
          <t>Warehouse Discount Store</t>
        </is>
      </c>
      <c r="F191">
        <f>B191&amp;" - "&amp;E191</f>
        <v/>
      </c>
    </row>
    <row r="192">
      <c r="B192" t="n">
        <v>1467</v>
      </c>
      <c r="C192" t="inlineStr">
        <is>
          <t>Commercial</t>
        </is>
      </c>
      <c r="D192" t="n">
        <v>2</v>
      </c>
      <c r="E192" t="inlineStr">
        <is>
          <t>Boat Storage Buildings</t>
        </is>
      </c>
      <c r="F192">
        <f>B192&amp;" - "&amp;E192</f>
        <v/>
      </c>
    </row>
    <row r="193">
      <c r="B193" t="n">
        <v>1468</v>
      </c>
      <c r="C193" t="inlineStr">
        <is>
          <t>Commercial</t>
        </is>
      </c>
      <c r="D193" t="n">
        <v>7</v>
      </c>
      <c r="E193" t="inlineStr">
        <is>
          <t>Material Storage Sheds</t>
        </is>
      </c>
      <c r="F193">
        <f>B193&amp;" - "&amp;E193</f>
        <v/>
      </c>
    </row>
    <row r="194">
      <c r="B194" t="n">
        <v>1468</v>
      </c>
      <c r="C194" t="inlineStr">
        <is>
          <t>Industrial</t>
        </is>
      </c>
      <c r="D194" t="n">
        <v>1</v>
      </c>
      <c r="E194" t="inlineStr">
        <is>
          <t>Material Storage Sheds</t>
        </is>
      </c>
      <c r="F194">
        <f>B194&amp;" - "&amp;E194</f>
        <v/>
      </c>
    </row>
    <row r="195">
      <c r="B195" t="n">
        <v>1471</v>
      </c>
      <c r="C195" t="inlineStr">
        <is>
          <t>Commercial</t>
        </is>
      </c>
      <c r="D195" t="n">
        <v>1</v>
      </c>
      <c r="E195" t="inlineStr">
        <is>
          <t>Light Commercial Utility</t>
        </is>
      </c>
      <c r="F195">
        <f>B195&amp;" - "&amp;E195</f>
        <v/>
      </c>
    </row>
    <row r="196">
      <c r="B196" t="n">
        <v>1473</v>
      </c>
      <c r="C196" t="inlineStr">
        <is>
          <t>Commercial</t>
        </is>
      </c>
      <c r="D196" t="n">
        <v>5</v>
      </c>
      <c r="E196" t="inlineStr">
        <is>
          <t>Material Shelters</t>
        </is>
      </c>
      <c r="F196">
        <f>B196&amp;" - "&amp;E196</f>
        <v/>
      </c>
    </row>
    <row r="197">
      <c r="B197" t="n">
        <v>1473</v>
      </c>
      <c r="C197" t="inlineStr">
        <is>
          <t>Industrial</t>
        </is>
      </c>
      <c r="D197" t="n">
        <v>1</v>
      </c>
      <c r="E197" t="inlineStr">
        <is>
          <t>Material Shelters</t>
        </is>
      </c>
      <c r="F197">
        <f>B197&amp;" - "&amp;E197</f>
        <v/>
      </c>
    </row>
    <row r="198">
      <c r="B198" t="n">
        <v>1513</v>
      </c>
      <c r="C198" t="inlineStr">
        <is>
          <t>Commercial</t>
        </is>
      </c>
      <c r="D198" t="n">
        <v>4</v>
      </c>
      <c r="E198" t="inlineStr">
        <is>
          <t>Regional Discount Shopping Centers</t>
        </is>
      </c>
      <c r="F198">
        <f>B198&amp;" - "&amp;E198</f>
        <v/>
      </c>
    </row>
    <row r="199">
      <c r="B199" t="n">
        <v>3441</v>
      </c>
      <c r="C199" t="inlineStr">
        <is>
          <t>Commercial</t>
        </is>
      </c>
      <c r="D199" t="n">
        <v>41</v>
      </c>
      <c r="E199"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8" customWidth="1" min="2" max="2"/>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 width="16"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894" t="inlineStr">
        <is>
          <t>Zone Value</t>
        </is>
      </c>
      <c r="D4" s="894"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7030A0"/>
    <outlinePr summaryBelow="1" summaryRight="1"/>
    <pageSetUpPr/>
  </sheetPr>
  <dimension ref="A1:P10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7.xml><?xml version="1.0" encoding="utf-8"?>
<worksheet xmlns="http://schemas.openxmlformats.org/spreadsheetml/2006/main">
  <sheetPr>
    <tabColor rgb="007030A0"/>
    <outlinePr summaryBelow="1" summaryRight="1"/>
    <pageSetUpPr/>
  </sheetPr>
  <dimension ref="A1:AO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 hidden="1" width="13" customWidth="1" min="40" max="40"/>
    <col hidden="1" width="13" customWidth="1" min="41" max="41"/>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c r="AN3" s="893" t="inlineStr">
        <is>
          <t>Score (internal)</t>
        </is>
      </c>
      <c r="AO3" t="inlineStr">
        <is>
          <t>TieBreak (internal)</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c r="AN4">
        <f>IF(AND($B4=Subj_OccCode,Subj_BldgSF&gt;0,ABS($J4-Subj_BldgSF)&lt;=Subj_BldgSF*Subj_SizeTol),ABS($J4-Subj_BldgSF),NA())</f>
        <v/>
      </c>
      <c r="AO4">
        <f>IF(ISNA(AN4),NA(),AN4+ROW()/10000000)</f>
        <v/>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c r="AN5">
        <f>IF(AND($B5=Subj_OccCode,Subj_BldgSF&gt;0,ABS($J5-Subj_BldgSF)&lt;=Subj_BldgSF*Subj_SizeTol),ABS($J5-Subj_BldgSF),NA())</f>
        <v/>
      </c>
      <c r="AO5">
        <f>IF(ISNA(AN5),NA(),AN5+ROW()/10000000)</f>
        <v/>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c r="AN6">
        <f>IF(AND($B6=Subj_OccCode,Subj_BldgSF&gt;0,ABS($J6-Subj_BldgSF)&lt;=Subj_BldgSF*Subj_SizeTol),ABS($J6-Subj_BldgSF),NA())</f>
        <v/>
      </c>
      <c r="AO6">
        <f>IF(ISNA(AN6),NA(),AN6+ROW()/10000000)</f>
        <v/>
      </c>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c r="AN7">
        <f>IF(AND($B7=Subj_OccCode,Subj_BldgSF&gt;0,ABS($J7-Subj_BldgSF)&lt;=Subj_BldgSF*Subj_SizeTol),ABS($J7-Subj_BldgSF),NA())</f>
        <v/>
      </c>
      <c r="AO7">
        <f>IF(ISNA(AN7),NA(),AN7+ROW()/10000000)</f>
        <v/>
      </c>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c r="AN8">
        <f>IF(AND($B8=Subj_OccCode,Subj_BldgSF&gt;0,ABS($J8-Subj_BldgSF)&lt;=Subj_BldgSF*Subj_SizeTol),ABS($J8-Subj_BldgSF),NA())</f>
        <v/>
      </c>
      <c r="AO8">
        <f>IF(ISNA(AN8),NA(),AN8+ROW()/10000000)</f>
        <v/>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c r="AN9">
        <f>IF(AND($B9=Subj_OccCode,Subj_BldgSF&gt;0,ABS($J9-Subj_BldgSF)&lt;=Subj_BldgSF*Subj_SizeTol),ABS($J9-Subj_BldgSF),NA())</f>
        <v/>
      </c>
      <c r="AO9">
        <f>IF(ISNA(AN9),NA(),AN9+ROW()/10000000)</f>
        <v/>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c r="AN10">
        <f>IF(AND($B10=Subj_OccCode,Subj_BldgSF&gt;0,ABS($J10-Subj_BldgSF)&lt;=Subj_BldgSF*Subj_SizeTol),ABS($J10-Subj_BldgSF),NA())</f>
        <v/>
      </c>
      <c r="AO10">
        <f>IF(ISNA(AN10),NA(),AN10+ROW()/10000000)</f>
        <v/>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c r="AN11">
        <f>IF(AND($B11=Subj_OccCode,Subj_BldgSF&gt;0,ABS($J11-Subj_BldgSF)&lt;=Subj_BldgSF*Subj_SizeTol),ABS($J11-Subj_BldgSF),NA())</f>
        <v/>
      </c>
      <c r="AO11">
        <f>IF(ISNA(AN11),NA(),AN11+ROW()/10000000)</f>
        <v/>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c r="AN12">
        <f>IF(AND($B12=Subj_OccCode,Subj_BldgSF&gt;0,ABS($J12-Subj_BldgSF)&lt;=Subj_BldgSF*Subj_SizeTol),ABS($J12-Subj_BldgSF),NA())</f>
        <v/>
      </c>
      <c r="AO12">
        <f>IF(ISNA(AN12),NA(),AN12+ROW()/10000000)</f>
        <v/>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c r="AN15">
        <f>IF(AND($B15=Subj_OccCode,Subj_BldgSF&gt;0,ABS($J15-Subj_BldgSF)&lt;=Subj_BldgSF*Subj_SizeTol),ABS($J15-Subj_BldgSF),NA())</f>
        <v/>
      </c>
      <c r="AO15">
        <f>IF(ISNA(AN15),NA(),AN15+ROW()/10000000)</f>
        <v/>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c r="AN16">
        <f>IF(AND($B16=Subj_OccCode,Subj_BldgSF&gt;0,ABS($J16-Subj_BldgSF)&lt;=Subj_BldgSF*Subj_SizeTol),ABS($J16-Subj_BldgSF),NA())</f>
        <v/>
      </c>
      <c r="AO16">
        <f>IF(ISNA(AN16),NA(),AN16+ROW()/10000000)</f>
        <v/>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c r="AN17">
        <f>IF(AND($B17=Subj_OccCode,Subj_BldgSF&gt;0,ABS($J17-Subj_BldgSF)&lt;=Subj_BldgSF*Subj_SizeTol),ABS($J17-Subj_BldgSF),NA())</f>
        <v/>
      </c>
      <c r="AO17">
        <f>IF(ISNA(AN17),NA(),AN17+ROW()/10000000)</f>
        <v/>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c r="AN18">
        <f>IF(AND($B18=Subj_OccCode,Subj_BldgSF&gt;0,ABS($J18-Subj_BldgSF)&lt;=Subj_BldgSF*Subj_SizeTol),ABS($J18-Subj_BldgSF),NA())</f>
        <v/>
      </c>
      <c r="AO18">
        <f>IF(ISNA(AN18),NA(),AN18+ROW()/10000000)</f>
        <v/>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c r="AN19">
        <f>IF(AND($B19=Subj_OccCode,Subj_BldgSF&gt;0,ABS($J19-Subj_BldgSF)&lt;=Subj_BldgSF*Subj_SizeTol),ABS($J19-Subj_BldgSF),NA())</f>
        <v/>
      </c>
      <c r="AO19">
        <f>IF(ISNA(AN19),NA(),AN19+ROW()/10000000)</f>
        <v/>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c r="AN20">
        <f>IF(AND($B20=Subj_OccCode,Subj_BldgSF&gt;0,ABS($J20-Subj_BldgSF)&lt;=Subj_BldgSF*Subj_SizeTol),ABS($J20-Subj_BldgSF),NA())</f>
        <v/>
      </c>
      <c r="AO20">
        <f>IF(ISNA(AN20),NA(),AN20+ROW()/10000000)</f>
        <v/>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c r="AN22">
        <f>IF(AND($B22=Subj_OccCode,Subj_BldgSF&gt;0,ABS($J22-Subj_BldgSF)&lt;=Subj_BldgSF*Subj_SizeTol),ABS($J22-Subj_BldgSF),NA())</f>
        <v/>
      </c>
      <c r="AO22">
        <f>IF(ISNA(AN22),NA(),AN22+ROW()/10000000)</f>
        <v/>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c r="AN29">
        <f>IF(AND($B29=Subj_OccCode,Subj_BldgSF&gt;0,ABS($J29-Subj_BldgSF)&lt;=Subj_BldgSF*Subj_SizeTol),ABS($J29-Subj_BldgSF),NA())</f>
        <v/>
      </c>
      <c r="AO29">
        <f>IF(ISNA(AN29),NA(),AN29+ROW()/10000000)</f>
        <v/>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c r="AN30">
        <f>IF(AND($B30=Subj_OccCode,Subj_BldgSF&gt;0,ABS($J30-Subj_BldgSF)&lt;=Subj_BldgSF*Subj_SizeTol),ABS($J30-Subj_BldgSF),NA())</f>
        <v/>
      </c>
      <c r="AO30">
        <f>IF(ISNA(AN30),NA(),AN30+ROW()/10000000)</f>
        <v/>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c r="AN31">
        <f>IF(AND($B31=Subj_OccCode,Subj_BldgSF&gt;0,ABS($J31-Subj_BldgSF)&lt;=Subj_BldgSF*Subj_SizeTol),ABS($J31-Subj_BldgSF),NA())</f>
        <v/>
      </c>
      <c r="AO31">
        <f>IF(ISNA(AN31),NA(),AN31+ROW()/10000000)</f>
        <v/>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c r="AN32">
        <f>IF(AND($B32=Subj_OccCode,Subj_BldgSF&gt;0,ABS($J32-Subj_BldgSF)&lt;=Subj_BldgSF*Subj_SizeTol),ABS($J32-Subj_BldgSF),NA())</f>
        <v/>
      </c>
      <c r="AO32">
        <f>IF(ISNA(AN32),NA(),AN32+ROW()/10000000)</f>
        <v/>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c r="AN33">
        <f>IF(AND($B33=Subj_OccCode,Subj_BldgSF&gt;0,ABS($J33-Subj_BldgSF)&lt;=Subj_BldgSF*Subj_SizeTol),ABS($J33-Subj_BldgSF),NA())</f>
        <v/>
      </c>
      <c r="AO33">
        <f>IF(ISNA(AN33),NA(),AN33+ROW()/10000000)</f>
        <v/>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c r="AN36">
        <f>IF(AND($B36=Subj_OccCode,Subj_BldgSF&gt;0,ABS($J36-Subj_BldgSF)&lt;=Subj_BldgSF*Subj_SizeTol),ABS($J36-Subj_BldgSF),NA())</f>
        <v/>
      </c>
      <c r="AO36">
        <f>IF(ISNA(AN36),NA(),AN36+ROW()/10000000)</f>
        <v/>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c r="AN37">
        <f>IF(AND($B37=Subj_OccCode,Subj_BldgSF&gt;0,ABS($J37-Subj_BldgSF)&lt;=Subj_BldgSF*Subj_SizeTol),ABS($J37-Subj_BldgSF),NA())</f>
        <v/>
      </c>
      <c r="AO37">
        <f>IF(ISNA(AN37),NA(),AN37+ROW()/10000000)</f>
        <v/>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c r="AN38">
        <f>IF(AND($B38=Subj_OccCode,Subj_BldgSF&gt;0,ABS($J38-Subj_BldgSF)&lt;=Subj_BldgSF*Subj_SizeTol),ABS($J38-Subj_BldgSF),NA())</f>
        <v/>
      </c>
      <c r="AO38">
        <f>IF(ISNA(AN38),NA(),AN38+ROW()/10000000)</f>
        <v/>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c r="AN39">
        <f>IF(AND($B39=Subj_OccCode,Subj_BldgSF&gt;0,ABS($J39-Subj_BldgSF)&lt;=Subj_BldgSF*Subj_SizeTol),ABS($J39-Subj_BldgSF),NA())</f>
        <v/>
      </c>
      <c r="AO39">
        <f>IF(ISNA(AN39),NA(),AN39+ROW()/10000000)</f>
        <v/>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c r="AN40">
        <f>IF(AND($B40=Subj_OccCode,Subj_BldgSF&gt;0,ABS($J40-Subj_BldgSF)&lt;=Subj_BldgSF*Subj_SizeTol),ABS($J40-Subj_BldgSF),NA())</f>
        <v/>
      </c>
      <c r="AO40">
        <f>IF(ISNA(AN40),NA(),AN40+ROW()/10000000)</f>
        <v/>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c r="AN41">
        <f>IF(AND($B41=Subj_OccCode,Subj_BldgSF&gt;0,ABS($J41-Subj_BldgSF)&lt;=Subj_BldgSF*Subj_SizeTol),ABS($J41-Subj_BldgSF),NA())</f>
        <v/>
      </c>
      <c r="AO41">
        <f>IF(ISNA(AN41),NA(),AN41+ROW()/10000000)</f>
        <v/>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c r="AN42">
        <f>IF(AND($B42=Subj_OccCode,Subj_BldgSF&gt;0,ABS($J42-Subj_BldgSF)&lt;=Subj_BldgSF*Subj_SizeTol),ABS($J42-Subj_BldgSF),NA())</f>
        <v/>
      </c>
      <c r="AO42">
        <f>IF(ISNA(AN42),NA(),AN42+ROW()/10000000)</f>
        <v/>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c r="AN43">
        <f>IF(AND($B43=Subj_OccCode,Subj_BldgSF&gt;0,ABS($J43-Subj_BldgSF)&lt;=Subj_BldgSF*Subj_SizeTol),ABS($J43-Subj_BldgSF),NA())</f>
        <v/>
      </c>
      <c r="AO43">
        <f>IF(ISNA(AN43),NA(),AN43+ROW()/10000000)</f>
        <v/>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c r="AN44">
        <f>IF(AND($B44=Subj_OccCode,Subj_BldgSF&gt;0,ABS($J44-Subj_BldgSF)&lt;=Subj_BldgSF*Subj_SizeTol),ABS($J44-Subj_BldgSF),NA())</f>
        <v/>
      </c>
      <c r="AO44">
        <f>IF(ISNA(AN44),NA(),AN44+ROW()/10000000)</f>
        <v/>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c r="AN45">
        <f>IF(AND($B45=Subj_OccCode,Subj_BldgSF&gt;0,ABS($J45-Subj_BldgSF)&lt;=Subj_BldgSF*Subj_SizeTol),ABS($J45-Subj_BldgSF),NA())</f>
        <v/>
      </c>
      <c r="AO45">
        <f>IF(ISNA(AN45),NA(),AN45+ROW()/10000000)</f>
        <v/>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c r="AN46">
        <f>IF(AND($B46=Subj_OccCode,Subj_BldgSF&gt;0,ABS($J46-Subj_BldgSF)&lt;=Subj_BldgSF*Subj_SizeTol),ABS($J46-Subj_BldgSF),NA())</f>
        <v/>
      </c>
      <c r="AO46">
        <f>IF(ISNA(AN46),NA(),AN46+ROW()/10000000)</f>
        <v/>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c r="AN47">
        <f>IF(AND($B47=Subj_OccCode,Subj_BldgSF&gt;0,ABS($J47-Subj_BldgSF)&lt;=Subj_BldgSF*Subj_SizeTol),ABS($J47-Subj_BldgSF),NA())</f>
        <v/>
      </c>
      <c r="AO47">
        <f>IF(ISNA(AN47),NA(),AN47+ROW()/10000000)</f>
        <v/>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c r="AN48">
        <f>IF(AND($B48=Subj_OccCode,Subj_BldgSF&gt;0,ABS($J48-Subj_BldgSF)&lt;=Subj_BldgSF*Subj_SizeTol),ABS($J48-Subj_BldgSF),NA())</f>
        <v/>
      </c>
      <c r="AO48">
        <f>IF(ISNA(AN48),NA(),AN48+ROW()/10000000)</f>
        <v/>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c r="AN49">
        <f>IF(AND($B49=Subj_OccCode,Subj_BldgSF&gt;0,ABS($J49-Subj_BldgSF)&lt;=Subj_BldgSF*Subj_SizeTol),ABS($J49-Subj_BldgSF),NA())</f>
        <v/>
      </c>
      <c r="AO49">
        <f>IF(ISNA(AN49),NA(),AN49+ROW()/10000000)</f>
        <v/>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c r="AN50">
        <f>IF(AND($B50=Subj_OccCode,Subj_BldgSF&gt;0,ABS($J50-Subj_BldgSF)&lt;=Subj_BldgSF*Subj_SizeTol),ABS($J50-Subj_BldgSF),NA())</f>
        <v/>
      </c>
      <c r="AO50">
        <f>IF(ISNA(AN50),NA(),AN50+ROW()/10000000)</f>
        <v/>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c r="AN51">
        <f>IF(AND($B51=Subj_OccCode,Subj_BldgSF&gt;0,ABS($J51-Subj_BldgSF)&lt;=Subj_BldgSF*Subj_SizeTol),ABS($J51-Subj_BldgSF),NA())</f>
        <v/>
      </c>
      <c r="AO51">
        <f>IF(ISNA(AN51),NA(),AN51+ROW()/10000000)</f>
        <v/>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c r="AN52">
        <f>IF(AND($B52=Subj_OccCode,Subj_BldgSF&gt;0,ABS($J52-Subj_BldgSF)&lt;=Subj_BldgSF*Subj_SizeTol),ABS($J52-Subj_BldgSF),NA())</f>
        <v/>
      </c>
      <c r="AO52">
        <f>IF(ISNA(AN52),NA(),AN52+ROW()/10000000)</f>
        <v/>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c r="AN53">
        <f>IF(AND($B53=Subj_OccCode,Subj_BldgSF&gt;0,ABS($J53-Subj_BldgSF)&lt;=Subj_BldgSF*Subj_SizeTol),ABS($J53-Subj_BldgSF),NA())</f>
        <v/>
      </c>
      <c r="AO53">
        <f>IF(ISNA(AN53),NA(),AN53+ROW()/10000000)</f>
        <v/>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c r="AN54">
        <f>IF(AND($B54=Subj_OccCode,Subj_BldgSF&gt;0,ABS($J54-Subj_BldgSF)&lt;=Subj_BldgSF*Subj_SizeTol),ABS($J54-Subj_BldgSF),NA())</f>
        <v/>
      </c>
      <c r="AO54">
        <f>IF(ISNA(AN54),NA(),AN54+ROW()/10000000)</f>
        <v/>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c r="AN55">
        <f>IF(AND($B55=Subj_OccCode,Subj_BldgSF&gt;0,ABS($J55-Subj_BldgSF)&lt;=Subj_BldgSF*Subj_SizeTol),ABS($J55-Subj_BldgSF),NA())</f>
        <v/>
      </c>
      <c r="AO55">
        <f>IF(ISNA(AN55),NA(),AN55+ROW()/10000000)</f>
        <v/>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c r="AN56">
        <f>IF(AND($B56=Subj_OccCode,Subj_BldgSF&gt;0,ABS($J56-Subj_BldgSF)&lt;=Subj_BldgSF*Subj_SizeTol),ABS($J56-Subj_BldgSF),NA())</f>
        <v/>
      </c>
      <c r="AO56">
        <f>IF(ISNA(AN56),NA(),AN56+ROW()/10000000)</f>
        <v/>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c r="AN57">
        <f>IF(AND($B57=Subj_OccCode,Subj_BldgSF&gt;0,ABS($J57-Subj_BldgSF)&lt;=Subj_BldgSF*Subj_SizeTol),ABS($J57-Subj_BldgSF),NA())</f>
        <v/>
      </c>
      <c r="AO57">
        <f>IF(ISNA(AN57),NA(),AN57+ROW()/10000000)</f>
        <v/>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c r="AN58">
        <f>IF(AND($B58=Subj_OccCode,Subj_BldgSF&gt;0,ABS($J58-Subj_BldgSF)&lt;=Subj_BldgSF*Subj_SizeTol),ABS($J58-Subj_BldgSF),NA())</f>
        <v/>
      </c>
      <c r="AO58">
        <f>IF(ISNA(AN58),NA(),AN58+ROW()/10000000)</f>
        <v/>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c r="AN59">
        <f>IF(AND($B59=Subj_OccCode,Subj_BldgSF&gt;0,ABS($J59-Subj_BldgSF)&lt;=Subj_BldgSF*Subj_SizeTol),ABS($J59-Subj_BldgSF),NA())</f>
        <v/>
      </c>
      <c r="AO59">
        <f>IF(ISNA(AN59),NA(),AN59+ROW()/10000000)</f>
        <v/>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c r="AN60">
        <f>IF(AND($B60=Subj_OccCode,Subj_BldgSF&gt;0,ABS($J60-Subj_BldgSF)&lt;=Subj_BldgSF*Subj_SizeTol),ABS($J60-Subj_BldgSF),NA())</f>
        <v/>
      </c>
      <c r="AO60">
        <f>IF(ISNA(AN60),NA(),AN60+ROW()/10000000)</f>
        <v/>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c r="AN61">
        <f>IF(AND($B61=Subj_OccCode,Subj_BldgSF&gt;0,ABS($J61-Subj_BldgSF)&lt;=Subj_BldgSF*Subj_SizeTol),ABS($J61-Subj_BldgSF),NA())</f>
        <v/>
      </c>
      <c r="AO61">
        <f>IF(ISNA(AN61),NA(),AN61+ROW()/10000000)</f>
        <v/>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c r="AN62">
        <f>IF(AND($B62=Subj_OccCode,Subj_BldgSF&gt;0,ABS($J62-Subj_BldgSF)&lt;=Subj_BldgSF*Subj_SizeTol),ABS($J62-Subj_BldgSF),NA())</f>
        <v/>
      </c>
      <c r="AO62">
        <f>IF(ISNA(AN62),NA(),AN62+ROW()/10000000)</f>
        <v/>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c r="AN63">
        <f>IF(AND($B63=Subj_OccCode,Subj_BldgSF&gt;0,ABS($J63-Subj_BldgSF)&lt;=Subj_BldgSF*Subj_SizeTol),ABS($J63-Subj_BldgSF),NA())</f>
        <v/>
      </c>
      <c r="AO63">
        <f>IF(ISNA(AN63),NA(),AN63+ROW()/10000000)</f>
        <v/>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c r="AN64">
        <f>IF(AND($B64=Subj_OccCode,Subj_BldgSF&gt;0,ABS($J64-Subj_BldgSF)&lt;=Subj_BldgSF*Subj_SizeTol),ABS($J64-Subj_BldgSF),NA())</f>
        <v/>
      </c>
      <c r="AO64">
        <f>IF(ISNA(AN64),NA(),AN64+ROW()/10000000)</f>
        <v/>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c r="AN65">
        <f>IF(AND($B65=Subj_OccCode,Subj_BldgSF&gt;0,ABS($J65-Subj_BldgSF)&lt;=Subj_BldgSF*Subj_SizeTol),ABS($J65-Subj_BldgSF),NA())</f>
        <v/>
      </c>
      <c r="AO65">
        <f>IF(ISNA(AN65),NA(),AN65+ROW()/10000000)</f>
        <v/>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c r="AN66">
        <f>IF(AND($B66=Subj_OccCode,Subj_BldgSF&gt;0,ABS($J66-Subj_BldgSF)&lt;=Subj_BldgSF*Subj_SizeTol),ABS($J66-Subj_BldgSF),NA())</f>
        <v/>
      </c>
      <c r="AO66">
        <f>IF(ISNA(AN66),NA(),AN66+ROW()/10000000)</f>
        <v/>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c r="AN67">
        <f>IF(AND($B67=Subj_OccCode,Subj_BldgSF&gt;0,ABS($J67-Subj_BldgSF)&lt;=Subj_BldgSF*Subj_SizeTol),ABS($J67-Subj_BldgSF),NA())</f>
        <v/>
      </c>
      <c r="AO67">
        <f>IF(ISNA(AN67),NA(),AN67+ROW()/10000000)</f>
        <v/>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c r="AN68">
        <f>IF(AND($B68=Subj_OccCode,Subj_BldgSF&gt;0,ABS($J68-Subj_BldgSF)&lt;=Subj_BldgSF*Subj_SizeTol),ABS($J68-Subj_BldgSF),NA())</f>
        <v/>
      </c>
      <c r="AO68">
        <f>IF(ISNA(AN68),NA(),AN68+ROW()/10000000)</f>
        <v/>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c r="AN69">
        <f>IF(AND($B69=Subj_OccCode,Subj_BldgSF&gt;0,ABS($J69-Subj_BldgSF)&lt;=Subj_BldgSF*Subj_SizeTol),ABS($J69-Subj_BldgSF),NA())</f>
        <v/>
      </c>
      <c r="AO69">
        <f>IF(ISNA(AN69),NA(),AN69+ROW()/10000000)</f>
        <v/>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c r="AN70">
        <f>IF(AND($B70=Subj_OccCode,Subj_BldgSF&gt;0,ABS($J70-Subj_BldgSF)&lt;=Subj_BldgSF*Subj_SizeTol),ABS($J70-Subj_BldgSF),NA())</f>
        <v/>
      </c>
      <c r="AO70">
        <f>IF(ISNA(AN70),NA(),AN70+ROW()/10000000)</f>
        <v/>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c r="AN71">
        <f>IF(AND($B71=Subj_OccCode,Subj_BldgSF&gt;0,ABS($J71-Subj_BldgSF)&lt;=Subj_BldgSF*Subj_SizeTol),ABS($J71-Subj_BldgSF),NA())</f>
        <v/>
      </c>
      <c r="AO71">
        <f>IF(ISNA(AN71),NA(),AN71+ROW()/10000000)</f>
        <v/>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c r="AN72">
        <f>IF(AND($B72=Subj_OccCode,Subj_BldgSF&gt;0,ABS($J72-Subj_BldgSF)&lt;=Subj_BldgSF*Subj_SizeTol),ABS($J72-Subj_BldgSF),NA())</f>
        <v/>
      </c>
      <c r="AO72">
        <f>IF(ISNA(AN72),NA(),AN72+ROW()/10000000)</f>
        <v/>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c r="AN73">
        <f>IF(AND($B73=Subj_OccCode,Subj_BldgSF&gt;0,ABS($J73-Subj_BldgSF)&lt;=Subj_BldgSF*Subj_SizeTol),ABS($J73-Subj_BldgSF),NA())</f>
        <v/>
      </c>
      <c r="AO73">
        <f>IF(ISNA(AN73),NA(),AN73+ROW()/10000000)</f>
        <v/>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c r="AN74">
        <f>IF(AND($B74=Subj_OccCode,Subj_BldgSF&gt;0,ABS($J74-Subj_BldgSF)&lt;=Subj_BldgSF*Subj_SizeTol),ABS($J74-Subj_BldgSF),NA())</f>
        <v/>
      </c>
      <c r="AO74">
        <f>IF(ISNA(AN74),NA(),AN74+ROW()/10000000)</f>
        <v/>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c r="AN75">
        <f>IF(AND($B75=Subj_OccCode,Subj_BldgSF&gt;0,ABS($J75-Subj_BldgSF)&lt;=Subj_BldgSF*Subj_SizeTol),ABS($J75-Subj_BldgSF),NA())</f>
        <v/>
      </c>
      <c r="AO75">
        <f>IF(ISNA(AN75),NA(),AN75+ROW()/10000000)</f>
        <v/>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c r="AN76">
        <f>IF(AND($B76=Subj_OccCode,Subj_BldgSF&gt;0,ABS($J76-Subj_BldgSF)&lt;=Subj_BldgSF*Subj_SizeTol),ABS($J76-Subj_BldgSF),NA())</f>
        <v/>
      </c>
      <c r="AO76">
        <f>IF(ISNA(AN76),NA(),AN76+ROW()/10000000)</f>
        <v/>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c r="AN77">
        <f>IF(AND($B77=Subj_OccCode,Subj_BldgSF&gt;0,ABS($J77-Subj_BldgSF)&lt;=Subj_BldgSF*Subj_SizeTol),ABS($J77-Subj_BldgSF),NA())</f>
        <v/>
      </c>
      <c r="AO77">
        <f>IF(ISNA(AN77),NA(),AN77+ROW()/10000000)</f>
        <v/>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c r="AN78">
        <f>IF(AND($B78=Subj_OccCode,Subj_BldgSF&gt;0,ABS($J78-Subj_BldgSF)&lt;=Subj_BldgSF*Subj_SizeTol),ABS($J78-Subj_BldgSF),NA())</f>
        <v/>
      </c>
      <c r="AO78">
        <f>IF(ISNA(AN78),NA(),AN78+ROW()/10000000)</f>
        <v/>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c r="AN79">
        <f>IF(AND($B79=Subj_OccCode,Subj_BldgSF&gt;0,ABS($J79-Subj_BldgSF)&lt;=Subj_BldgSF*Subj_SizeTol),ABS($J79-Subj_BldgSF),NA())</f>
        <v/>
      </c>
      <c r="AO79">
        <f>IF(ISNA(AN79),NA(),AN79+ROW()/10000000)</f>
        <v/>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c r="AN80">
        <f>IF(AND($B80=Subj_OccCode,Subj_BldgSF&gt;0,ABS($J80-Subj_BldgSF)&lt;=Subj_BldgSF*Subj_SizeTol),ABS($J80-Subj_BldgSF),NA())</f>
        <v/>
      </c>
      <c r="AO80">
        <f>IF(ISNA(AN80),NA(),AN80+ROW()/10000000)</f>
        <v/>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c r="AN81">
        <f>IF(AND($B81=Subj_OccCode,Subj_BldgSF&gt;0,ABS($J81-Subj_BldgSF)&lt;=Subj_BldgSF*Subj_SizeTol),ABS($J81-Subj_BldgSF),NA())</f>
        <v/>
      </c>
      <c r="AO81">
        <f>IF(ISNA(AN81),NA(),AN81+ROW()/10000000)</f>
        <v/>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c r="AN82">
        <f>IF(AND($B82=Subj_OccCode,Subj_BldgSF&gt;0,ABS($J82-Subj_BldgSF)&lt;=Subj_BldgSF*Subj_SizeTol),ABS($J82-Subj_BldgSF),NA())</f>
        <v/>
      </c>
      <c r="AO82">
        <f>IF(ISNA(AN82),NA(),AN82+ROW()/10000000)</f>
        <v/>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c r="AN83">
        <f>IF(AND($B83=Subj_OccCode,Subj_BldgSF&gt;0,ABS($J83-Subj_BldgSF)&lt;=Subj_BldgSF*Subj_SizeTol),ABS($J83-Subj_BldgSF),NA())</f>
        <v/>
      </c>
      <c r="AO83">
        <f>IF(ISNA(AN83),NA(),AN83+ROW()/10000000)</f>
        <v/>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c r="AN84">
        <f>IF(AND($B84=Subj_OccCode,Subj_BldgSF&gt;0,ABS($J84-Subj_BldgSF)&lt;=Subj_BldgSF*Subj_SizeTol),ABS($J84-Subj_BldgSF),NA())</f>
        <v/>
      </c>
      <c r="AO84">
        <f>IF(ISNA(AN84),NA(),AN84+ROW()/10000000)</f>
        <v/>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c r="AN85">
        <f>IF(AND($B85=Subj_OccCode,Subj_BldgSF&gt;0,ABS($J85-Subj_BldgSF)&lt;=Subj_BldgSF*Subj_SizeTol),ABS($J85-Subj_BldgSF),NA())</f>
        <v/>
      </c>
      <c r="AO85">
        <f>IF(ISNA(AN85),NA(),AN85+ROW()/10000000)</f>
        <v/>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c r="AN86">
        <f>IF(AND($B86=Subj_OccCode,Subj_BldgSF&gt;0,ABS($J86-Subj_BldgSF)&lt;=Subj_BldgSF*Subj_SizeTol),ABS($J86-Subj_BldgSF),NA())</f>
        <v/>
      </c>
      <c r="AO86">
        <f>IF(ISNA(AN86),NA(),AN86+ROW()/10000000)</f>
        <v/>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c r="AN87">
        <f>IF(AND($B87=Subj_OccCode,Subj_BldgSF&gt;0,ABS($J87-Subj_BldgSF)&lt;=Subj_BldgSF*Subj_SizeTol),ABS($J87-Subj_BldgSF),NA())</f>
        <v/>
      </c>
      <c r="AO87">
        <f>IF(ISNA(AN87),NA(),AN87+ROW()/10000000)</f>
        <v/>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c r="AN88">
        <f>IF(AND($B88=Subj_OccCode,Subj_BldgSF&gt;0,ABS($J88-Subj_BldgSF)&lt;=Subj_BldgSF*Subj_SizeTol),ABS($J88-Subj_BldgSF),NA())</f>
        <v/>
      </c>
      <c r="AO88">
        <f>IF(ISNA(AN88),NA(),AN88+ROW()/10000000)</f>
        <v/>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c r="AN89">
        <f>IF(AND($B89=Subj_OccCode,Subj_BldgSF&gt;0,ABS($J89-Subj_BldgSF)&lt;=Subj_BldgSF*Subj_SizeTol),ABS($J89-Subj_BldgSF),NA())</f>
        <v/>
      </c>
      <c r="AO89">
        <f>IF(ISNA(AN89),NA(),AN89+ROW()/10000000)</f>
        <v/>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c r="AN90">
        <f>IF(AND($B90=Subj_OccCode,Subj_BldgSF&gt;0,ABS($J90-Subj_BldgSF)&lt;=Subj_BldgSF*Subj_SizeTol),ABS($J90-Subj_BldgSF),NA())</f>
        <v/>
      </c>
      <c r="AO90">
        <f>IF(ISNA(AN90),NA(),AN90+ROW()/10000000)</f>
        <v/>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c r="AN91">
        <f>IF(AND($B91=Subj_OccCode,Subj_BldgSF&gt;0,ABS($J91-Subj_BldgSF)&lt;=Subj_BldgSF*Subj_SizeTol),ABS($J91-Subj_BldgSF),NA())</f>
        <v/>
      </c>
      <c r="AO91">
        <f>IF(ISNA(AN91),NA(),AN91+ROW()/10000000)</f>
        <v/>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c r="AN92">
        <f>IF(AND($B92=Subj_OccCode,Subj_BldgSF&gt;0,ABS($J92-Subj_BldgSF)&lt;=Subj_BldgSF*Subj_SizeTol),ABS($J92-Subj_BldgSF),NA())</f>
        <v/>
      </c>
      <c r="AO92">
        <f>IF(ISNA(AN92),NA(),AN92+ROW()/10000000)</f>
        <v/>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c r="AN93">
        <f>IF(AND($B93=Subj_OccCode,Subj_BldgSF&gt;0,ABS($J93-Subj_BldgSF)&lt;=Subj_BldgSF*Subj_SizeTol),ABS($J93-Subj_BldgSF),NA())</f>
        <v/>
      </c>
      <c r="AO93">
        <f>IF(ISNA(AN93),NA(),AN93+ROW()/10000000)</f>
        <v/>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c r="AN94">
        <f>IF(AND($B94=Subj_OccCode,Subj_BldgSF&gt;0,ABS($J94-Subj_BldgSF)&lt;=Subj_BldgSF*Subj_SizeTol),ABS($J94-Subj_BldgSF),NA())</f>
        <v/>
      </c>
      <c r="AO94">
        <f>IF(ISNA(AN94),NA(),AN94+ROW()/10000000)</f>
        <v/>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c r="AN95">
        <f>IF(AND($B95=Subj_OccCode,Subj_BldgSF&gt;0,ABS($J95-Subj_BldgSF)&lt;=Subj_BldgSF*Subj_SizeTol),ABS($J95-Subj_BldgSF),NA())</f>
        <v/>
      </c>
      <c r="AO95">
        <f>IF(ISNA(AN95),NA(),AN95+ROW()/10000000)</f>
        <v/>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c r="AN96">
        <f>IF(AND($B96=Subj_OccCode,Subj_BldgSF&gt;0,ABS($J96-Subj_BldgSF)&lt;=Subj_BldgSF*Subj_SizeTol),ABS($J96-Subj_BldgSF),NA())</f>
        <v/>
      </c>
      <c r="AO96">
        <f>IF(ISNA(AN96),NA(),AN96+ROW()/10000000)</f>
        <v/>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c r="AN97">
        <f>IF(AND($B97=Subj_OccCode,Subj_BldgSF&gt;0,ABS($J97-Subj_BldgSF)&lt;=Subj_BldgSF*Subj_SizeTol),ABS($J97-Subj_BldgSF),NA())</f>
        <v/>
      </c>
      <c r="AO97">
        <f>IF(ISNA(AN97),NA(),AN97+ROW()/10000000)</f>
        <v/>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c r="AN98">
        <f>IF(AND($B98=Subj_OccCode,Subj_BldgSF&gt;0,ABS($J98-Subj_BldgSF)&lt;=Subj_BldgSF*Subj_SizeTol),ABS($J98-Subj_BldgSF),NA())</f>
        <v/>
      </c>
      <c r="AO98">
        <f>IF(ISNA(AN98),NA(),AN98+ROW()/10000000)</f>
        <v/>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c r="AN99">
        <f>IF(AND($B99=Subj_OccCode,Subj_BldgSF&gt;0,ABS($J99-Subj_BldgSF)&lt;=Subj_BldgSF*Subj_SizeTol),ABS($J99-Subj_BldgSF),NA())</f>
        <v/>
      </c>
      <c r="AO99">
        <f>IF(ISNA(AN99),NA(),AN99+ROW()/10000000)</f>
        <v/>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c r="AN100">
        <f>IF(AND($B100=Subj_OccCode,Subj_BldgSF&gt;0,ABS($J100-Subj_BldgSF)&lt;=Subj_BldgSF*Subj_SizeTol),ABS($J100-Subj_BldgSF),NA())</f>
        <v/>
      </c>
      <c r="AO100">
        <f>IF(ISNA(AN100),NA(),AN100+ROW()/10000000)</f>
        <v/>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c r="AN101">
        <f>IF(AND($B101=Subj_OccCode,Subj_BldgSF&gt;0,ABS($J101-Subj_BldgSF)&lt;=Subj_BldgSF*Subj_SizeTol),ABS($J101-Subj_BldgSF),NA())</f>
        <v/>
      </c>
      <c r="AO101">
        <f>IF(ISNA(AN101),NA(),AN101+ROW()/10000000)</f>
        <v/>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c r="AN102">
        <f>IF(AND($B102=Subj_OccCode,Subj_BldgSF&gt;0,ABS($J102-Subj_BldgSF)&lt;=Subj_BldgSF*Subj_SizeTol),ABS($J102-Subj_BldgSF),NA())</f>
        <v/>
      </c>
      <c r="AO102">
        <f>IF(ISNA(AN102),NA(),AN102+ROW()/10000000)</f>
        <v/>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c r="AN103">
        <f>IF(AND($B103=Subj_OccCode,Subj_BldgSF&gt;0,ABS($J103-Subj_BldgSF)&lt;=Subj_BldgSF*Subj_SizeTol),ABS($J103-Subj_BldgSF),NA())</f>
        <v/>
      </c>
      <c r="AO103">
        <f>IF(ISNA(AN103),NA(),AN103+ROW()/10000000)</f>
        <v/>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c r="AN104">
        <f>IF(AND($B104=Subj_OccCode,Subj_BldgSF&gt;0,ABS($J104-Subj_BldgSF)&lt;=Subj_BldgSF*Subj_SizeTol),ABS($J104-Subj_BldgSF),NA())</f>
        <v/>
      </c>
      <c r="AO104">
        <f>IF(ISNA(AN104),NA(),AN104+ROW()/10000000)</f>
        <v/>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c r="AN105">
        <f>IF(AND($B105=Subj_OccCode,Subj_BldgSF&gt;0,ABS($J105-Subj_BldgSF)&lt;=Subj_BldgSF*Subj_SizeTol),ABS($J105-Subj_BldgSF),NA())</f>
        <v/>
      </c>
      <c r="AO105">
        <f>IF(ISNA(AN105),NA(),AN105+ROW()/10000000)</f>
        <v/>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c r="AN106">
        <f>IF(AND($B106=Subj_OccCode,Subj_BldgSF&gt;0,ABS($J106-Subj_BldgSF)&lt;=Subj_BldgSF*Subj_SizeTol),ABS($J106-Subj_BldgSF),NA())</f>
        <v/>
      </c>
      <c r="AO106">
        <f>IF(ISNA(AN106),NA(),AN106+ROW()/10000000)</f>
        <v/>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c r="AN107">
        <f>IF(AND($B107=Subj_OccCode,Subj_BldgSF&gt;0,ABS($J107-Subj_BldgSF)&lt;=Subj_BldgSF*Subj_SizeTol),ABS($J107-Subj_BldgSF),NA())</f>
        <v/>
      </c>
      <c r="AO107">
        <f>IF(ISNA(AN107),NA(),AN107+ROW()/10000000)</f>
        <v/>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c r="AN108">
        <f>IF(AND($B108=Subj_OccCode,Subj_BldgSF&gt;0,ABS($J108-Subj_BldgSF)&lt;=Subj_BldgSF*Subj_SizeTol),ABS($J108-Subj_BldgSF),NA())</f>
        <v/>
      </c>
      <c r="AO108">
        <f>IF(ISNA(AN108),NA(),AN108+ROW()/10000000)</f>
        <v/>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c r="AN111">
        <f>IF(AND($B111=Subj_OccCode,Subj_BldgSF&gt;0,ABS($J111-Subj_BldgSF)&lt;=Subj_BldgSF*Subj_SizeTol),ABS($J111-Subj_BldgSF),NA())</f>
        <v/>
      </c>
      <c r="AO111">
        <f>IF(ISNA(AN111),NA(),AN111+ROW()/10000000)</f>
        <v/>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c r="AN112">
        <f>IF(AND($B112=Subj_OccCode,Subj_BldgSF&gt;0,ABS($J112-Subj_BldgSF)&lt;=Subj_BldgSF*Subj_SizeTol),ABS($J112-Subj_BldgSF),NA())</f>
        <v/>
      </c>
      <c r="AO112">
        <f>IF(ISNA(AN112),NA(),AN112+ROW()/10000000)</f>
        <v/>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c r="AN113">
        <f>IF(AND($B113=Subj_OccCode,Subj_BldgSF&gt;0,ABS($J113-Subj_BldgSF)&lt;=Subj_BldgSF*Subj_SizeTol),ABS($J113-Subj_BldgSF),NA())</f>
        <v/>
      </c>
      <c r="AO113">
        <f>IF(ISNA(AN113),NA(),AN113+ROW()/10000000)</f>
        <v/>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c r="AN114">
        <f>IF(AND($B114=Subj_OccCode,Subj_BldgSF&gt;0,ABS($J114-Subj_BldgSF)&lt;=Subj_BldgSF*Subj_SizeTol),ABS($J114-Subj_BldgSF),NA())</f>
        <v/>
      </c>
      <c r="AO114">
        <f>IF(ISNA(AN114),NA(),AN114+ROW()/10000000)</f>
        <v/>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c r="AN115">
        <f>IF(AND($B115=Subj_OccCode,Subj_BldgSF&gt;0,ABS($J115-Subj_BldgSF)&lt;=Subj_BldgSF*Subj_SizeTol),ABS($J115-Subj_BldgSF),NA())</f>
        <v/>
      </c>
      <c r="AO115">
        <f>IF(ISNA(AN115),NA(),AN115+ROW()/10000000)</f>
        <v/>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c r="AN116">
        <f>IF(AND($B116=Subj_OccCode,Subj_BldgSF&gt;0,ABS($J116-Subj_BldgSF)&lt;=Subj_BldgSF*Subj_SizeTol),ABS($J116-Subj_BldgSF),NA())</f>
        <v/>
      </c>
      <c r="AO116">
        <f>IF(ISNA(AN116),NA(),AN116+ROW()/10000000)</f>
        <v/>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c r="AN117">
        <f>IF(AND($B117=Subj_OccCode,Subj_BldgSF&gt;0,ABS($J117-Subj_BldgSF)&lt;=Subj_BldgSF*Subj_SizeTol),ABS($J117-Subj_BldgSF),NA())</f>
        <v/>
      </c>
      <c r="AO117">
        <f>IF(ISNA(AN117),NA(),AN117+ROW()/10000000)</f>
        <v/>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c r="AN118">
        <f>IF(AND($B118=Subj_OccCode,Subj_BldgSF&gt;0,ABS($J118-Subj_BldgSF)&lt;=Subj_BldgSF*Subj_SizeTol),ABS($J118-Subj_BldgSF),NA())</f>
        <v/>
      </c>
      <c r="AO118">
        <f>IF(ISNA(AN118),NA(),AN118+ROW()/10000000)</f>
        <v/>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c r="AN119">
        <f>IF(AND($B119=Subj_OccCode,Subj_BldgSF&gt;0,ABS($J119-Subj_BldgSF)&lt;=Subj_BldgSF*Subj_SizeTol),ABS($J119-Subj_BldgSF),NA())</f>
        <v/>
      </c>
      <c r="AO119">
        <f>IF(ISNA(AN119),NA(),AN119+ROW()/10000000)</f>
        <v/>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c r="AN120">
        <f>IF(AND($B120=Subj_OccCode,Subj_BldgSF&gt;0,ABS($J120-Subj_BldgSF)&lt;=Subj_BldgSF*Subj_SizeTol),ABS($J120-Subj_BldgSF),NA())</f>
        <v/>
      </c>
      <c r="AO120">
        <f>IF(ISNA(AN120),NA(),AN120+ROW()/10000000)</f>
        <v/>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c r="AN121">
        <f>IF(AND($B121=Subj_OccCode,Subj_BldgSF&gt;0,ABS($J121-Subj_BldgSF)&lt;=Subj_BldgSF*Subj_SizeTol),ABS($J121-Subj_BldgSF),NA())</f>
        <v/>
      </c>
      <c r="AO121">
        <f>IF(ISNA(AN121),NA(),AN121+ROW()/10000000)</f>
        <v/>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c r="AN122">
        <f>IF(AND($B122=Subj_OccCode,Subj_BldgSF&gt;0,ABS($J122-Subj_BldgSF)&lt;=Subj_BldgSF*Subj_SizeTol),ABS($J122-Subj_BldgSF),NA())</f>
        <v/>
      </c>
      <c r="AO122">
        <f>IF(ISNA(AN122),NA(),AN122+ROW()/10000000)</f>
        <v/>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c r="AN123">
        <f>IF(AND($B123=Subj_OccCode,Subj_BldgSF&gt;0,ABS($J123-Subj_BldgSF)&lt;=Subj_BldgSF*Subj_SizeTol),ABS($J123-Subj_BldgSF),NA())</f>
        <v/>
      </c>
      <c r="AO123">
        <f>IF(ISNA(AN123),NA(),AN123+ROW()/10000000)</f>
        <v/>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c r="AN124">
        <f>IF(AND($B124=Subj_OccCode,Subj_BldgSF&gt;0,ABS($J124-Subj_BldgSF)&lt;=Subj_BldgSF*Subj_SizeTol),ABS($J124-Subj_BldgSF),NA())</f>
        <v/>
      </c>
      <c r="AO124">
        <f>IF(ISNA(AN124),NA(),AN124+ROW()/10000000)</f>
        <v/>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c r="AN125">
        <f>IF(AND($B125=Subj_OccCode,Subj_BldgSF&gt;0,ABS($J125-Subj_BldgSF)&lt;=Subj_BldgSF*Subj_SizeTol),ABS($J125-Subj_BldgSF),NA())</f>
        <v/>
      </c>
      <c r="AO125">
        <f>IF(ISNA(AN125),NA(),AN125+ROW()/10000000)</f>
        <v/>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c r="AN126">
        <f>IF(AND($B126=Subj_OccCode,Subj_BldgSF&gt;0,ABS($J126-Subj_BldgSF)&lt;=Subj_BldgSF*Subj_SizeTol),ABS($J126-Subj_BldgSF),NA())</f>
        <v/>
      </c>
      <c r="AO126">
        <f>IF(ISNA(AN126),NA(),AN126+ROW()/10000000)</f>
        <v/>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c r="AN127">
        <f>IF(AND($B127=Subj_OccCode,Subj_BldgSF&gt;0,ABS($J127-Subj_BldgSF)&lt;=Subj_BldgSF*Subj_SizeTol),ABS($J127-Subj_BldgSF),NA())</f>
        <v/>
      </c>
      <c r="AO127">
        <f>IF(ISNA(AN127),NA(),AN127+ROW()/10000000)</f>
        <v/>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c r="AN128">
        <f>IF(AND($B128=Subj_OccCode,Subj_BldgSF&gt;0,ABS($J128-Subj_BldgSF)&lt;=Subj_BldgSF*Subj_SizeTol),ABS($J128-Subj_BldgSF),NA())</f>
        <v/>
      </c>
      <c r="AO128">
        <f>IF(ISNA(AN128),NA(),AN128+ROW()/10000000)</f>
        <v/>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c r="AN129">
        <f>IF(AND($B129=Subj_OccCode,Subj_BldgSF&gt;0,ABS($J129-Subj_BldgSF)&lt;=Subj_BldgSF*Subj_SizeTol),ABS($J129-Subj_BldgSF),NA())</f>
        <v/>
      </c>
      <c r="AO129">
        <f>IF(ISNA(AN129),NA(),AN129+ROW()/10000000)</f>
        <v/>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c r="AN130">
        <f>IF(AND($B130=Subj_OccCode,Subj_BldgSF&gt;0,ABS($J130-Subj_BldgSF)&lt;=Subj_BldgSF*Subj_SizeTol),ABS($J130-Subj_BldgSF),NA())</f>
        <v/>
      </c>
      <c r="AO130">
        <f>IF(ISNA(AN130),NA(),AN130+ROW()/10000000)</f>
        <v/>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c r="AN131">
        <f>IF(AND($B131=Subj_OccCode,Subj_BldgSF&gt;0,ABS($J131-Subj_BldgSF)&lt;=Subj_BldgSF*Subj_SizeTol),ABS($J131-Subj_BldgSF),NA())</f>
        <v/>
      </c>
      <c r="AO131">
        <f>IF(ISNA(AN131),NA(),AN131+ROW()/10000000)</f>
        <v/>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c r="AN132">
        <f>IF(AND($B132=Subj_OccCode,Subj_BldgSF&gt;0,ABS($J132-Subj_BldgSF)&lt;=Subj_BldgSF*Subj_SizeTol),ABS($J132-Subj_BldgSF),NA())</f>
        <v/>
      </c>
      <c r="AO132">
        <f>IF(ISNA(AN132),NA(),AN132+ROW()/10000000)</f>
        <v/>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c r="AN133">
        <f>IF(AND($B133=Subj_OccCode,Subj_BldgSF&gt;0,ABS($J133-Subj_BldgSF)&lt;=Subj_BldgSF*Subj_SizeTol),ABS($J133-Subj_BldgSF),NA())</f>
        <v/>
      </c>
      <c r="AO133">
        <f>IF(ISNA(AN133),NA(),AN133+ROW()/10000000)</f>
        <v/>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c r="AN134">
        <f>IF(AND($B134=Subj_OccCode,Subj_BldgSF&gt;0,ABS($J134-Subj_BldgSF)&lt;=Subj_BldgSF*Subj_SizeTol),ABS($J134-Subj_BldgSF),NA())</f>
        <v/>
      </c>
      <c r="AO134">
        <f>IF(ISNA(AN134),NA(),AN134+ROW()/10000000)</f>
        <v/>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c r="AN135">
        <f>IF(AND($B135=Subj_OccCode,Subj_BldgSF&gt;0,ABS($J135-Subj_BldgSF)&lt;=Subj_BldgSF*Subj_SizeTol),ABS($J135-Subj_BldgSF),NA())</f>
        <v/>
      </c>
      <c r="AO135">
        <f>IF(ISNA(AN135),NA(),AN135+ROW()/10000000)</f>
        <v/>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c r="AN136">
        <f>IF(AND($B136=Subj_OccCode,Subj_BldgSF&gt;0,ABS($J136-Subj_BldgSF)&lt;=Subj_BldgSF*Subj_SizeTol),ABS($J136-Subj_BldgSF),NA())</f>
        <v/>
      </c>
      <c r="AO136">
        <f>IF(ISNA(AN136),NA(),AN136+ROW()/10000000)</f>
        <v/>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c r="AN137">
        <f>IF(AND($B137=Subj_OccCode,Subj_BldgSF&gt;0,ABS($J137-Subj_BldgSF)&lt;=Subj_BldgSF*Subj_SizeTol),ABS($J137-Subj_BldgSF),NA())</f>
        <v/>
      </c>
      <c r="AO137">
        <f>IF(ISNA(AN137),NA(),AN137+ROW()/10000000)</f>
        <v/>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c r="AN138">
        <f>IF(AND($B138=Subj_OccCode,Subj_BldgSF&gt;0,ABS($J138-Subj_BldgSF)&lt;=Subj_BldgSF*Subj_SizeTol),ABS($J138-Subj_BldgSF),NA())</f>
        <v/>
      </c>
      <c r="AO138">
        <f>IF(ISNA(AN138),NA(),AN138+ROW()/10000000)</f>
        <v/>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c r="AN139">
        <f>IF(AND($B139=Subj_OccCode,Subj_BldgSF&gt;0,ABS($J139-Subj_BldgSF)&lt;=Subj_BldgSF*Subj_SizeTol),ABS($J139-Subj_BldgSF),NA())</f>
        <v/>
      </c>
      <c r="AO139">
        <f>IF(ISNA(AN139),NA(),AN139+ROW()/10000000)</f>
        <v/>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c r="AN140">
        <f>IF(AND($B140=Subj_OccCode,Subj_BldgSF&gt;0,ABS($J140-Subj_BldgSF)&lt;=Subj_BldgSF*Subj_SizeTol),ABS($J140-Subj_BldgSF),NA())</f>
        <v/>
      </c>
      <c r="AO140">
        <f>IF(ISNA(AN140),NA(),AN140+ROW()/10000000)</f>
        <v/>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c r="AN141">
        <f>IF(AND($B141=Subj_OccCode,Subj_BldgSF&gt;0,ABS($J141-Subj_BldgSF)&lt;=Subj_BldgSF*Subj_SizeTol),ABS($J141-Subj_BldgSF),NA())</f>
        <v/>
      </c>
      <c r="AO141">
        <f>IF(ISNA(AN141),NA(),AN141+ROW()/10000000)</f>
        <v/>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c r="AN142">
        <f>IF(AND($B142=Subj_OccCode,Subj_BldgSF&gt;0,ABS($J142-Subj_BldgSF)&lt;=Subj_BldgSF*Subj_SizeTol),ABS($J142-Subj_BldgSF),NA())</f>
        <v/>
      </c>
      <c r="AO142">
        <f>IF(ISNA(AN142),NA(),AN142+ROW()/10000000)</f>
        <v/>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c r="AN143">
        <f>IF(AND($B143=Subj_OccCode,Subj_BldgSF&gt;0,ABS($J143-Subj_BldgSF)&lt;=Subj_BldgSF*Subj_SizeTol),ABS($J143-Subj_BldgSF),NA())</f>
        <v/>
      </c>
      <c r="AO143">
        <f>IF(ISNA(AN143),NA(),AN143+ROW()/10000000)</f>
        <v/>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c r="AN144">
        <f>IF(AND($B144=Subj_OccCode,Subj_BldgSF&gt;0,ABS($J144-Subj_BldgSF)&lt;=Subj_BldgSF*Subj_SizeTol),ABS($J144-Subj_BldgSF),NA())</f>
        <v/>
      </c>
      <c r="AO144">
        <f>IF(ISNA(AN144),NA(),AN144+ROW()/10000000)</f>
        <v/>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c r="AN145">
        <f>IF(AND($B145=Subj_OccCode,Subj_BldgSF&gt;0,ABS($J145-Subj_BldgSF)&lt;=Subj_BldgSF*Subj_SizeTol),ABS($J145-Subj_BldgSF),NA())</f>
        <v/>
      </c>
      <c r="AO145">
        <f>IF(ISNA(AN145),NA(),AN145+ROW()/10000000)</f>
        <v/>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c r="AN146">
        <f>IF(AND($B146=Subj_OccCode,Subj_BldgSF&gt;0,ABS($J146-Subj_BldgSF)&lt;=Subj_BldgSF*Subj_SizeTol),ABS($J146-Subj_BldgSF),NA())</f>
        <v/>
      </c>
      <c r="AO146">
        <f>IF(ISNA(AN146),NA(),AN146+ROW()/10000000)</f>
        <v/>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c r="AN147">
        <f>IF(AND($B147=Subj_OccCode,Subj_BldgSF&gt;0,ABS($J147-Subj_BldgSF)&lt;=Subj_BldgSF*Subj_SizeTol),ABS($J147-Subj_BldgSF),NA())</f>
        <v/>
      </c>
      <c r="AO147">
        <f>IF(ISNA(AN147),NA(),AN147+ROW()/10000000)</f>
        <v/>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c r="AN148">
        <f>IF(AND($B148=Subj_OccCode,Subj_BldgSF&gt;0,ABS($J148-Subj_BldgSF)&lt;=Subj_BldgSF*Subj_SizeTol),ABS($J148-Subj_BldgSF),NA())</f>
        <v/>
      </c>
      <c r="AO148">
        <f>IF(ISNA(AN148),NA(),AN148+ROW()/10000000)</f>
        <v/>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c r="AN150">
        <f>IF(AND($B150=Subj_OccCode,Subj_BldgSF&gt;0,ABS($J150-Subj_BldgSF)&lt;=Subj_BldgSF*Subj_SizeTol),ABS($J150-Subj_BldgSF),NA())</f>
        <v/>
      </c>
      <c r="AO150">
        <f>IF(ISNA(AN150),NA(),AN150+ROW()/10000000)</f>
        <v/>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c r="AN151">
        <f>IF(AND($B151=Subj_OccCode,Subj_BldgSF&gt;0,ABS($J151-Subj_BldgSF)&lt;=Subj_BldgSF*Subj_SizeTol),ABS($J151-Subj_BldgSF),NA())</f>
        <v/>
      </c>
      <c r="AO151">
        <f>IF(ISNA(AN151),NA(),AN151+ROW()/10000000)</f>
        <v/>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c r="AN152">
        <f>IF(AND($B152=Subj_OccCode,Subj_BldgSF&gt;0,ABS($J152-Subj_BldgSF)&lt;=Subj_BldgSF*Subj_SizeTol),ABS($J152-Subj_BldgSF),NA())</f>
        <v/>
      </c>
      <c r="AO152">
        <f>IF(ISNA(AN152),NA(),AN152+ROW()/10000000)</f>
        <v/>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c r="AN153">
        <f>IF(AND($B153=Subj_OccCode,Subj_BldgSF&gt;0,ABS($J153-Subj_BldgSF)&lt;=Subj_BldgSF*Subj_SizeTol),ABS($J153-Subj_BldgSF),NA())</f>
        <v/>
      </c>
      <c r="AO153">
        <f>IF(ISNA(AN153),NA(),AN153+ROW()/10000000)</f>
        <v/>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c r="AN154">
        <f>IF(AND($B154=Subj_OccCode,Subj_BldgSF&gt;0,ABS($J154-Subj_BldgSF)&lt;=Subj_BldgSF*Subj_SizeTol),ABS($J154-Subj_BldgSF),NA())</f>
        <v/>
      </c>
      <c r="AO154">
        <f>IF(ISNA(AN154),NA(),AN154+ROW()/10000000)</f>
        <v/>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c r="AN155">
        <f>IF(AND($B155=Subj_OccCode,Subj_BldgSF&gt;0,ABS($J155-Subj_BldgSF)&lt;=Subj_BldgSF*Subj_SizeTol),ABS($J155-Subj_BldgSF),NA())</f>
        <v/>
      </c>
      <c r="AO155">
        <f>IF(ISNA(AN155),NA(),AN155+ROW()/10000000)</f>
        <v/>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c r="AN156">
        <f>IF(AND($B156=Subj_OccCode,Subj_BldgSF&gt;0,ABS($J156-Subj_BldgSF)&lt;=Subj_BldgSF*Subj_SizeTol),ABS($J156-Subj_BldgSF),NA())</f>
        <v/>
      </c>
      <c r="AO156">
        <f>IF(ISNA(AN156),NA(),AN156+ROW()/10000000)</f>
        <v/>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c r="AN157">
        <f>IF(AND($B157=Subj_OccCode,Subj_BldgSF&gt;0,ABS($J157-Subj_BldgSF)&lt;=Subj_BldgSF*Subj_SizeTol),ABS($J157-Subj_BldgSF),NA())</f>
        <v/>
      </c>
      <c r="AO157">
        <f>IF(ISNA(AN157),NA(),AN157+ROW()/10000000)</f>
        <v/>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c r="AN158">
        <f>IF(AND($B158=Subj_OccCode,Subj_BldgSF&gt;0,ABS($J158-Subj_BldgSF)&lt;=Subj_BldgSF*Subj_SizeTol),ABS($J158-Subj_BldgSF),NA())</f>
        <v/>
      </c>
      <c r="AO158">
        <f>IF(ISNA(AN158),NA(),AN158+ROW()/10000000)</f>
        <v/>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c r="AN159">
        <f>IF(AND($B159=Subj_OccCode,Subj_BldgSF&gt;0,ABS($J159-Subj_BldgSF)&lt;=Subj_BldgSF*Subj_SizeTol),ABS($J159-Subj_BldgSF),NA())</f>
        <v/>
      </c>
      <c r="AO159">
        <f>IF(ISNA(AN159),NA(),AN159+ROW()/10000000)</f>
        <v/>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c r="AN160">
        <f>IF(AND($B160=Subj_OccCode,Subj_BldgSF&gt;0,ABS($J160-Subj_BldgSF)&lt;=Subj_BldgSF*Subj_SizeTol),ABS($J160-Subj_BldgSF),NA())</f>
        <v/>
      </c>
      <c r="AO160">
        <f>IF(ISNA(AN160),NA(),AN160+ROW()/10000000)</f>
        <v/>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c r="AN161">
        <f>IF(AND($B161=Subj_OccCode,Subj_BldgSF&gt;0,ABS($J161-Subj_BldgSF)&lt;=Subj_BldgSF*Subj_SizeTol),ABS($J161-Subj_BldgSF),NA())</f>
        <v/>
      </c>
      <c r="AO161">
        <f>IF(ISNA(AN161),NA(),AN161+ROW()/10000000)</f>
        <v/>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c r="AN162">
        <f>IF(AND($B162=Subj_OccCode,Subj_BldgSF&gt;0,ABS($J162-Subj_BldgSF)&lt;=Subj_BldgSF*Subj_SizeTol),ABS($J162-Subj_BldgSF),NA())</f>
        <v/>
      </c>
      <c r="AO162">
        <f>IF(ISNA(AN162),NA(),AN162+ROW()/10000000)</f>
        <v/>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c r="AN163">
        <f>IF(AND($B163=Subj_OccCode,Subj_BldgSF&gt;0,ABS($J163-Subj_BldgSF)&lt;=Subj_BldgSF*Subj_SizeTol),ABS($J163-Subj_BldgSF),NA())</f>
        <v/>
      </c>
      <c r="AO163">
        <f>IF(ISNA(AN163),NA(),AN163+ROW()/10000000)</f>
        <v/>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c r="AN165">
        <f>IF(AND($B165=Subj_OccCode,Subj_BldgSF&gt;0,ABS($J165-Subj_BldgSF)&lt;=Subj_BldgSF*Subj_SizeTol),ABS($J165-Subj_BldgSF),NA())</f>
        <v/>
      </c>
      <c r="AO165">
        <f>IF(ISNA(AN165),NA(),AN165+ROW()/10000000)</f>
        <v/>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c r="AN166">
        <f>IF(AND($B166=Subj_OccCode,Subj_BldgSF&gt;0,ABS($J166-Subj_BldgSF)&lt;=Subj_BldgSF*Subj_SizeTol),ABS($J166-Subj_BldgSF),NA())</f>
        <v/>
      </c>
      <c r="AO166">
        <f>IF(ISNA(AN166),NA(),AN166+ROW()/10000000)</f>
        <v/>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c r="AN167">
        <f>IF(AND($B167=Subj_OccCode,Subj_BldgSF&gt;0,ABS($J167-Subj_BldgSF)&lt;=Subj_BldgSF*Subj_SizeTol),ABS($J167-Subj_BldgSF),NA())</f>
        <v/>
      </c>
      <c r="AO167">
        <f>IF(ISNA(AN167),NA(),AN167+ROW()/10000000)</f>
        <v/>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c r="AN168">
        <f>IF(AND($B168=Subj_OccCode,Subj_BldgSF&gt;0,ABS($J168-Subj_BldgSF)&lt;=Subj_BldgSF*Subj_SizeTol),ABS($J168-Subj_BldgSF),NA())</f>
        <v/>
      </c>
      <c r="AO168">
        <f>IF(ISNA(AN168),NA(),AN168+ROW()/10000000)</f>
        <v/>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c r="AN169">
        <f>IF(AND($B169=Subj_OccCode,Subj_BldgSF&gt;0,ABS($J169-Subj_BldgSF)&lt;=Subj_BldgSF*Subj_SizeTol),ABS($J169-Subj_BldgSF),NA())</f>
        <v/>
      </c>
      <c r="AO169">
        <f>IF(ISNA(AN169),NA(),AN169+ROW()/10000000)</f>
        <v/>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c r="AN171">
        <f>IF(AND($B171=Subj_OccCode,Subj_BldgSF&gt;0,ABS($J171-Subj_BldgSF)&lt;=Subj_BldgSF*Subj_SizeTol),ABS($J171-Subj_BldgSF),NA())</f>
        <v/>
      </c>
      <c r="AO171">
        <f>IF(ISNA(AN171),NA(),AN171+ROW()/10000000)</f>
        <v/>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c r="AN172">
        <f>IF(AND($B172=Subj_OccCode,Subj_BldgSF&gt;0,ABS($J172-Subj_BldgSF)&lt;=Subj_BldgSF*Subj_SizeTol),ABS($J172-Subj_BldgSF),NA())</f>
        <v/>
      </c>
      <c r="AO172">
        <f>IF(ISNA(AN172),NA(),AN172+ROW()/10000000)</f>
        <v/>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c r="AN173">
        <f>IF(AND($B173=Subj_OccCode,Subj_BldgSF&gt;0,ABS($J173-Subj_BldgSF)&lt;=Subj_BldgSF*Subj_SizeTol),ABS($J173-Subj_BldgSF),NA())</f>
        <v/>
      </c>
      <c r="AO173">
        <f>IF(ISNA(AN173),NA(),AN173+ROW()/10000000)</f>
        <v/>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c r="AN174">
        <f>IF(AND($B174=Subj_OccCode,Subj_BldgSF&gt;0,ABS($J174-Subj_BldgSF)&lt;=Subj_BldgSF*Subj_SizeTol),ABS($J174-Subj_BldgSF),NA())</f>
        <v/>
      </c>
      <c r="AO174">
        <f>IF(ISNA(AN174),NA(),AN174+ROW()/10000000)</f>
        <v/>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c r="AN175">
        <f>IF(AND($B175=Subj_OccCode,Subj_BldgSF&gt;0,ABS($J175-Subj_BldgSF)&lt;=Subj_BldgSF*Subj_SizeTol),ABS($J175-Subj_BldgSF),NA())</f>
        <v/>
      </c>
      <c r="AO175">
        <f>IF(ISNA(AN175),NA(),AN175+ROW()/10000000)</f>
        <v/>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c r="AN176">
        <f>IF(AND($B176=Subj_OccCode,Subj_BldgSF&gt;0,ABS($J176-Subj_BldgSF)&lt;=Subj_BldgSF*Subj_SizeTol),ABS($J176-Subj_BldgSF),NA())</f>
        <v/>
      </c>
      <c r="AO176">
        <f>IF(ISNA(AN176),NA(),AN176+ROW()/10000000)</f>
        <v/>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c r="AN177">
        <f>IF(AND($B177=Subj_OccCode,Subj_BldgSF&gt;0,ABS($J177-Subj_BldgSF)&lt;=Subj_BldgSF*Subj_SizeTol),ABS($J177-Subj_BldgSF),NA())</f>
        <v/>
      </c>
      <c r="AO177">
        <f>IF(ISNA(AN177),NA(),AN177+ROW()/10000000)</f>
        <v/>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c r="AN178">
        <f>IF(AND($B178=Subj_OccCode,Subj_BldgSF&gt;0,ABS($J178-Subj_BldgSF)&lt;=Subj_BldgSF*Subj_SizeTol),ABS($J178-Subj_BldgSF),NA())</f>
        <v/>
      </c>
      <c r="AO178">
        <f>IF(ISNA(AN178),NA(),AN178+ROW()/10000000)</f>
        <v/>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c r="AN179">
        <f>IF(AND($B179=Subj_OccCode,Subj_BldgSF&gt;0,ABS($J179-Subj_BldgSF)&lt;=Subj_BldgSF*Subj_SizeTol),ABS($J179-Subj_BldgSF),NA())</f>
        <v/>
      </c>
      <c r="AO179">
        <f>IF(ISNA(AN179),NA(),AN179+ROW()/10000000)</f>
        <v/>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c r="AN180">
        <f>IF(AND($B180=Subj_OccCode,Subj_BldgSF&gt;0,ABS($J180-Subj_BldgSF)&lt;=Subj_BldgSF*Subj_SizeTol),ABS($J180-Subj_BldgSF),NA())</f>
        <v/>
      </c>
      <c r="AO180">
        <f>IF(ISNA(AN180),NA(),AN180+ROW()/10000000)</f>
        <v/>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c r="AN181">
        <f>IF(AND($B181=Subj_OccCode,Subj_BldgSF&gt;0,ABS($J181-Subj_BldgSF)&lt;=Subj_BldgSF*Subj_SizeTol),ABS($J181-Subj_BldgSF),NA())</f>
        <v/>
      </c>
      <c r="AO181">
        <f>IF(ISNA(AN181),NA(),AN181+ROW()/10000000)</f>
        <v/>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c r="AN183">
        <f>IF(AND($B183=Subj_OccCode,Subj_BldgSF&gt;0,ABS($J183-Subj_BldgSF)&lt;=Subj_BldgSF*Subj_SizeTol),ABS($J183-Subj_BldgSF),NA())</f>
        <v/>
      </c>
      <c r="AO183">
        <f>IF(ISNA(AN183),NA(),AN183+ROW()/10000000)</f>
        <v/>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c r="AN184">
        <f>IF(AND($B184=Subj_OccCode,Subj_BldgSF&gt;0,ABS($J184-Subj_BldgSF)&lt;=Subj_BldgSF*Subj_SizeTol),ABS($J184-Subj_BldgSF),NA())</f>
        <v/>
      </c>
      <c r="AO184">
        <f>IF(ISNA(AN184),NA(),AN184+ROW()/10000000)</f>
        <v/>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c r="AN188">
        <f>IF(AND($B188=Subj_OccCode,Subj_BldgSF&gt;0,ABS($J188-Subj_BldgSF)&lt;=Subj_BldgSF*Subj_SizeTol),ABS($J188-Subj_BldgSF),NA())</f>
        <v/>
      </c>
      <c r="AO188">
        <f>IF(ISNA(AN188),NA(),AN188+ROW()/10000000)</f>
        <v/>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c r="AN190">
        <f>IF(AND($B190=Subj_OccCode,Subj_BldgSF&gt;0,ABS($J190-Subj_BldgSF)&lt;=Subj_BldgSF*Subj_SizeTol),ABS($J190-Subj_BldgSF),NA())</f>
        <v/>
      </c>
      <c r="AO190">
        <f>IF(ISNA(AN190),NA(),AN190+ROW()/10000000)</f>
        <v/>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c r="AN194">
        <f>IF(AND($B194=Subj_OccCode,Subj_BldgSF&gt;0,ABS($J194-Subj_BldgSF)&lt;=Subj_BldgSF*Subj_SizeTol),ABS($J194-Subj_BldgSF),NA())</f>
        <v/>
      </c>
      <c r="AO194">
        <f>IF(ISNA(AN194),NA(),AN194+ROW()/10000000)</f>
        <v/>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row>
  </sheetData>
  <mergeCells count="2">
    <mergeCell ref="A2:AH2"/>
    <mergeCell ref="A1:AH1"/>
  </mergeCells>
  <pageMargins left="0.75" right="0.75" top="1" bottom="1" header="0.5" footer="0.5"/>
</worksheet>
</file>

<file path=xl/worksheets/sheet18.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2026-07-10T04:29:46Z</dcterms:modified>
  <cp:lastModifiedBy>Armon Goldanloo</cp:lastModifiedBy>
  <cp:lastPrinted>2021-04-29T19:41:45Z</cp:lastPrinted>
</cp:coreProperties>
</file>