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65" yWindow="-165" windowWidth="29130" windowHeight="17730" tabRatio="600" firstSheet="0" activeTab="2" autoFilterDateGrouping="1"/>
  </bookViews>
  <sheets>
    <sheet name="Subject Property" sheetId="1" state="visible" r:id="rId1"/>
    <sheet name="S" sheetId="2" state="visible" r:id="rId2"/>
    <sheet name="WO" sheetId="3" state="visible" r:id="rId3"/>
    <sheet name="BAA Market" sheetId="4" state="visible" r:id="rId4"/>
    <sheet name="BAA Rent" sheetId="5" state="visible" r:id="rId5"/>
    <sheet name="Appeal" sheetId="6" state="visible" r:id="rId6"/>
    <sheet name="BOCC" sheetId="7" state="visible" r:id="rId7"/>
    <sheet name="M&amp;S Inputs" sheetId="8" state="visible" r:id="rId8"/>
    <sheet name="Cost Approach" sheetId="9" state="visible" r:id="rId9"/>
    <sheet name="Sales" sheetId="10" state="visible" r:id="rId10"/>
    <sheet name="Income" sheetId="11" state="visible" r:id="rId11"/>
    <sheet name="Codes" sheetId="12" state="visible" r:id="rId12"/>
    <sheet name="Occ Codes" sheetId="13" state="visible" r:id="rId13"/>
    <sheet name="Property Registry" sheetId="14" state="visible" r:id="rId14"/>
    <sheet name="Expense Database" sheetId="15" state="visible" r:id="rId15"/>
    <sheet name="PSF Summary" sheetId="16" state="visible" r:id="rId16"/>
  </sheets>
  <externalReferences>
    <externalReference r:id="rId17"/>
    <externalReference r:id="rId18"/>
    <externalReference r:id="rId19"/>
    <externalReference r:id="rId20"/>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OCC_Save">BOCC!$B$22:$K$32</definedName>
    <definedName name="BSquare">"Rectangle 2"</definedName>
    <definedName name="Class">Codes!$A$19:$B$76</definedName>
    <definedName name="_xlnm.Criteria">#REF!</definedName>
    <definedName name="_xlnm.Database">#REF!</definedName>
    <definedName name="Filter_Choices">Codes!$A$68:$A$76</definedName>
    <definedName name="FUNCT">Codes!$A$1:$B$5</definedName>
    <definedName name="GRADE">Codes!$A$93:$B$104</definedName>
    <definedName name="Home">Appeal!$A$1</definedName>
    <definedName name="Location">Codes!$G$1:$H$68</definedName>
    <definedName name="MKT">WO!$A$16</definedName>
    <definedName name="Mkt_Save">'BAA Market'!$B$21:$F$39</definedName>
    <definedName name="model">Codes!$G$1:$H$65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tart_Input">Appeal!$A$48:$L$74</definedName>
    <definedName name="Subj">'BAA Market'!$B$9:$I$12</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[4]Office!#REF!</definedName>
    <definedName name="test6" hidden="1">[4]Office!#REF!</definedName>
    <definedName name="test7" hidden="1">[4]Office!#REF!</definedName>
    <definedName name="test8" hidden="1">[4]Office!#REF!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BC_OCC">'M&amp;S Inputs'!$B$30:$B$289</definedName>
    <definedName name="BC_KEY">'M&amp;S Inputs'!$I$30:$I$289</definedName>
    <definedName name="BC_VALUE">'M&amp;S Inputs'!$H$30:$H$289</definedName>
    <definedName name="BC_CITE">'M&amp;S Inputs'!$M$30:$M$289</definedName>
    <definedName name="OCC_NAME">'M&amp;S Inputs'!$B$293:$B$310</definedName>
    <definedName name="OCC_CODE">'M&amp;S Inputs'!$C$293:$C$310</definedName>
    <definedName name="OCC_SECTION">'M&amp;S Inputs'!$D$293:$D$310</definedName>
    <definedName name="OCC_PAGE">'M&amp;S Inputs'!$E$293:$E$310</definedName>
    <definedName name="OCC_STORY">'M&amp;S Inputs'!$F$293:$F$310</definedName>
    <definedName name="SH14_H">'M&amp;S Inputs'!$C$314:$C$337</definedName>
    <definedName name="SH14_M">'M&amp;S Inputs'!$D$314:$D$337</definedName>
    <definedName name="SH13_H">'M&amp;S Inputs'!$C$340:$C$357</definedName>
    <definedName name="SH13_M">'M&amp;S Inputs'!$D$340:$D$357</definedName>
    <definedName name="SH15_H">'M&amp;S Inputs'!$C$360:$C$374</definedName>
    <definedName name="SH15_M">'M&amp;S Inputs'!$D$360:$D$374</definedName>
    <definedName name="SH11_H">'M&amp;S Inputs'!$C$377:$C$392</definedName>
    <definedName name="SH11_M">'M&amp;S Inputs'!$D$377:$D$392</definedName>
    <definedName name="SPR_HDR">'M&amp;S Inputs'!$C$396:$F$396</definedName>
    <definedName name="SPR14_SF">'M&amp;S Inputs'!$C$398:$C$417</definedName>
    <definedName name="SPR14_VALS">'M&amp;S Inputs'!$D$398:$K$417</definedName>
    <definedName name="SPR13_SF">'M&amp;S Inputs'!$C$420:$C$437</definedName>
    <definedName name="SPR13_VALS">'M&amp;S Inputs'!$D$420:$K$437</definedName>
    <definedName name="SPR15_SF">'M&amp;S Inputs'!$C$440:$C$447</definedName>
    <definedName name="SPR15_VALS">'M&amp;S Inputs'!$D$440:$K$447</definedName>
    <definedName name="CCM_SECTIONHDR">'M&amp;S Inputs'!$D$492:$K$492</definedName>
    <definedName name="CCM_CLASS">'M&amp;S Inputs'!$C$503:$C$507</definedName>
    <definedName name="CCM_VALUES">'M&amp;S Inputs'!$D$503:$K$507</definedName>
    <definedName name="LAM_CLASSHDR">'M&amp;S Inputs'!$C$510:$G$510</definedName>
    <definedName name="LAM_CITY">'M&amp;S Inputs'!$B$511:$B$532</definedName>
    <definedName name="LAM_VALUES">'M&amp;S Inputs'!$C$511:$G$532</definedName>
    <definedName name="DEN_CLASSHDR">'M&amp;S Inputs'!$C$536:$G$536</definedName>
    <definedName name="DEN_LABEL">'M&amp;S Inputs'!$B$537:$B$549</definedName>
    <definedName name="DEN_VALUES">'M&amp;S Inputs'!$C$537:$G$549</definedName>
    <definedName name="LIFE_CLASSHDR">'M&amp;S Inputs'!$D$553:$H$553</definedName>
    <definedName name="LIFE_KEY">'M&amp;S Inputs'!$I$554:$I$623</definedName>
    <definedName name="LIFE_VALUES">'M&amp;S Inputs'!$D$554:$H$623</definedName>
    <definedName name="DEPR_LIFEHDR">'M&amp;S Inputs'!$C$627:$L$627</definedName>
    <definedName name="DEPR_AGE">'M&amp;S Inputs'!$B$628:$B$673</definedName>
    <definedName name="DEPR_VALUES">'M&amp;S Inputs'!$C$628:$L$673</definedName>
    <definedName name="caRCN">'Cost Approach'!$G$51</definedName>
    <definedName name="caRCNDeprec">'Cost Approach'!$G$64</definedName>
    <definedName name="caValue">'Cost Approach'!$G$69</definedName>
    <definedName name="OCC_TABLE_CODE">'Occ Codes'!$B$6:$B$199</definedName>
    <definedName name="OCC_TABLE_DESC">'Occ Codes'!$E$6:$E$199</definedName>
    <definedName name="Subj_Address">'Subject Property'!$C$4</definedName>
    <definedName name="Subj_OccCode">'Subject Property'!$C$5</definedName>
    <definedName name="Subj_BldgSF">'Subject Property'!$C$6</definedName>
    <definedName name="Subj_SiteSF">'Subject Property'!$C$7</definedName>
    <definedName name="Subj_Zoning">'Subject Property'!$C$8</definedName>
    <definedName name="Subj_Condition">'Subject Property'!$C$9</definedName>
    <definedName name="Subj_Quality">'Subject Property'!$C$10</definedName>
    <definedName name="Subj_YOC">'Subject Property'!$C$11</definedName>
    <definedName name="Subj_SizeTol">'Subject Property'!$C$13</definedName>
    <definedName name="_xlnm.Print_Area" localSheetId="2">'WO'!$A$2:$H$56</definedName>
    <definedName name="_Fill" localSheetId="3" hidden="1">[1]Vertical!#REF!</definedName>
    <definedName name="_Key1" localSheetId="3" hidden="1">[1]Vertical!#REF!</definedName>
    <definedName name="_Key2" localSheetId="3" hidden="1">[1]Vertical!#REF!</definedName>
    <definedName name="_Sort" localSheetId="3" hidden="1">[1]Vertical!#REF!</definedName>
    <definedName name="_Fill" localSheetId="4" hidden="1">#REF!</definedName>
    <definedName name="_Key1" localSheetId="4" hidden="1">#REF!</definedName>
    <definedName name="_Key2" localSheetId="4" hidden="1">#REF!</definedName>
    <definedName name="_Sort" localSheetId="4" hidden="1">#REF!</definedName>
    <definedName name="AdjRent1" localSheetId="4">'BAA Rent'!$G$23:$G$41</definedName>
    <definedName name="Location" localSheetId="4">[3]Codes!$G$1:$H$53</definedName>
    <definedName name="rent1" localSheetId="4">'BAA Rent'!$A$18</definedName>
    <definedName name="rent2" localSheetId="4">'BAA Rent'!$A$22</definedName>
    <definedName name="Subj" localSheetId="4">'BAA Rent'!$A$9</definedName>
    <definedName name="_Key1" localSheetId="5" hidden="1">[2]Sales!#REF!</definedName>
    <definedName name="_Key2" localSheetId="5" hidden="1">[2]Sales!#REF!</definedName>
    <definedName name="_Sort" localSheetId="5" hidden="1">[2]Sales!#REF!</definedName>
    <definedName name="Class" localSheetId="5">[2]Sales!#REF!</definedName>
    <definedName name="RENT" localSheetId="5">[2]Sales!#REF!</definedName>
    <definedName name="Rent_Title" localSheetId="5">[2]Sales!#REF!</definedName>
    <definedName name="SALES" localSheetId="5">[2]Sales!#REF!</definedName>
    <definedName name="SCH" localSheetId="5">[2]Sales!#REF!</definedName>
    <definedName name="_xlnm._FilterDatabase" localSheetId="9" hidden="1">'Sales'!$A$1:$AI$941</definedName>
    <definedName name="_xlnm.Print_Area" localSheetId="9">'Sales'!$A$1:$AC$5</definedName>
    <definedName name="_xlnm._FilterDatabase" localSheetId="10" hidden="1">'Income'!$A$1:$AK$1019</definedName>
    <definedName name="_xlnm.Print_Area" localSheetId="10">'Income'!$A$1:$AK$285</definedName>
    <definedName name="_xlnm._FilterDatabase" localSheetId="14" hidden="1">'Expense Database'!$A$3:$AN$197</definedName>
  </definedNames>
  <calcPr calcId="191029" fullCalcOnLoad="1"/>
</workbook>
</file>

<file path=xl/styles.xml><?xml version="1.0" encoding="utf-8"?>
<styleSheet xmlns="http://schemas.openxmlformats.org/spreadsheetml/2006/main">
  <numFmts count="17">
    <numFmt numFmtId="164" formatCode=";;;"/>
    <numFmt numFmtId="165" formatCode="0.00_)"/>
    <numFmt numFmtId="166" formatCode="&quot;$&quot;#,##0_);\(&quot;$&quot;#,##0\)"/>
    <numFmt numFmtId="167" formatCode="&quot;$&quot;#,##0.00_);\(&quot;$&quot;#,##0.00\)"/>
    <numFmt numFmtId="168" formatCode="0.0_)"/>
    <numFmt numFmtId="169" formatCode="&quot;$&quot;#,##0.00"/>
    <numFmt numFmtId="170" formatCode="0.0%"/>
    <numFmt numFmtId="171" formatCode="_(* #,##0_);_(* \(#,##0\);_(* &quot;-&quot;??_);_(@_)"/>
    <numFmt numFmtId="172" formatCode="mm/yy"/>
    <numFmt numFmtId="173" formatCode="0.0"/>
    <numFmt numFmtId="174" formatCode="_(&quot;$&quot;* #,##0.00_);_(&quot;$&quot;* \(#,##0.00\);_(&quot;$&quot;* &quot;-&quot;??_);_(@_)"/>
    <numFmt numFmtId="175" formatCode="&quot;$&quot;#,##0.00_);[Red]\(&quot;$&quot;#,##0.00\)"/>
    <numFmt numFmtId="176" formatCode="&quot;$&quot;#,##0"/>
    <numFmt numFmtId="177" formatCode="m/d/yyyy;@"/>
    <numFmt numFmtId="178" formatCode="0.000"/>
    <numFmt numFmtId="179" formatCode="&quot;Page: &quot;0"/>
    <numFmt numFmtId="180" formatCode="\$#,##0.00"/>
  </numFmts>
  <fonts count="112">
    <font>
      <name val="Helv"/>
      <sz val="9"/>
    </font>
    <font>
      <name val="Arial"/>
      <family val="2"/>
      <sz val="10"/>
    </font>
    <font>
      <name val="Arial"/>
      <family val="2"/>
      <sz val="10"/>
    </font>
    <font>
      <name val="Helv"/>
      <color indexed="12"/>
      <sz val="9"/>
    </font>
    <font>
      <name val="Helv"/>
      <sz val="14"/>
    </font>
    <font>
      <name val="Helv"/>
      <sz val="10"/>
    </font>
    <font>
      <name val="Helv"/>
      <b val="1"/>
      <sz val="14"/>
    </font>
    <font>
      <name val="Helv"/>
      <b val="1"/>
      <sz val="9"/>
    </font>
    <font>
      <name val="Helv"/>
      <sz val="11"/>
    </font>
    <font>
      <name val="Helv"/>
      <b val="1"/>
      <sz val="11"/>
    </font>
    <font>
      <name val="Helv"/>
      <color indexed="10"/>
      <sz val="9"/>
    </font>
    <font>
      <name val="Helv"/>
      <b val="1"/>
      <sz val="10"/>
    </font>
    <font>
      <name val="Helv"/>
      <b val="1"/>
      <sz val="13"/>
    </font>
    <font>
      <name val="Helv"/>
      <color indexed="12"/>
      <sz val="10"/>
    </font>
    <font>
      <name val="Arial"/>
      <family val="2"/>
      <b val="1"/>
      <i val="1"/>
      <sz val="20"/>
    </font>
    <font>
      <name val="Helv"/>
      <sz val="9"/>
    </font>
    <font>
      <name val="Helv"/>
      <sz val="9"/>
    </font>
    <font>
      <name val="Tahoma"/>
      <family val="2"/>
      <color indexed="81"/>
      <sz val="8"/>
    </font>
    <font>
      <name val="Tahoma"/>
      <family val="2"/>
      <b val="1"/>
      <color indexed="81"/>
      <sz val="8"/>
    </font>
    <font>
      <name val="Tahoma"/>
      <family val="2"/>
      <b val="1"/>
      <color indexed="10"/>
      <sz val="8"/>
    </font>
    <font>
      <name val="Arial"/>
      <family val="2"/>
      <sz val="7"/>
    </font>
    <font>
      <name val="Arial"/>
      <family val="2"/>
      <sz val="9"/>
    </font>
    <font>
      <name val="SWISS"/>
      <sz val="9"/>
    </font>
    <font>
      <name val="Arial"/>
      <family val="2"/>
      <sz val="10"/>
    </font>
    <font>
      <name val="SWISS"/>
      <sz val="12"/>
    </font>
    <font>
      <name val="Bookman Old Style"/>
      <family val="1"/>
      <i val="1"/>
      <sz val="20"/>
    </font>
    <font>
      <name val="Bookman Old Style"/>
      <family val="1"/>
      <i val="1"/>
      <sz val="16"/>
    </font>
    <font>
      <name val="CG Times"/>
      <family val="1"/>
      <i val="1"/>
      <sz val="10"/>
    </font>
    <font>
      <name val="Arial"/>
      <family val="2"/>
      <color indexed="8"/>
      <sz val="10"/>
    </font>
    <font>
      <name val="Tahoma"/>
      <family val="2"/>
      <b val="1"/>
      <color indexed="81"/>
      <sz val="10"/>
    </font>
    <font>
      <name val="Tahoma"/>
      <family val="2"/>
      <color indexed="81"/>
      <sz val="10"/>
    </font>
    <font>
      <name val="Tms Rmn"/>
      <sz val="13"/>
    </font>
    <font>
      <name val="Tms Rmn"/>
      <b val="1"/>
      <sz val="13"/>
      <u val="single"/>
    </font>
    <font>
      <name val="Tms Rmn"/>
      <color indexed="12"/>
      <sz val="13"/>
    </font>
    <font>
      <name val="Tms Rmn"/>
      <b val="1"/>
      <sz val="13"/>
    </font>
    <font>
      <name val="Tms Rmn"/>
      <color indexed="12"/>
      <sz val="11"/>
    </font>
    <font>
      <name val="Tms Rmn"/>
      <sz val="11"/>
    </font>
    <font>
      <name val="Tahoma"/>
      <family val="2"/>
      <b val="1"/>
      <color indexed="12"/>
      <sz val="8"/>
    </font>
    <font>
      <name val="Arial"/>
      <family val="2"/>
      <b val="1"/>
      <sz val="16"/>
    </font>
    <font>
      <name val="Arial"/>
      <family val="2"/>
      <b val="1"/>
      <sz val="12"/>
    </font>
    <font>
      <name val="Arial"/>
      <family val="2"/>
      <sz val="11"/>
    </font>
    <font>
      <name val="Arial"/>
      <family val="2"/>
      <color indexed="10"/>
      <sz val="11"/>
    </font>
    <font>
      <name val="Georgia"/>
      <family val="1"/>
      <b val="1"/>
      <color indexed="57"/>
      <sz val="11"/>
    </font>
    <font>
      <name val="Arial"/>
      <family val="2"/>
      <sz val="8"/>
    </font>
    <font>
      <name val="Arial"/>
      <family val="2"/>
      <color indexed="10"/>
      <sz val="10"/>
    </font>
    <font>
      <name val="Helv"/>
      <sz val="8"/>
    </font>
    <font>
      <name val="Bookman Old Style"/>
      <family val="1"/>
      <i val="1"/>
      <color indexed="8"/>
      <sz val="20"/>
    </font>
    <font>
      <name val="Bookman Old Style"/>
      <family val="1"/>
      <i val="1"/>
      <color indexed="8"/>
      <sz val="16"/>
    </font>
    <font>
      <name val="CG Times"/>
      <family val="1"/>
      <i val="1"/>
      <color indexed="8"/>
      <sz val="10"/>
    </font>
    <font>
      <name val="Tms Rmn"/>
      <b val="1"/>
      <sz val="11"/>
    </font>
    <font>
      <name val="CG Times"/>
      <family val="1"/>
      <sz val="13"/>
    </font>
    <font>
      <name val="CG Times"/>
      <family val="1"/>
      <sz val="11"/>
    </font>
    <font>
      <name val="CG Times"/>
      <family val="1"/>
      <b val="1"/>
      <sz val="11"/>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66"/>
      <sz val="13"/>
    </font>
    <font>
      <name val="Albertus Medium"/>
      <b val="1"/>
      <color rgb="FF0000FF"/>
      <sz val="13"/>
    </font>
    <font>
      <name val="Tms Rmn"/>
      <color rgb="FF993300"/>
      <sz val="13"/>
    </font>
    <font>
      <name val="Tms Rmn"/>
      <color rgb="FFFF6600"/>
      <sz val="13"/>
    </font>
    <font>
      <name val="Helv"/>
      <b val="1"/>
      <color rgb="FFFF0000"/>
      <sz val="9"/>
    </font>
    <font>
      <name val="Arial"/>
      <family val="2"/>
      <color theme="1"/>
      <sz val="10"/>
    </font>
    <font>
      <b val="1"/>
      <sz val="13"/>
    </font>
    <font>
      <b val="1"/>
      <color rgb="00FFFFFF"/>
      <sz val="12"/>
    </font>
    <font>
      <b val="1"/>
      <sz val="10"/>
    </font>
    <font>
      <b val="1"/>
      <color rgb="00203864"/>
      <sz val="12"/>
    </font>
    <font>
      <b val="1"/>
      <color rgb="001F4E78"/>
      <sz val="10"/>
    </font>
    <font>
      <b val="1"/>
      <sz val="9"/>
    </font>
    <font>
      <i val="1"/>
      <color rgb="00C00000"/>
      <sz val="8"/>
    </font>
    <font>
      <i val="1"/>
      <color rgb="00666666"/>
      <sz val="8"/>
    </font>
    <font/>
    <font>
      <b val="1"/>
      <color rgb="00FFFFFF"/>
      <sz val="11"/>
    </font>
    <font>
      <b val="1"/>
    </font>
    <font>
      <b val="1"/>
      <sz val="12"/>
    </font>
    <font>
      <b val="1"/>
      <color rgb="00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i val="1"/>
      <color rgb="007F7F7F"/>
      <sz val="9"/>
    </font>
    <font>
      <b val="1"/>
      <color rgb="00FFFFFF"/>
    </font>
    <font>
      <name val="Aptos Narrow"/>
      <b val="1"/>
      <color rgb="FFFFFFFF"/>
      <sz val="13"/>
    </font>
    <font>
      <name val="Aptos Narrow"/>
      <i val="1"/>
      <color rgb="FFFFFFFF"/>
      <sz val="10"/>
    </font>
    <font>
      <name val="Aptos Narrow"/>
      <b val="1"/>
      <color rgb="FFFFFFFF"/>
      <sz val="10"/>
    </font>
    <font>
      <name val="Calibri"/>
      <b val="1"/>
      <sz val="10"/>
    </font>
    <font>
      <name val="Aptos Narrow"/>
      <sz val="10"/>
    </font>
    <font>
      <name val="Calibri"/>
      <sz val="10"/>
    </font>
    <font>
      <name val="Calibri"/>
      <b val="1"/>
      <color rgb="FFFFFFFF"/>
      <sz val="13"/>
    </font>
    <font>
      <name val="Aptos Narrow"/>
      <b val="1"/>
      <sz val="10"/>
    </font>
    <font>
      <name val="Calibri"/>
      <i val="1"/>
      <sz val="9"/>
    </font>
    <font>
      <name val="Calibri"/>
      <b val="1"/>
      <sz val="9"/>
    </font>
    <font>
      <b val="1"/>
      <sz val="11"/>
    </font>
    <font>
      <b val="1"/>
      <color rgb="001F3864"/>
      <sz val="12"/>
    </font>
    <font>
      <b val="1"/>
      <color rgb="001F3864"/>
      <sz val="10"/>
    </font>
    <font>
      <name val="CG Times"/>
      <b val="1"/>
      <sz val="10"/>
    </font>
    <font>
      <name val="Bookman Old Style"/>
      <b val="1"/>
      <sz val="16"/>
    </font>
    <font>
      <name val="Arial"/>
      <b val="1"/>
      <sz val="10"/>
    </font>
    <font>
      <name val="CG Times"/>
      <b val="1"/>
      <sz val="11"/>
    </font>
    <font>
      <name val="Arial"/>
      <b val="1"/>
      <color rgb="00FFFFFF"/>
      <sz val="10"/>
    </font>
    <font>
      <i val="1"/>
    </font>
    <font>
      <i val="1"/>
      <sz val="9"/>
    </font>
    <font>
      <i val="1"/>
      <color rgb="00C00000"/>
    </font>
  </fonts>
  <fills count="28">
    <fill>
      <patternFill/>
    </fill>
    <fill>
      <patternFill patternType="gray125"/>
    </fill>
    <fill>
      <patternFill patternType="gray125">
        <fgColor indexed="8"/>
      </patternFill>
    </fill>
    <fill>
      <patternFill patternType="gray0625">
        <bgColor indexed="22"/>
      </patternFill>
    </fill>
    <fill>
      <patternFill patternType="solid">
        <fgColor indexed="65"/>
        <bgColor indexed="64"/>
      </patternFill>
    </fill>
    <fill>
      <patternFill patternType="solid">
        <fgColor indexed="8"/>
      </patternFill>
    </fill>
    <fill>
      <patternFill patternType="solid">
        <fgColor rgb="00C00000"/>
      </patternFill>
    </fill>
    <fill>
      <patternFill patternType="solid">
        <fgColor rgb="00203864"/>
      </patternFill>
    </fill>
    <fill>
      <patternFill patternType="solid">
        <fgColor rgb="00D6DCE5"/>
      </patternFill>
    </fill>
    <fill>
      <patternFill patternType="solid">
        <fgColor rgb="0070AD47"/>
      </patternFill>
    </fill>
    <fill>
      <patternFill patternType="solid">
        <fgColor rgb="00DDEBF7"/>
      </patternFill>
    </fill>
    <fill>
      <patternFill patternType="solid">
        <fgColor rgb="00E2EFDA"/>
      </patternFill>
    </fill>
    <fill>
      <patternFill patternType="solid">
        <fgColor rgb="004472C4"/>
      </patternFill>
    </fill>
    <fill>
      <patternFill patternType="solid">
        <fgColor rgb="00FFF2CC"/>
      </patternFill>
    </fill>
    <fill>
      <patternFill patternType="solid">
        <fgColor rgb="00F2F2F2"/>
      </patternFill>
    </fill>
    <fill>
      <patternFill patternType="solid">
        <fgColor rgb="001F3864"/>
      </patternFill>
    </fill>
    <fill>
      <patternFill patternType="solid">
        <fgColor rgb="00D9E1F2"/>
      </patternFill>
    </fill>
    <fill>
      <patternFill patternType="solid">
        <fgColor rgb="0044546A"/>
      </patternFill>
    </fill>
    <fill>
      <patternFill patternType="solid">
        <fgColor theme="0"/>
        <bgColor indexed="64"/>
      </patternFill>
    </fill>
    <fill>
      <patternFill patternType="solid">
        <fgColor rgb="FF1F3864"/>
      </patternFill>
    </fill>
    <fill>
      <patternFill patternType="solid">
        <fgColor rgb="FF2F5496"/>
      </patternFill>
    </fill>
    <fill>
      <patternFill patternType="solid">
        <fgColor rgb="FFD9E1F2"/>
      </patternFill>
    </fill>
    <fill>
      <patternFill patternType="solid">
        <fgColor rgb="FFD6E4F0"/>
      </patternFill>
    </fill>
    <fill>
      <patternFill patternType="solid">
        <fgColor rgb="FFF2F2F2"/>
      </patternFill>
    </fill>
    <fill>
      <patternFill patternType="solid">
        <fgColor rgb="FFFFF2CC"/>
      </patternFill>
    </fill>
    <fill>
      <patternFill patternType="solid">
        <fgColor rgb="FFEBF3FB"/>
      </patternFill>
    </fill>
    <fill>
      <patternFill patternType="solid">
        <fgColor rgb="FFE2EFDA"/>
      </patternFill>
    </fill>
    <fill>
      <patternFill patternType="solid">
        <fgColor rgb="FFFCE4D6"/>
      </patternFill>
    </fill>
  </fills>
  <borders count="68">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right style="thin">
        <color indexed="8"/>
      </right>
      <top/>
      <bottom/>
      <diagonal/>
    </border>
    <border>
      <left/>
      <right style="double">
        <color indexed="8"/>
      </right>
      <top/>
      <bottom/>
      <diagonal/>
    </border>
    <border>
      <left style="double">
        <color indexed="8"/>
      </left>
      <right/>
      <top/>
      <bottom style="thin">
        <color indexed="8"/>
      </bottom>
      <diagonal/>
    </border>
    <border>
      <left/>
      <right style="thin">
        <color indexed="8"/>
      </right>
      <top/>
      <bottom style="thin">
        <color indexed="8"/>
      </bottom>
      <diagonal/>
    </border>
    <border>
      <left/>
      <right style="double">
        <color indexed="8"/>
      </right>
      <top/>
      <bottom style="thin">
        <color indexed="8"/>
      </bottom>
      <diagonal/>
    </border>
    <border>
      <left style="double">
        <color indexed="8"/>
      </left>
      <right/>
      <top/>
      <bottom style="double">
        <color indexed="8"/>
      </bottom>
      <diagonal/>
    </border>
    <border>
      <left style="double">
        <color indexed="8"/>
      </left>
      <right/>
      <top style="thin">
        <color indexed="8"/>
      </top>
      <bottom/>
      <diagonal/>
    </border>
    <border>
      <left style="thin">
        <color indexed="8"/>
      </left>
      <right style="thin">
        <color indexed="8"/>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double">
        <color indexed="8"/>
      </left>
      <right style="thin">
        <color indexed="8"/>
      </right>
      <top/>
      <bottom/>
      <diagonal/>
    </border>
    <border>
      <left style="double">
        <color indexed="8"/>
      </left>
      <right style="thin">
        <color indexed="8"/>
      </right>
      <top/>
      <bottom style="thin">
        <color indexed="8"/>
      </bottom>
      <diagonal/>
    </border>
    <border>
      <left style="double">
        <color indexed="8"/>
      </left>
      <right style="thin">
        <color indexed="8"/>
      </right>
      <top/>
      <bottom style="double">
        <color indexed="8"/>
      </bottom>
      <diagonal/>
    </border>
    <border>
      <left/>
      <right style="thin">
        <color indexed="8"/>
      </right>
      <top/>
      <bottom style="double">
        <color indexed="8"/>
      </bottom>
      <diagonal/>
    </border>
    <border>
      <left/>
      <right/>
      <top style="double">
        <color indexed="8"/>
      </top>
      <bottom/>
      <diagonal/>
    </border>
    <border>
      <left/>
      <right style="double">
        <color indexed="8"/>
      </right>
      <top style="double">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thin">
        <color indexed="8"/>
      </left>
      <right style="double">
        <color indexed="8"/>
      </right>
      <top/>
      <bottom/>
      <diagonal/>
    </border>
    <border>
      <left style="thin">
        <color indexed="8"/>
      </left>
      <right style="double">
        <color indexed="8"/>
      </right>
      <top/>
      <bottom style="thin">
        <color indexed="8"/>
      </bottom>
      <diagonal/>
    </border>
    <border>
      <left style="double">
        <color indexed="8"/>
      </left>
      <right/>
      <top style="double">
        <color indexed="8"/>
      </top>
      <bottom/>
      <diagonal/>
    </border>
    <border>
      <left style="thin">
        <color indexed="8"/>
      </left>
      <right style="double">
        <color indexed="8"/>
      </right>
      <top/>
      <bottom style="double">
        <color indexed="8"/>
      </bottom>
      <diagonal/>
    </border>
    <border>
      <left/>
      <right style="double">
        <color indexed="8"/>
      </right>
      <top/>
      <bottom style="double">
        <color indexed="8"/>
      </bottom>
      <diagonal/>
    </border>
    <border>
      <left style="thin">
        <color indexed="8"/>
      </left>
      <right style="thin">
        <color indexed="8"/>
      </right>
      <top/>
      <bottom style="double">
        <color indexed="8"/>
      </bottom>
      <diagonal/>
    </border>
    <border>
      <left style="double">
        <color indexed="64"/>
      </left>
      <right style="double">
        <color indexed="64"/>
      </right>
      <top style="double">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8"/>
      </left>
      <right style="double">
        <color indexed="8"/>
      </right>
      <top style="double">
        <color indexed="8"/>
      </top>
      <bottom/>
      <diagonal/>
    </border>
    <border>
      <left style="double">
        <color indexed="8"/>
      </left>
      <right style="double">
        <color indexed="8"/>
      </right>
      <top/>
      <bottom/>
      <diagonal/>
    </border>
    <border>
      <left style="double">
        <color indexed="8"/>
      </left>
      <right style="double">
        <color indexed="8"/>
      </right>
      <top/>
      <bottom style="double">
        <color indexed="8"/>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style="thin">
        <color indexed="8"/>
      </left>
      <right/>
      <top/>
      <bottom style="thin">
        <color indexed="8"/>
      </bottom>
      <diagonal/>
    </border>
    <border>
      <left/>
      <right/>
      <top/>
      <bottom style="thick">
        <color indexed="64"/>
      </bottom>
      <diagonal/>
    </border>
    <border>
      <left style="thin">
        <color indexed="8"/>
      </left>
      <right/>
      <top style="thin">
        <color indexed="8"/>
      </top>
      <bottom/>
      <diagonal/>
    </border>
    <border>
      <left/>
      <right/>
      <top/>
      <bottom style="double">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border>
      <right/>
      <bottom/>
    </border>
    <border>
      <left style="thin">
        <color rgb="00BFBFBF"/>
      </left>
      <right style="thin">
        <color rgb="00BFBFBF"/>
      </right>
      <top style="thin">
        <color rgb="00BFBFBF"/>
      </top>
      <bottom style="thin">
        <color rgb="00BFBFBF"/>
      </bottom>
    </border>
    <border>
      <left/>
      <right/>
      <top/>
      <bottom style="thin">
        <color auto="1"/>
      </bottom>
      <diagonal/>
    </border>
    <border>
      <left style="thin">
        <color auto="1"/>
      </left>
      <right style="thin">
        <color auto="1"/>
      </right>
      <top style="thin">
        <color auto="1"/>
      </top>
      <bottom style="thin">
        <color auto="1"/>
      </bottom>
      <diagonal/>
    </border>
    <border>
      <left/>
      <right/>
      <top style="thin">
        <color rgb="00BFBFBF"/>
      </top>
      <bottom/>
      <diagonal/>
    </border>
    <border>
      <left/>
      <right style="thin">
        <color rgb="00BFBFBF"/>
      </right>
      <top style="thin">
        <color rgb="00BFBFBF"/>
      </top>
      <bottom/>
      <diagonal/>
    </border>
    <border>
      <left/>
      <right style="thin">
        <color rgb="00BFBFBF"/>
      </right>
      <top style="thin">
        <color rgb="00BFBFBF"/>
      </top>
      <bottom style="thin">
        <color rgb="00BFBFBF"/>
      </bottom>
      <diagonal/>
    </border>
  </borders>
  <cellStyleXfs count="13">
    <xf numFmtId="0" fontId="16" fillId="0" borderId="0"/>
    <xf numFmtId="43" fontId="23" fillId="0" borderId="0"/>
    <xf numFmtId="43" fontId="55" fillId="0" borderId="0"/>
    <xf numFmtId="44" fontId="23" fillId="0" borderId="0"/>
    <xf numFmtId="0" fontId="56" fillId="0" borderId="0"/>
    <xf numFmtId="0" fontId="54" fillId="0" borderId="0"/>
    <xf numFmtId="0" fontId="31" fillId="0" borderId="0"/>
    <xf numFmtId="0" fontId="24" fillId="0" borderId="0"/>
    <xf numFmtId="0" fontId="23" fillId="0" borderId="0"/>
    <xf numFmtId="0" fontId="23" fillId="0" borderId="0"/>
    <xf numFmtId="0" fontId="16" fillId="0" borderId="0"/>
    <xf numFmtId="0" fontId="16" fillId="0" borderId="0"/>
    <xf numFmtId="9" fontId="23" fillId="0" borderId="0"/>
  </cellStyleXfs>
  <cellXfs count="894">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4" fillId="0" borderId="0" pivotButton="0" quotePrefix="0" xfId="0"/>
    <xf numFmtId="0" fontId="5" fillId="0" borderId="0" pivotButton="0" quotePrefix="0" xfId="0"/>
    <xf numFmtId="0" fontId="7" fillId="0" borderId="0" pivotButton="0" quotePrefix="0" xfId="0"/>
    <xf numFmtId="0" fontId="6" fillId="2" borderId="1" pivotButton="0" quotePrefix="0" xfId="0"/>
    <xf numFmtId="0" fontId="6" fillId="2" borderId="2" pivotButton="0" quotePrefix="0" xfId="0"/>
    <xf numFmtId="0" fontId="0" fillId="2" borderId="2" pivotButton="0" quotePrefix="0" xfId="0"/>
    <xf numFmtId="0" fontId="0" fillId="2" borderId="3" pivotButton="0" quotePrefix="0" xfId="0"/>
    <xf numFmtId="0" fontId="0" fillId="0" borderId="4" pivotButton="0" quotePrefix="0" xfId="0"/>
    <xf numFmtId="0" fontId="8" fillId="0" borderId="5" pivotButton="0" quotePrefix="0" xfId="0"/>
    <xf numFmtId="0" fontId="8" fillId="0" borderId="5" applyAlignment="1" pivotButton="0" quotePrefix="0" xfId="0">
      <alignment horizontal="right"/>
    </xf>
    <xf numFmtId="0" fontId="8" fillId="0" borderId="5" applyAlignment="1" pivotButton="0" quotePrefix="0" xfId="0">
      <alignment horizontal="center"/>
    </xf>
    <xf numFmtId="0" fontId="8" fillId="0" borderId="6" applyAlignment="1" pivotButton="0" quotePrefix="0" xfId="0">
      <alignment horizontal="right"/>
    </xf>
    <xf numFmtId="0" fontId="8" fillId="0" borderId="0" pivotButton="0" quotePrefix="0" xfId="0"/>
    <xf numFmtId="0" fontId="0" fillId="0" borderId="7" pivotButton="0" quotePrefix="0" xfId="0"/>
    <xf numFmtId="0" fontId="8" fillId="0" borderId="8" pivotButton="0" quotePrefix="0" xfId="0"/>
    <xf numFmtId="0" fontId="8" fillId="0" borderId="8" applyAlignment="1" pivotButton="0" quotePrefix="0" xfId="0">
      <alignment horizontal="right"/>
    </xf>
    <xf numFmtId="0" fontId="8" fillId="0" borderId="8" applyAlignment="1" pivotButton="0" quotePrefix="0" xfId="0">
      <alignment horizontal="center"/>
    </xf>
    <xf numFmtId="0" fontId="9" fillId="0" borderId="9" applyAlignment="1" pivotButton="0" quotePrefix="0" xfId="0">
      <alignment horizontal="right"/>
    </xf>
    <xf numFmtId="0" fontId="0" fillId="0" borderId="10" pivotButton="0" quotePrefix="0" xfId="0"/>
    <xf numFmtId="0" fontId="0" fillId="0" borderId="11" pivotButton="0" quotePrefix="0" xfId="0"/>
    <xf numFmtId="0" fontId="8" fillId="0" borderId="12" pivotButton="0" quotePrefix="0" xfId="0"/>
    <xf numFmtId="0" fontId="8" fillId="0" borderId="13" applyAlignment="1" pivotButton="0" quotePrefix="0" xfId="0">
      <alignment horizontal="right"/>
    </xf>
    <xf numFmtId="0" fontId="8" fillId="0" borderId="12" applyAlignment="1" pivotButton="0" quotePrefix="0" xfId="0">
      <alignment horizontal="right"/>
    </xf>
    <xf numFmtId="0" fontId="8" fillId="0" borderId="13" applyAlignment="1" pivotButton="0" quotePrefix="0" xfId="0">
      <alignment horizontal="center"/>
    </xf>
    <xf numFmtId="0" fontId="8" fillId="0" borderId="14" applyAlignment="1" pivotButton="0" quotePrefix="0" xfId="0">
      <alignment horizontal="right"/>
    </xf>
    <xf numFmtId="0" fontId="8" fillId="0" borderId="15" pivotButton="0" quotePrefix="0" xfId="0"/>
    <xf numFmtId="0" fontId="8" fillId="0" borderId="0" applyAlignment="1" pivotButton="0" quotePrefix="0" xfId="0">
      <alignment horizontal="right"/>
    </xf>
    <xf numFmtId="0" fontId="8" fillId="0" borderId="15" applyAlignment="1" pivotButton="0" quotePrefix="0" xfId="0">
      <alignment horizontal="right"/>
    </xf>
    <xf numFmtId="0" fontId="8" fillId="0" borderId="0" applyAlignment="1" pivotButton="0" quotePrefix="0" xfId="0">
      <alignment horizontal="center"/>
    </xf>
    <xf numFmtId="0" fontId="0" fillId="0" borderId="7" applyAlignment="1" pivotButton="0" quotePrefix="0" xfId="0">
      <alignment horizontal="center"/>
    </xf>
    <xf numFmtId="0" fontId="8" fillId="0" borderId="16" pivotButton="0" quotePrefix="0" xfId="0"/>
    <xf numFmtId="0" fontId="8" fillId="0" borderId="17" applyAlignment="1" pivotButton="0" quotePrefix="0" xfId="0">
      <alignment horizontal="right"/>
    </xf>
    <xf numFmtId="0" fontId="8" fillId="0" borderId="16" applyAlignment="1" pivotButton="0" quotePrefix="0" xfId="0">
      <alignment horizontal="right"/>
    </xf>
    <xf numFmtId="0" fontId="8" fillId="0" borderId="17" applyAlignment="1" pivotButton="0" quotePrefix="0" xfId="0">
      <alignment horizontal="center"/>
    </xf>
    <xf numFmtId="0" fontId="10" fillId="0" borderId="0" pivotButton="0" quotePrefix="0" xfId="0"/>
    <xf numFmtId="0" fontId="0" fillId="0" borderId="18" pivotButton="0" quotePrefix="0" xfId="0"/>
    <xf numFmtId="0" fontId="5" fillId="0" borderId="5" pivotButton="0" quotePrefix="0" xfId="0"/>
    <xf numFmtId="0" fontId="0" fillId="0" borderId="18" applyAlignment="1" pivotButton="0" quotePrefix="0" xfId="0">
      <alignment horizontal="center"/>
    </xf>
    <xf numFmtId="0" fontId="0" fillId="0" borderId="19" pivotButton="0" quotePrefix="0" xfId="0"/>
    <xf numFmtId="0" fontId="5" fillId="0" borderId="8" pivotButton="0" quotePrefix="0" xfId="0"/>
    <xf numFmtId="0" fontId="0" fillId="0" borderId="20" pivotButton="0" quotePrefix="0" xfId="0"/>
    <xf numFmtId="0" fontId="5" fillId="0" borderId="21" pivotButton="0" quotePrefix="0" xfId="0"/>
    <xf numFmtId="0" fontId="7" fillId="0" borderId="22" pivotButton="0" quotePrefix="0" xfId="0"/>
    <xf numFmtId="0" fontId="0" fillId="0" borderId="22" pivotButton="0" quotePrefix="0" xfId="0"/>
    <xf numFmtId="0" fontId="0" fillId="0" borderId="23" pivotButton="0" quotePrefix="0" xfId="0"/>
    <xf numFmtId="0" fontId="0" fillId="2" borderId="23" pivotButton="0" quotePrefix="0" xfId="0"/>
    <xf numFmtId="0" fontId="0" fillId="0" borderId="24" pivotButton="0" quotePrefix="0" xfId="0"/>
    <xf numFmtId="0" fontId="8" fillId="0" borderId="14" pivotButton="0" quotePrefix="0" xfId="0"/>
    <xf numFmtId="0" fontId="8" fillId="0" borderId="14" applyAlignment="1" pivotButton="0" quotePrefix="0" xfId="0">
      <alignment horizontal="center"/>
    </xf>
    <xf numFmtId="0" fontId="8" fillId="0" borderId="25" pivotButton="0" quotePrefix="0" xfId="0"/>
    <xf numFmtId="0" fontId="8" fillId="0" borderId="26" applyAlignment="1" pivotButton="0" quotePrefix="0" xfId="0">
      <alignment horizontal="right"/>
    </xf>
    <xf numFmtId="0" fontId="0" fillId="0" borderId="19" applyAlignment="1" pivotButton="0" quotePrefix="0" xfId="0">
      <alignment horizontal="center"/>
    </xf>
    <xf numFmtId="0" fontId="8" fillId="0" borderId="27" applyAlignment="1" pivotButton="0" quotePrefix="0" xfId="0">
      <alignment horizontal="right"/>
    </xf>
    <xf numFmtId="0" fontId="12" fillId="0" borderId="28" pivotButton="0" quotePrefix="0" xfId="0"/>
    <xf numFmtId="165" fontId="8" fillId="0" borderId="0" pivotButton="0" quotePrefix="0" xfId="0"/>
    <xf numFmtId="0" fontId="6" fillId="0" borderId="0" pivotButton="0" quotePrefix="0" xfId="0"/>
    <xf numFmtId="0" fontId="0" fillId="2" borderId="2" applyAlignment="1" pivotButton="0" quotePrefix="0" xfId="0">
      <alignment horizontal="right"/>
    </xf>
    <xf numFmtId="0" fontId="5" fillId="0" borderId="5" applyAlignment="1" pivotButton="0" quotePrefix="0" xfId="0">
      <alignment horizontal="right"/>
    </xf>
    <xf numFmtId="0" fontId="5" fillId="0" borderId="8" applyAlignment="1" pivotButton="0" quotePrefix="0" xfId="0">
      <alignment horizontal="right"/>
    </xf>
    <xf numFmtId="0" fontId="5" fillId="0" borderId="21" applyAlignment="1" pivotButton="0" quotePrefix="0" xfId="0">
      <alignment horizontal="right"/>
    </xf>
    <xf numFmtId="37" fontId="5" fillId="0" borderId="5" applyAlignment="1" pivotButton="0" quotePrefix="0" xfId="0">
      <alignment horizontal="right"/>
    </xf>
    <xf numFmtId="37" fontId="5" fillId="0" borderId="8" applyAlignment="1" pivotButton="0" quotePrefix="0" xfId="0">
      <alignment horizontal="right"/>
    </xf>
    <xf numFmtId="37" fontId="5" fillId="0" borderId="21" applyAlignment="1" pivotButton="0" quotePrefix="0" xfId="0">
      <alignment horizontal="right"/>
    </xf>
    <xf numFmtId="0" fontId="5" fillId="0" borderId="5" applyAlignment="1" pivotButton="0" quotePrefix="0" xfId="0">
      <alignment horizontal="center"/>
    </xf>
    <xf numFmtId="0" fontId="5" fillId="0" borderId="8" applyAlignment="1" pivotButton="0" quotePrefix="0" xfId="0">
      <alignment horizontal="center"/>
    </xf>
    <xf numFmtId="0" fontId="5" fillId="0" borderId="21" applyAlignment="1" pivotButton="0" quotePrefix="0" xfId="0">
      <alignment horizontal="center"/>
    </xf>
    <xf numFmtId="166" fontId="5" fillId="0" borderId="5" applyAlignment="1" pivotButton="0" quotePrefix="0" xfId="0">
      <alignment horizontal="right"/>
    </xf>
    <xf numFmtId="166" fontId="5" fillId="0" borderId="8" applyAlignment="1" pivotButton="0" quotePrefix="0" xfId="0">
      <alignment horizontal="right"/>
    </xf>
    <xf numFmtId="166" fontId="5" fillId="0" borderId="21" applyAlignment="1" pivotButton="0" quotePrefix="0" xfId="0">
      <alignment horizontal="right"/>
    </xf>
    <xf numFmtId="167" fontId="5" fillId="0" borderId="5" applyAlignment="1" pivotButton="0" quotePrefix="0" xfId="0">
      <alignment horizontal="right"/>
    </xf>
    <xf numFmtId="9" fontId="5" fillId="0" borderId="5" applyAlignment="1" applyProtection="1" pivotButton="0" quotePrefix="0" xfId="0">
      <alignment horizontal="right"/>
      <protection locked="0" hidden="0"/>
    </xf>
    <xf numFmtId="167" fontId="5" fillId="0" borderId="8" applyAlignment="1" pivotButton="0" quotePrefix="0" xfId="0">
      <alignment horizontal="right"/>
    </xf>
    <xf numFmtId="167" fontId="5" fillId="0" borderId="21" applyAlignment="1" pivotButton="0" quotePrefix="0" xfId="0">
      <alignment horizontal="right"/>
    </xf>
    <xf numFmtId="0" fontId="0" fillId="2" borderId="3" applyAlignment="1" pivotButton="0" quotePrefix="0" xfId="0">
      <alignment horizontal="right"/>
    </xf>
    <xf numFmtId="167" fontId="5" fillId="0" borderId="6" applyAlignment="1" pivotButton="0" quotePrefix="0" xfId="0">
      <alignment horizontal="right"/>
    </xf>
    <xf numFmtId="166" fontId="11" fillId="0" borderId="9" applyAlignment="1" pivotButton="0" quotePrefix="0" xfId="0">
      <alignment horizontal="right"/>
    </xf>
    <xf numFmtId="0" fontId="5" fillId="0" borderId="26" applyAlignment="1" pivotButton="0" quotePrefix="0" xfId="0">
      <alignment horizontal="right"/>
    </xf>
    <xf numFmtId="9" fontId="5" fillId="0" borderId="5" applyAlignment="1" pivotButton="0" quotePrefix="0" xfId="0">
      <alignment horizontal="right"/>
    </xf>
    <xf numFmtId="9" fontId="5" fillId="0" borderId="26" applyAlignment="1" applyProtection="1" pivotButton="0" quotePrefix="0" xfId="0">
      <alignment horizontal="right"/>
      <protection locked="0" hidden="0"/>
    </xf>
    <xf numFmtId="9" fontId="5" fillId="0" borderId="8" applyAlignment="1" pivotButton="0" quotePrefix="0" xfId="0">
      <alignment horizontal="right"/>
    </xf>
    <xf numFmtId="167" fontId="5" fillId="0" borderId="26" applyAlignment="1" pivotButton="0" quotePrefix="0" xfId="0">
      <alignment horizontal="right"/>
    </xf>
    <xf numFmtId="0" fontId="5" fillId="0" borderId="25" applyAlignment="1" pivotButton="0" quotePrefix="0" xfId="0">
      <alignment horizontal="right"/>
    </xf>
    <xf numFmtId="9" fontId="5" fillId="0" borderId="21" applyAlignment="1" pivotButton="0" quotePrefix="0" xfId="0">
      <alignment horizontal="right"/>
    </xf>
    <xf numFmtId="167" fontId="5" fillId="0" borderId="29" applyAlignment="1" pivotButton="0" quotePrefix="0" xfId="0">
      <alignment horizontal="right"/>
    </xf>
    <xf numFmtId="0" fontId="0" fillId="0" borderId="0" applyAlignment="1" pivotButton="0" quotePrefix="1" xfId="0">
      <alignment horizontal="left"/>
    </xf>
    <xf numFmtId="0" fontId="6" fillId="0" borderId="0" applyProtection="1" pivotButton="0" quotePrefix="0" xfId="0">
      <protection locked="0" hidden="0"/>
    </xf>
    <xf numFmtId="49" fontId="13" fillId="0" borderId="5" applyProtection="1" pivotButton="0" quotePrefix="0" xfId="0">
      <protection locked="0" hidden="0"/>
    </xf>
    <xf numFmtId="0" fontId="13" fillId="0" borderId="5" applyAlignment="1" applyProtection="1" pivotButton="0" quotePrefix="0" xfId="0">
      <alignment horizontal="right"/>
      <protection locked="0" hidden="0"/>
    </xf>
    <xf numFmtId="37" fontId="13" fillId="0" borderId="5" applyAlignment="1" applyProtection="1" pivotButton="0" quotePrefix="0" xfId="0">
      <alignment horizontal="right"/>
      <protection locked="0" hidden="0"/>
    </xf>
    <xf numFmtId="0" fontId="13" fillId="0" borderId="5" applyAlignment="1" applyProtection="1" pivotButton="0" quotePrefix="0" xfId="0">
      <alignment horizontal="center"/>
      <protection locked="0" hidden="0"/>
    </xf>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9" fontId="13" fillId="0" borderId="5" applyAlignment="1" applyProtection="1" pivotButton="0" quotePrefix="0" xfId="0">
      <alignment horizontal="right"/>
      <protection locked="0" hidden="0"/>
    </xf>
    <xf numFmtId="0" fontId="13" fillId="0" borderId="21" applyProtection="1" pivotButton="0" quotePrefix="0" xfId="0">
      <protection locked="0" hidden="0"/>
    </xf>
    <xf numFmtId="0" fontId="13" fillId="0" borderId="21" applyAlignment="1" applyProtection="1" pivotButton="0" quotePrefix="0" xfId="0">
      <alignment horizontal="right"/>
      <protection locked="0" hidden="0"/>
    </xf>
    <xf numFmtId="37" fontId="13" fillId="0" borderId="21" applyAlignment="1" applyProtection="1" pivotButton="0" quotePrefix="0" xfId="0">
      <alignment horizontal="right"/>
      <protection locked="0" hidden="0"/>
    </xf>
    <xf numFmtId="0" fontId="13" fillId="0" borderId="21" applyAlignment="1" applyProtection="1" pivotButton="0" quotePrefix="0" xfId="0">
      <alignment horizontal="center"/>
      <protection locked="0" hidden="0"/>
    </xf>
    <xf numFmtId="9" fontId="13" fillId="0" borderId="21" applyAlignment="1" applyProtection="1" pivotButton="0" quotePrefix="0" xfId="0">
      <alignment horizontal="right"/>
      <protection locked="0" hidden="0"/>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49" fontId="13" fillId="0" borderId="5" applyAlignment="1" applyProtection="1" pivotButton="0" quotePrefix="0" xfId="0">
      <alignment horizontal="right"/>
      <protection locked="0" hidden="0"/>
    </xf>
    <xf numFmtId="0" fontId="15" fillId="0" borderId="0" pivotButton="0" quotePrefix="0" xfId="0"/>
    <xf numFmtId="0" fontId="15" fillId="0" borderId="0" applyAlignment="1" pivotButton="0" quotePrefix="0" xfId="0">
      <alignment horizontal="center"/>
    </xf>
    <xf numFmtId="0" fontId="15" fillId="0" borderId="0" applyAlignment="1" pivotButton="0" quotePrefix="1" xfId="0">
      <alignment horizontal="left"/>
    </xf>
    <xf numFmtId="168" fontId="16" fillId="0" borderId="0" pivotButton="0" quotePrefix="0" xfId="0"/>
    <xf numFmtId="0" fontId="5" fillId="0" borderId="31" applyAlignment="1" pivotButton="0" quotePrefix="0" xfId="0">
      <alignment horizontal="right"/>
    </xf>
    <xf numFmtId="166" fontId="11" fillId="0" borderId="29" applyAlignment="1" pivotButton="0" quotePrefix="0" xfId="0">
      <alignment horizontal="right"/>
    </xf>
    <xf numFmtId="0" fontId="5" fillId="0" borderId="0" applyAlignment="1" pivotButton="0" quotePrefix="1" xfId="0">
      <alignment horizontal="left"/>
    </xf>
    <xf numFmtId="0" fontId="20" fillId="0" borderId="0" pivotButton="0" quotePrefix="0" xfId="0"/>
    <xf numFmtId="0" fontId="8" fillId="0" borderId="6" applyAlignment="1" pivotButton="0" quotePrefix="1" xfId="0">
      <alignment horizontal="right"/>
    </xf>
    <xf numFmtId="9" fontId="5" fillId="0" borderId="15" applyAlignment="1" applyProtection="1" pivotButton="0" quotePrefix="0" xfId="0">
      <alignment horizontal="right"/>
      <protection locked="0" hidden="0"/>
    </xf>
    <xf numFmtId="0" fontId="0" fillId="0" borderId="0" applyAlignment="1" pivotButton="0" quotePrefix="0" xfId="0">
      <alignment horizontal="left"/>
    </xf>
    <xf numFmtId="0" fontId="21" fillId="0" borderId="0" pivotButton="0" quotePrefix="0" xfId="0"/>
    <xf numFmtId="0" fontId="21" fillId="0" borderId="0" applyAlignment="1" pivotButton="0" quotePrefix="1" xfId="0">
      <alignment horizontal="left"/>
    </xf>
    <xf numFmtId="49" fontId="21" fillId="0" borderId="0" applyAlignment="1" pivotButton="0" quotePrefix="0" xfId="0">
      <alignment horizontal="left"/>
    </xf>
    <xf numFmtId="0" fontId="21" fillId="0" borderId="0" applyAlignment="1" pivotButton="0" quotePrefix="0" xfId="0">
      <alignment horizontal="left"/>
    </xf>
    <xf numFmtId="39" fontId="5" fillId="0" borderId="5" applyAlignment="1" pivotButton="0" quotePrefix="0" xfId="0">
      <alignment horizontal="right"/>
    </xf>
    <xf numFmtId="0" fontId="22" fillId="0" borderId="0" pivotButton="0" quotePrefix="0" xfId="0"/>
    <xf numFmtId="0" fontId="22" fillId="0" borderId="0" applyAlignment="1" pivotButton="0" quotePrefix="0" xfId="0">
      <alignment horizontal="right"/>
    </xf>
    <xf numFmtId="0" fontId="22" fillId="0" borderId="0" applyAlignment="1" pivotButton="0" quotePrefix="0" xfId="0">
      <alignment horizontal="center"/>
    </xf>
    <xf numFmtId="0" fontId="0" fillId="0" borderId="0" applyAlignment="1" pivotButton="0" quotePrefix="1" xfId="0">
      <alignment horizontal="center"/>
    </xf>
    <xf numFmtId="0" fontId="21" fillId="0" borderId="0" applyAlignment="1" pivotButton="0" quotePrefix="0" xfId="0">
      <alignment horizontal="center"/>
    </xf>
    <xf numFmtId="0" fontId="0" fillId="0" borderId="0" applyAlignment="1" pivotButton="0" quotePrefix="0" xfId="0">
      <alignment horizontal="center"/>
    </xf>
    <xf numFmtId="0" fontId="22" fillId="0" borderId="0" applyAlignment="1" pivotButton="0" quotePrefix="1" xfId="0">
      <alignment horizontal="center"/>
    </xf>
    <xf numFmtId="0" fontId="22" fillId="0" borderId="0" applyAlignment="1" pivotButton="0" quotePrefix="0" xfId="0">
      <alignment horizontal="left"/>
    </xf>
    <xf numFmtId="0" fontId="25" fillId="0" borderId="0" applyAlignment="1" pivotButton="0" quotePrefix="0" xfId="7">
      <alignment horizontal="centerContinuous"/>
    </xf>
    <xf numFmtId="0" fontId="26" fillId="0" borderId="0" applyAlignment="1" pivotButton="0" quotePrefix="0" xfId="7">
      <alignment horizontal="centerContinuous"/>
    </xf>
    <xf numFmtId="0" fontId="28" fillId="0" borderId="0" pivotButton="0" quotePrefix="0" xfId="8"/>
    <xf numFmtId="0" fontId="28" fillId="0" borderId="0" applyAlignment="1" pivotButton="0" quotePrefix="0" xfId="8">
      <alignment horizontal="right"/>
    </xf>
    <xf numFmtId="0" fontId="28" fillId="0" borderId="0" applyAlignment="1" pivotButton="0" quotePrefix="0" xfId="8">
      <alignment horizontal="centerContinuous"/>
    </xf>
    <xf numFmtId="0" fontId="28" fillId="0" borderId="0" applyAlignment="1" pivotButton="0" quotePrefix="0" xfId="8">
      <alignment horizontal="centerContinuous" vertical="center"/>
    </xf>
    <xf numFmtId="0" fontId="28" fillId="0" borderId="42" applyProtection="1" pivotButton="0" quotePrefix="0" xfId="8">
      <protection locked="0" hidden="0"/>
    </xf>
    <xf numFmtId="169" fontId="28" fillId="0" borderId="42" applyAlignment="1" pivotButton="0" quotePrefix="0" xfId="8">
      <alignment horizontal="right"/>
    </xf>
    <xf numFmtId="0" fontId="28" fillId="0" borderId="42" applyAlignment="1" applyProtection="1" pivotButton="0" quotePrefix="0" xfId="8">
      <alignment horizontal="right"/>
      <protection locked="0" hidden="0"/>
    </xf>
    <xf numFmtId="0" fontId="28" fillId="0" borderId="28" applyAlignment="1" applyProtection="1" pivotButton="0" quotePrefix="0" xfId="8">
      <alignment horizontal="centerContinuous"/>
      <protection locked="0" hidden="0"/>
    </xf>
    <xf numFmtId="0" fontId="28" fillId="0" borderId="23" applyAlignment="1" applyProtection="1" pivotButton="0" quotePrefix="0" xfId="8">
      <alignment horizontal="centerContinuous"/>
      <protection locked="0" hidden="0"/>
    </xf>
    <xf numFmtId="49" fontId="28" fillId="0" borderId="43" applyAlignment="1" applyProtection="1" pivotButton="0" quotePrefix="0" xfId="8">
      <alignment horizontal="left"/>
      <protection locked="0" hidden="0"/>
    </xf>
    <xf numFmtId="170" fontId="28" fillId="0" borderId="43" applyAlignment="1" pivotButton="0" quotePrefix="0" xfId="8">
      <alignment horizontal="right"/>
    </xf>
    <xf numFmtId="3" fontId="28" fillId="0" borderId="43" applyAlignment="1" applyProtection="1" pivotButton="0" quotePrefix="0" xfId="8">
      <alignment horizontal="right"/>
      <protection locked="0" hidden="0"/>
    </xf>
    <xf numFmtId="0" fontId="28" fillId="0" borderId="43" applyAlignment="1" applyProtection="1" pivotButton="0" quotePrefix="0" xfId="8">
      <alignment horizontal="right"/>
      <protection locked="0" hidden="0"/>
    </xf>
    <xf numFmtId="0" fontId="28" fillId="0" borderId="4" applyAlignment="1" applyProtection="1" pivotButton="0" quotePrefix="0" xfId="8">
      <alignment horizontal="centerContinuous"/>
      <protection locked="0" hidden="0"/>
    </xf>
    <xf numFmtId="0" fontId="28" fillId="0" borderId="6" applyAlignment="1" applyProtection="1" pivotButton="0" quotePrefix="0" xfId="8">
      <alignment horizontal="centerContinuous"/>
      <protection locked="0" hidden="0"/>
    </xf>
    <xf numFmtId="49" fontId="28" fillId="0" borderId="43" applyProtection="1" pivotButton="0" quotePrefix="0" xfId="8">
      <protection locked="0" hidden="0"/>
    </xf>
    <xf numFmtId="169" fontId="28" fillId="0" borderId="43" applyAlignment="1" pivotButton="0" quotePrefix="0" xfId="8">
      <alignment horizontal="right"/>
    </xf>
    <xf numFmtId="0" fontId="28" fillId="0" borderId="43" applyAlignment="1" pivotButton="0" quotePrefix="0" xfId="8">
      <alignment horizontal="right"/>
    </xf>
    <xf numFmtId="49" fontId="28" fillId="0" borderId="44" applyProtection="1" pivotButton="0" quotePrefix="0" xfId="8">
      <protection locked="0" hidden="0"/>
    </xf>
    <xf numFmtId="170" fontId="28" fillId="0" borderId="44" applyAlignment="1" pivotButton="0" quotePrefix="0" xfId="8">
      <alignment horizontal="right"/>
    </xf>
    <xf numFmtId="3" fontId="28" fillId="0" borderId="44" applyAlignment="1" applyProtection="1" pivotButton="0" quotePrefix="0" xfId="8">
      <alignment horizontal="right"/>
      <protection locked="0" hidden="0"/>
    </xf>
    <xf numFmtId="0" fontId="28" fillId="0" borderId="44" applyAlignment="1" applyProtection="1" pivotButton="0" quotePrefix="0" xfId="8">
      <alignment horizontal="right"/>
      <protection locked="0" hidden="0"/>
    </xf>
    <xf numFmtId="0" fontId="28" fillId="0" borderId="10" applyAlignment="1" applyProtection="1" pivotButton="0" quotePrefix="0" xfId="8">
      <alignment horizontal="centerContinuous"/>
      <protection locked="0" hidden="0"/>
    </xf>
    <xf numFmtId="0" fontId="28" fillId="0" borderId="30" applyAlignment="1" applyProtection="1" pivotButton="0" quotePrefix="0" xfId="8">
      <alignment horizontal="centerContinuous"/>
      <protection locked="0" hidden="0"/>
    </xf>
    <xf numFmtId="0" fontId="28" fillId="0" borderId="42" applyAlignment="1" pivotButton="0" quotePrefix="0" xfId="8">
      <alignment horizontal="right"/>
    </xf>
    <xf numFmtId="0" fontId="28" fillId="0" borderId="42" pivotButton="0" quotePrefix="0" xfId="8"/>
    <xf numFmtId="0" fontId="28" fillId="0" borderId="43" pivotButton="0" quotePrefix="0" xfId="8"/>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0" fontId="31" fillId="0" borderId="0" pivotButton="0" quotePrefix="0" xfId="6"/>
    <xf numFmtId="0" fontId="32" fillId="0" borderId="0" applyAlignment="1" pivotButton="0" quotePrefix="1" xfId="6">
      <alignment horizontal="right" vertical="top" wrapText="1"/>
    </xf>
    <xf numFmtId="166" fontId="31" fillId="0" borderId="0" pivotButton="0" quotePrefix="0" xfId="6"/>
    <xf numFmtId="0" fontId="31" fillId="0" borderId="45" pivotButton="0" quotePrefix="0" xfId="6"/>
    <xf numFmtId="0" fontId="31" fillId="0" borderId="0" applyAlignment="1" pivotButton="0" quotePrefix="1" xfId="6">
      <alignment horizontal="left"/>
    </xf>
    <xf numFmtId="0" fontId="33" fillId="0" borderId="0" pivotButton="0" quotePrefix="0" xfId="6"/>
    <xf numFmtId="0" fontId="31" fillId="0" borderId="46" pivotButton="0" quotePrefix="0" xfId="6"/>
    <xf numFmtId="0" fontId="31" fillId="4" borderId="47" pivotButton="0" quotePrefix="0" xfId="6"/>
    <xf numFmtId="0" fontId="31" fillId="4" borderId="0" pivotButton="0" quotePrefix="0" xfId="6"/>
    <xf numFmtId="0" fontId="31" fillId="4" borderId="0" applyAlignment="1" pivotButton="0" quotePrefix="1" xfId="6">
      <alignment horizontal="right"/>
    </xf>
    <xf numFmtId="0" fontId="31" fillId="4" borderId="5" applyAlignment="1" pivotButton="0" quotePrefix="1" xfId="6">
      <alignment horizontal="right"/>
    </xf>
    <xf numFmtId="0" fontId="31" fillId="0" borderId="47" pivotButton="0" quotePrefix="0" xfId="6"/>
    <xf numFmtId="0" fontId="35" fillId="0" borderId="0" applyProtection="1" pivotButton="0" quotePrefix="0" xfId="6">
      <protection locked="0" hidden="0"/>
    </xf>
    <xf numFmtId="37" fontId="35" fillId="0" borderId="0" applyProtection="1" pivotButton="0" quotePrefix="0" xfId="6">
      <protection locked="0" hidden="0"/>
    </xf>
    <xf numFmtId="9" fontId="35" fillId="0" borderId="5" applyProtection="1" pivotButton="0" quotePrefix="0" xfId="6">
      <protection locked="0" hidden="0"/>
    </xf>
    <xf numFmtId="0" fontId="36" fillId="0" borderId="47" pivotButton="0" quotePrefix="0" xfId="6"/>
    <xf numFmtId="0" fontId="36" fillId="0" borderId="0" pivotButton="0" quotePrefix="0" xfId="6"/>
    <xf numFmtId="37" fontId="36" fillId="0" borderId="0" pivotButton="0" quotePrefix="0" xfId="6"/>
    <xf numFmtId="167" fontId="36" fillId="0" borderId="0" pivotButton="0" quotePrefix="0" xfId="6"/>
    <xf numFmtId="9" fontId="36" fillId="0" borderId="5" pivotButton="0" quotePrefix="0" xfId="6"/>
    <xf numFmtId="0" fontId="36" fillId="0" borderId="48" pivotButton="0" quotePrefix="0" xfId="6"/>
    <xf numFmtId="0" fontId="36" fillId="0" borderId="17" pivotButton="0" quotePrefix="0" xfId="6"/>
    <xf numFmtId="37" fontId="36" fillId="0" borderId="17" pivotButton="0" quotePrefix="0" xfId="6"/>
    <xf numFmtId="167" fontId="36" fillId="0" borderId="17" pivotButton="0" quotePrefix="0" xfId="6"/>
    <xf numFmtId="9" fontId="36" fillId="0" borderId="8" pivotButton="0" quotePrefix="0" xfId="6"/>
    <xf numFmtId="0" fontId="34" fillId="0" borderId="0" pivotButton="0" quotePrefix="0" xfId="6"/>
    <xf numFmtId="0" fontId="31" fillId="0" borderId="5" pivotButton="0" quotePrefix="0" xfId="6"/>
    <xf numFmtId="167" fontId="36" fillId="5" borderId="0" pivotButton="0" quotePrefix="0" xfId="6"/>
    <xf numFmtId="166" fontId="36" fillId="0" borderId="0" pivotButton="0" quotePrefix="0" xfId="6"/>
    <xf numFmtId="167" fontId="36" fillId="0" borderId="5" pivotButton="0" quotePrefix="0" xfId="6"/>
    <xf numFmtId="166" fontId="36" fillId="0" borderId="17" pivotButton="0" quotePrefix="0" xfId="6"/>
    <xf numFmtId="167" fontId="36" fillId="0" borderId="8" pivotButton="0" quotePrefix="0" xfId="6"/>
    <xf numFmtId="0" fontId="15" fillId="0" borderId="0" pivotButton="0" quotePrefix="0" xfId="11"/>
    <xf numFmtId="0" fontId="15" fillId="0" borderId="0" applyAlignment="1" pivotButton="0" quotePrefix="1" xfId="11">
      <alignment horizontal="left"/>
    </xf>
    <xf numFmtId="0" fontId="15" fillId="0" borderId="0" applyAlignment="1" pivotButton="0" quotePrefix="0" xfId="11">
      <alignment horizontal="left"/>
    </xf>
    <xf numFmtId="0" fontId="31" fillId="4" borderId="0" applyAlignment="1" pivotButton="0" quotePrefix="0" xfId="6">
      <alignment horizontal="center"/>
    </xf>
    <xf numFmtId="0" fontId="35" fillId="0" borderId="0" applyAlignment="1" applyProtection="1" pivotButton="0" quotePrefix="0" xfId="6">
      <alignment horizontal="center"/>
      <protection locked="0" hidden="0"/>
    </xf>
    <xf numFmtId="0" fontId="36" fillId="0" borderId="0" applyAlignment="1" pivotButton="0" quotePrefix="0" xfId="6">
      <alignment horizontal="center"/>
    </xf>
    <xf numFmtId="0" fontId="36" fillId="0" borderId="17" applyAlignment="1" pivotButton="0" quotePrefix="0" xfId="6">
      <alignment horizontal="center"/>
    </xf>
    <xf numFmtId="0" fontId="38" fillId="0" borderId="0" applyAlignment="1" pivotButton="0" quotePrefix="0" xfId="9">
      <alignment horizontal="centerContinuous" vertical="center"/>
    </xf>
    <xf numFmtId="0" fontId="38" fillId="0" borderId="0" applyAlignment="1" pivotButton="0" quotePrefix="0" xfId="9">
      <alignment horizontal="centerContinuous"/>
    </xf>
    <xf numFmtId="0" fontId="1" fillId="0" borderId="0" pivotButton="0" quotePrefix="0" xfId="9"/>
    <xf numFmtId="0" fontId="1" fillId="0" borderId="45" pivotButton="0" quotePrefix="0" xfId="9"/>
    <xf numFmtId="0" fontId="1" fillId="0" borderId="46" pivotButton="0" quotePrefix="0" xfId="9"/>
    <xf numFmtId="0" fontId="39" fillId="0" borderId="0" applyAlignment="1" pivotButton="0" quotePrefix="1" xfId="9">
      <alignment horizontal="left"/>
    </xf>
    <xf numFmtId="0" fontId="1" fillId="4" borderId="47" pivotButton="0" quotePrefix="0" xfId="9"/>
    <xf numFmtId="0" fontId="1" fillId="4" borderId="0" pivotButton="0" quotePrefix="0" xfId="9"/>
    <xf numFmtId="0" fontId="1" fillId="4" borderId="0" applyAlignment="1" pivotButton="0" quotePrefix="1" xfId="9">
      <alignment horizontal="right"/>
    </xf>
    <xf numFmtId="0" fontId="1" fillId="4" borderId="5" applyAlignment="1" pivotButton="0" quotePrefix="1" xfId="9">
      <alignment horizontal="right"/>
    </xf>
    <xf numFmtId="0" fontId="1" fillId="0" borderId="47" pivotButton="0" quotePrefix="0" xfId="9"/>
    <xf numFmtId="166" fontId="1" fillId="0" borderId="0" pivotButton="0" quotePrefix="0" xfId="9"/>
    <xf numFmtId="37" fontId="35" fillId="0" borderId="0" applyProtection="1" pivotButton="0" quotePrefix="0" xfId="9">
      <protection locked="0" hidden="0"/>
    </xf>
    <xf numFmtId="9" fontId="35" fillId="0" borderId="5" applyProtection="1" pivotButton="0" quotePrefix="0" xfId="9">
      <protection locked="0" hidden="0"/>
    </xf>
    <xf numFmtId="37" fontId="36" fillId="0" borderId="0" pivotButton="0" quotePrefix="0" xfId="9"/>
    <xf numFmtId="37" fontId="36" fillId="0" borderId="17" pivotButton="0" quotePrefix="0" xfId="9"/>
    <xf numFmtId="0" fontId="34" fillId="0" borderId="0" pivotButton="0" quotePrefix="0" xfId="9"/>
    <xf numFmtId="0" fontId="1" fillId="0" borderId="5" pivotButton="0" quotePrefix="0" xfId="9"/>
    <xf numFmtId="167" fontId="36" fillId="5" borderId="0" pivotButton="0" quotePrefix="0" xfId="9"/>
    <xf numFmtId="166" fontId="36" fillId="0" borderId="0" pivotButton="0" quotePrefix="0" xfId="9"/>
    <xf numFmtId="167" fontId="36" fillId="0" borderId="5" pivotButton="0" quotePrefix="0" xfId="9"/>
    <xf numFmtId="166" fontId="36" fillId="0" borderId="17" pivotButton="0" quotePrefix="0" xfId="9"/>
    <xf numFmtId="167" fontId="36" fillId="0" borderId="8" pivotButton="0" quotePrefix="0" xfId="9"/>
    <xf numFmtId="0" fontId="39" fillId="0" borderId="0" pivotButton="0" quotePrefix="0" xfId="9"/>
    <xf numFmtId="0" fontId="14" fillId="0" borderId="0" applyAlignment="1" pivotButton="0" quotePrefix="1" xfId="0">
      <alignment horizontal="centerContinuous"/>
    </xf>
    <xf numFmtId="0" fontId="6" fillId="0" borderId="0" applyAlignment="1" pivotButton="0" quotePrefix="1" xfId="0">
      <alignment horizontal="centerContinuous"/>
    </xf>
    <xf numFmtId="0" fontId="33" fillId="0" borderId="0" applyProtection="1" pivotButton="0" quotePrefix="0" xfId="6">
      <protection locked="0" hidden="0"/>
    </xf>
    <xf numFmtId="0" fontId="36" fillId="0" borderId="45" pivotButton="0" quotePrefix="0" xfId="6"/>
    <xf numFmtId="0" fontId="40" fillId="0" borderId="0" pivotButton="0" quotePrefix="0" xfId="0"/>
    <xf numFmtId="0" fontId="40" fillId="0" borderId="0" applyAlignment="1" pivotButton="0" quotePrefix="1" xfId="0">
      <alignment horizontal="left"/>
    </xf>
    <xf numFmtId="0" fontId="40" fillId="0" borderId="0" applyAlignment="1" pivotButton="0" quotePrefix="0" xfId="0">
      <alignment horizontal="centerContinuous" wrapText="1"/>
    </xf>
    <xf numFmtId="0" fontId="40" fillId="0" borderId="0" applyAlignment="1" pivotButton="0" quotePrefix="0" xfId="0">
      <alignment horizontal="left"/>
    </xf>
    <xf numFmtId="0" fontId="40" fillId="0" borderId="0" applyAlignment="1" pivotButton="0" quotePrefix="0" xfId="0">
      <alignment horizontal="left" indent="1"/>
    </xf>
    <xf numFmtId="167" fontId="5" fillId="0" borderId="27" applyAlignment="1" pivotButton="0" quotePrefix="0" xfId="0">
      <alignment horizontal="right"/>
    </xf>
    <xf numFmtId="0" fontId="35" fillId="0" borderId="0" applyAlignment="1" applyProtection="1" pivotButton="0" quotePrefix="0" xfId="9">
      <alignment horizontal="center"/>
      <protection locked="0" hidden="0"/>
    </xf>
    <xf numFmtId="0" fontId="1" fillId="4" borderId="0" applyAlignment="1" pivotButton="0" quotePrefix="0" xfId="9">
      <alignment horizontal="center"/>
    </xf>
    <xf numFmtId="0" fontId="42" fillId="0" borderId="0" pivotButton="0" quotePrefix="0" xfId="0"/>
    <xf numFmtId="0" fontId="43" fillId="0" borderId="0" applyAlignment="1" pivotButton="0" quotePrefix="0" xfId="0">
      <alignment horizontal="left"/>
    </xf>
    <xf numFmtId="0" fontId="43" fillId="0" borderId="0" pivotButton="0" quotePrefix="0" xfId="0"/>
    <xf numFmtId="0" fontId="20" fillId="0" borderId="0" applyAlignment="1" pivotButton="0" quotePrefix="1" xfId="0">
      <alignment horizontal="left"/>
    </xf>
    <xf numFmtId="0" fontId="23" fillId="0" borderId="49" applyAlignment="1" pivotButton="0" quotePrefix="0" xfId="0">
      <alignment vertical="center"/>
    </xf>
    <xf numFmtId="0" fontId="23" fillId="0" borderId="49" applyAlignment="1" pivotButton="0" quotePrefix="0" xfId="0">
      <alignment horizontal="right" vertical="center"/>
    </xf>
    <xf numFmtId="0" fontId="23" fillId="0" borderId="49" applyAlignment="1" pivotButton="0" quotePrefix="1" xfId="0">
      <alignment horizontal="center" vertical="center"/>
    </xf>
    <xf numFmtId="0" fontId="23" fillId="0" borderId="49" applyAlignment="1" pivotButton="0" quotePrefix="1" xfId="0">
      <alignment horizontal="right" vertical="center"/>
    </xf>
    <xf numFmtId="0" fontId="23" fillId="0" borderId="0" pivotButton="0" quotePrefix="0" xfId="0"/>
    <xf numFmtId="164" fontId="23" fillId="0" borderId="0" pivotButton="0" quotePrefix="0" xfId="0"/>
    <xf numFmtId="0" fontId="23" fillId="0" borderId="0" applyAlignment="1" pivotButton="0" quotePrefix="0" xfId="0">
      <alignment horizontal="left"/>
    </xf>
    <xf numFmtId="0" fontId="44" fillId="0" borderId="0" applyProtection="1" pivotButton="0" quotePrefix="0" xfId="11">
      <protection locked="0" hidden="0"/>
    </xf>
    <xf numFmtId="0" fontId="23" fillId="0" borderId="0" applyAlignment="1" pivotButton="0" quotePrefix="0" xfId="0">
      <alignment horizontal="center"/>
    </xf>
    <xf numFmtId="3" fontId="23" fillId="0" borderId="0" pivotButton="0" quotePrefix="0" xfId="0"/>
    <xf numFmtId="37" fontId="23" fillId="0" borderId="0" pivotButton="0" quotePrefix="0" xfId="0"/>
    <xf numFmtId="3" fontId="23" fillId="0" borderId="0" pivotButton="0" quotePrefix="0" xfId="1"/>
    <xf numFmtId="0" fontId="23" fillId="0" borderId="0" applyAlignment="1" pivotButton="0" quotePrefix="0" xfId="0">
      <alignment horizontal="right"/>
    </xf>
    <xf numFmtId="0" fontId="23" fillId="0" borderId="0" applyAlignment="1" pivotButton="0" quotePrefix="1" xfId="0">
      <alignment horizontal="left"/>
    </xf>
    <xf numFmtId="0" fontId="23" fillId="0" borderId="0" applyAlignment="1" pivotButton="0" quotePrefix="0" xfId="10">
      <alignment horizontal="center"/>
    </xf>
    <xf numFmtId="171" fontId="23" fillId="0" borderId="0" pivotButton="0" quotePrefix="0" xfId="1"/>
    <xf numFmtId="169" fontId="23" fillId="0" borderId="0" pivotButton="0" quotePrefix="0" xfId="0"/>
    <xf numFmtId="49" fontId="23" fillId="0" borderId="0" applyAlignment="1" pivotButton="0" quotePrefix="0" xfId="10">
      <alignment horizontal="center"/>
    </xf>
    <xf numFmtId="0" fontId="23" fillId="0" borderId="0" pivotButton="0" quotePrefix="0" xfId="10"/>
    <xf numFmtId="9" fontId="23" fillId="0" borderId="0" applyAlignment="1" pivotButton="0" quotePrefix="1" xfId="10">
      <alignment horizontal="right"/>
    </xf>
    <xf numFmtId="169" fontId="23" fillId="0" borderId="0" applyAlignment="1" pivotButton="0" quotePrefix="0" xfId="10">
      <alignment horizontal="right"/>
    </xf>
    <xf numFmtId="9" fontId="23" fillId="0" borderId="0" applyAlignment="1" pivotButton="0" quotePrefix="0" xfId="10">
      <alignment horizontal="right"/>
    </xf>
    <xf numFmtId="0" fontId="43" fillId="0" borderId="0" applyAlignment="1" pivotButton="0" quotePrefix="1" xfId="0">
      <alignment horizontal="right"/>
    </xf>
    <xf numFmtId="0" fontId="0" fillId="0" borderId="47" applyAlignment="1" pivotButton="0" quotePrefix="0" xfId="0">
      <alignment horizontal="right"/>
    </xf>
    <xf numFmtId="0" fontId="0" fillId="0" borderId="0" applyAlignment="1" pivotButton="0" quotePrefix="1" xfId="0">
      <alignment horizontal="right"/>
    </xf>
    <xf numFmtId="37" fontId="8" fillId="0" borderId="0" applyAlignment="1" pivotButton="0" quotePrefix="0" xfId="0">
      <alignment horizontal="right"/>
    </xf>
    <xf numFmtId="0" fontId="46" fillId="0" borderId="0" applyAlignment="1" pivotButton="0" quotePrefix="0" xfId="8">
      <alignment horizontal="centerContinuous"/>
    </xf>
    <xf numFmtId="0" fontId="47" fillId="0" borderId="0" applyAlignment="1" pivotButton="0" quotePrefix="0" xfId="8">
      <alignment horizontal="centerContinuous" vertical="center"/>
    </xf>
    <xf numFmtId="0" fontId="48" fillId="3" borderId="42" pivotButton="0" quotePrefix="0" xfId="8"/>
    <xf numFmtId="0" fontId="48" fillId="3" borderId="42" applyAlignment="1" pivotButton="0" quotePrefix="1" xfId="8">
      <alignment horizontal="right"/>
    </xf>
    <xf numFmtId="0" fontId="48" fillId="3" borderId="42" applyAlignment="1" pivotButton="0" quotePrefix="0" xfId="8">
      <alignment horizontal="right"/>
    </xf>
    <xf numFmtId="0" fontId="48" fillId="3" borderId="28" applyAlignment="1" pivotButton="0" quotePrefix="0" xfId="8">
      <alignment horizontal="right"/>
    </xf>
    <xf numFmtId="0" fontId="48" fillId="3" borderId="23" pivotButton="0" quotePrefix="0" xfId="8"/>
    <xf numFmtId="0" fontId="48" fillId="3" borderId="43" pivotButton="0" quotePrefix="0" xfId="8"/>
    <xf numFmtId="0" fontId="48" fillId="3" borderId="43" applyAlignment="1" pivotButton="0" quotePrefix="1" xfId="8">
      <alignment horizontal="right"/>
    </xf>
    <xf numFmtId="0" fontId="48" fillId="3" borderId="43" applyAlignment="1" pivotButton="0" quotePrefix="0" xfId="8">
      <alignment horizontal="right"/>
    </xf>
    <xf numFmtId="0" fontId="48" fillId="3" borderId="4" applyAlignment="1" pivotButton="0" quotePrefix="0" xfId="8">
      <alignment horizontal="right"/>
    </xf>
    <xf numFmtId="0" fontId="48" fillId="3" borderId="6" pivotButton="0" quotePrefix="0" xfId="8"/>
    <xf numFmtId="0" fontId="48" fillId="3" borderId="44" pivotButton="0" quotePrefix="0" xfId="8"/>
    <xf numFmtId="0" fontId="48" fillId="3" borderId="44" applyAlignment="1" pivotButton="0" quotePrefix="1" xfId="8">
      <alignment horizontal="right"/>
    </xf>
    <xf numFmtId="0" fontId="48" fillId="3" borderId="44" applyAlignment="1" pivotButton="0" quotePrefix="0" xfId="8">
      <alignment horizontal="right"/>
    </xf>
    <xf numFmtId="0" fontId="48" fillId="3" borderId="10" applyAlignment="1" pivotButton="0" quotePrefix="0" xfId="8">
      <alignment horizontal="centerContinuous"/>
    </xf>
    <xf numFmtId="0" fontId="48" fillId="3" borderId="30" applyAlignment="1" pivotButton="0" quotePrefix="1" xfId="8">
      <alignment horizontal="centerContinuous"/>
    </xf>
    <xf numFmtId="0" fontId="23" fillId="0" borderId="42" applyAlignment="1" pivotButton="0" quotePrefix="0" xfId="7">
      <alignment horizontal="right"/>
    </xf>
    <xf numFmtId="0" fontId="28" fillId="0" borderId="43" applyAlignment="1" pivotButton="0" quotePrefix="0" xfId="8">
      <alignment horizontal="left"/>
    </xf>
    <xf numFmtId="37" fontId="23" fillId="0" borderId="43" applyAlignment="1" pivotButton="0" quotePrefix="0" xfId="7">
      <alignment horizontal="right"/>
    </xf>
    <xf numFmtId="0" fontId="23" fillId="0" borderId="43" applyAlignment="1" pivotButton="0" quotePrefix="0" xfId="7">
      <alignment horizontal="right"/>
    </xf>
    <xf numFmtId="0" fontId="23" fillId="0" borderId="44" applyAlignment="1" pivotButton="0" quotePrefix="1" xfId="7">
      <alignment horizontal="left"/>
    </xf>
    <xf numFmtId="37" fontId="23" fillId="0" borderId="44" applyAlignment="1" pivotButton="0" quotePrefix="0" xfId="7">
      <alignment horizontal="right"/>
    </xf>
    <xf numFmtId="0" fontId="23" fillId="0" borderId="44" applyAlignment="1" pivotButton="0" quotePrefix="0" xfId="7">
      <alignment horizontal="right"/>
    </xf>
    <xf numFmtId="0" fontId="49" fillId="2" borderId="50" pivotButton="0" quotePrefix="0" xfId="6"/>
    <xf numFmtId="0" fontId="49" fillId="2" borderId="13" pivotButton="0" quotePrefix="0" xfId="6"/>
    <xf numFmtId="0" fontId="36" fillId="2" borderId="13" pivotButton="0" quotePrefix="0" xfId="6"/>
    <xf numFmtId="0" fontId="36" fillId="2" borderId="13" applyAlignment="1" pivotButton="0" quotePrefix="1" xfId="6">
      <alignment horizontal="right"/>
    </xf>
    <xf numFmtId="0" fontId="36" fillId="2" borderId="14" applyAlignment="1" pivotButton="0" quotePrefix="1" xfId="6">
      <alignment horizontal="right"/>
    </xf>
    <xf numFmtId="0" fontId="49" fillId="1" borderId="48" pivotButton="0" quotePrefix="0" xfId="6"/>
    <xf numFmtId="0" fontId="36" fillId="1" borderId="17" pivotButton="0" quotePrefix="0" xfId="6"/>
    <xf numFmtId="0" fontId="36" fillId="1" borderId="17" applyAlignment="1" pivotButton="0" quotePrefix="0" xfId="6">
      <alignment horizontal="center"/>
    </xf>
    <xf numFmtId="0" fontId="36" fillId="1" borderId="17" applyAlignment="1" pivotButton="0" quotePrefix="1" xfId="6">
      <alignment horizontal="right"/>
    </xf>
    <xf numFmtId="0" fontId="36" fillId="1" borderId="8" applyAlignment="1" pivotButton="0" quotePrefix="1" xfId="6">
      <alignment horizontal="right"/>
    </xf>
    <xf numFmtId="0" fontId="36" fillId="2" borderId="13" applyAlignment="1" pivotButton="0" quotePrefix="0" xfId="6">
      <alignment horizontal="right"/>
    </xf>
    <xf numFmtId="0" fontId="36" fillId="2" borderId="14" applyAlignment="1" pivotButton="0" quotePrefix="0" xfId="6">
      <alignment horizontal="right"/>
    </xf>
    <xf numFmtId="0" fontId="36" fillId="2" borderId="48" pivotButton="0" quotePrefix="0" xfId="6"/>
    <xf numFmtId="0" fontId="36" fillId="2" borderId="17" pivotButton="0" quotePrefix="0" xfId="6"/>
    <xf numFmtId="0" fontId="36" fillId="2" borderId="17" applyAlignment="1" pivotButton="0" quotePrefix="0" xfId="6">
      <alignment horizontal="right"/>
    </xf>
    <xf numFmtId="0" fontId="36" fillId="2" borderId="8" applyAlignment="1" pivotButton="0" quotePrefix="0" xfId="6">
      <alignment horizontal="right"/>
    </xf>
    <xf numFmtId="0" fontId="36" fillId="2" borderId="13" applyAlignment="1" pivotButton="0" quotePrefix="0" xfId="6">
      <alignment horizontal="center"/>
    </xf>
    <xf numFmtId="0" fontId="36" fillId="2" borderId="17" applyAlignment="1" pivotButton="0" quotePrefix="0" xfId="6">
      <alignment horizontal="center"/>
    </xf>
    <xf numFmtId="0" fontId="31" fillId="0" borderId="0" applyAlignment="1" pivotButton="0" quotePrefix="0" xfId="6">
      <alignment horizontal="center"/>
    </xf>
    <xf numFmtId="0" fontId="36" fillId="1" borderId="17" applyAlignment="1" pivotButton="0" quotePrefix="0" xfId="6">
      <alignment horizontal="right"/>
    </xf>
    <xf numFmtId="169" fontId="36" fillId="0" borderId="5" pivotButton="0" quotePrefix="0" xfId="6"/>
    <xf numFmtId="9" fontId="35" fillId="0" borderId="0" applyProtection="1" pivotButton="0" quotePrefix="0" xfId="6">
      <protection locked="0" hidden="0"/>
    </xf>
    <xf numFmtId="9" fontId="36" fillId="0" borderId="0" pivotButton="0" quotePrefix="0" xfId="6"/>
    <xf numFmtId="9" fontId="36" fillId="0" borderId="17" pivotButton="0" quotePrefix="0" xfId="6"/>
    <xf numFmtId="0" fontId="1" fillId="0" borderId="45" applyAlignment="1" pivotButton="0" quotePrefix="0" xfId="9">
      <alignment horizontal="left"/>
    </xf>
    <xf numFmtId="0" fontId="1" fillId="0" borderId="46" applyAlignment="1" pivotButton="0" quotePrefix="0" xfId="9">
      <alignment horizontal="left"/>
    </xf>
    <xf numFmtId="0" fontId="51" fillId="0" borderId="47" pivotButton="0" quotePrefix="0" xfId="9"/>
    <xf numFmtId="0" fontId="51" fillId="0" borderId="48" pivotButton="0" quotePrefix="0" xfId="9"/>
    <xf numFmtId="0" fontId="52" fillId="2" borderId="50" pivotButton="0" quotePrefix="0" xfId="9"/>
    <xf numFmtId="0" fontId="52" fillId="2" borderId="13" pivotButton="0" quotePrefix="0" xfId="9"/>
    <xf numFmtId="0" fontId="51" fillId="2" borderId="13" pivotButton="0" quotePrefix="0" xfId="9"/>
    <xf numFmtId="0" fontId="52" fillId="2" borderId="13" applyAlignment="1" pivotButton="0" quotePrefix="1" xfId="9">
      <alignment horizontal="right"/>
    </xf>
    <xf numFmtId="0" fontId="52" fillId="2" borderId="14" applyAlignment="1" pivotButton="0" quotePrefix="1" xfId="9">
      <alignment horizontal="right"/>
    </xf>
    <xf numFmtId="0" fontId="52" fillId="1" borderId="48" pivotButton="0" quotePrefix="0" xfId="9"/>
    <xf numFmtId="0" fontId="52" fillId="1" borderId="17" applyAlignment="1" pivotButton="0" quotePrefix="1" xfId="9">
      <alignment horizontal="center"/>
    </xf>
    <xf numFmtId="0" fontId="52" fillId="1" borderId="17" pivotButton="0" quotePrefix="0" xfId="9"/>
    <xf numFmtId="0" fontId="51" fillId="1" borderId="17" pivotButton="0" quotePrefix="0" xfId="9"/>
    <xf numFmtId="0" fontId="52" fillId="1" borderId="17" applyAlignment="1" pivotButton="0" quotePrefix="0" xfId="9">
      <alignment horizontal="center"/>
    </xf>
    <xf numFmtId="0" fontId="52" fillId="1" borderId="17" applyAlignment="1" pivotButton="0" quotePrefix="1" xfId="9">
      <alignment horizontal="right"/>
    </xf>
    <xf numFmtId="0" fontId="52" fillId="1" borderId="8" applyAlignment="1" pivotButton="0" quotePrefix="1" xfId="9">
      <alignment horizontal="right"/>
    </xf>
    <xf numFmtId="0" fontId="52" fillId="2" borderId="13" applyAlignment="1" pivotButton="0" quotePrefix="0" xfId="9">
      <alignment horizontal="right"/>
    </xf>
    <xf numFmtId="0" fontId="52" fillId="2" borderId="14" applyAlignment="1" pivotButton="0" quotePrefix="0" xfId="9">
      <alignment horizontal="right"/>
    </xf>
    <xf numFmtId="0" fontId="51" fillId="2" borderId="48" pivotButton="0" quotePrefix="0" xfId="9"/>
    <xf numFmtId="0" fontId="52" fillId="2" borderId="17" pivotButton="0" quotePrefix="0" xfId="9"/>
    <xf numFmtId="0" fontId="52" fillId="2" borderId="17" applyAlignment="1" pivotButton="0" quotePrefix="0" xfId="9">
      <alignment horizontal="right"/>
    </xf>
    <xf numFmtId="0" fontId="52" fillId="2" borderId="8" applyAlignment="1" pivotButton="0" quotePrefix="0" xfId="9">
      <alignment horizontal="right"/>
    </xf>
    <xf numFmtId="0" fontId="50" fillId="4" borderId="0" pivotButton="0" quotePrefix="0" xfId="9"/>
    <xf numFmtId="0" fontId="50" fillId="0" borderId="0" pivotButton="0" quotePrefix="0" xfId="9"/>
    <xf numFmtId="0" fontId="52" fillId="2" borderId="17" applyAlignment="1" pivotButton="0" quotePrefix="0" xfId="9">
      <alignment horizontal="center"/>
    </xf>
    <xf numFmtId="0" fontId="1" fillId="0" borderId="0" applyAlignment="1" pivotButton="0" quotePrefix="0" xfId="9">
      <alignment horizontal="center"/>
    </xf>
    <xf numFmtId="0" fontId="36" fillId="0" borderId="0" applyAlignment="1" pivotButton="0" quotePrefix="0" xfId="9">
      <alignment horizontal="center"/>
    </xf>
    <xf numFmtId="0" fontId="36" fillId="0" borderId="17" applyAlignment="1" pivotButton="0" quotePrefix="0" xfId="9">
      <alignment horizontal="center"/>
    </xf>
    <xf numFmtId="0" fontId="52" fillId="1" borderId="17" applyAlignment="1" pivotButton="0" quotePrefix="0" xfId="9">
      <alignment horizontal="right"/>
    </xf>
    <xf numFmtId="9" fontId="35" fillId="0" borderId="0" applyProtection="1" pivotButton="0" quotePrefix="0" xfId="9">
      <protection locked="0" hidden="0"/>
    </xf>
    <xf numFmtId="172" fontId="5" fillId="0" borderId="5" applyAlignment="1" pivotButton="0" quotePrefix="0" xfId="0">
      <alignment horizontal="right"/>
    </xf>
    <xf numFmtId="172" fontId="36" fillId="0" borderId="0" applyAlignment="1" pivotButton="0" quotePrefix="0" xfId="6">
      <alignment horizontal="right"/>
    </xf>
    <xf numFmtId="172" fontId="36" fillId="0" borderId="17" applyAlignment="1" pivotButton="0" quotePrefix="0" xfId="6">
      <alignment horizontal="right"/>
    </xf>
    <xf numFmtId="172" fontId="36" fillId="0" borderId="0" applyAlignment="1" pivotButton="0" quotePrefix="0" xfId="9">
      <alignment horizontal="right"/>
    </xf>
    <xf numFmtId="172" fontId="36" fillId="0" borderId="17" applyAlignment="1" pivotButton="0" quotePrefix="0" xfId="9">
      <alignment horizontal="right"/>
    </xf>
    <xf numFmtId="0" fontId="23" fillId="0" borderId="49" applyAlignment="1" pivotButton="0" quotePrefix="0" xfId="0">
      <alignment horizontal="right" vertical="center" wrapText="1"/>
    </xf>
    <xf numFmtId="9" fontId="28" fillId="0" borderId="43" applyAlignment="1" pivotButton="0" quotePrefix="0" xfId="8">
      <alignment horizontal="right"/>
    </xf>
    <xf numFmtId="9" fontId="28" fillId="0" borderId="44" applyAlignment="1" pivotButton="0" quotePrefix="0" xfId="8">
      <alignment horizontal="right"/>
    </xf>
    <xf numFmtId="1" fontId="23" fillId="0" borderId="49" applyAlignment="1" pivotButton="0" quotePrefix="0" xfId="0">
      <alignment vertical="center"/>
    </xf>
    <xf numFmtId="1" fontId="23" fillId="0" borderId="0" pivotButton="0" quotePrefix="0" xfId="0"/>
    <xf numFmtId="173" fontId="23" fillId="0" borderId="0" applyAlignment="1" pivotButton="0" quotePrefix="0" xfId="0">
      <alignment horizontal="right"/>
    </xf>
    <xf numFmtId="0" fontId="53" fillId="0" borderId="0" applyAlignment="1" pivotButton="0" quotePrefix="0" xfId="0">
      <alignment horizontal="right"/>
    </xf>
    <xf numFmtId="0" fontId="21" fillId="0" borderId="0" applyAlignment="1" pivotButton="0" quotePrefix="1" xfId="0">
      <alignment horizontal="center"/>
    </xf>
    <xf numFmtId="0" fontId="23" fillId="0" borderId="0" applyAlignment="1" pivotButton="0" quotePrefix="0" xfId="0">
      <alignment horizontal="right" vertical="center" wrapText="1"/>
    </xf>
    <xf numFmtId="3" fontId="23" fillId="0" borderId="49" applyAlignment="1" pivotButton="0" quotePrefix="0" xfId="0">
      <alignment horizontal="right" vertical="center" wrapText="1"/>
    </xf>
    <xf numFmtId="3" fontId="21" fillId="0" borderId="0" applyAlignment="1" pivotButton="0" quotePrefix="1" xfId="0">
      <alignment horizontal="center"/>
    </xf>
    <xf numFmtId="3" fontId="21" fillId="0" borderId="0" applyAlignment="1" pivotButton="0" quotePrefix="0" xfId="0">
      <alignment horizontal="center"/>
    </xf>
    <xf numFmtId="171" fontId="23" fillId="0" borderId="0" pivotButton="0" quotePrefix="0" xfId="1"/>
    <xf numFmtId="173" fontId="23" fillId="0" borderId="49" applyAlignment="1" pivotButton="0" quotePrefix="0" xfId="0">
      <alignment horizontal="right" vertical="center"/>
    </xf>
    <xf numFmtId="167" fontId="23" fillId="0" borderId="0" pivotButton="0" quotePrefix="0" xfId="3"/>
    <xf numFmtId="9" fontId="23" fillId="0" borderId="0" pivotButton="0" quotePrefix="0" xfId="0"/>
    <xf numFmtId="174" fontId="23" fillId="0" borderId="0" pivotButton="0" quotePrefix="0" xfId="3"/>
    <xf numFmtId="174" fontId="23" fillId="0" borderId="0" applyAlignment="1" pivotButton="0" quotePrefix="0" xfId="3">
      <alignment horizontal="center"/>
    </xf>
    <xf numFmtId="49" fontId="23"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67" fontId="2" fillId="0" borderId="0" pivotButton="0" quotePrefix="0" xfId="3"/>
    <xf numFmtId="9" fontId="2" fillId="0" borderId="0" pivotButton="0" quotePrefix="0" xfId="0"/>
    <xf numFmtId="0" fontId="2" fillId="0" borderId="0" applyAlignment="1" pivotButton="0" quotePrefix="0" xfId="0">
      <alignment horizontal="right"/>
    </xf>
    <xf numFmtId="174" fontId="2" fillId="0" borderId="0" pivotButton="0" quotePrefix="0" xfId="3"/>
    <xf numFmtId="174" fontId="2" fillId="0" borderId="0" applyAlignment="1" pivotButton="0" quotePrefix="0" xfId="3">
      <alignment horizontal="center"/>
    </xf>
    <xf numFmtId="175"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57" fillId="0" borderId="0" pivotButton="0" quotePrefix="0" xfId="0"/>
    <xf numFmtId="171" fontId="2" fillId="0" borderId="0" pivotButton="0" quotePrefix="0" xfId="1"/>
    <xf numFmtId="9" fontId="2" fillId="0" borderId="0" pivotButton="0" quotePrefix="0" xfId="12"/>
    <xf numFmtId="173" fontId="2" fillId="0" borderId="0" pivotButton="0" quotePrefix="0" xfId="0"/>
    <xf numFmtId="173" fontId="2" fillId="0" borderId="0" applyAlignment="1" pivotButton="0" quotePrefix="0" xfId="0">
      <alignment horizontal="right"/>
    </xf>
    <xf numFmtId="0" fontId="6" fillId="0" borderId="0" applyAlignment="1" pivotButton="0" quotePrefix="0" xfId="0">
      <alignment horizontal="left"/>
    </xf>
    <xf numFmtId="0" fontId="1" fillId="0" borderId="0" pivotButton="0" quotePrefix="0" xfId="0"/>
    <xf numFmtId="0" fontId="23" fillId="0" borderId="0" applyAlignment="1" pivotButton="0" quotePrefix="0" xfId="0">
      <alignment vertical="center"/>
    </xf>
    <xf numFmtId="174" fontId="23" fillId="0" borderId="0" applyAlignment="1" pivotButton="0" quotePrefix="0" xfId="3">
      <alignment vertical="center"/>
    </xf>
    <xf numFmtId="0" fontId="1" fillId="0" borderId="0" applyAlignment="1" pivotButton="0" quotePrefix="0" xfId="0">
      <alignment vertical="center"/>
    </xf>
    <xf numFmtId="174" fontId="23" fillId="0" borderId="0" pivotButton="0" quotePrefix="0" xfId="3"/>
    <xf numFmtId="0" fontId="1" fillId="0" borderId="32" pivotButton="0" quotePrefix="0" xfId="7"/>
    <xf numFmtId="166" fontId="1" fillId="0" borderId="32" applyAlignment="1" pivotButton="0" quotePrefix="0" xfId="7">
      <alignment horizontal="right"/>
    </xf>
    <xf numFmtId="0" fontId="1" fillId="0" borderId="32" applyAlignment="1" pivotButton="0" quotePrefix="0" xfId="7">
      <alignment horizontal="right"/>
    </xf>
    <xf numFmtId="0" fontId="1" fillId="0" borderId="35" pivotButton="0" quotePrefix="0" xfId="7"/>
    <xf numFmtId="167" fontId="1" fillId="0" borderId="35" applyAlignment="1" pivotButton="0" quotePrefix="0" xfId="7">
      <alignment horizontal="right"/>
    </xf>
    <xf numFmtId="37" fontId="1" fillId="0" borderId="35" applyAlignment="1" pivotButton="0" quotePrefix="0" xfId="7">
      <alignment horizontal="right"/>
    </xf>
    <xf numFmtId="0" fontId="1" fillId="0" borderId="35" applyAlignment="1" pivotButton="0" quotePrefix="0" xfId="7">
      <alignment horizontal="right"/>
    </xf>
    <xf numFmtId="169" fontId="1" fillId="0" borderId="35" applyAlignment="1" pivotButton="0" quotePrefix="0" xfId="7">
      <alignment horizontal="right"/>
    </xf>
    <xf numFmtId="0" fontId="1" fillId="0" borderId="35" applyAlignment="1" pivotButton="0" quotePrefix="0" xfId="7">
      <alignment horizontal="left"/>
    </xf>
    <xf numFmtId="166" fontId="1" fillId="0" borderId="35" applyAlignment="1" pivotButton="0" quotePrefix="0" xfId="7">
      <alignment horizontal="right"/>
    </xf>
    <xf numFmtId="0" fontId="1" fillId="0" borderId="39" applyAlignment="1" pivotButton="0" quotePrefix="1" xfId="7">
      <alignment horizontal="left"/>
    </xf>
    <xf numFmtId="172" fontId="1" fillId="0" borderId="39" applyAlignment="1" pivotButton="0" quotePrefix="0" xfId="7">
      <alignment horizontal="left"/>
    </xf>
    <xf numFmtId="167" fontId="1" fillId="0" borderId="39" applyAlignment="1" pivotButton="0" quotePrefix="0" xfId="7">
      <alignment horizontal="right"/>
    </xf>
    <xf numFmtId="37" fontId="1" fillId="0" borderId="39" applyAlignment="1" pivotButton="0" quotePrefix="0" xfId="7">
      <alignment horizontal="right"/>
    </xf>
    <xf numFmtId="0" fontId="1" fillId="0" borderId="39" applyAlignment="1" pivotButton="0" quotePrefix="0" xfId="7">
      <alignment horizontal="right"/>
    </xf>
    <xf numFmtId="9"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0" fontId="1" fillId="0" borderId="0" applyAlignment="1" pivotButton="0" quotePrefix="0" xfId="7">
      <alignment horizontal="centerContinuous"/>
    </xf>
    <xf numFmtId="0" fontId="1" fillId="0" borderId="0" pivotButton="0" quotePrefix="0" xfId="7"/>
    <xf numFmtId="0" fontId="27" fillId="3" borderId="32" pivotButton="0" quotePrefix="0" xfId="7"/>
    <xf numFmtId="0" fontId="27" fillId="3" borderId="32" applyAlignment="1" pivotButton="0" quotePrefix="0" xfId="7">
      <alignment horizontal="right"/>
    </xf>
    <xf numFmtId="0" fontId="27" fillId="3" borderId="33" applyAlignment="1" pivotButton="0" quotePrefix="0" xfId="7">
      <alignment horizontal="right"/>
    </xf>
    <xf numFmtId="0" fontId="27" fillId="3" borderId="34" applyAlignment="1" pivotButton="0" quotePrefix="0" xfId="7">
      <alignment horizontal="right"/>
    </xf>
    <xf numFmtId="0" fontId="27" fillId="3" borderId="32" applyAlignment="1" pivotButton="0" quotePrefix="1" xfId="7">
      <alignment horizontal="right"/>
    </xf>
    <xf numFmtId="0" fontId="27" fillId="3" borderId="35" pivotButton="0" quotePrefix="0" xfId="7"/>
    <xf numFmtId="0" fontId="27" fillId="3" borderId="35" applyAlignment="1" pivotButton="0" quotePrefix="0" xfId="7">
      <alignment horizontal="right"/>
    </xf>
    <xf numFmtId="0" fontId="27" fillId="3" borderId="36" applyAlignment="1" pivotButton="0" quotePrefix="0" xfId="7">
      <alignment horizontal="right"/>
    </xf>
    <xf numFmtId="0" fontId="27" fillId="3" borderId="37" applyAlignment="1" pivotButton="0" quotePrefix="0" xfId="7">
      <alignment horizontal="right"/>
    </xf>
    <xf numFmtId="0" fontId="27" fillId="3" borderId="38" applyAlignment="1" pivotButton="0" quotePrefix="1" xfId="7">
      <alignment horizontal="right"/>
    </xf>
    <xf numFmtId="0" fontId="27" fillId="3" borderId="35" applyAlignment="1" pivotButton="0" quotePrefix="1" xfId="7">
      <alignment horizontal="right"/>
    </xf>
    <xf numFmtId="0" fontId="27" fillId="3" borderId="36" applyAlignment="1" pivotButton="0" quotePrefix="1" xfId="7">
      <alignment horizontal="right"/>
    </xf>
    <xf numFmtId="0" fontId="27" fillId="3" borderId="39" applyAlignment="1" pivotButton="0" quotePrefix="1" xfId="7">
      <alignment horizontal="left"/>
    </xf>
    <xf numFmtId="0" fontId="27" fillId="3" borderId="39" pivotButton="0" quotePrefix="0" xfId="7"/>
    <xf numFmtId="0" fontId="27" fillId="3" borderId="39" applyAlignment="1" pivotButton="0" quotePrefix="1" xfId="7">
      <alignment horizontal="right"/>
    </xf>
    <xf numFmtId="0" fontId="27" fillId="3" borderId="39" applyAlignment="1" pivotButton="0" quotePrefix="0" xfId="7">
      <alignment horizontal="right"/>
    </xf>
    <xf numFmtId="0" fontId="27" fillId="3" borderId="40" applyAlignment="1" pivotButton="0" quotePrefix="0" xfId="7">
      <alignment horizontal="centerContinuous"/>
    </xf>
    <xf numFmtId="0" fontId="27" fillId="3" borderId="41" applyAlignment="1" pivotButton="0" quotePrefix="0" xfId="7">
      <alignment horizontal="centerContinuous"/>
    </xf>
    <xf numFmtId="0" fontId="1" fillId="0" borderId="32" applyProtection="1" pivotButton="0" quotePrefix="0" xfId="7">
      <protection locked="0" hidden="0"/>
    </xf>
    <xf numFmtId="166" fontId="1" fillId="0" borderId="32" applyAlignment="1" applyProtection="1" pivotButton="0" quotePrefix="0" xfId="7">
      <alignment horizontal="right"/>
      <protection locked="0" hidden="0"/>
    </xf>
    <xf numFmtId="0" fontId="1" fillId="0" borderId="32" applyAlignment="1" applyProtection="1" pivotButton="0" quotePrefix="0" xfId="7">
      <alignment horizontal="right"/>
      <protection locked="0" hidden="0"/>
    </xf>
    <xf numFmtId="0" fontId="1" fillId="0" borderId="33" applyAlignment="1" applyProtection="1" pivotButton="0" quotePrefix="0" xfId="7">
      <alignment horizontal="centerContinuous"/>
      <protection locked="0" hidden="0"/>
    </xf>
    <xf numFmtId="0" fontId="1" fillId="0" borderId="34" applyAlignment="1" applyProtection="1" pivotButton="0" quotePrefix="0" xfId="7">
      <alignment horizontal="centerContinuous"/>
      <protection locked="0" hidden="0"/>
    </xf>
    <xf numFmtId="0" fontId="1" fillId="0" borderId="35" applyProtection="1" pivotButton="0" quotePrefix="0" xfId="7">
      <protection locked="0" hidden="0"/>
    </xf>
    <xf numFmtId="167" fontId="1" fillId="0" borderId="35" applyAlignment="1" applyProtection="1" pivotButton="0" quotePrefix="0" xfId="7">
      <alignment horizontal="right"/>
      <protection locked="0" hidden="0"/>
    </xf>
    <xf numFmtId="37" fontId="1" fillId="0" borderId="35" applyAlignment="1" applyProtection="1" pivotButton="0" quotePrefix="0" xfId="7">
      <alignment horizontal="right"/>
      <protection locked="0" hidden="0"/>
    </xf>
    <xf numFmtId="0" fontId="1" fillId="0" borderId="35" applyAlignment="1" applyProtection="1" pivotButton="0" quotePrefix="0" xfId="7">
      <alignment horizontal="right"/>
      <protection locked="0" hidden="0"/>
    </xf>
    <xf numFmtId="0" fontId="1" fillId="0" borderId="36" applyAlignment="1" applyProtection="1" pivotButton="0" quotePrefix="0" xfId="7">
      <alignment horizontal="centerContinuous"/>
      <protection locked="0" hidden="0"/>
    </xf>
    <xf numFmtId="0" fontId="1" fillId="0" borderId="37" applyAlignment="1" applyProtection="1" pivotButton="0" quotePrefix="0" xfId="7">
      <alignment horizontal="centerContinuous"/>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0" fontId="1" fillId="0" borderId="39" applyProtection="1" pivotButton="0" quotePrefix="0" xfId="7">
      <protection locked="0" hidden="0"/>
    </xf>
    <xf numFmtId="17" fontId="1" fillId="0" borderId="39" applyAlignment="1" applyProtection="1" pivotButton="0" quotePrefix="0" xfId="7">
      <alignment horizontal="left"/>
      <protection locked="0" hidden="0"/>
    </xf>
    <xf numFmtId="167" fontId="1" fillId="0" borderId="39" applyAlignment="1" applyProtection="1" pivotButton="0" quotePrefix="0" xfId="7">
      <alignment horizontal="right"/>
      <protection locked="0" hidden="0"/>
    </xf>
    <xf numFmtId="37" fontId="1" fillId="0" borderId="39" applyAlignment="1" applyProtection="1" pivotButton="0" quotePrefix="0" xfId="7">
      <alignment horizontal="right"/>
      <protection locked="0" hidden="0"/>
    </xf>
    <xf numFmtId="0" fontId="1" fillId="0" borderId="39" applyAlignment="1" applyProtection="1" pivotButton="0" quotePrefix="0" xfId="7">
      <alignment horizontal="right"/>
      <protection locked="0" hidden="0"/>
    </xf>
    <xf numFmtId="0" fontId="1" fillId="0" borderId="40" applyAlignment="1" applyProtection="1" pivotButton="0" quotePrefix="0" xfId="7">
      <alignment horizontal="centerContinuous"/>
      <protection locked="0" hidden="0"/>
    </xf>
    <xf numFmtId="0" fontId="1" fillId="0" borderId="41" applyAlignment="1" applyProtection="1" pivotButton="0" quotePrefix="0" xfId="7">
      <alignment horizontal="centerContinuous"/>
      <protection locked="0" hidden="0"/>
    </xf>
    <xf numFmtId="176" fontId="1" fillId="0" borderId="39" applyAlignment="1" applyProtection="1" pivotButton="0" quotePrefix="0" xfId="7">
      <alignment horizontal="right"/>
      <protection locked="0" hidden="0"/>
    </xf>
    <xf numFmtId="0" fontId="1" fillId="0" borderId="0" applyAlignment="1" pivotButton="0" quotePrefix="0" xfId="7">
      <alignment vertical="center"/>
    </xf>
    <xf numFmtId="9" fontId="1" fillId="0" borderId="0" pivotButton="0" quotePrefix="0" xfId="7"/>
    <xf numFmtId="167" fontId="1" fillId="0" borderId="0" pivotButton="0" quotePrefix="0" xfId="7"/>
    <xf numFmtId="0" fontId="1" fillId="0" borderId="35" applyAlignment="1" pivotButton="0" quotePrefix="1" xfId="7">
      <alignment horizontal="right"/>
    </xf>
    <xf numFmtId="0" fontId="5" fillId="0" borderId="35" applyAlignment="1" pivotButton="0" quotePrefix="0" xfId="0">
      <alignment horizontal="right"/>
    </xf>
    <xf numFmtId="0" fontId="23" fillId="0" borderId="0" applyAlignment="1" pivotButton="0" quotePrefix="1" xfId="0">
      <alignment wrapText="1"/>
    </xf>
    <xf numFmtId="0" fontId="23" fillId="0" borderId="0" applyAlignment="1" pivotButton="0" quotePrefix="1" xfId="0">
      <alignment vertical="center"/>
    </xf>
    <xf numFmtId="0" fontId="23" fillId="0" borderId="0" applyAlignment="1" pivotButton="0" quotePrefix="0" xfId="0">
      <alignment vertical="center" wrapText="1"/>
    </xf>
    <xf numFmtId="2" fontId="1" fillId="0" borderId="35" applyAlignment="1" applyProtection="1" pivotButton="0" quotePrefix="0" xfId="7">
      <alignment horizontal="right"/>
      <protection locked="0" hidden="0"/>
    </xf>
    <xf numFmtId="9" fontId="1" fillId="0" borderId="32" applyAlignment="1" pivotButton="0" quotePrefix="0" xfId="7">
      <alignment horizontal="right"/>
    </xf>
    <xf numFmtId="10" fontId="1" fillId="0" borderId="32" applyAlignment="1" pivotButton="0" quotePrefix="0" xfId="7">
      <alignment horizontal="right"/>
    </xf>
    <xf numFmtId="169" fontId="1" fillId="0" borderId="0" pivotButton="0" quotePrefix="0" xfId="7"/>
    <xf numFmtId="1" fontId="1" fillId="0" borderId="35" applyAlignment="1" applyProtection="1" pivotButton="0" quotePrefix="1" xfId="7">
      <alignment horizontal="left"/>
      <protection locked="0" hidden="0"/>
    </xf>
    <xf numFmtId="177"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6" fontId="0" fillId="0" borderId="0" pivotButton="0" quotePrefix="0" xfId="0"/>
    <xf numFmtId="0" fontId="71" fillId="0" borderId="0" applyProtection="1" pivotButton="0" quotePrefix="0" xfId="11">
      <protection locked="0" hidden="0"/>
    </xf>
    <xf numFmtId="14" fontId="0" fillId="0" borderId="0" pivotButton="0" quotePrefix="0" xfId="0"/>
    <xf numFmtId="0" fontId="40" fillId="0" borderId="0" applyAlignment="1" pivotButton="0" quotePrefix="1" xfId="0">
      <alignment horizontal="left" wrapText="1"/>
    </xf>
    <xf numFmtId="0" fontId="0" fillId="0" borderId="0" applyAlignment="1" pivotButton="0" quotePrefix="0" xfId="0">
      <alignment horizontal="left" wrapText="1"/>
    </xf>
    <xf numFmtId="0" fontId="3" fillId="0" borderId="4" applyAlignment="1" applyProtection="1" pivotButton="0" quotePrefix="0" xfId="0">
      <alignment horizontal="left" vertical="center" wrapText="1"/>
      <protection locked="0" hidden="0"/>
    </xf>
    <xf numFmtId="0" fontId="0" fillId="0" borderId="0" applyAlignment="1" applyProtection="1" pivotButton="0" quotePrefix="0" xfId="0">
      <alignment horizontal="left" vertical="center" wrapText="1"/>
      <protection locked="0" hidden="0"/>
    </xf>
    <xf numFmtId="0" fontId="0" fillId="0" borderId="6" applyAlignment="1" applyProtection="1" pivotButton="0" quotePrefix="0" xfId="0">
      <alignment horizontal="left" vertical="center" wrapText="1"/>
      <protection locked="0" hidden="0"/>
    </xf>
    <xf numFmtId="0" fontId="0" fillId="0" borderId="4" applyAlignment="1" applyProtection="1" pivotButton="0" quotePrefix="0" xfId="0">
      <alignment horizontal="left" vertical="center" wrapText="1"/>
      <protection locked="0" hidden="0"/>
    </xf>
    <xf numFmtId="0" fontId="0" fillId="0" borderId="10" applyAlignment="1" applyProtection="1" pivotButton="0" quotePrefix="0" xfId="0">
      <alignment horizontal="left" vertical="center" wrapText="1"/>
      <protection locked="0" hidden="0"/>
    </xf>
    <xf numFmtId="0" fontId="0" fillId="0" borderId="51" applyAlignment="1" applyProtection="1" pivotButton="0" quotePrefix="0" xfId="0">
      <alignment horizontal="left" vertical="center" wrapText="1"/>
      <protection locked="0" hidden="0"/>
    </xf>
    <xf numFmtId="0" fontId="0" fillId="0" borderId="30" applyAlignment="1" applyProtection="1" pivotButton="0" quotePrefix="0" xfId="0">
      <alignment horizontal="left" vertical="center" wrapText="1"/>
      <protection locked="0" hidden="0"/>
    </xf>
    <xf numFmtId="0" fontId="1" fillId="0" borderId="0" applyAlignment="1" pivotButton="0" quotePrefix="1" xfId="7">
      <alignment horizontal="center" vertical="center"/>
    </xf>
    <xf numFmtId="0" fontId="1" fillId="0" borderId="0" applyAlignment="1" pivotButton="0" quotePrefix="0" xfId="7">
      <alignment horizontal="center" vertical="center"/>
    </xf>
    <xf numFmtId="0" fontId="28" fillId="0" borderId="6" applyAlignment="1" pivotButton="0" quotePrefix="1" xfId="8">
      <alignment horizontal="center" vertical="center"/>
    </xf>
    <xf numFmtId="0" fontId="28" fillId="0" borderId="6" applyAlignment="1" pivotButton="0" quotePrefix="0" xfId="8">
      <alignment vertical="center"/>
    </xf>
    <xf numFmtId="0" fontId="32" fillId="0" borderId="0" applyAlignment="1" pivotButton="0" quotePrefix="1" xfId="6">
      <alignment horizontal="right"/>
    </xf>
    <xf numFmtId="0" fontId="0" fillId="0" borderId="0" applyAlignment="1" pivotButton="0" quotePrefix="0" xfId="0">
      <alignment horizontal="right"/>
    </xf>
    <xf numFmtId="166" fontId="31" fillId="0" borderId="45" pivotButton="0" quotePrefix="0" xfId="6"/>
    <xf numFmtId="0" fontId="0" fillId="0" borderId="45" pivotButton="0" quotePrefix="0" xfId="0"/>
    <xf numFmtId="0" fontId="32" fillId="0" borderId="0" applyAlignment="1" pivotButton="0" quotePrefix="1" xfId="6">
      <alignment horizontal="right" wrapText="1"/>
    </xf>
    <xf numFmtId="0" fontId="31" fillId="0" borderId="0" applyAlignment="1" pivotButton="0" quotePrefix="0" xfId="6">
      <alignment horizontal="right" wrapText="1"/>
    </xf>
    <xf numFmtId="176" fontId="33" fillId="0" borderId="45" applyAlignment="1" applyProtection="1" pivotButton="0" quotePrefix="0" xfId="6">
      <alignment horizontal="right"/>
      <protection locked="0" hidden="0"/>
    </xf>
    <xf numFmtId="0" fontId="31" fillId="0" borderId="45" applyAlignment="1" applyProtection="1" pivotButton="0" quotePrefix="0" xfId="6">
      <alignment horizontal="right"/>
      <protection locked="0" hidden="0"/>
    </xf>
    <xf numFmtId="0" fontId="35" fillId="0" borderId="0" applyProtection="1" pivotButton="0" quotePrefix="0" xfId="6">
      <protection locked="0" hidden="0"/>
    </xf>
    <xf numFmtId="0" fontId="33" fillId="0" borderId="0" applyProtection="1" pivotButton="0" quotePrefix="0" xfId="6">
      <protection locked="0" hidden="0"/>
    </xf>
    <xf numFmtId="176" fontId="31" fillId="0" borderId="45" applyAlignment="1" pivotButton="0" quotePrefix="0" xfId="6">
      <alignment horizontal="right"/>
    </xf>
    <xf numFmtId="166" fontId="31" fillId="0" borderId="45" applyAlignment="1" pivotButton="0" quotePrefix="0" xfId="6">
      <alignment horizontal="right"/>
    </xf>
    <xf numFmtId="0" fontId="31" fillId="0" borderId="45" applyAlignment="1" pivotButton="0" quotePrefix="0" xfId="6">
      <alignment horizontal="right"/>
    </xf>
    <xf numFmtId="0" fontId="36" fillId="0" borderId="45" pivotButton="0" quotePrefix="0" xfId="6"/>
    <xf numFmtId="0" fontId="31" fillId="0" borderId="45" pivotButton="0" quotePrefix="0" xfId="6"/>
    <xf numFmtId="0" fontId="35" fillId="0" borderId="0" applyProtection="1" pivotButton="0" quotePrefix="0" xfId="9">
      <protection locked="0" hidden="0"/>
    </xf>
    <xf numFmtId="0" fontId="33" fillId="0" borderId="0" applyProtection="1" pivotButton="0" quotePrefix="0" xfId="9">
      <protection locked="0" hidden="0"/>
    </xf>
    <xf numFmtId="176" fontId="1" fillId="0" borderId="45" applyAlignment="1" pivotButton="0" quotePrefix="0" xfId="9">
      <alignment horizontal="right"/>
    </xf>
    <xf numFmtId="0" fontId="1" fillId="0" borderId="52" applyAlignment="1" pivotButton="0" quotePrefix="0" xfId="9">
      <alignment vertical="top" wrapText="1"/>
    </xf>
    <xf numFmtId="0" fontId="1" fillId="0" borderId="53" applyAlignment="1" pivotButton="0" quotePrefix="0" xfId="9">
      <alignment vertical="top" wrapText="1"/>
    </xf>
    <xf numFmtId="0" fontId="1" fillId="0" borderId="54" applyAlignment="1" pivotButton="0" quotePrefix="0" xfId="9">
      <alignment vertical="top" wrapText="1"/>
    </xf>
    <xf numFmtId="0" fontId="1" fillId="0" borderId="55" applyAlignment="1" pivotButton="0" quotePrefix="0" xfId="9">
      <alignment vertical="top" wrapText="1"/>
    </xf>
    <xf numFmtId="0" fontId="1" fillId="0" borderId="0" applyAlignment="1" pivotButton="0" quotePrefix="0" xfId="9">
      <alignment vertical="top" wrapText="1"/>
    </xf>
    <xf numFmtId="0" fontId="1" fillId="0" borderId="56" applyAlignment="1" pivotButton="0" quotePrefix="0" xfId="9">
      <alignment vertical="top" wrapText="1"/>
    </xf>
    <xf numFmtId="0" fontId="1" fillId="0" borderId="57" applyAlignment="1" pivotButton="0" quotePrefix="0" xfId="9">
      <alignment vertical="top" wrapText="1"/>
    </xf>
    <xf numFmtId="0" fontId="1" fillId="0" borderId="45" applyAlignment="1" pivotButton="0" quotePrefix="0" xfId="9">
      <alignment vertical="top" wrapText="1"/>
    </xf>
    <xf numFmtId="0" fontId="1" fillId="0" borderId="58" applyAlignment="1" pivotButton="0" quotePrefix="0" xfId="9">
      <alignment vertical="top" wrapText="1"/>
    </xf>
    <xf numFmtId="0" fontId="36" fillId="0" borderId="0" pivotButton="0" quotePrefix="0" xfId="9"/>
    <xf numFmtId="0" fontId="36" fillId="0" borderId="17" pivotButton="0" quotePrefix="0" xfId="9"/>
    <xf numFmtId="0" fontId="36" fillId="0" borderId="0" pivotButton="0" quotePrefix="0" xfId="6"/>
    <xf numFmtId="167" fontId="13" fillId="0" borderId="5" applyAlignment="1" applyProtection="1" pivotButton="0" quotePrefix="0" xfId="0">
      <alignment horizontal="right"/>
      <protection locked="0" hidden="0"/>
    </xf>
    <xf numFmtId="167" fontId="13" fillId="0" borderId="6" applyAlignment="1" applyProtection="1" pivotButton="0" quotePrefix="0" xfId="0">
      <alignment horizontal="right"/>
      <protection locked="0" hidden="0"/>
    </xf>
    <xf numFmtId="167" fontId="5" fillId="0" borderId="6" applyAlignment="1" pivotButton="0" quotePrefix="0" xfId="0">
      <alignment horizontal="right"/>
    </xf>
    <xf numFmtId="166" fontId="13" fillId="0" borderId="21" applyAlignment="1" applyProtection="1" pivotButton="0" quotePrefix="0" xfId="0">
      <alignment horizontal="right"/>
      <protection locked="0" hidden="0"/>
    </xf>
    <xf numFmtId="166" fontId="11" fillId="0" borderId="30" applyAlignment="1" applyProtection="1" pivotButton="0" quotePrefix="0" xfId="0">
      <alignment horizontal="right"/>
      <protection locked="0" hidden="0"/>
    </xf>
    <xf numFmtId="172" fontId="5" fillId="0" borderId="5" applyAlignment="1" pivotButton="0" quotePrefix="0" xfId="0">
      <alignment horizontal="right"/>
    </xf>
    <xf numFmtId="167" fontId="5" fillId="0" borderId="5" applyAlignment="1" pivotButton="0" quotePrefix="0" xfId="0">
      <alignment horizontal="right"/>
    </xf>
    <xf numFmtId="166" fontId="5" fillId="0" borderId="5" applyAlignment="1" pivotButton="0" quotePrefix="0" xfId="0">
      <alignment horizontal="right"/>
    </xf>
    <xf numFmtId="166" fontId="5" fillId="0" borderId="8" applyAlignment="1" pivotButton="0" quotePrefix="0" xfId="0">
      <alignment horizontal="right"/>
    </xf>
    <xf numFmtId="167" fontId="5" fillId="0" borderId="8" applyAlignment="1" pivotButton="0" quotePrefix="0" xfId="0">
      <alignment horizontal="right"/>
    </xf>
    <xf numFmtId="166" fontId="11" fillId="0" borderId="9" applyAlignment="1" pivotButton="0" quotePrefix="0" xfId="0">
      <alignment horizontal="right"/>
    </xf>
    <xf numFmtId="166" fontId="5" fillId="0" borderId="21" applyAlignment="1" pivotButton="0" quotePrefix="0" xfId="0">
      <alignment horizontal="right"/>
    </xf>
    <xf numFmtId="167" fontId="5" fillId="0" borderId="21" applyAlignment="1" pivotButton="0" quotePrefix="0" xfId="0">
      <alignment horizontal="right"/>
    </xf>
    <xf numFmtId="166" fontId="11" fillId="0" borderId="29" applyAlignment="1" pivotButton="0" quotePrefix="0" xfId="0">
      <alignment horizontal="right"/>
    </xf>
    <xf numFmtId="0" fontId="3" fillId="0" borderId="44"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0" fillId="0" borderId="6" applyProtection="1" pivotButton="0" quotePrefix="0" xfId="0">
      <protection locked="0" hidden="0"/>
    </xf>
    <xf numFmtId="0" fontId="0" fillId="0" borderId="4" applyProtection="1" pivotButton="0" quotePrefix="0" xfId="0">
      <protection locked="0" hidden="0"/>
    </xf>
    <xf numFmtId="0" fontId="0" fillId="0" borderId="10" applyProtection="1" pivotButton="0" quotePrefix="0" xfId="0">
      <protection locked="0" hidden="0"/>
    </xf>
    <xf numFmtId="0" fontId="0" fillId="0" borderId="51" applyProtection="1" pivotButton="0" quotePrefix="0" xfId="0">
      <protection locked="0" hidden="0"/>
    </xf>
    <xf numFmtId="0" fontId="0" fillId="0" borderId="30" applyProtection="1" pivotButton="0" quotePrefix="0" xfId="0">
      <protection locked="0" hidden="0"/>
    </xf>
    <xf numFmtId="167" fontId="5" fillId="0" borderId="26" applyAlignment="1" pivotButton="0" quotePrefix="0" xfId="0">
      <alignment horizontal="right"/>
    </xf>
    <xf numFmtId="167" fontId="5" fillId="0" borderId="27" applyAlignment="1" pivotButton="0" quotePrefix="0" xfId="0">
      <alignment horizontal="right"/>
    </xf>
    <xf numFmtId="167" fontId="5" fillId="0" borderId="29" applyAlignment="1" pivotButton="0" quotePrefix="0" xfId="0">
      <alignment horizontal="right"/>
    </xf>
    <xf numFmtId="166" fontId="1" fillId="0" borderId="32" applyAlignment="1" applyProtection="1" pivotButton="0" quotePrefix="0" xfId="7">
      <alignment horizontal="right"/>
      <protection locked="0" hidden="0"/>
    </xf>
    <xf numFmtId="167" fontId="1" fillId="0" borderId="35" applyAlignment="1" applyProtection="1" pivotButton="0" quotePrefix="0" xfId="7">
      <alignment horizontal="right"/>
      <protection locked="0" hidden="0"/>
    </xf>
    <xf numFmtId="169" fontId="1" fillId="0" borderId="35" applyAlignment="1" applyProtection="1" pivotButton="0" quotePrefix="0" xfId="7">
      <alignment horizontal="right"/>
      <protection locked="0" hidden="0"/>
    </xf>
    <xf numFmtId="166" fontId="1" fillId="0" borderId="35" applyAlignment="1" applyProtection="1" pivotButton="0" quotePrefix="0" xfId="7">
      <alignment horizontal="right"/>
      <protection locked="0" hidden="0"/>
    </xf>
    <xf numFmtId="167" fontId="1" fillId="0" borderId="39" applyAlignment="1" applyProtection="1" pivotButton="0" quotePrefix="0" xfId="7">
      <alignment horizontal="right"/>
      <protection locked="0" hidden="0"/>
    </xf>
    <xf numFmtId="176" fontId="1" fillId="0" borderId="39" applyAlignment="1" applyProtection="1" pivotButton="0" quotePrefix="0" xfId="7">
      <alignment horizontal="right"/>
      <protection locked="0" hidden="0"/>
    </xf>
    <xf numFmtId="169" fontId="1" fillId="0" borderId="0" pivotButton="0" quotePrefix="0" xfId="7"/>
    <xf numFmtId="166" fontId="1" fillId="0" borderId="32" applyAlignment="1" pivotButton="0" quotePrefix="0" xfId="7">
      <alignment horizontal="right"/>
    </xf>
    <xf numFmtId="167" fontId="1" fillId="0" borderId="35" applyAlignment="1" pivotButton="0" quotePrefix="0" xfId="7">
      <alignment horizontal="right"/>
    </xf>
    <xf numFmtId="169" fontId="1" fillId="0" borderId="35" applyAlignment="1" pivotButton="0" quotePrefix="0" xfId="7">
      <alignment horizontal="right"/>
    </xf>
    <xf numFmtId="166" fontId="1" fillId="0" borderId="35" applyAlignment="1" pivotButton="0" quotePrefix="0" xfId="7">
      <alignment horizontal="right"/>
    </xf>
    <xf numFmtId="172" fontId="1" fillId="0" borderId="39" applyAlignment="1" pivotButton="0" quotePrefix="0" xfId="7">
      <alignment horizontal="left"/>
    </xf>
    <xf numFmtId="167" fontId="1" fillId="0" borderId="39" applyAlignment="1" pivotButton="0" quotePrefix="0" xfId="7">
      <alignment horizontal="right"/>
    </xf>
    <xf numFmtId="169" fontId="1" fillId="0" borderId="39" applyAlignment="1" pivotButton="0" quotePrefix="0" xfId="7">
      <alignment horizontal="right"/>
    </xf>
    <xf numFmtId="176" fontId="1" fillId="0" borderId="39" applyAlignment="1" pivotButton="0" quotePrefix="0" xfId="7">
      <alignment horizontal="right"/>
    </xf>
    <xf numFmtId="167" fontId="1" fillId="0" borderId="0" pivotButton="0" quotePrefix="0" xfId="7"/>
    <xf numFmtId="169" fontId="28" fillId="0" borderId="42" applyAlignment="1" pivotButton="0" quotePrefix="0" xfId="8">
      <alignment horizontal="right"/>
    </xf>
    <xf numFmtId="170" fontId="28" fillId="0" borderId="43" applyAlignment="1" pivotButton="0" quotePrefix="0" xfId="8">
      <alignment horizontal="right"/>
    </xf>
    <xf numFmtId="169" fontId="28" fillId="0" borderId="43" applyAlignment="1" pivotButton="0" quotePrefix="0" xfId="8">
      <alignment horizontal="right"/>
    </xf>
    <xf numFmtId="170" fontId="28" fillId="0" borderId="44" applyAlignment="1" pivotButton="0" quotePrefix="0" xfId="8">
      <alignment horizontal="right"/>
    </xf>
    <xf numFmtId="0" fontId="0" fillId="0" borderId="6" pivotButton="0" quotePrefix="0" xfId="0"/>
    <xf numFmtId="170" fontId="28" fillId="0" borderId="44" applyAlignment="1" applyProtection="1" pivotButton="0" quotePrefix="0" xfId="8">
      <alignment horizontal="right"/>
      <protection locked="0" hidden="0"/>
    </xf>
    <xf numFmtId="169" fontId="28" fillId="0" borderId="44" pivotButton="0" quotePrefix="0" xfId="8"/>
    <xf numFmtId="170" fontId="28" fillId="0" borderId="0" applyAlignment="1" pivotButton="0" quotePrefix="0" xfId="8">
      <alignment horizontal="right"/>
    </xf>
    <xf numFmtId="176" fontId="33" fillId="0" borderId="45" applyAlignment="1" applyProtection="1" pivotButton="0" quotePrefix="0" xfId="6">
      <alignment horizontal="right"/>
      <protection locked="0" hidden="0"/>
    </xf>
    <xf numFmtId="0" fontId="0" fillId="0" borderId="45" applyProtection="1" pivotButton="0" quotePrefix="0" xfId="0">
      <protection locked="0" hidden="0"/>
    </xf>
    <xf numFmtId="166" fontId="31" fillId="0" borderId="0" pivotButton="0" quotePrefix="0" xfId="6"/>
    <xf numFmtId="166" fontId="31" fillId="0" borderId="45" pivotButton="0" quotePrefix="0" xfId="6"/>
    <xf numFmtId="176" fontId="31" fillId="0" borderId="45" applyAlignment="1" pivotButton="0" quotePrefix="0" xfId="6">
      <alignment horizontal="right"/>
    </xf>
    <xf numFmtId="166" fontId="31" fillId="0" borderId="45" applyAlignment="1" pivotButton="0" quotePrefix="0" xfId="6">
      <alignment horizontal="right"/>
    </xf>
    <xf numFmtId="167" fontId="36" fillId="0" borderId="0" pivotButton="0" quotePrefix="0" xfId="6"/>
    <xf numFmtId="167" fontId="36" fillId="0" borderId="17" pivotButton="0" quotePrefix="0" xfId="6"/>
    <xf numFmtId="167" fontId="36" fillId="5" borderId="0" pivotButton="0" quotePrefix="0" xfId="6"/>
    <xf numFmtId="169" fontId="36" fillId="0" borderId="5" pivotButton="0" quotePrefix="0" xfId="6"/>
    <xf numFmtId="172" fontId="36" fillId="0" borderId="0" applyAlignment="1" pivotButton="0" quotePrefix="0" xfId="6">
      <alignment horizontal="right"/>
    </xf>
    <xf numFmtId="166" fontId="36" fillId="0" borderId="0" pivotButton="0" quotePrefix="0" xfId="6"/>
    <xf numFmtId="167" fontId="36" fillId="0" borderId="5" pivotButton="0" quotePrefix="0" xfId="6"/>
    <xf numFmtId="172" fontId="36" fillId="0" borderId="17" applyAlignment="1" pivotButton="0" quotePrefix="0" xfId="6">
      <alignment horizontal="right"/>
    </xf>
    <xf numFmtId="166" fontId="36" fillId="0" borderId="17" pivotButton="0" quotePrefix="0" xfId="6"/>
    <xf numFmtId="167" fontId="36" fillId="0" borderId="8" pivotButton="0" quotePrefix="0" xfId="6"/>
    <xf numFmtId="0" fontId="1" fillId="0" borderId="59" applyAlignment="1" pivotButton="0" quotePrefix="0" xfId="9">
      <alignment vertical="top" wrapText="1"/>
    </xf>
    <xf numFmtId="0" fontId="0" fillId="0" borderId="53" pivotButton="0" quotePrefix="0" xfId="0"/>
    <xf numFmtId="0" fontId="0" fillId="0" borderId="54" pivotButton="0" quotePrefix="0" xfId="0"/>
    <xf numFmtId="0" fontId="0" fillId="0" borderId="55" pivotButton="0" quotePrefix="0" xfId="0"/>
    <xf numFmtId="0" fontId="0" fillId="0" borderId="56" pivotButton="0" quotePrefix="0" xfId="0"/>
    <xf numFmtId="0" fontId="0" fillId="0" borderId="57" pivotButton="0" quotePrefix="0" xfId="0"/>
    <xf numFmtId="0" fontId="0" fillId="0" borderId="58" pivotButton="0" quotePrefix="0" xfId="0"/>
    <xf numFmtId="166" fontId="1" fillId="0" borderId="0" pivotButton="0" quotePrefix="0" xfId="9"/>
    <xf numFmtId="167" fontId="36" fillId="5" borderId="0" pivotButton="0" quotePrefix="0" xfId="9"/>
    <xf numFmtId="167" fontId="36" fillId="0" borderId="5" pivotButton="0" quotePrefix="0" xfId="9"/>
    <xf numFmtId="172" fontId="36" fillId="0" borderId="0" applyAlignment="1" pivotButton="0" quotePrefix="0" xfId="9">
      <alignment horizontal="right"/>
    </xf>
    <xf numFmtId="166" fontId="36" fillId="0" borderId="0" pivotButton="0" quotePrefix="0" xfId="9"/>
    <xf numFmtId="0" fontId="0" fillId="0" borderId="17" pivotButton="0" quotePrefix="0" xfId="0"/>
    <xf numFmtId="172" fontId="36" fillId="0" borderId="17" applyAlignment="1" pivotButton="0" quotePrefix="0" xfId="9">
      <alignment horizontal="right"/>
    </xf>
    <xf numFmtId="166" fontId="36" fillId="0" borderId="17" pivotButton="0" quotePrefix="0" xfId="9"/>
    <xf numFmtId="167" fontId="36" fillId="0" borderId="8" pivotButton="0" quotePrefix="0" xfId="9"/>
    <xf numFmtId="176" fontId="1" fillId="0" borderId="45" applyAlignment="1" pivotButton="0" quotePrefix="0" xfId="9">
      <alignment horizontal="right"/>
    </xf>
    <xf numFmtId="0" fontId="72" fillId="0" borderId="0" pivotButton="0" quotePrefix="0" xfId="0"/>
    <xf numFmtId="0" fontId="73" fillId="6" borderId="0" applyAlignment="1" pivotButton="0" quotePrefix="0" xfId="0">
      <alignment vertical="center" wrapText="1"/>
    </xf>
    <xf numFmtId="0" fontId="73" fillId="7" borderId="0" pivotButton="0" quotePrefix="0" xfId="0"/>
    <xf numFmtId="0" fontId="74" fillId="8" borderId="0" pivotButton="0" quotePrefix="0" xfId="0"/>
    <xf numFmtId="176" fontId="75" fillId="8" borderId="0" pivotButton="0" quotePrefix="0" xfId="0"/>
    <xf numFmtId="0" fontId="73" fillId="9" borderId="0" pivotButton="0" quotePrefix="0" xfId="0"/>
    <xf numFmtId="0" fontId="76" fillId="10" borderId="0" pivotButton="0" quotePrefix="0" xfId="0"/>
    <xf numFmtId="0" fontId="77" fillId="11" borderId="0" pivotButton="0" quotePrefix="0" xfId="0"/>
    <xf numFmtId="0" fontId="56" fillId="0" borderId="0" applyAlignment="1" pivotButton="0" quotePrefix="0" xfId="0">
      <alignment vertical="top" wrapText="1"/>
    </xf>
    <xf numFmtId="2" fontId="56" fillId="0" borderId="0" pivotButton="0" quotePrefix="0" xfId="0"/>
    <xf numFmtId="178" fontId="56" fillId="0" borderId="0" pivotButton="0" quotePrefix="0" xfId="0"/>
    <xf numFmtId="0" fontId="78" fillId="0" borderId="0" pivotButton="0" quotePrefix="0" xfId="0"/>
    <xf numFmtId="0" fontId="79" fillId="0" borderId="0" pivotButton="0" quotePrefix="0" xfId="0"/>
    <xf numFmtId="0" fontId="80" fillId="0" borderId="60" applyAlignment="1" pivotButton="0" quotePrefix="0" xfId="0">
      <alignment vertical="top"/>
    </xf>
    <xf numFmtId="0" fontId="72" fillId="0" borderId="60" pivotButton="0" quotePrefix="0" xfId="0"/>
    <xf numFmtId="0" fontId="80" fillId="0" borderId="60" pivotButton="0" quotePrefix="0" xfId="0"/>
    <xf numFmtId="0" fontId="80" fillId="0" borderId="60" applyAlignment="1" pivotButton="0" quotePrefix="0" xfId="0">
      <alignment horizontal="left" vertical="center"/>
    </xf>
    <xf numFmtId="0" fontId="81" fillId="6" borderId="61" applyAlignment="1" pivotButton="0" quotePrefix="0" xfId="0">
      <alignment vertical="center" wrapText="1"/>
    </xf>
    <xf numFmtId="0" fontId="80" fillId="0" borderId="60" applyAlignment="1" pivotButton="0" quotePrefix="0" xfId="0">
      <alignment vertical="center"/>
    </xf>
    <xf numFmtId="0" fontId="81" fillId="12" borderId="60" applyAlignment="1" pivotButton="0" quotePrefix="0" xfId="0">
      <alignment horizontal="center" vertical="center"/>
    </xf>
    <xf numFmtId="0" fontId="81" fillId="12" borderId="60" pivotButton="0" quotePrefix="0" xfId="0"/>
    <xf numFmtId="0" fontId="80" fillId="13" borderId="62" applyAlignment="1" pivotButton="0" quotePrefix="0" xfId="0">
      <alignment horizontal="center"/>
    </xf>
    <xf numFmtId="0" fontId="80" fillId="0" borderId="60" applyAlignment="1" pivotButton="0" quotePrefix="0" xfId="0">
      <alignment horizontal="center"/>
    </xf>
    <xf numFmtId="0" fontId="79" fillId="0" borderId="60" pivotButton="0" quotePrefix="0" xfId="0"/>
    <xf numFmtId="0" fontId="80" fillId="0" borderId="60" applyAlignment="1" pivotButton="0" quotePrefix="0" xfId="0">
      <alignment horizontal="left" vertical="center" indent="1"/>
    </xf>
    <xf numFmtId="0" fontId="80" fillId="14" borderId="60" applyAlignment="1" pivotButton="0" quotePrefix="0" xfId="0">
      <alignment vertical="center"/>
    </xf>
    <xf numFmtId="0" fontId="80" fillId="0" borderId="60" applyAlignment="1" pivotButton="0" quotePrefix="0" xfId="0">
      <alignment horizontal="left" vertical="center" indent="2"/>
    </xf>
    <xf numFmtId="0" fontId="80" fillId="13" borderId="62" applyAlignment="1" pivotButton="0" quotePrefix="0" xfId="0">
      <alignment horizontal="right"/>
    </xf>
    <xf numFmtId="0" fontId="80" fillId="13" borderId="62" pivotButton="0" quotePrefix="0" xfId="0"/>
    <xf numFmtId="0" fontId="81" fillId="12" borderId="60" applyAlignment="1" pivotButton="0" quotePrefix="0" xfId="0">
      <alignment horizontal="left" vertical="center" indent="2"/>
    </xf>
    <xf numFmtId="0" fontId="81" fillId="12" borderId="60" applyAlignment="1" pivotButton="0" quotePrefix="0" xfId="0">
      <alignment vertical="center"/>
    </xf>
    <xf numFmtId="0" fontId="80" fillId="13" borderId="62" applyAlignment="1" pivotButton="0" quotePrefix="0" xfId="0">
      <alignment horizontal="center" vertical="center"/>
    </xf>
    <xf numFmtId="0" fontId="80" fillId="13" borderId="62" applyAlignment="1" pivotButton="0" quotePrefix="0" xfId="0">
      <alignment vertical="center"/>
    </xf>
    <xf numFmtId="0" fontId="73" fillId="15" borderId="60" applyAlignment="1" pivotButton="0" quotePrefix="0" xfId="0">
      <alignment horizontal="left" vertical="center" indent="1"/>
    </xf>
    <xf numFmtId="0" fontId="73" fillId="15" borderId="60" applyAlignment="1" pivotButton="0" quotePrefix="0" xfId="0">
      <alignment vertical="center"/>
    </xf>
    <xf numFmtId="0" fontId="77" fillId="16" borderId="60" applyAlignment="1" pivotButton="0" quotePrefix="0" xfId="0">
      <alignment horizontal="left" vertical="center" indent="2"/>
    </xf>
    <xf numFmtId="0" fontId="77" fillId="16" borderId="60" pivotButton="0" quotePrefix="0" xfId="0"/>
    <xf numFmtId="0" fontId="77" fillId="16" borderId="60" applyAlignment="1" pivotButton="0" quotePrefix="0" xfId="0">
      <alignment vertical="center"/>
    </xf>
    <xf numFmtId="0" fontId="82" fillId="0" borderId="60" applyAlignment="1" pivotButton="0" quotePrefix="0" xfId="0">
      <alignment horizontal="left" vertical="center" indent="2"/>
    </xf>
    <xf numFmtId="0" fontId="80" fillId="14" borderId="60" pivotButton="0" quotePrefix="0" xfId="0"/>
    <xf numFmtId="0" fontId="80" fillId="0" borderId="60" applyAlignment="1" pivotButton="0" quotePrefix="0" xfId="0">
      <alignment horizontal="center" vertical="center"/>
    </xf>
    <xf numFmtId="0" fontId="82" fillId="0" borderId="60" applyAlignment="1" pivotButton="0" quotePrefix="0" xfId="0">
      <alignment horizontal="left" vertical="center" indent="1"/>
    </xf>
    <xf numFmtId="0" fontId="82" fillId="0" borderId="60" applyAlignment="1" pivotButton="0" quotePrefix="0" xfId="0">
      <alignment vertical="center"/>
    </xf>
    <xf numFmtId="0" fontId="73" fillId="17" borderId="60" applyAlignment="1" pivotButton="0" quotePrefix="0" xfId="0">
      <alignment horizontal="left" vertical="center" indent="2"/>
    </xf>
    <xf numFmtId="0" fontId="73" fillId="17" borderId="60" applyAlignment="1" pivotButton="0" quotePrefix="0" xfId="0">
      <alignment vertical="center"/>
    </xf>
    <xf numFmtId="0" fontId="73" fillId="17" borderId="60" applyAlignment="1" pivotButton="0" quotePrefix="0" xfId="0">
      <alignment horizontal="center" vertical="center"/>
    </xf>
    <xf numFmtId="0" fontId="73" fillId="17" borderId="60" pivotButton="0" quotePrefix="0" xfId="0"/>
    <xf numFmtId="0" fontId="79" fillId="0" borderId="60" applyAlignment="1" pivotButton="0" quotePrefix="0" xfId="0">
      <alignment vertical="center"/>
    </xf>
    <xf numFmtId="0" fontId="80" fillId="0" borderId="60" applyAlignment="1" pivotButton="0" quotePrefix="0" xfId="0">
      <alignment horizontal="left" vertical="center" indent="3"/>
    </xf>
    <xf numFmtId="0" fontId="83" fillId="0" borderId="60" applyAlignment="1" pivotButton="0" quotePrefix="0" xfId="0">
      <alignment vertical="center"/>
    </xf>
    <xf numFmtId="0" fontId="80" fillId="0" borderId="60" applyAlignment="1" applyProtection="1" pivotButton="0" quotePrefix="0" xfId="0">
      <alignment horizontal="left"/>
      <protection locked="0" hidden="0"/>
    </xf>
    <xf numFmtId="0" fontId="80" fillId="0" borderId="60" applyAlignment="1" applyProtection="1" pivotButton="0" quotePrefix="0" xfId="0">
      <alignment horizontal="center"/>
      <protection locked="0" hidden="0"/>
    </xf>
    <xf numFmtId="0" fontId="73" fillId="17" borderId="60" applyAlignment="1" pivotButton="0" quotePrefix="0" xfId="0">
      <alignment horizontal="left" vertical="center" indent="1"/>
    </xf>
    <xf numFmtId="0" fontId="80" fillId="0" borderId="60" applyAlignment="1" pivotButton="0" quotePrefix="0" xfId="0">
      <alignment horizontal="left"/>
    </xf>
    <xf numFmtId="0" fontId="82" fillId="0" borderId="60" pivotButton="0" quotePrefix="0" xfId="0"/>
    <xf numFmtId="0" fontId="84" fillId="0" borderId="60" pivotButton="0" quotePrefix="0" xfId="0"/>
    <xf numFmtId="3" fontId="80" fillId="13" borderId="60" applyAlignment="1" pivotButton="0" quotePrefix="0" xfId="0">
      <alignment horizontal="center"/>
    </xf>
    <xf numFmtId="0" fontId="84" fillId="0" borderId="60" applyAlignment="1" pivotButton="0" quotePrefix="0" xfId="0">
      <alignment horizontal="left" vertical="center" indent="2"/>
    </xf>
    <xf numFmtId="0" fontId="80" fillId="0" borderId="60" applyAlignment="1" pivotButton="0" quotePrefix="0" xfId="0">
      <alignment horizontal="right"/>
    </xf>
    <xf numFmtId="0" fontId="84" fillId="0" borderId="60" applyAlignment="1" pivotButton="0" quotePrefix="0" xfId="0">
      <alignment vertical="center"/>
    </xf>
    <xf numFmtId="0" fontId="80" fillId="0" borderId="60" applyAlignment="1" pivotButton="0" quotePrefix="0" xfId="0">
      <alignment horizontal="right" vertical="center"/>
    </xf>
    <xf numFmtId="0" fontId="80" fillId="0" borderId="60" applyAlignment="1" pivotButton="0" quotePrefix="0" xfId="0">
      <alignment horizontal="left" vertical="center" wrapText="1"/>
    </xf>
    <xf numFmtId="0" fontId="85" fillId="18" borderId="63" applyAlignment="1" pivotButton="0" quotePrefix="0" xfId="0">
      <alignment horizontal="left" indent="1"/>
    </xf>
    <xf numFmtId="179" fontId="85" fillId="18" borderId="63" applyAlignment="1" pivotButton="0" quotePrefix="0" xfId="0">
      <alignment horizontal="left"/>
    </xf>
    <xf numFmtId="3" fontId="85" fillId="18" borderId="63" applyAlignment="1" pivotButton="0" quotePrefix="0" xfId="0">
      <alignment horizontal="left" indent="1"/>
    </xf>
    <xf numFmtId="3" fontId="86" fillId="18" borderId="0" pivotButton="0" quotePrefix="0" xfId="0"/>
    <xf numFmtId="166" fontId="86" fillId="18" borderId="0" pivotButton="0" quotePrefix="0" xfId="0"/>
    <xf numFmtId="0" fontId="86" fillId="18" borderId="0" pivotButton="0" quotePrefix="0" xfId="0"/>
    <xf numFmtId="0" fontId="87" fillId="18" borderId="0" pivotButton="0" quotePrefix="0" xfId="0"/>
    <xf numFmtId="0" fontId="88" fillId="0" borderId="0" applyAlignment="1" pivotButton="0" quotePrefix="0" xfId="0">
      <alignment vertical="center"/>
    </xf>
    <xf numFmtId="174" fontId="23" fillId="0" borderId="0" pivotButton="0" quotePrefix="0" xfId="3"/>
    <xf numFmtId="174" fontId="23" fillId="0" borderId="0" applyAlignment="1" pivotButton="0" quotePrefix="0" xfId="3">
      <alignment vertical="center"/>
    </xf>
    <xf numFmtId="169" fontId="0" fillId="0" borderId="0" pivotButton="0" quotePrefix="0" xfId="0"/>
    <xf numFmtId="177" fontId="0" fillId="0" borderId="0" pivotButton="0" quotePrefix="0" xfId="0"/>
    <xf numFmtId="176" fontId="0" fillId="0" borderId="0" pivotButton="0" quotePrefix="0" xfId="0"/>
    <xf numFmtId="173" fontId="23" fillId="0" borderId="0" applyAlignment="1" pivotButton="0" quotePrefix="0" xfId="0">
      <alignment horizontal="right"/>
    </xf>
    <xf numFmtId="173" fontId="23" fillId="0" borderId="49" applyAlignment="1" pivotButton="0" quotePrefix="0" xfId="0">
      <alignment horizontal="right" vertical="center"/>
    </xf>
    <xf numFmtId="171" fontId="2" fillId="0" borderId="0" pivotButton="0" quotePrefix="0" xfId="1"/>
    <xf numFmtId="169" fontId="2" fillId="0" borderId="0" pivotButton="0" quotePrefix="0" xfId="0"/>
    <xf numFmtId="173" fontId="2" fillId="0" borderId="0" applyAlignment="1" pivotButton="0" quotePrefix="0" xfId="0">
      <alignment horizontal="right"/>
    </xf>
    <xf numFmtId="173" fontId="2" fillId="0" borderId="0" pivotButton="0" quotePrefix="0" xfId="0"/>
    <xf numFmtId="171" fontId="23" fillId="0" borderId="0" pivotButton="0" quotePrefix="0" xfId="1"/>
    <xf numFmtId="169" fontId="23" fillId="0" borderId="0" applyAlignment="1" pivotButton="0" quotePrefix="0" xfId="10">
      <alignment horizontal="right"/>
    </xf>
    <xf numFmtId="169" fontId="23" fillId="0" borderId="0" pivotButton="0" quotePrefix="0" xfId="0"/>
    <xf numFmtId="167" fontId="2" fillId="0" borderId="0" pivotButton="0" quotePrefix="0" xfId="3"/>
    <xf numFmtId="174" fontId="2" fillId="0" borderId="0" pivotButton="0" quotePrefix="0" xfId="3"/>
    <xf numFmtId="174" fontId="2" fillId="0" borderId="0" applyAlignment="1" pivotButton="0" quotePrefix="0" xfId="3">
      <alignment horizontal="center"/>
    </xf>
    <xf numFmtId="175" fontId="2" fillId="0" borderId="0" pivotButton="0" quotePrefix="0" xfId="0"/>
    <xf numFmtId="167" fontId="23" fillId="0" borderId="0" pivotButton="0" quotePrefix="0" xfId="3"/>
    <xf numFmtId="174" fontId="23" fillId="0" borderId="0" applyAlignment="1" pivotButton="0" quotePrefix="0" xfId="3">
      <alignment horizontal="center"/>
    </xf>
    <xf numFmtId="168" fontId="16" fillId="0" borderId="0" pivotButton="0" quotePrefix="0" xfId="0"/>
    <xf numFmtId="0" fontId="89" fillId="0" borderId="0" pivotButton="0" quotePrefix="0" xfId="0"/>
    <xf numFmtId="0" fontId="90" fillId="15" borderId="0" applyAlignment="1" pivotButton="0" quotePrefix="0" xfId="0">
      <alignment horizontal="center"/>
    </xf>
    <xf numFmtId="0" fontId="91" fillId="19" borderId="0" applyAlignment="1" pivotButton="0" quotePrefix="0" xfId="0">
      <alignment horizontal="center" vertical="center"/>
    </xf>
    <xf numFmtId="0" fontId="92" fillId="20" borderId="0" applyAlignment="1" pivotButton="0" quotePrefix="0" xfId="0">
      <alignment horizontal="center" vertical="center"/>
    </xf>
    <xf numFmtId="0" fontId="93" fillId="20" borderId="64" applyAlignment="1" pivotButton="0" quotePrefix="0" xfId="0">
      <alignment horizontal="center" vertical="center" wrapText="1"/>
    </xf>
    <xf numFmtId="0" fontId="94" fillId="21" borderId="64" applyAlignment="1" pivotButton="0" quotePrefix="0" xfId="0">
      <alignment horizontal="center" vertical="center"/>
    </xf>
    <xf numFmtId="0" fontId="95" fillId="0" borderId="64" applyAlignment="1" pivotButton="0" quotePrefix="0" xfId="0">
      <alignment vertical="top" wrapText="1"/>
    </xf>
    <xf numFmtId="0" fontId="96" fillId="0" borderId="64" applyAlignment="1" pivotButton="0" quotePrefix="0" xfId="0">
      <alignment horizontal="center" vertical="center"/>
    </xf>
    <xf numFmtId="0" fontId="96" fillId="0" borderId="64" applyAlignment="1" pivotButton="0" quotePrefix="0" xfId="0">
      <alignment horizontal="left" vertical="center"/>
    </xf>
    <xf numFmtId="3" fontId="95" fillId="0" borderId="64" applyAlignment="1" pivotButton="0" quotePrefix="0" xfId="0">
      <alignment vertical="top" wrapText="1"/>
    </xf>
    <xf numFmtId="0" fontId="96" fillId="22" borderId="64" pivotButton="0" quotePrefix="0" xfId="0"/>
    <xf numFmtId="0" fontId="96" fillId="0" borderId="64" pivotButton="0" quotePrefix="0" xfId="0"/>
    <xf numFmtId="0" fontId="97" fillId="19" borderId="0" applyAlignment="1" pivotButton="0" quotePrefix="0" xfId="0">
      <alignment horizontal="center" vertical="center"/>
    </xf>
    <xf numFmtId="0" fontId="94" fillId="21" borderId="64" applyAlignment="1" pivotButton="0" quotePrefix="0" xfId="0">
      <alignment horizontal="center"/>
    </xf>
    <xf numFmtId="0" fontId="95" fillId="0" borderId="64" applyAlignment="1" pivotButton="0" quotePrefix="0" xfId="0">
      <alignment vertical="center"/>
    </xf>
    <xf numFmtId="0" fontId="96" fillId="0" borderId="64" applyAlignment="1" pivotButton="0" quotePrefix="0" xfId="0">
      <alignment horizontal="left"/>
    </xf>
    <xf numFmtId="3" fontId="95" fillId="0" borderId="64" applyAlignment="1" pivotButton="0" quotePrefix="0" xfId="0">
      <alignment vertical="center"/>
    </xf>
    <xf numFmtId="4" fontId="95" fillId="0" borderId="64" applyAlignment="1" pivotButton="0" quotePrefix="0" xfId="0">
      <alignment vertical="center"/>
    </xf>
    <xf numFmtId="4" fontId="98" fillId="23" borderId="64" applyAlignment="1" pivotButton="0" quotePrefix="0" xfId="0">
      <alignment vertical="center"/>
    </xf>
    <xf numFmtId="4" fontId="98" fillId="24" borderId="64" applyAlignment="1" pivotButton="0" quotePrefix="0" xfId="0">
      <alignment vertical="center"/>
    </xf>
    <xf numFmtId="4" fontId="98" fillId="24" borderId="64" applyAlignment="1" pivotButton="0" quotePrefix="0" xfId="0">
      <alignment vertical="center" wrapText="1"/>
    </xf>
    <xf numFmtId="4" fontId="98" fillId="0" borderId="64" applyAlignment="1" pivotButton="0" quotePrefix="0" xfId="0">
      <alignment vertical="center"/>
    </xf>
    <xf numFmtId="0" fontId="95" fillId="0" borderId="64" applyAlignment="1" pivotButton="0" quotePrefix="0" xfId="0">
      <alignment vertical="center" wrapText="1"/>
    </xf>
    <xf numFmtId="0" fontId="98" fillId="23" borderId="64" applyAlignment="1" pivotButton="0" quotePrefix="0" xfId="0">
      <alignment vertical="center"/>
    </xf>
    <xf numFmtId="0" fontId="98" fillId="24" borderId="64" applyAlignment="1" pivotButton="0" quotePrefix="0" xfId="0">
      <alignment vertical="center"/>
    </xf>
    <xf numFmtId="0" fontId="98" fillId="0" borderId="64" applyAlignment="1" pivotButton="0" quotePrefix="0" xfId="0">
      <alignment vertical="center"/>
    </xf>
    <xf numFmtId="3" fontId="96" fillId="0" borderId="64" applyAlignment="1" pivotButton="0" quotePrefix="0" xfId="0">
      <alignment horizontal="right"/>
    </xf>
    <xf numFmtId="0" fontId="97" fillId="19" borderId="0" applyAlignment="1" pivotButton="0" quotePrefix="0" xfId="0">
      <alignment horizontal="left" vertical="center"/>
    </xf>
    <xf numFmtId="0" fontId="99" fillId="25" borderId="0" applyAlignment="1" pivotButton="0" quotePrefix="0" xfId="0">
      <alignment horizontal="left" vertical="center"/>
    </xf>
    <xf numFmtId="0" fontId="100" fillId="21" borderId="64" applyAlignment="1" pivotButton="0" quotePrefix="0" xfId="0">
      <alignment horizontal="center" vertical="center" wrapText="1"/>
    </xf>
    <xf numFmtId="0" fontId="96" fillId="25" borderId="64" applyAlignment="1" pivotButton="0" quotePrefix="0" xfId="0">
      <alignment horizontal="left" vertical="center"/>
    </xf>
    <xf numFmtId="3" fontId="96" fillId="25" borderId="64" applyAlignment="1" pivotButton="0" quotePrefix="0" xfId="0">
      <alignment horizontal="right" vertical="center"/>
    </xf>
    <xf numFmtId="180" fontId="96" fillId="25" borderId="64" applyAlignment="1" pivotButton="0" quotePrefix="0" xfId="0">
      <alignment horizontal="right" vertical="center"/>
    </xf>
    <xf numFmtId="0" fontId="96" fillId="25" borderId="64" applyAlignment="1" pivotButton="0" quotePrefix="0" xfId="0">
      <alignment horizontal="left" vertical="center" wrapText="1"/>
    </xf>
    <xf numFmtId="3" fontId="96" fillId="0" borderId="64" applyAlignment="1" pivotButton="0" quotePrefix="0" xfId="0">
      <alignment horizontal="right" vertical="center"/>
    </xf>
    <xf numFmtId="180" fontId="96" fillId="0" borderId="64" applyAlignment="1" pivotButton="0" quotePrefix="0" xfId="0">
      <alignment horizontal="right" vertical="center"/>
    </xf>
    <xf numFmtId="0" fontId="96" fillId="0" borderId="64" applyAlignment="1" pivotButton="0" quotePrefix="0" xfId="0">
      <alignment horizontal="left" vertical="center" wrapText="1"/>
    </xf>
    <xf numFmtId="0" fontId="96" fillId="24" borderId="64" applyAlignment="1" pivotButton="0" quotePrefix="0" xfId="0">
      <alignment horizontal="left" vertical="center"/>
    </xf>
    <xf numFmtId="3" fontId="96" fillId="24" borderId="64" applyAlignment="1" pivotButton="0" quotePrefix="0" xfId="0">
      <alignment horizontal="right" vertical="center"/>
    </xf>
    <xf numFmtId="38" fontId="96" fillId="24" borderId="64" applyAlignment="1" pivotButton="0" quotePrefix="0" xfId="0">
      <alignment horizontal="right" vertical="center"/>
    </xf>
    <xf numFmtId="0" fontId="96" fillId="24" borderId="64" applyAlignment="1" pivotButton="0" quotePrefix="0" xfId="0">
      <alignment horizontal="left" vertical="center" wrapText="1"/>
    </xf>
    <xf numFmtId="180" fontId="96" fillId="24" borderId="64" applyAlignment="1" pivotButton="0" quotePrefix="0" xfId="0">
      <alignment horizontal="right" vertical="center"/>
    </xf>
    <xf numFmtId="38" fontId="96" fillId="25" borderId="64" applyAlignment="1" pivotButton="0" quotePrefix="0" xfId="0">
      <alignment horizontal="right" vertical="center"/>
    </xf>
    <xf numFmtId="38" fontId="96" fillId="0" borderId="64" applyAlignment="1" pivotButton="0" quotePrefix="0" xfId="0">
      <alignment horizontal="right" vertical="center"/>
    </xf>
    <xf numFmtId="0" fontId="96" fillId="26" borderId="64" applyAlignment="1" pivotButton="0" quotePrefix="0" xfId="0">
      <alignment horizontal="left" vertical="center"/>
    </xf>
    <xf numFmtId="3" fontId="96" fillId="26" borderId="64" applyAlignment="1" pivotButton="0" quotePrefix="0" xfId="0">
      <alignment horizontal="right" vertical="center"/>
    </xf>
    <xf numFmtId="180" fontId="96" fillId="26" borderId="64" applyAlignment="1" pivotButton="0" quotePrefix="0" xfId="0">
      <alignment horizontal="right" vertical="center"/>
    </xf>
    <xf numFmtId="0" fontId="96" fillId="26" borderId="64" applyAlignment="1" pivotButton="0" quotePrefix="0" xfId="0">
      <alignment horizontal="left" vertical="center" wrapText="1"/>
    </xf>
    <xf numFmtId="0" fontId="96" fillId="27" borderId="64" applyAlignment="1" pivotButton="0" quotePrefix="0" xfId="0">
      <alignment horizontal="left" vertical="center"/>
    </xf>
    <xf numFmtId="3" fontId="96" fillId="27" borderId="64" applyAlignment="1" pivotButton="0" quotePrefix="0" xfId="0">
      <alignment horizontal="right" vertical="center"/>
    </xf>
    <xf numFmtId="38" fontId="96" fillId="27" borderId="64" applyAlignment="1" pivotButton="0" quotePrefix="0" xfId="0">
      <alignment horizontal="right" vertical="center"/>
    </xf>
    <xf numFmtId="0" fontId="96" fillId="27" borderId="64" applyAlignment="1" pivotButton="0" quotePrefix="0" xfId="0">
      <alignment horizontal="left" vertical="center" wrapText="1"/>
    </xf>
    <xf numFmtId="180" fontId="96" fillId="27" borderId="64" applyAlignment="1" pivotButton="0" quotePrefix="0" xfId="0">
      <alignment horizontal="right" vertical="center"/>
    </xf>
    <xf numFmtId="0" fontId="81" fillId="15" borderId="0" applyAlignment="1" pivotButton="0" quotePrefix="1" xfId="0">
      <alignment vertical="center"/>
    </xf>
    <xf numFmtId="0" fontId="81" fillId="15" borderId="0" pivotButton="0" quotePrefix="0" xfId="0"/>
    <xf numFmtId="0" fontId="101" fillId="0" borderId="62" pivotButton="0" quotePrefix="0" xfId="0"/>
    <xf numFmtId="0" fontId="102" fillId="13" borderId="62" pivotButton="0" quotePrefix="0" xfId="0"/>
    <xf numFmtId="0" fontId="81" fillId="15" borderId="0" applyAlignment="1" pivotButton="0" quotePrefix="1" xfId="0">
      <alignment horizontal="centerContinuous"/>
    </xf>
    <xf numFmtId="0" fontId="81" fillId="15" borderId="1" pivotButton="0" quotePrefix="0" xfId="0"/>
    <xf numFmtId="0" fontId="81" fillId="15" borderId="2" pivotButton="0" quotePrefix="0" xfId="0"/>
    <xf numFmtId="0" fontId="81" fillId="15" borderId="3" pivotButton="0" quotePrefix="0" xfId="0"/>
    <xf numFmtId="0" fontId="0" fillId="16" borderId="4" pivotButton="0" quotePrefix="0" xfId="0"/>
    <xf numFmtId="0" fontId="9" fillId="16" borderId="5" pivotButton="0" quotePrefix="0" xfId="0"/>
    <xf numFmtId="0" fontId="9" fillId="16" borderId="5" applyAlignment="1" pivotButton="0" quotePrefix="0" xfId="0">
      <alignment horizontal="right"/>
    </xf>
    <xf numFmtId="0" fontId="9" fillId="16" borderId="5" applyAlignment="1" pivotButton="0" quotePrefix="0" xfId="0">
      <alignment horizontal="center"/>
    </xf>
    <xf numFmtId="0" fontId="9" fillId="16" borderId="6" applyAlignment="1" pivotButton="0" quotePrefix="1" xfId="0">
      <alignment horizontal="right"/>
    </xf>
    <xf numFmtId="0" fontId="9" fillId="16" borderId="6" applyAlignment="1" pivotButton="0" quotePrefix="0" xfId="0">
      <alignment horizontal="right"/>
    </xf>
    <xf numFmtId="0" fontId="9" fillId="16" borderId="8" pivotButton="0" quotePrefix="0" xfId="0"/>
    <xf numFmtId="0" fontId="9" fillId="16" borderId="8" applyAlignment="1" pivotButton="0" quotePrefix="0" xfId="0">
      <alignment horizontal="right"/>
    </xf>
    <xf numFmtId="0" fontId="9" fillId="16" borderId="8" applyAlignment="1" pivotButton="0" quotePrefix="0" xfId="0">
      <alignment horizontal="center"/>
    </xf>
    <xf numFmtId="0" fontId="9" fillId="16" borderId="9" applyAlignment="1" pivotButton="0" quotePrefix="0" xfId="0">
      <alignment horizontal="right"/>
    </xf>
    <xf numFmtId="49" fontId="13" fillId="13" borderId="5" applyProtection="1" pivotButton="0" quotePrefix="0" xfId="0">
      <protection locked="0" hidden="0"/>
    </xf>
    <xf numFmtId="0" fontId="13" fillId="13" borderId="5" applyAlignment="1" applyProtection="1" pivotButton="0" quotePrefix="0" xfId="0">
      <alignment horizontal="right"/>
      <protection locked="0" hidden="0"/>
    </xf>
    <xf numFmtId="37" fontId="13" fillId="13" borderId="5" applyAlignment="1" applyProtection="1" pivotButton="0" quotePrefix="0" xfId="0">
      <alignment horizontal="right"/>
      <protection locked="0" hidden="0"/>
    </xf>
    <xf numFmtId="0" fontId="13" fillId="13" borderId="5" applyAlignment="1" applyProtection="1" pivotButton="0" quotePrefix="0" xfId="0">
      <alignment horizontal="center"/>
      <protection locked="0" hidden="0"/>
    </xf>
    <xf numFmtId="167" fontId="13" fillId="13" borderId="5" applyAlignment="1" applyProtection="1" pivotButton="0" quotePrefix="0" xfId="0">
      <alignment horizontal="right"/>
      <protection locked="0" hidden="0"/>
    </xf>
    <xf numFmtId="0" fontId="5" fillId="13" borderId="5" applyAlignment="1" pivotButton="0" quotePrefix="0" xfId="0">
      <alignment horizontal="right"/>
    </xf>
    <xf numFmtId="167" fontId="13" fillId="13" borderId="6" applyAlignment="1" applyProtection="1" pivotButton="0" quotePrefix="0" xfId="0">
      <alignment horizontal="right"/>
      <protection locked="0" hidden="0"/>
    </xf>
    <xf numFmtId="37" fontId="5" fillId="13" borderId="5" applyAlignment="1" pivotButton="0" quotePrefix="0" xfId="0">
      <alignment horizontal="right"/>
    </xf>
    <xf numFmtId="9" fontId="13" fillId="13" borderId="5" applyAlignment="1" applyProtection="1" pivotButton="0" quotePrefix="0" xfId="0">
      <alignment horizontal="right"/>
      <protection locked="0" hidden="0"/>
    </xf>
    <xf numFmtId="49" fontId="13" fillId="13" borderId="5" applyAlignment="1" applyProtection="1" pivotButton="0" quotePrefix="0" xfId="0">
      <alignment horizontal="right"/>
      <protection locked="0" hidden="0"/>
    </xf>
    <xf numFmtId="0" fontId="13" fillId="13" borderId="21" applyProtection="1" pivotButton="0" quotePrefix="0" xfId="0">
      <protection locked="0" hidden="0"/>
    </xf>
    <xf numFmtId="0" fontId="13" fillId="13" borderId="21" applyAlignment="1" applyProtection="1" pivotButton="0" quotePrefix="0" xfId="0">
      <alignment horizontal="right"/>
      <protection locked="0" hidden="0"/>
    </xf>
    <xf numFmtId="37" fontId="13" fillId="13" borderId="21" applyAlignment="1" applyProtection="1" pivotButton="0" quotePrefix="0" xfId="0">
      <alignment horizontal="right"/>
      <protection locked="0" hidden="0"/>
    </xf>
    <xf numFmtId="0" fontId="13" fillId="13" borderId="21" applyAlignment="1" applyProtection="1" pivotButton="0" quotePrefix="0" xfId="0">
      <alignment horizontal="center"/>
      <protection locked="0" hidden="0"/>
    </xf>
    <xf numFmtId="9" fontId="13" fillId="13" borderId="21" applyAlignment="1" applyProtection="1" pivotButton="0" quotePrefix="0" xfId="0">
      <alignment horizontal="right"/>
      <protection locked="0" hidden="0"/>
    </xf>
    <xf numFmtId="166" fontId="13" fillId="13" borderId="21" applyAlignment="1" applyProtection="1" pivotButton="0" quotePrefix="0" xfId="0">
      <alignment horizontal="right"/>
      <protection locked="0" hidden="0"/>
    </xf>
    <xf numFmtId="166" fontId="11" fillId="13" borderId="30" applyAlignment="1" applyProtection="1" pivotButton="0" quotePrefix="0" xfId="0">
      <alignment horizontal="right"/>
      <protection locked="0" hidden="0"/>
    </xf>
    <xf numFmtId="0" fontId="81" fillId="15" borderId="2" applyAlignment="1" pivotButton="0" quotePrefix="0" xfId="0">
      <alignment horizontal="right"/>
    </xf>
    <xf numFmtId="0" fontId="81" fillId="15" borderId="3" applyAlignment="1" pivotButton="0" quotePrefix="0" xfId="0">
      <alignment horizontal="right"/>
    </xf>
    <xf numFmtId="0" fontId="7" fillId="16" borderId="11" pivotButton="0" quotePrefix="0" xfId="0"/>
    <xf numFmtId="0" fontId="9" fillId="16" borderId="12" pivotButton="0" quotePrefix="0" xfId="0"/>
    <xf numFmtId="0" fontId="9" fillId="16" borderId="13" applyAlignment="1" pivotButton="0" quotePrefix="0" xfId="0">
      <alignment horizontal="right"/>
    </xf>
    <xf numFmtId="0" fontId="9" fillId="16" borderId="12" applyAlignment="1" pivotButton="0" quotePrefix="0" xfId="0">
      <alignment horizontal="right"/>
    </xf>
    <xf numFmtId="0" fontId="9" fillId="16" borderId="13" applyAlignment="1" pivotButton="0" quotePrefix="0" xfId="0">
      <alignment horizontal="center"/>
    </xf>
    <xf numFmtId="0" fontId="9" fillId="16" borderId="14" applyAlignment="1" pivotButton="0" quotePrefix="0" xfId="0">
      <alignment horizontal="right"/>
    </xf>
    <xf numFmtId="0" fontId="7" fillId="16" borderId="4" pivotButton="0" quotePrefix="0" xfId="0"/>
    <xf numFmtId="0" fontId="9" fillId="16" borderId="15" pivotButton="0" quotePrefix="0" xfId="0"/>
    <xf numFmtId="0" fontId="9" fillId="16" borderId="0" applyAlignment="1" pivotButton="0" quotePrefix="0" xfId="0">
      <alignment horizontal="right"/>
    </xf>
    <xf numFmtId="0" fontId="9" fillId="16" borderId="15" applyAlignment="1" pivotButton="0" quotePrefix="0" xfId="0">
      <alignment horizontal="right"/>
    </xf>
    <xf numFmtId="0" fontId="9" fillId="16" borderId="0" applyAlignment="1" pivotButton="0" quotePrefix="0" xfId="0">
      <alignment horizontal="center"/>
    </xf>
    <xf numFmtId="0" fontId="7" fillId="16" borderId="7" applyAlignment="1" pivotButton="0" quotePrefix="0" xfId="0">
      <alignment horizontal="center"/>
    </xf>
    <xf numFmtId="0" fontId="9" fillId="16" borderId="16" pivotButton="0" quotePrefix="0" xfId="0"/>
    <xf numFmtId="0" fontId="9" fillId="16" borderId="17" applyAlignment="1" pivotButton="0" quotePrefix="0" xfId="0">
      <alignment horizontal="right"/>
    </xf>
    <xf numFmtId="0" fontId="9" fillId="16" borderId="16" applyAlignment="1" pivotButton="0" quotePrefix="0" xfId="0">
      <alignment horizontal="right"/>
    </xf>
    <xf numFmtId="0" fontId="9" fillId="16" borderId="17" applyAlignment="1" pivotButton="0" quotePrefix="0" xfId="0">
      <alignment horizontal="center"/>
    </xf>
    <xf numFmtId="0" fontId="103" fillId="0" borderId="28" pivotButton="0" quotePrefix="0" xfId="0"/>
    <xf numFmtId="0" fontId="81" fillId="15" borderId="23" pivotButton="0" quotePrefix="0" xfId="0"/>
    <xf numFmtId="0" fontId="7" fillId="16" borderId="24" pivotButton="0" quotePrefix="0" xfId="0"/>
    <xf numFmtId="0" fontId="9" fillId="16" borderId="14" pivotButton="0" quotePrefix="0" xfId="0"/>
    <xf numFmtId="0" fontId="9" fillId="16" borderId="14" applyAlignment="1" pivotButton="0" quotePrefix="0" xfId="0">
      <alignment horizontal="center"/>
    </xf>
    <xf numFmtId="0" fontId="9" fillId="16" borderId="25" pivotButton="0" quotePrefix="0" xfId="0"/>
    <xf numFmtId="0" fontId="7" fillId="16" borderId="0" pivotButton="0" quotePrefix="0" xfId="0"/>
    <xf numFmtId="0" fontId="7" fillId="16" borderId="18" pivotButton="0" quotePrefix="0" xfId="0"/>
    <xf numFmtId="0" fontId="9" fillId="16" borderId="26" applyAlignment="1" pivotButton="0" quotePrefix="0" xfId="0">
      <alignment horizontal="right"/>
    </xf>
    <xf numFmtId="0" fontId="7" fillId="16" borderId="19" applyAlignment="1" pivotButton="0" quotePrefix="0" xfId="0">
      <alignment horizontal="center"/>
    </xf>
    <xf numFmtId="0" fontId="9" fillId="16" borderId="27" applyAlignment="1" pivotButton="0" quotePrefix="0" xfId="0">
      <alignment horizontal="right"/>
    </xf>
    <xf numFmtId="0" fontId="81" fillId="15" borderId="0" applyAlignment="1" pivotButton="0" quotePrefix="0" xfId="7">
      <alignment horizontal="centerContinuous"/>
    </xf>
    <xf numFmtId="0" fontId="104" fillId="16" borderId="32" pivotButton="0" quotePrefix="0" xfId="7"/>
    <xf numFmtId="0" fontId="104" fillId="16" borderId="32" applyAlignment="1" pivotButton="0" quotePrefix="0" xfId="7">
      <alignment horizontal="right"/>
    </xf>
    <xf numFmtId="0" fontId="104" fillId="16" borderId="33" applyAlignment="1" pivotButton="0" quotePrefix="0" xfId="7">
      <alignment horizontal="right"/>
    </xf>
    <xf numFmtId="0" fontId="104" fillId="16" borderId="34" applyAlignment="1" pivotButton="0" quotePrefix="0" xfId="7">
      <alignment horizontal="right"/>
    </xf>
    <xf numFmtId="0" fontId="104" fillId="16" borderId="32" applyAlignment="1" pivotButton="0" quotePrefix="1" xfId="7">
      <alignment horizontal="right"/>
    </xf>
    <xf numFmtId="0" fontId="104" fillId="16" borderId="35" pivotButton="0" quotePrefix="0" xfId="7"/>
    <xf numFmtId="0" fontId="104" fillId="16" borderId="35" applyAlignment="1" pivotButton="0" quotePrefix="0" xfId="7">
      <alignment horizontal="right"/>
    </xf>
    <xf numFmtId="0" fontId="104" fillId="16" borderId="36" applyAlignment="1" pivotButton="0" quotePrefix="0" xfId="7">
      <alignment horizontal="right"/>
    </xf>
    <xf numFmtId="0" fontId="104" fillId="16" borderId="37" applyAlignment="1" pivotButton="0" quotePrefix="0" xfId="7">
      <alignment horizontal="right"/>
    </xf>
    <xf numFmtId="0" fontId="104" fillId="16" borderId="38" applyAlignment="1" pivotButton="0" quotePrefix="1" xfId="7">
      <alignment horizontal="right"/>
    </xf>
    <xf numFmtId="0" fontId="104" fillId="16" borderId="35" applyAlignment="1" pivotButton="0" quotePrefix="1" xfId="7">
      <alignment horizontal="right"/>
    </xf>
    <xf numFmtId="0" fontId="104" fillId="16" borderId="36" applyAlignment="1" pivotButton="0" quotePrefix="1" xfId="7">
      <alignment horizontal="right"/>
    </xf>
    <xf numFmtId="0" fontId="104" fillId="16" borderId="39" applyAlignment="1" pivotButton="0" quotePrefix="1" xfId="7">
      <alignment horizontal="left"/>
    </xf>
    <xf numFmtId="0" fontId="104" fillId="16" borderId="39" pivotButton="0" quotePrefix="0" xfId="7"/>
    <xf numFmtId="0" fontId="104" fillId="16" borderId="39" applyAlignment="1" pivotButton="0" quotePrefix="1" xfId="7">
      <alignment horizontal="right"/>
    </xf>
    <xf numFmtId="0" fontId="104" fillId="16" borderId="39" applyAlignment="1" pivotButton="0" quotePrefix="0" xfId="7">
      <alignment horizontal="right"/>
    </xf>
    <xf numFmtId="0" fontId="104" fillId="16" borderId="40" applyAlignment="1" pivotButton="0" quotePrefix="0" xfId="7">
      <alignment horizontal="centerContinuous"/>
    </xf>
    <xf numFmtId="0" fontId="104" fillId="16" borderId="41" applyAlignment="1" pivotButton="0" quotePrefix="0" xfId="7">
      <alignment horizontal="centerContinuous"/>
    </xf>
    <xf numFmtId="0" fontId="81" fillId="15" borderId="0" applyAlignment="1" pivotButton="0" quotePrefix="0" xfId="8">
      <alignment horizontal="centerContinuous"/>
    </xf>
    <xf numFmtId="0" fontId="105" fillId="16" borderId="0" applyAlignment="1" pivotButton="0" quotePrefix="0" xfId="8">
      <alignment horizontal="centerContinuous" vertical="center"/>
    </xf>
    <xf numFmtId="0" fontId="106" fillId="16" borderId="0" applyAlignment="1" pivotButton="0" quotePrefix="0" xfId="8">
      <alignment horizontal="centerContinuous" vertical="center"/>
    </xf>
    <xf numFmtId="0" fontId="104" fillId="16" borderId="42" pivotButton="0" quotePrefix="0" xfId="8"/>
    <xf numFmtId="0" fontId="104" fillId="16" borderId="42" applyAlignment="1" pivotButton="0" quotePrefix="1" xfId="8">
      <alignment horizontal="right"/>
    </xf>
    <xf numFmtId="0" fontId="104" fillId="16" borderId="42" applyAlignment="1" pivotButton="0" quotePrefix="0" xfId="8">
      <alignment horizontal="right"/>
    </xf>
    <xf numFmtId="0" fontId="104" fillId="16" borderId="28" applyAlignment="1" pivotButton="0" quotePrefix="0" xfId="8">
      <alignment horizontal="right"/>
    </xf>
    <xf numFmtId="0" fontId="104" fillId="16" borderId="23" pivotButton="0" quotePrefix="0" xfId="8"/>
    <xf numFmtId="0" fontId="104" fillId="16" borderId="43" pivotButton="0" quotePrefix="0" xfId="8"/>
    <xf numFmtId="0" fontId="104" fillId="16" borderId="43" applyAlignment="1" pivotButton="0" quotePrefix="1" xfId="8">
      <alignment horizontal="right"/>
    </xf>
    <xf numFmtId="0" fontId="104" fillId="16" borderId="43" applyAlignment="1" pivotButton="0" quotePrefix="0" xfId="8">
      <alignment horizontal="right"/>
    </xf>
    <xf numFmtId="0" fontId="104" fillId="16" borderId="4" applyAlignment="1" pivotButton="0" quotePrefix="0" xfId="8">
      <alignment horizontal="right"/>
    </xf>
    <xf numFmtId="0" fontId="104" fillId="16" borderId="6" pivotButton="0" quotePrefix="0" xfId="8"/>
    <xf numFmtId="0" fontId="104" fillId="16" borderId="44" pivotButton="0" quotePrefix="0" xfId="8"/>
    <xf numFmtId="0" fontId="104" fillId="16" borderId="44" applyAlignment="1" pivotButton="0" quotePrefix="1" xfId="8">
      <alignment horizontal="right"/>
    </xf>
    <xf numFmtId="0" fontId="104" fillId="16" borderId="44" applyAlignment="1" pivotButton="0" quotePrefix="0" xfId="8">
      <alignment horizontal="right"/>
    </xf>
    <xf numFmtId="0" fontId="104" fillId="16" borderId="10" applyAlignment="1" pivotButton="0" quotePrefix="0" xfId="8">
      <alignment horizontal="centerContinuous"/>
    </xf>
    <xf numFmtId="0" fontId="104" fillId="16" borderId="30" applyAlignment="1" pivotButton="0" quotePrefix="1" xfId="8">
      <alignment horizontal="centerContinuous"/>
    </xf>
    <xf numFmtId="0" fontId="81" fillId="15" borderId="0" applyAlignment="1" pivotButton="0" quotePrefix="0" xfId="8">
      <alignment horizontal="centerContinuous" vertical="center"/>
    </xf>
    <xf numFmtId="0" fontId="81" fillId="15" borderId="0" applyAlignment="1" pivotButton="0" quotePrefix="0" xfId="9">
      <alignment horizontal="center"/>
    </xf>
    <xf numFmtId="0" fontId="81" fillId="15" borderId="0" applyAlignment="1" pivotButton="0" quotePrefix="0" xfId="9">
      <alignment horizontal="centerContinuous"/>
    </xf>
    <xf numFmtId="0" fontId="77" fillId="0" borderId="0" pivotButton="0" quotePrefix="0" xfId="9"/>
    <xf numFmtId="0" fontId="1" fillId="13" borderId="45" applyAlignment="1" pivotButton="0" quotePrefix="0" xfId="9">
      <alignment horizontal="left"/>
    </xf>
    <xf numFmtId="0" fontId="1" fillId="13" borderId="46" applyAlignment="1" pivotButton="0" quotePrefix="0" xfId="9">
      <alignment horizontal="left"/>
    </xf>
    <xf numFmtId="0" fontId="77" fillId="0" borderId="0" applyAlignment="1" pivotButton="0" quotePrefix="1" xfId="9">
      <alignment horizontal="left"/>
    </xf>
    <xf numFmtId="0" fontId="81" fillId="15" borderId="50" pivotButton="0" quotePrefix="0" xfId="9"/>
    <xf numFmtId="0" fontId="81" fillId="15" borderId="13" pivotButton="0" quotePrefix="0" xfId="9"/>
    <xf numFmtId="0" fontId="81" fillId="15" borderId="13" applyAlignment="1" pivotButton="0" quotePrefix="1" xfId="9">
      <alignment horizontal="right"/>
    </xf>
    <xf numFmtId="0" fontId="81" fillId="15" borderId="14" applyAlignment="1" pivotButton="0" quotePrefix="1" xfId="9">
      <alignment horizontal="right"/>
    </xf>
    <xf numFmtId="0" fontId="107" fillId="16" borderId="17" applyAlignment="1" pivotButton="0" quotePrefix="1" xfId="9">
      <alignment horizontal="center"/>
    </xf>
    <xf numFmtId="0" fontId="107" fillId="16" borderId="17" pivotButton="0" quotePrefix="0" xfId="9"/>
    <xf numFmtId="0" fontId="107" fillId="16" borderId="17" applyAlignment="1" pivotButton="0" quotePrefix="0" xfId="9">
      <alignment horizontal="center"/>
    </xf>
    <xf numFmtId="0" fontId="107" fillId="16" borderId="17" applyAlignment="1" pivotButton="0" quotePrefix="1" xfId="9">
      <alignment horizontal="right"/>
    </xf>
    <xf numFmtId="0" fontId="107" fillId="16" borderId="17" applyAlignment="1" pivotButton="0" quotePrefix="0" xfId="9">
      <alignment horizontal="right"/>
    </xf>
    <xf numFmtId="0" fontId="107" fillId="16" borderId="8" applyAlignment="1" pivotButton="0" quotePrefix="1" xfId="9">
      <alignment horizontal="right"/>
    </xf>
    <xf numFmtId="0" fontId="81" fillId="15" borderId="13" applyAlignment="1" pivotButton="0" quotePrefix="0" xfId="9">
      <alignment horizontal="right"/>
    </xf>
    <xf numFmtId="0" fontId="81" fillId="15" borderId="14" applyAlignment="1" pivotButton="0" quotePrefix="0" xfId="9">
      <alignment horizontal="right"/>
    </xf>
    <xf numFmtId="0" fontId="107" fillId="16" borderId="8" applyAlignment="1" pivotButton="0" quotePrefix="0" xfId="9">
      <alignment horizontal="right"/>
    </xf>
    <xf numFmtId="0" fontId="103" fillId="0" borderId="0" pivotButton="0" quotePrefix="0" xfId="9"/>
    <xf numFmtId="0" fontId="103" fillId="0" borderId="0" applyAlignment="1" pivotButton="0" quotePrefix="1" xfId="9">
      <alignment horizontal="left"/>
    </xf>
    <xf numFmtId="0" fontId="108" fillId="15" borderId="0" applyAlignment="1" pivotButton="0" quotePrefix="0" xfId="0">
      <alignment horizontal="center" vertical="center" wrapText="1"/>
    </xf>
    <xf numFmtId="0" fontId="108" fillId="15" borderId="0" applyAlignment="1" pivotButton="0" quotePrefix="1" xfId="0">
      <alignment horizontal="center" vertical="center" wrapText="1"/>
    </xf>
    <xf numFmtId="174" fontId="108" fillId="15" borderId="0" applyAlignment="1" pivotButton="0" quotePrefix="0" xfId="3">
      <alignment horizontal="center" vertical="center" wrapText="1"/>
    </xf>
    <xf numFmtId="0" fontId="108" fillId="15" borderId="49" applyAlignment="1" pivotButton="0" quotePrefix="0" xfId="0">
      <alignment horizontal="center" vertical="center" wrapText="1"/>
    </xf>
    <xf numFmtId="1" fontId="108" fillId="15" borderId="49" applyAlignment="1" pivotButton="0" quotePrefix="0" xfId="0">
      <alignment horizontal="center" vertical="center" wrapText="1"/>
    </xf>
    <xf numFmtId="173" fontId="108" fillId="15" borderId="49" applyAlignment="1" pivotButton="0" quotePrefix="0" xfId="0">
      <alignment horizontal="center" vertical="center" wrapText="1"/>
    </xf>
    <xf numFmtId="0" fontId="108" fillId="15" borderId="49" applyAlignment="1" pivotButton="0" quotePrefix="1" xfId="0">
      <alignment horizontal="center" vertical="center" wrapText="1"/>
    </xf>
    <xf numFmtId="3" fontId="108" fillId="15" borderId="49" applyAlignment="1" pivotButton="0" quotePrefix="0" xfId="0">
      <alignment horizontal="center" vertical="center" wrapText="1"/>
    </xf>
    <xf numFmtId="0" fontId="73" fillId="15" borderId="0" pivotButton="0" quotePrefix="0" xfId="0"/>
    <xf numFmtId="0" fontId="89" fillId="0" borderId="0" applyAlignment="1" pivotButton="0" quotePrefix="0" xfId="0">
      <alignment vertical="top" wrapText="1"/>
    </xf>
    <xf numFmtId="0" fontId="74" fillId="0" borderId="0" pivotButton="0" quotePrefix="0" xfId="0"/>
    <xf numFmtId="0" fontId="0" fillId="13" borderId="62" pivotButton="0" quotePrefix="0" xfId="0"/>
    <xf numFmtId="0" fontId="0" fillId="0" borderId="67" pivotButton="0" quotePrefix="0" xfId="0"/>
    <xf numFmtId="0" fontId="109" fillId="14" borderId="62" pivotButton="0" quotePrefix="0" xfId="0"/>
    <xf numFmtId="3" fontId="0" fillId="13" borderId="62" pivotButton="0" quotePrefix="0" xfId="0"/>
    <xf numFmtId="1" fontId="0" fillId="13" borderId="62" pivotButton="0" quotePrefix="0" xfId="0"/>
    <xf numFmtId="1" fontId="109" fillId="14" borderId="62" pivotButton="0" quotePrefix="0" xfId="0"/>
    <xf numFmtId="9" fontId="0" fillId="13" borderId="62" pivotButton="0" quotePrefix="0" xfId="0"/>
    <xf numFmtId="0" fontId="110" fillId="0" borderId="0" applyAlignment="1" pivotButton="0" quotePrefix="0" xfId="0">
      <alignment wrapText="1"/>
    </xf>
    <xf numFmtId="0" fontId="111" fillId="0" borderId="0" pivotButton="0" quotePrefix="0" xfId="0"/>
    <xf numFmtId="0" fontId="110" fillId="0" borderId="0" pivotButton="0" quotePrefix="0" xfId="0"/>
    <xf numFmtId="37" fontId="109" fillId="14" borderId="5" applyAlignment="1" applyProtection="1" pivotButton="0" quotePrefix="0" xfId="0">
      <alignment horizontal="right"/>
      <protection locked="0" hidden="0"/>
    </xf>
    <xf numFmtId="0" fontId="109" fillId="14" borderId="5" applyAlignment="1" applyProtection="1" pivotButton="0" quotePrefix="0" xfId="0">
      <alignment horizontal="center"/>
      <protection locked="0" hidden="0"/>
    </xf>
    <xf numFmtId="49" fontId="109" fillId="14" borderId="5" applyProtection="1" pivotButton="0" quotePrefix="0" xfId="0">
      <protection locked="0" hidden="0"/>
    </xf>
    <xf numFmtId="0" fontId="109" fillId="14" borderId="5" applyAlignment="1" applyProtection="1" pivotButton="0" quotePrefix="0" xfId="0">
      <alignment horizontal="right"/>
      <protection locked="0" hidden="0"/>
    </xf>
    <xf numFmtId="37" fontId="109" fillId="14" borderId="5" applyAlignment="1" pivotButton="0" quotePrefix="0" xfId="0">
      <alignment horizontal="right"/>
    </xf>
    <xf numFmtId="0" fontId="109" fillId="14" borderId="21" applyProtection="1" pivotButton="0" quotePrefix="0" xfId="0">
      <protection locked="0" hidden="0"/>
    </xf>
    <xf numFmtId="0" fontId="109" fillId="14" borderId="21" applyAlignment="1" applyProtection="1" pivotButton="0" quotePrefix="0" xfId="0">
      <alignment horizontal="right"/>
      <protection locked="0" hidden="0"/>
    </xf>
    <xf numFmtId="37" fontId="109" fillId="14" borderId="21" applyAlignment="1" applyProtection="1" pivotButton="0" quotePrefix="0" xfId="0">
      <alignment horizontal="right"/>
      <protection locked="0" hidden="0"/>
    </xf>
    <xf numFmtId="0" fontId="90" fillId="15" borderId="0" applyAlignment="1" pivotButton="0" quotePrefix="0" xfId="0">
      <alignment horizontal="center" wrapText="1"/>
    </xf>
  </cellXfs>
  <cellStyles count="13">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s>
  <dxfs count="2">
    <dxf>
      <font>
        <color rgb="FF9C0006"/>
      </font>
      <fill>
        <patternFill>
          <bgColor rgb="FFFFC7CE"/>
        </patternFill>
      </fill>
    </dxf>
    <dxf>
      <fill>
        <patternFill patternType="solid">
          <fgColor rgb="00F2F6FB"/>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externalLink" Target="/xl/externalLinks/externalLink1.xml" Id="rId17" /><Relationship Type="http://schemas.openxmlformats.org/officeDocument/2006/relationships/externalLink" Target="/xl/externalLinks/externalLink2.xml" Id="rId18" /><Relationship Type="http://schemas.openxmlformats.org/officeDocument/2006/relationships/externalLink" Target="/xl/externalLinks/externalLink3.xml" Id="rId19" /><Relationship Type="http://schemas.openxmlformats.org/officeDocument/2006/relationships/externalLink" Target="/xl/externalLinks/externalLink4.xml" Id="rId20" /><Relationship Type="http://schemas.openxmlformats.org/officeDocument/2006/relationships/styles" Target="styles.xml" Id="rId21" /><Relationship Type="http://schemas.openxmlformats.org/officeDocument/2006/relationships/theme" Target="theme/theme1.xml" Id="rId22" /><Relationship Type="http://schemas.microsoft.com/office/2006/relationships/vbaProject" Target="vbaProject.bin" Id="rId23" /></Relationships>
</file>

<file path=xl/comments/comment1.xml><?xml version="1.0" encoding="utf-8"?>
<comments xmlns="http://schemas.openxmlformats.org/spreadsheetml/2006/main">
  <authors>
    <author>Debra K. Coak</author>
  </authors>
  <commentList>
    <comment ref="B1" authorId="0" shapeId="0">
      <text>
        <t xml:space="preserve">To Save Grid
1)Click Save button
2)Click File SaveAs
    new filename
   </t>
      </text>
    </comment>
  </commentList>
</comments>
</file>

<file path=xl/comments/comment2.xml><?xml version="1.0" encoding="utf-8"?>
<comments xmlns="http://schemas.openxmlformats.org/spreadsheetml/2006/main">
  <authors>
    <author> DEBRA K COAK</author>
  </authors>
  <commentList>
    <comment ref="D23" authorId="0" shapeId="0">
      <text>
        <t xml:space="preserve"> Type adjustment here, use minus sign for deduction
</t>
      </text>
    </comment>
    <comment ref="G24" authorId="0" shapeId="0">
      <text>
        <t xml:space="preserve"> Type adjustment here, use minus sign for deduction
</t>
      </text>
    </comment>
    <comment ref="D28" authorId="0" shapeId="0">
      <text>
        <t xml:space="preserve"> Type adjustment here, use minus sign for deduction
</t>
      </text>
    </comment>
    <comment ref="G29" authorId="0" shapeId="0">
      <text>
        <t xml:space="preserve"> Type adjustment here, use minus sign for deduction
</t>
      </text>
    </comment>
    <comment ref="D33" authorId="0" shapeId="0">
      <text>
        <t xml:space="preserve"> Type adjustment here, use minus sign for deduction
</t>
      </text>
    </comment>
    <comment ref="G34" authorId="0" shapeId="0">
      <text>
        <t xml:space="preserve"> Type adjustment here, use minus sign for deduction
</t>
      </text>
    </comment>
    <comment ref="D38" authorId="0" shapeId="0">
      <text>
        <t xml:space="preserve"> Type adjustment here, use minus sign for deduction
</t>
      </text>
    </comment>
    <comment ref="G39" authorId="0" shapeId="0">
      <text>
        <t xml:space="preserve"> Type adjustment here, use minus sign for deduction
</t>
      </text>
    </comment>
  </commentList>
</comments>
</file>

<file path=xl/comments/comment3.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4.xml><?xml version="1.0" encoding="utf-8"?>
<comments xmlns="http://schemas.openxmlformats.org/spreadsheetml/2006/main">
  <authors>
    <author> DEBRA K COAK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List>
</comments>
</file>

<file path=xl/comments/comment5.xml><?xml version="1.0" encoding="utf-8"?>
<comments xmlns="http://schemas.openxmlformats.org/spreadsheetml/2006/main">
  <authors>
    <author> DEBRA K COAK</author>
  </authors>
  <commentList>
    <comment ref="H46" authorId="0" shapeId="0">
      <text>
        <t xml:space="preserve"> Check desired box
</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externalLinks/_rels/externalLink1.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2.xml.rels><Relationships xmlns="http://schemas.openxmlformats.org/package/2006/relationships"><Relationship Type="http://schemas.openxmlformats.org/officeDocument/2006/relationships/externalLinkPath" Target="file:///\\ASMT_FS1\VOL2\SHARE\Comm\Comm_RO\99%20base\99BAA\99%20Appeal%20Restaurant.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file:///\\ASMT_FS1\VOL2\SHARE\Comm\Comm_RO\99%20base\99BAA\99%20Grids%20Office.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10.xml.rels><Relationships xmlns="http://schemas.openxmlformats.org/package/2006/relationships"><Relationship Type="http://schemas.openxmlformats.org/officeDocument/2006/relationships/vmlDrawing" Target="/xl/drawings/vmlDrawing7.vml" Id="anysvml" /></Relationships>
</file>

<file path=xl/worksheets/_rels/sheet11.xml.rels><Relationships xmlns="http://schemas.openxmlformats.org/package/2006/relationships"><Relationship Type="http://schemas.openxmlformats.org/officeDocument/2006/relationships/vmlDrawing" Target="/xl/drawings/vmlDrawing8.vml" Id="anysvml" /></Relationships>
</file>

<file path=xl/worksheets/sheet1.xml><?xml version="1.0" encoding="utf-8"?>
<worksheet xmlns="http://schemas.openxmlformats.org/spreadsheetml/2006/main">
  <sheetPr>
    <tabColor rgb="00C00000"/>
    <outlinePr summaryBelow="1" summaryRight="1"/>
    <pageSetUpPr/>
  </sheetPr>
  <dimension ref="B1:F27"/>
  <sheetViews>
    <sheetView showGridLines="0" workbookViewId="0">
      <selection activeCell="A1" sqref="A1"/>
    </sheetView>
  </sheetViews>
  <sheetFormatPr baseColWidth="8" defaultRowHeight="15"/>
  <cols>
    <col width="2" customWidth="1" min="1" max="1"/>
    <col width="26" customWidth="1" min="2" max="2"/>
    <col width="18" customWidth="1" min="3" max="3"/>
    <col width="24" customWidth="1" min="4" max="4"/>
    <col width="18" customWidth="1" min="5" max="5"/>
    <col width="45" customWidth="1" min="6" max="6"/>
  </cols>
  <sheetData>
    <row r="1" ht="22" customHeight="1">
      <c r="B1" s="872" t="inlineStr">
        <is>
          <t>SUBJECT PROPERTY — MASTER INPUT</t>
        </is>
      </c>
      <c r="C1" s="872" t="n"/>
      <c r="D1" s="872" t="n"/>
      <c r="E1" s="872" t="n"/>
      <c r="F1" s="872" t="n"/>
    </row>
    <row r="2" ht="28" customHeight="1">
      <c r="B2" s="873" t="inlineStr">
        <is>
          <t>Enter the subject property below. These fields feed the WO tab, the Cost Approach occupancy/quality lookup, and the comp-matching filters on Sales and Expense Database automatically.</t>
        </is>
      </c>
    </row>
    <row r="4">
      <c r="B4" s="874" t="inlineStr">
        <is>
          <t>Property Address</t>
        </is>
      </c>
      <c r="C4" s="875" t="n"/>
      <c r="D4" s="876" t="n"/>
    </row>
    <row r="5">
      <c r="B5" s="874" t="inlineStr">
        <is>
          <t>OCC Code</t>
        </is>
      </c>
      <c r="C5" s="875" t="n"/>
      <c r="D5" s="874" t="inlineStr">
        <is>
          <t>Description (auto):</t>
        </is>
      </c>
      <c r="E5" s="877">
        <f>IFERROR(INDEX(OCC_TABLE_DESC,MATCH($C$5,OCC_TABLE_CODE,0)),"")</f>
        <v/>
      </c>
      <c r="F5" s="876" t="n"/>
    </row>
    <row r="6">
      <c r="B6" s="874" t="inlineStr">
        <is>
          <t>Building Size (SF)</t>
        </is>
      </c>
      <c r="C6" s="878" t="n"/>
    </row>
    <row r="7">
      <c r="B7" s="874" t="inlineStr">
        <is>
          <t>Site / Land Size (SF)</t>
        </is>
      </c>
      <c r="C7" s="878" t="n"/>
    </row>
    <row r="8">
      <c r="B8" s="874" t="inlineStr">
        <is>
          <t>Zoning</t>
        </is>
      </c>
      <c r="C8" s="875" t="n"/>
    </row>
    <row r="9">
      <c r="B9" s="874" t="inlineStr">
        <is>
          <t>Condition</t>
        </is>
      </c>
      <c r="C9" s="875" t="n"/>
    </row>
    <row r="10">
      <c r="B10" s="874" t="inlineStr">
        <is>
          <t>Quality</t>
        </is>
      </c>
      <c r="C10" s="875" t="n"/>
    </row>
    <row r="11">
      <c r="B11" s="874" t="inlineStr">
        <is>
          <t>Year Built (YOC)</t>
        </is>
      </c>
      <c r="C11" s="879" t="n"/>
      <c r="D11" s="874" t="inlineStr">
        <is>
          <t>Actual Age (yrs, auto):</t>
        </is>
      </c>
      <c r="E11" s="880">
        <f>IF($C$11="","",Year-$C$11)</f>
        <v/>
      </c>
    </row>
    <row r="13">
      <c r="B13" s="874" t="inlineStr">
        <is>
          <t>Size Match Tolerance (+/-)</t>
        </is>
      </c>
      <c r="C13" s="881" t="n">
        <v>0.25</v>
      </c>
    </row>
    <row r="16" ht="20" customHeight="1">
      <c r="B16" s="872" t="inlineStr">
        <is>
          <t>AUTOMATED COMP MATCHING</t>
        </is>
      </c>
      <c r="C16" s="872" t="n"/>
      <c r="D16" s="872" t="n"/>
      <c r="E16" s="872" t="n"/>
      <c r="F16" s="872" t="n"/>
    </row>
    <row r="17">
      <c r="B17" s="874" t="inlineStr">
        <is>
          <t>Matching Sales Comps found:</t>
        </is>
      </c>
      <c r="C17" s="880">
        <f>COUNTIF(Sales!AI2:AI941,TRUE)</f>
        <v/>
      </c>
    </row>
    <row r="18" ht="26" customHeight="1">
      <c r="B18" s="882" t="inlineStr">
        <is>
          <t>→ Go to the Sales tab, click the filter arrow on column AI ("Match"), and filter to TRUE (Data &gt; Reapply if you've changed the inputs above).</t>
        </is>
      </c>
    </row>
    <row r="20">
      <c r="B20" s="874" t="inlineStr">
        <is>
          <t>Matching Expense Comps found:</t>
        </is>
      </c>
      <c r="C20" s="880">
        <f>COUNTIF('Expense Database'!AN4:AN197,TRUE)</f>
        <v/>
      </c>
    </row>
    <row r="21" ht="26" customHeight="1">
      <c r="B21" s="882" t="inlineStr">
        <is>
          <t>→ Go to the Expense Database tab, click the filter arrow on column AN ("Match"), and filter to TRUE (Data &gt; Reapply if you've changed the inputs above).</t>
        </is>
      </c>
    </row>
    <row r="23">
      <c r="B23" s="874" t="inlineStr">
        <is>
          <t>Matching Rent Comps (Income tab):</t>
        </is>
      </c>
      <c r="C23" s="883" t="inlineStr">
        <is>
          <t>Not yet automated</t>
        </is>
      </c>
    </row>
    <row r="24" ht="26" customHeight="1">
      <c r="B24" s="882" t="inlineStr">
        <is>
          <t>The Income tab has no OCC code column, so it can't be matched the same way yet -- this is the open question flagged earlier (Income!Cls/Model use a different, undocumented coding scheme). Say the word when you want to tackle that.</t>
        </is>
      </c>
    </row>
    <row r="26">
      <c r="B26" s="874" t="inlineStr">
        <is>
          <t>Land Comps:</t>
        </is>
      </c>
      <c r="C26" s="883" t="inlineStr">
        <is>
          <t>Pending</t>
        </is>
      </c>
    </row>
    <row r="27" ht="15" customHeight="1">
      <c r="B27" s="884" t="inlineStr">
        <is>
          <t>No land-sale comp database exists in this workbook yet -- you mentioned you'll build/provide one later.</t>
        </is>
      </c>
    </row>
  </sheetData>
  <mergeCells count="7">
    <mergeCell ref="B21:F21"/>
    <mergeCell ref="B24:F24"/>
    <mergeCell ref="B2:F2"/>
    <mergeCell ref="E5:F5"/>
    <mergeCell ref="B18:F18"/>
    <mergeCell ref="B27:F27"/>
    <mergeCell ref="C4:D4"/>
  </mergeCells>
  <dataValidations count="3">
    <dataValidation sqref="C5" showDropDown="0" showInputMessage="0" showErrorMessage="1" allowBlank="1" error="Pick a valid OCC code from the Occ Codes tab." type="list">
      <formula1>OCC_TABLE_CODE</formula1>
    </dataValidation>
    <dataValidation sqref="C9" showDropDown="0" showInputMessage="0" showErrorMessage="1" allowBlank="1" type="list">
      <formula1>"None,Poor,Fair,Typical,Good,Rehabilitated"</formula1>
    </dataValidation>
    <dataValidation sqref="C10" showDropDown="0" showInputMessage="0" showErrorMessage="1" allowBlank="1" type="list">
      <formula1>"Low Cost,Average,Good,Excellent,Cheap"</formula1>
    </dataValidation>
  </dataValidations>
  <pageMargins left="0.75" right="0.75" top="1" bottom="1" header="0.5" footer="0.5"/>
</worksheet>
</file>

<file path=xl/worksheets/sheet2.xml><?xml version="1.0" encoding="utf-8"?>
<worksheet xmlns="http://schemas.openxmlformats.org/spreadsheetml/2006/main">
  <sheetPr codeName="Sheet6">
    <tabColor rgb="00808080"/>
    <outlinePr summaryBelow="1" summaryRight="1"/>
    <pageSetUpPr/>
  </sheetPr>
  <dimension ref="A1:O8"/>
  <sheetViews>
    <sheetView showGridLines="0" workbookViewId="0">
      <selection activeCell="C21" sqref="C21"/>
    </sheetView>
  </sheetViews>
  <sheetFormatPr baseColWidth="8" defaultColWidth="9.1640625" defaultRowHeight="14.25"/>
  <cols>
    <col width="17.83203125" customWidth="1" style="229" min="1" max="1"/>
    <col width="9.1640625" customWidth="1" style="229" min="2" max="2"/>
    <col width="108.83203125" customWidth="1" style="229" min="3" max="3"/>
    <col width="9.1640625" customWidth="1" style="229" min="4" max="16384"/>
  </cols>
  <sheetData>
    <row r="1">
      <c r="A1" s="741" t="inlineStr">
        <is>
          <t>Click on the tab at the bottom to switch between worksheets</t>
        </is>
      </c>
      <c r="B1" s="742" t="n"/>
      <c r="C1" s="742" t="n"/>
      <c r="D1" s="742" t="n"/>
      <c r="E1" s="742" t="n"/>
      <c r="F1" s="742" t="n"/>
      <c r="G1" s="742" t="n"/>
      <c r="H1" s="742" t="n"/>
    </row>
    <row r="2" ht="9" customHeight="1"/>
    <row r="3">
      <c r="A3" s="230" t="inlineStr">
        <is>
          <t>To print all sheets, click printer icon on toolbar.</t>
        </is>
      </c>
    </row>
    <row r="4" ht="9.6" customHeight="1"/>
    <row r="5" ht="40.9" customHeight="1">
      <c r="A5" s="473" t="inlineStr">
        <is>
          <t>Click Edit Worksheet Text on Appeal worksheet to enter data onto Word Form, Close Word when done with the front of the appeal sheet.  DO NOT SAVE PAGE IN WORD, it is saved as part of Excel when you save the worksheet. 
If the Appeal sheet is grayed out in Excel, you still have Word open and MUST exit from Word.</t>
        </is>
      </c>
      <c r="D5" s="232" t="n"/>
      <c r="E5" s="232" t="n"/>
      <c r="F5" s="232" t="n"/>
      <c r="G5" s="232" t="n"/>
      <c r="H5" s="232" t="n"/>
      <c r="I5" s="232" t="n"/>
      <c r="J5" s="232" t="n"/>
      <c r="K5" s="232" t="n"/>
      <c r="L5" s="232" t="n"/>
      <c r="M5" s="232" t="n"/>
      <c r="N5" s="232" t="n"/>
      <c r="O5" s="232" t="n"/>
    </row>
    <row r="6">
      <c r="A6" s="231" t="n"/>
      <c r="B6" s="231" t="n"/>
      <c r="C6" s="231" t="n"/>
      <c r="D6" s="231" t="n"/>
      <c r="E6" s="231" t="n"/>
      <c r="F6" s="231" t="n"/>
      <c r="G6" s="231" t="n"/>
      <c r="H6" s="231" t="n"/>
      <c r="I6" s="231" t="n"/>
      <c r="J6" s="231" t="n"/>
      <c r="K6" s="231" t="n"/>
      <c r="L6" s="231" t="n"/>
      <c r="M6" s="231" t="n"/>
      <c r="N6" s="231" t="n"/>
      <c r="O6" s="231" t="n"/>
    </row>
    <row r="7">
      <c r="C7" s="233" t="inlineStr">
        <is>
          <t>Click desired sheet to work.</t>
        </is>
      </c>
    </row>
    <row r="8">
      <c r="A8" s="743" t="inlineStr">
        <is>
          <t>Appeal Year</t>
        </is>
      </c>
      <c r="B8" s="744" t="n">
        <v>2025</v>
      </c>
    </row>
  </sheetData>
  <mergeCells count="1">
    <mergeCell ref="A5:C5"/>
  </mergeCells>
  <pageMargins left="0.75" right="0.75" top="1" bottom="1" header="0.5" footer="0.5"/>
  <pageSetup orientation="portrait" verticalDpi="300"/>
  <legacyDrawing xmlns:r="http://schemas.openxmlformats.org/officeDocument/2006/relationships" r:id="anysvml"/>
</worksheet>
</file>

<file path=xl/worksheets/sheet3.xml><?xml version="1.0" encoding="utf-8"?>
<worksheet xmlns="http://schemas.openxmlformats.org/spreadsheetml/2006/main">
  <sheetPr codeName="Sheet1" transitionEvaluation="1" transitionEntry="1">
    <tabColor rgb="002E75B6"/>
    <outlinePr summaryBelow="1" summaryRight="1"/>
    <pageSetUpPr fitToPage="1"/>
  </sheetPr>
  <dimension ref="A1:H55"/>
  <sheetViews>
    <sheetView showGridLines="0" workbookViewId="0">
      <selection activeCell="D13" sqref="D13"/>
    </sheetView>
  </sheetViews>
  <sheetFormatPr baseColWidth="8" defaultColWidth="9.6640625" defaultRowHeight="10.5"/>
  <cols>
    <col width="6.6640625" customWidth="1" min="1" max="1"/>
    <col width="29.6640625" customWidth="1" min="2" max="2"/>
    <col width="15" customWidth="1" min="3" max="3"/>
    <col width="21.1640625" customWidth="1" min="4" max="4"/>
    <col width="22.6640625" customWidth="1" min="5" max="5"/>
    <col width="26.33203125" customWidth="1" min="6" max="6"/>
    <col width="31.5" customWidth="1" min="7" max="7"/>
    <col width="32.83203125" customWidth="1" min="8" max="8"/>
  </cols>
  <sheetData>
    <row r="1" ht="23.45" customHeight="1">
      <c r="A1" s="5" t="n"/>
      <c r="B1" t="n"/>
      <c r="E1" s="1" t="inlineStr">
        <is>
          <t>y</t>
        </is>
      </c>
    </row>
    <row r="2" ht="25.5" customHeight="1">
      <c r="A2" s="745" t="inlineStr">
        <is>
          <t>MARKET SALES &amp; RENT COMPARABLES</t>
        </is>
      </c>
      <c r="B2" s="745" t="n"/>
      <c r="C2" s="745" t="n"/>
      <c r="D2" s="745" t="n"/>
      <c r="E2" s="745" t="n"/>
      <c r="F2" s="745" t="n"/>
      <c r="G2" s="745" t="n"/>
      <c r="H2" s="745" t="n"/>
    </row>
    <row r="3" ht="19.5" customHeight="1">
      <c r="A3" s="226">
        <f>TEXT([0]!Year,"0")&amp;" APPEALS"</f>
        <v/>
      </c>
      <c r="B3" s="226" t="n"/>
      <c r="C3" s="226" t="n"/>
      <c r="D3" s="226" t="n"/>
      <c r="E3" s="226" t="n"/>
      <c r="F3" s="226" t="n"/>
      <c r="G3" s="226" t="n"/>
      <c r="H3" s="226" t="n"/>
    </row>
    <row r="4" ht="19.5" customHeight="1">
      <c r="A4" s="388" t="inlineStr">
        <is>
          <t>PROTEST #</t>
        </is>
      </c>
      <c r="B4" s="7" t="n"/>
      <c r="C4" s="90" t="n"/>
    </row>
    <row r="5" ht="18" customHeight="1">
      <c r="A5" s="60" t="n"/>
      <c r="B5" s="7" t="n"/>
      <c r="C5" s="90" t="n"/>
    </row>
    <row r="6" ht="7.15" customHeight="1" thickBot="1"/>
    <row r="7" ht="20.25" customHeight="1" thickTop="1">
      <c r="A7" s="746" t="inlineStr">
        <is>
          <t>SUBJECT  PROPERTY  INFORMATION</t>
        </is>
      </c>
      <c r="B7" s="747" t="n"/>
      <c r="C7" s="747" t="n"/>
      <c r="D7" s="747" t="n"/>
      <c r="E7" s="747" t="n"/>
      <c r="F7" s="747" t="n"/>
      <c r="G7" s="747" t="n"/>
      <c r="H7" s="748" t="n"/>
    </row>
    <row r="8" ht="12" customHeight="1">
      <c r="A8" s="749" t="n"/>
      <c r="B8" s="750" t="inlineStr">
        <is>
          <t>Account Number</t>
        </is>
      </c>
      <c r="C8" s="751" t="inlineStr">
        <is>
          <t>Ngbh</t>
        </is>
      </c>
      <c r="D8" s="751" t="inlineStr">
        <is>
          <t xml:space="preserve">Land Area </t>
        </is>
      </c>
      <c r="E8" s="752" t="inlineStr">
        <is>
          <t>Quality</t>
        </is>
      </c>
      <c r="F8" s="751" t="inlineStr">
        <is>
          <t>Rent / Sq Ft</t>
        </is>
      </c>
      <c r="G8" s="751" t="inlineStr">
        <is>
          <t>Subject Sale Information</t>
        </is>
      </c>
      <c r="H8" s="753" t="inlineStr">
        <is>
          <t>Parcel Number</t>
        </is>
      </c>
    </row>
    <row r="9" ht="12" customHeight="1">
      <c r="A9" s="12" t="n"/>
      <c r="B9" s="750" t="inlineStr">
        <is>
          <t>Property Address</t>
        </is>
      </c>
      <c r="C9" s="751" t="inlineStr">
        <is>
          <t>Zone</t>
        </is>
      </c>
      <c r="D9" s="751" t="inlineStr">
        <is>
          <t xml:space="preserve">L : B  Ratio </t>
        </is>
      </c>
      <c r="E9" s="752" t="inlineStr">
        <is>
          <t>Physical Condition</t>
        </is>
      </c>
      <c r="F9" s="751" t="inlineStr">
        <is>
          <t>Vacancy</t>
        </is>
      </c>
      <c r="G9" s="751" t="inlineStr">
        <is>
          <t>Last Sale Date</t>
        </is>
      </c>
      <c r="H9" s="754" t="inlineStr">
        <is>
          <t>Assigned Value / Sq Ft</t>
        </is>
      </c>
    </row>
    <row r="10" ht="12" customHeight="1">
      <c r="A10" s="18" t="n"/>
      <c r="B10" s="755" t="inlineStr">
        <is>
          <t>Property Type</t>
        </is>
      </c>
      <c r="C10" s="756" t="inlineStr">
        <is>
          <t>YOC</t>
        </is>
      </c>
      <c r="D10" s="756" t="inlineStr">
        <is>
          <t xml:space="preserve">Building Area </t>
        </is>
      </c>
      <c r="E10" s="757" t="inlineStr">
        <is>
          <t>Functional Utility</t>
        </is>
      </c>
      <c r="F10" s="756" t="inlineStr">
        <is>
          <t>Expense Ratio</t>
        </is>
      </c>
      <c r="G10" s="756" t="inlineStr">
        <is>
          <t>Last Sale Price</t>
        </is>
      </c>
      <c r="H10" s="758" t="inlineStr">
        <is>
          <t>Assigned Value</t>
        </is>
      </c>
    </row>
    <row r="11" ht="12" customHeight="1">
      <c r="A11" s="12" t="n"/>
      <c r="B11" s="759" t="n"/>
      <c r="C11" s="760" t="n"/>
      <c r="D11" s="885">
        <f>Subj_SiteSF</f>
        <v/>
      </c>
      <c r="E11" s="886">
        <f>Subj_Quality</f>
        <v/>
      </c>
      <c r="F11" s="763" t="n"/>
      <c r="G11" s="764" t="n"/>
      <c r="H11" s="765" t="n"/>
    </row>
    <row r="12" ht="12" customHeight="1">
      <c r="A12" s="12" t="n"/>
      <c r="B12" s="887">
        <f>Subj_Address</f>
        <v/>
      </c>
      <c r="C12" s="888">
        <f>Subj_Zoning</f>
        <v/>
      </c>
      <c r="D12" s="889">
        <f>IF(OR(D13="",D13=0),"",ROUND(D11/D13,1)&amp;":1")</f>
        <v/>
      </c>
      <c r="E12" s="886">
        <f>Subj_Condition</f>
        <v/>
      </c>
      <c r="F12" s="767" t="n"/>
      <c r="G12" s="768" t="n"/>
      <c r="H12" s="518">
        <f>IF(D13=0,0,ROUND(H13/D13,2))</f>
        <v/>
      </c>
    </row>
    <row r="13" ht="12" customHeight="1" thickBot="1">
      <c r="A13" s="23" t="n"/>
      <c r="B13" s="890">
        <f>IFERROR(INDEX(OCC_TABLE_DESC,MATCH(Subj_OccCode,OCC_TABLE_CODE,0)),"")</f>
        <v/>
      </c>
      <c r="C13" s="891">
        <f>Subj_YOC</f>
        <v/>
      </c>
      <c r="D13" s="892">
        <f>Subj_BldgSF</f>
        <v/>
      </c>
      <c r="E13" s="772" t="n"/>
      <c r="F13" s="773" t="n"/>
      <c r="G13" s="774" t="n"/>
      <c r="H13" s="775" t="n"/>
    </row>
    <row r="14" ht="6" customHeight="1" thickTop="1">
      <c r="C14" s="487" t="n"/>
      <c r="D14" s="487" t="n"/>
      <c r="F14" s="487" t="n"/>
      <c r="G14" s="487" t="n"/>
      <c r="H14" s="487" t="n"/>
    </row>
    <row r="15" ht="6" customHeight="1" thickBot="1">
      <c r="C15" s="487" t="n"/>
      <c r="D15" s="487" t="n"/>
      <c r="F15" s="487" t="n"/>
      <c r="G15" s="487" t="n"/>
      <c r="H15" s="487" t="n"/>
    </row>
    <row r="16" ht="20.25" customHeight="1" thickTop="1">
      <c r="A16" s="746" t="inlineStr">
        <is>
          <t>MARKET  SALE  COMPARABLES</t>
        </is>
      </c>
      <c r="B16" s="747" t="n"/>
      <c r="C16" s="776" t="n"/>
      <c r="D16" s="776" t="n"/>
      <c r="E16" s="747" t="n"/>
      <c r="F16" s="776" t="n"/>
      <c r="G16" s="776" t="n"/>
      <c r="H16" s="777" t="n"/>
    </row>
    <row r="17" ht="12" customHeight="1">
      <c r="A17" s="778" t="n"/>
      <c r="B17" s="779" t="inlineStr">
        <is>
          <t>Account Number</t>
        </is>
      </c>
      <c r="C17" s="780" t="inlineStr">
        <is>
          <t>Ngbh</t>
        </is>
      </c>
      <c r="D17" s="781" t="inlineStr">
        <is>
          <t xml:space="preserve">Land Area </t>
        </is>
      </c>
      <c r="E17" s="782" t="inlineStr">
        <is>
          <t>Quality</t>
        </is>
      </c>
      <c r="F17" s="781" t="inlineStr">
        <is>
          <t xml:space="preserve">Sale Date </t>
        </is>
      </c>
      <c r="G17" s="783" t="inlineStr">
        <is>
          <t>Adj Sale Price / Sq Ft</t>
        </is>
      </c>
      <c r="H17" s="753" t="inlineStr">
        <is>
          <t>Parcel Number</t>
        </is>
      </c>
    </row>
    <row r="18" ht="12" customHeight="1">
      <c r="A18" s="784" t="n"/>
      <c r="B18" s="785" t="inlineStr">
        <is>
          <t>Property Address</t>
        </is>
      </c>
      <c r="C18" s="786" t="inlineStr">
        <is>
          <t>Zone</t>
        </is>
      </c>
      <c r="D18" s="787" t="inlineStr">
        <is>
          <t xml:space="preserve">L : B  Ratio </t>
        </is>
      </c>
      <c r="E18" s="788" t="inlineStr">
        <is>
          <t>Physical Condition</t>
        </is>
      </c>
      <c r="F18" s="787" t="inlineStr">
        <is>
          <t xml:space="preserve">Sale Price </t>
        </is>
      </c>
      <c r="G18" s="751" t="inlineStr">
        <is>
          <t>Net Adjustments</t>
        </is>
      </c>
      <c r="H18" s="754" t="inlineStr">
        <is>
          <t>Sale Remarks</t>
        </is>
      </c>
    </row>
    <row r="19" ht="12" customHeight="1">
      <c r="A19" s="789" t="inlineStr">
        <is>
          <t>#</t>
        </is>
      </c>
      <c r="B19" s="790" t="inlineStr">
        <is>
          <t>Property Type</t>
        </is>
      </c>
      <c r="C19" s="791" t="inlineStr">
        <is>
          <t>YOC</t>
        </is>
      </c>
      <c r="D19" s="792" t="inlineStr">
        <is>
          <t xml:space="preserve">Building Area </t>
        </is>
      </c>
      <c r="E19" s="793" t="inlineStr">
        <is>
          <t>Functional Utility</t>
        </is>
      </c>
      <c r="F19" s="792" t="inlineStr">
        <is>
          <t xml:space="preserve">Adjusted Sale Price </t>
        </is>
      </c>
      <c r="G19" s="756" t="inlineStr">
        <is>
          <t>Adj Value of Comp / Sq Ft</t>
        </is>
      </c>
      <c r="H19" s="758" t="inlineStr">
        <is>
          <t>Indicated Value of Subject</t>
        </is>
      </c>
    </row>
    <row r="20" ht="12" customHeight="1">
      <c r="A20" s="40" t="n"/>
      <c r="B20" s="41">
        <f>IF(Sales!C2="","",+" "&amp;Sales!C2)</f>
        <v/>
      </c>
      <c r="C20" s="62">
        <f>IF(Sales!F2="","",Sales!F2)</f>
        <v/>
      </c>
      <c r="D20" s="65">
        <f>IF(Sales!S2="","",Sales!S2)</f>
        <v/>
      </c>
      <c r="E20" s="68">
        <f>IF(Sales!R2="","",VLOOKUP(Sales!R2,[0]!GRADE,2))</f>
        <v/>
      </c>
      <c r="F20" s="521">
        <f>IF(Sales!I2="","",Sales!I2)</f>
        <v/>
      </c>
      <c r="G20" s="522">
        <f>IF(Sales!H2="","",Sales!H2)</f>
        <v/>
      </c>
      <c r="H20" s="518">
        <f>IF(Sales!AC2="","",+Sales!AC2)</f>
        <v/>
      </c>
    </row>
    <row r="21" ht="12" customHeight="1">
      <c r="A21" s="42" t="inlineStr">
        <is>
          <t>1</t>
        </is>
      </c>
      <c r="B21" s="41">
        <f>IF(Sales!D2="","",+" "&amp;Sales!D2)</f>
        <v/>
      </c>
      <c r="C21" s="62">
        <f>IF(Sales!P2="","",Sales!P2)</f>
        <v/>
      </c>
      <c r="D21" s="65">
        <f>IF(Sales!T2="","",Sales!T2)</f>
        <v/>
      </c>
      <c r="E21" s="68">
        <f>IF(Sales!U2="","",VLOOKUP(Sales!U2,Codes!$A$12:$B$16,2))</f>
        <v/>
      </c>
      <c r="F21" s="523">
        <f>IF(Sales!Y2="","",Sales!Y2)</f>
        <v/>
      </c>
      <c r="G21" s="75" t="n"/>
      <c r="H21" s="518">
        <f>IF(Sales!AB2="","",Sales!AB2)</f>
        <v/>
      </c>
    </row>
    <row r="22" ht="12" customHeight="1">
      <c r="A22" s="43" t="n"/>
      <c r="B22" s="44">
        <f>IF(Sales!E2="","",+" "&amp;VLOOKUP(Sales!E2,[0]!Class,2))</f>
        <v/>
      </c>
      <c r="C22" s="63">
        <f>IF(Sales!M2="","",Sales!M2)</f>
        <v/>
      </c>
      <c r="D22" s="66">
        <f>IF(Sales!L2="","",Sales!L2)</f>
        <v/>
      </c>
      <c r="E22" s="69">
        <f>IF(Sales!V2="","",VLOOKUP(Sales!V2,Codes!$A$1:$B$5,2))</f>
        <v/>
      </c>
      <c r="F22" s="524">
        <f>IF(Sales!AA2="","",Sales!AA2)</f>
        <v/>
      </c>
      <c r="G22" s="525">
        <f>IF(G20="","",ROUND(G20*(1+G21),2))</f>
        <v/>
      </c>
      <c r="H22" s="526">
        <f>IF(G22="","",ROUND(G22*$D$13,-2))</f>
        <v/>
      </c>
    </row>
    <row r="23" ht="12" customHeight="1">
      <c r="A23" s="40" t="n"/>
      <c r="B23" s="41">
        <f>IF(Sales!C3="","",+" "&amp;Sales!C3)</f>
        <v/>
      </c>
      <c r="C23" s="62">
        <f>IF(Sales!F3="","",Sales!F3)</f>
        <v/>
      </c>
      <c r="D23" s="65">
        <f>IF(Sales!S3="","",Sales!S3)</f>
        <v/>
      </c>
      <c r="E23" s="68">
        <f>IF(Sales!R3="","",VLOOKUP(Sales!R3,[0]!GRADE,2))</f>
        <v/>
      </c>
      <c r="F23" s="521">
        <f>IF(Sales!I3="","",Sales!I3)</f>
        <v/>
      </c>
      <c r="G23" s="522">
        <f>IF(Sales!H3="","",Sales!H3)</f>
        <v/>
      </c>
      <c r="H23" s="518">
        <f>IF(Sales!AC3="","",+Sales!AC3)</f>
        <v/>
      </c>
    </row>
    <row r="24" ht="12" customHeight="1">
      <c r="A24" s="42" t="inlineStr">
        <is>
          <t>2</t>
        </is>
      </c>
      <c r="B24" s="41">
        <f>IF(Sales!D3="","",+" "&amp;Sales!D3)</f>
        <v/>
      </c>
      <c r="C24" s="62">
        <f>IF(Sales!P3="","",Sales!P3)</f>
        <v/>
      </c>
      <c r="D24" s="65">
        <f>IF(Sales!T3="","",Sales!T3)</f>
        <v/>
      </c>
      <c r="E24" s="68">
        <f>IF(Sales!U3="","",VLOOKUP(Sales!U3,Codes!$A$12:$B$16,2))</f>
        <v/>
      </c>
      <c r="F24" s="523">
        <f>IF(Sales!Y3="","",Sales!Y3)</f>
        <v/>
      </c>
      <c r="G24" s="75" t="n"/>
      <c r="H24" s="518">
        <f>IF(Sales!AB3="","",Sales!AB3)</f>
        <v/>
      </c>
    </row>
    <row r="25" ht="12" customHeight="1">
      <c r="A25" s="43" t="n"/>
      <c r="B25" s="44">
        <f>IF(Sales!E3="","",+" "&amp;VLOOKUP(Sales!E3,[0]!Class,2))</f>
        <v/>
      </c>
      <c r="C25" s="63">
        <f>IF(Sales!M3="","",Sales!M3)</f>
        <v/>
      </c>
      <c r="D25" s="66">
        <f>IF(Sales!L3="","",Sales!L3)</f>
        <v/>
      </c>
      <c r="E25" s="69">
        <f>IF(Sales!V3="","",VLOOKUP(Sales!V3,Codes!$A$1:$B$5,2))</f>
        <v/>
      </c>
      <c r="F25" s="524">
        <f>IF(Sales!AA3="","",Sales!AA3)</f>
        <v/>
      </c>
      <c r="G25" s="525">
        <f>IF(G23="","",ROUND(G23*(1+G24),2))</f>
        <v/>
      </c>
      <c r="H25" s="526">
        <f>IF(G25="","",ROUND(G25*$D$13,-2))</f>
        <v/>
      </c>
    </row>
    <row r="26" ht="12" customHeight="1">
      <c r="A26" s="40" t="n"/>
      <c r="B26" s="41">
        <f>IF(Sales!C4="","",+" "&amp;Sales!C4)</f>
        <v/>
      </c>
      <c r="C26" s="62">
        <f>IF(Sales!F4="","",Sales!F4)</f>
        <v/>
      </c>
      <c r="D26" s="65">
        <f>IF(Sales!S4="","",Sales!S4)</f>
        <v/>
      </c>
      <c r="E26" s="68">
        <f>IF(Sales!R4="","",VLOOKUP(Sales!R4,[0]!GRADE,2))</f>
        <v/>
      </c>
      <c r="F26" s="521">
        <f>IF(Sales!I4="","",Sales!I4)</f>
        <v/>
      </c>
      <c r="G26" s="522">
        <f>IF(Sales!H4="","",Sales!H4)</f>
        <v/>
      </c>
      <c r="H26" s="518">
        <f>IF(Sales!AC4="","",+Sales!AC4)</f>
        <v/>
      </c>
    </row>
    <row r="27" ht="12" customHeight="1">
      <c r="A27" s="42" t="inlineStr">
        <is>
          <t>3</t>
        </is>
      </c>
      <c r="B27" s="41">
        <f>IF(Sales!D4="","",+" "&amp;Sales!D4)</f>
        <v/>
      </c>
      <c r="C27" s="62">
        <f>IF(Sales!P4="","",Sales!P4)</f>
        <v/>
      </c>
      <c r="D27" s="65">
        <f>IF(Sales!T4="","",Sales!T4)</f>
        <v/>
      </c>
      <c r="E27" s="68">
        <f>IF(Sales!U4="","",VLOOKUP(Sales!U4,Codes!$A$12:$B$16,2))</f>
        <v/>
      </c>
      <c r="F27" s="523">
        <f>IF(Sales!Y4="","",Sales!Y4)</f>
        <v/>
      </c>
      <c r="G27" s="115" t="n"/>
      <c r="H27" s="518">
        <f>IF(Sales!AB4="","",Sales!AB4)</f>
        <v/>
      </c>
    </row>
    <row r="28" ht="12" customHeight="1" thickBot="1">
      <c r="A28" s="45" t="n"/>
      <c r="B28" s="46">
        <f>IF(Sales!E4="","",+" "&amp;VLOOKUP(Sales!E4,[0]!Class,2))</f>
        <v/>
      </c>
      <c r="C28" s="110">
        <f>IF(Sales!M4="","",Sales!M4)</f>
        <v/>
      </c>
      <c r="D28" s="67">
        <f>IF(Sales!L4="","",Sales!L4)</f>
        <v/>
      </c>
      <c r="E28" s="70">
        <f>IF(Sales!V4="","",VLOOKUP(Sales!V4,Codes!$A$1:$B$5,2))</f>
        <v/>
      </c>
      <c r="F28" s="527">
        <f>IF(Sales!AA4="","",Sales!AA4)</f>
        <v/>
      </c>
      <c r="G28" s="528">
        <f>IF(G26="","",ROUND(G26*(1+G27),2))</f>
        <v/>
      </c>
      <c r="H28" s="529">
        <f>IF(G28="","",ROUND(G28*$D$13,-2))</f>
        <v/>
      </c>
    </row>
    <row r="29" ht="10.15" customHeight="1" thickBot="1" thickTop="1"/>
    <row r="30" ht="15" customHeight="1" thickTop="1">
      <c r="A30" s="794" t="inlineStr">
        <is>
          <t>MARKET SALE REMARKS</t>
        </is>
      </c>
      <c r="B30" s="47" t="n"/>
      <c r="C30" s="48" t="n"/>
      <c r="D30" s="48" t="n"/>
      <c r="E30" s="48" t="n"/>
      <c r="F30" s="48" t="n"/>
      <c r="G30" s="48" t="n"/>
      <c r="H30" s="49" t="n"/>
    </row>
    <row r="31" ht="12" customHeight="1">
      <c r="A31" s="530" t="n"/>
      <c r="B31" s="531" t="n"/>
      <c r="C31" s="531" t="n"/>
      <c r="D31" s="531" t="n"/>
      <c r="E31" s="531" t="n"/>
      <c r="F31" s="531" t="n"/>
      <c r="G31" s="531" t="n"/>
      <c r="H31" s="532" t="n"/>
    </row>
    <row r="32" ht="12" customHeight="1">
      <c r="A32" s="533" t="n"/>
      <c r="B32" s="531" t="n"/>
      <c r="C32" s="531" t="n"/>
      <c r="D32" s="531" t="n"/>
      <c r="E32" s="531" t="n"/>
      <c r="F32" s="531" t="n"/>
      <c r="G32" s="531" t="n"/>
      <c r="H32" s="532" t="n"/>
    </row>
    <row r="33" ht="12" customHeight="1">
      <c r="A33" s="533" t="n"/>
      <c r="B33" s="531" t="n"/>
      <c r="C33" s="531" t="n"/>
      <c r="D33" s="531" t="n"/>
      <c r="E33" s="531" t="n"/>
      <c r="F33" s="531" t="n"/>
      <c r="G33" s="531" t="n"/>
      <c r="H33" s="532" t="n"/>
    </row>
    <row r="34" ht="12" customHeight="1" thickBot="1">
      <c r="A34" s="534" t="n"/>
      <c r="B34" s="535" t="n"/>
      <c r="C34" s="535" t="n"/>
      <c r="D34" s="535" t="n"/>
      <c r="E34" s="535" t="n"/>
      <c r="F34" s="535" t="n"/>
      <c r="G34" s="535" t="n"/>
      <c r="H34" s="536" t="n"/>
    </row>
    <row r="35" ht="12" customHeight="1" thickBot="1" thickTop="1"/>
    <row r="36" ht="20.25" customHeight="1" thickTop="1">
      <c r="A36" s="746" t="inlineStr">
        <is>
          <t>RENT  COMPARABLE  INFORMATION</t>
        </is>
      </c>
      <c r="B36" s="747" t="n"/>
      <c r="C36" s="747" t="n"/>
      <c r="D36" s="747" t="n"/>
      <c r="E36" s="747" t="n"/>
      <c r="F36" s="747" t="n"/>
      <c r="G36" s="795" t="n"/>
      <c r="H36" s="742" t="n"/>
    </row>
    <row r="37" ht="12" customHeight="1">
      <c r="A37" s="796" t="n"/>
      <c r="B37" s="797" t="inlineStr">
        <is>
          <t xml:space="preserve"> Source of Information</t>
        </is>
      </c>
      <c r="C37" s="783" t="inlineStr">
        <is>
          <t>Ngbh</t>
        </is>
      </c>
      <c r="D37" s="783" t="inlineStr">
        <is>
          <t xml:space="preserve">Land Area </t>
        </is>
      </c>
      <c r="E37" s="798" t="inlineStr">
        <is>
          <t>Quality</t>
        </is>
      </c>
      <c r="F37" s="783" t="inlineStr">
        <is>
          <t>Rent / Sq Ft</t>
        </is>
      </c>
      <c r="G37" s="799" t="n"/>
      <c r="H37" s="800" t="n"/>
    </row>
    <row r="38" ht="12" customHeight="1">
      <c r="A38" s="801" t="n"/>
      <c r="B38" s="750" t="inlineStr">
        <is>
          <t xml:space="preserve">  Location</t>
        </is>
      </c>
      <c r="C38" s="751" t="inlineStr">
        <is>
          <t>Zone</t>
        </is>
      </c>
      <c r="D38" s="751" t="inlineStr">
        <is>
          <t xml:space="preserve">L : B  Ratio </t>
        </is>
      </c>
      <c r="E38" s="752" t="n"/>
      <c r="F38" s="751" t="inlineStr">
        <is>
          <t>Vacancy</t>
        </is>
      </c>
      <c r="G38" s="802" t="inlineStr">
        <is>
          <t xml:space="preserve">Net Adjustments </t>
        </is>
      </c>
      <c r="H38" s="800" t="n"/>
    </row>
    <row r="39" ht="12" customHeight="1">
      <c r="A39" s="803" t="inlineStr">
        <is>
          <t>#</t>
        </is>
      </c>
      <c r="B39" s="755" t="inlineStr">
        <is>
          <t xml:space="preserve"> Property Type</t>
        </is>
      </c>
      <c r="C39" s="756" t="inlineStr">
        <is>
          <t>YOC</t>
        </is>
      </c>
      <c r="D39" s="756" t="inlineStr">
        <is>
          <t xml:space="preserve">Building Area </t>
        </is>
      </c>
      <c r="E39" s="757" t="n"/>
      <c r="F39" s="756" t="inlineStr">
        <is>
          <t>Expense Ratio</t>
        </is>
      </c>
      <c r="G39" s="804" t="inlineStr">
        <is>
          <t xml:space="preserve">Adjusted Rent </t>
        </is>
      </c>
      <c r="H39" s="800" t="n"/>
    </row>
    <row r="40" ht="12" customHeight="1">
      <c r="A40" s="40" t="n"/>
      <c r="B40" s="41">
        <f>IF(Income!E2="","",+Income!E2)</f>
        <v/>
      </c>
      <c r="C40" s="62">
        <f>IF(Income!H2="","",IF(Income!H2&gt;9100,+Income!H2,+"            "&amp;Income!H2))</f>
        <v/>
      </c>
      <c r="D40" s="65">
        <f>IF(Income!W2="","",Income!W2)</f>
        <v/>
      </c>
      <c r="E40" s="68">
        <f>IF(Income!Z2="","",VLOOKUP(LEFT(Income!Z2,1),[0]!GRADE,2))</f>
        <v/>
      </c>
      <c r="F40" s="522">
        <f>IF(Income!K2="","",Income!K2)</f>
        <v/>
      </c>
      <c r="G40" s="81" t="n"/>
    </row>
    <row r="41" ht="12" customHeight="1">
      <c r="A41" s="42" t="inlineStr">
        <is>
          <t>1</t>
        </is>
      </c>
      <c r="B41" s="41">
        <f>IF(Income!H2="","",+" "&amp;VLOOKUP(Income!H2,Codes!$G$1:$H$68,2))</f>
        <v/>
      </c>
      <c r="C41" s="62">
        <f>IF(Income!T2="","",Income!T2)</f>
        <v/>
      </c>
      <c r="D41" s="121">
        <f>IF(Income!X2="","",TEXT(Income!X2,"0.00"))</f>
        <v/>
      </c>
      <c r="E41" s="68" t="n"/>
      <c r="F41" s="82">
        <f>IF(Income!L2="","",Income!L2)</f>
        <v/>
      </c>
      <c r="G41" s="83" t="n"/>
    </row>
    <row r="42" ht="12" customHeight="1">
      <c r="A42" s="43" t="n"/>
      <c r="B42" s="44">
        <f>IF(Income!G2="","",+" "&amp;VLOOKUP(Income!G2,[0]!Class,2))</f>
        <v/>
      </c>
      <c r="C42" s="63">
        <f>IF(Income!N2="","",Income!N2)</f>
        <v/>
      </c>
      <c r="D42" s="66">
        <f>IF(Income!Y2="","",Income!Y2)</f>
        <v/>
      </c>
      <c r="E42" s="69" t="n"/>
      <c r="F42" s="84">
        <f>IF(Income!M2="","",Income!M2)</f>
        <v/>
      </c>
      <c r="G42" s="537">
        <f>IF(F40="","",ROUND(F40*(1+G41),2))</f>
        <v/>
      </c>
    </row>
    <row r="43" ht="12" customHeight="1">
      <c r="A43" s="40" t="n"/>
      <c r="B43" s="41">
        <f>IF(Income!E3="","",+Income!E3)</f>
        <v/>
      </c>
      <c r="C43" s="62">
        <f>IF(Income!H3="","",IF(Income!H3&gt;9100,+Income!H3,+"            "&amp;Income!H3))</f>
        <v/>
      </c>
      <c r="D43" s="65">
        <f>IF(Income!W3="","",Income!W3)</f>
        <v/>
      </c>
      <c r="E43" s="68">
        <f>IF(Income!Z3="","",VLOOKUP(LEFT(Income!Z3,1),[0]!GRADE,2))</f>
        <v/>
      </c>
      <c r="F43" s="522">
        <f>IF(Income!K3="","",Income!K3)</f>
        <v/>
      </c>
      <c r="G43" s="86" t="n"/>
    </row>
    <row r="44" ht="12" customHeight="1">
      <c r="A44" s="42" t="inlineStr">
        <is>
          <t>2</t>
        </is>
      </c>
      <c r="B44" s="41">
        <f>IF(Income!H3="","",+" "&amp;VLOOKUP(Income!H3,Codes!$G$1:$H$68,2))</f>
        <v/>
      </c>
      <c r="C44" s="62">
        <f>IF(Income!T3="","",Income!T3)</f>
        <v/>
      </c>
      <c r="D44" s="121">
        <f>IF(Income!X3="","",TEXT(Income!X3,"0.00"))</f>
        <v/>
      </c>
      <c r="E44" s="68" t="n"/>
      <c r="F44" s="82">
        <f>IF(Income!L3="","",Income!L3)</f>
        <v/>
      </c>
      <c r="G44" s="83" t="n"/>
    </row>
    <row r="45" ht="12" customHeight="1">
      <c r="A45" s="43" t="n"/>
      <c r="B45" s="44">
        <f>IF(Income!G3="","",+" "&amp;VLOOKUP(Income!G3,[0]!Class,2))</f>
        <v/>
      </c>
      <c r="C45" s="63">
        <f>IF(Income!N3="","",Income!N3)</f>
        <v/>
      </c>
      <c r="D45" s="66">
        <f>IF(Income!Y3="","",Income!Y3)</f>
        <v/>
      </c>
      <c r="E45" s="69" t="n"/>
      <c r="F45" s="84">
        <f>IF(Income!M3="","",Income!M3)</f>
        <v/>
      </c>
      <c r="G45" s="538">
        <f>IF(F43="","",ROUND(F43*(1+G44),2))</f>
        <v/>
      </c>
    </row>
    <row r="46" ht="12" customHeight="1">
      <c r="A46" s="40" t="n"/>
      <c r="B46" s="41">
        <f>IF(Income!E4="","",+Income!E4)</f>
        <v/>
      </c>
      <c r="C46" s="62">
        <f>IF(Income!H4="","",IF(Income!H4&gt;9100,+Income!H4,+"            "&amp;Income!H4))</f>
        <v/>
      </c>
      <c r="D46" s="65">
        <f>IF(Income!W4="","",Income!W4)</f>
        <v/>
      </c>
      <c r="E46" s="68">
        <f>IF(Income!Z4="","",VLOOKUP(LEFT(Income!Z4,1),[0]!GRADE,2))</f>
        <v/>
      </c>
      <c r="F46" s="522">
        <f>IF(Income!K4="","",Income!K4)</f>
        <v/>
      </c>
      <c r="G46" s="81" t="n"/>
    </row>
    <row r="47" ht="12" customHeight="1">
      <c r="A47" s="42" t="inlineStr">
        <is>
          <t>3</t>
        </is>
      </c>
      <c r="B47" s="41">
        <f>IF(Income!H4="","",+" "&amp;VLOOKUP(Income!H4,Codes!$G$1:$H$68,2))</f>
        <v/>
      </c>
      <c r="C47" s="62">
        <f>IF(Income!T2="","",Income!T2)</f>
        <v/>
      </c>
      <c r="D47" s="121">
        <f>IF(Income!X4="","",TEXT(Income!X4,"0.00"))</f>
        <v/>
      </c>
      <c r="E47" s="68" t="n"/>
      <c r="F47" s="82">
        <f>IF(Income!L4="","",Income!L4)</f>
        <v/>
      </c>
      <c r="G47" s="83" t="n"/>
    </row>
    <row r="48" ht="12" customHeight="1" thickBot="1">
      <c r="A48" s="45" t="n"/>
      <c r="B48" s="46">
        <f>IF(Income!G4="","",+" "&amp;VLOOKUP(Income!G4,[0]!Class,2))</f>
        <v/>
      </c>
      <c r="C48" s="64">
        <f>IF(Income!N4="","",Income!N4)</f>
        <v/>
      </c>
      <c r="D48" s="67">
        <f>IF(Income!Y4="","",Income!Y4)</f>
        <v/>
      </c>
      <c r="E48" s="70" t="n"/>
      <c r="F48" s="87">
        <f>IF(Income!M4="","",Income!M4)</f>
        <v/>
      </c>
      <c r="G48" s="539">
        <f>IF(F46="","",ROUND(F46*(1+G47),2))</f>
        <v/>
      </c>
    </row>
    <row r="49" ht="11.25" customHeight="1" thickTop="1"/>
    <row r="50" ht="11.25" customHeight="1" thickBot="1"/>
    <row r="51" ht="15" customHeight="1" thickTop="1">
      <c r="A51" s="794" t="inlineStr">
        <is>
          <t>RENT COMPARABLE REMARKS</t>
        </is>
      </c>
      <c r="B51" s="47" t="n"/>
      <c r="C51" s="48" t="n"/>
      <c r="D51" s="48" t="n"/>
      <c r="E51" s="48" t="n"/>
      <c r="F51" s="48" t="n"/>
      <c r="G51" s="48" t="n"/>
      <c r="H51" s="49" t="n"/>
    </row>
    <row r="52" ht="12" customHeight="1">
      <c r="A52" s="530" t="n"/>
      <c r="B52" s="531" t="n"/>
      <c r="C52" s="531" t="n"/>
      <c r="D52" s="531" t="n"/>
      <c r="E52" s="531" t="n"/>
      <c r="F52" s="531" t="n"/>
      <c r="G52" s="531" t="n"/>
      <c r="H52" s="532" t="n"/>
    </row>
    <row r="53" ht="12" customHeight="1">
      <c r="A53" s="533" t="n"/>
      <c r="B53" s="531" t="n"/>
      <c r="C53" s="531" t="n"/>
      <c r="D53" s="531" t="n"/>
      <c r="E53" s="531" t="n"/>
      <c r="F53" s="531" t="n"/>
      <c r="G53" s="531" t="n"/>
      <c r="H53" s="532" t="n"/>
    </row>
    <row r="54" ht="12" customHeight="1">
      <c r="A54" s="533" t="n"/>
      <c r="B54" s="531" t="n"/>
      <c r="C54" s="531" t="n"/>
      <c r="D54" s="531" t="n"/>
      <c r="E54" s="531" t="n"/>
      <c r="F54" s="531" t="n"/>
      <c r="G54" s="531" t="n"/>
      <c r="H54" s="532" t="n"/>
    </row>
    <row r="55" ht="12" customHeight="1" thickBot="1">
      <c r="A55" s="534" t="n"/>
      <c r="B55" s="535" t="n"/>
      <c r="C55" s="535" t="n"/>
      <c r="D55" s="535" t="n"/>
      <c r="E55" s="535" t="n"/>
      <c r="F55" s="535" t="n"/>
      <c r="G55" s="535" t="n"/>
      <c r="H55" s="536" t="n"/>
    </row>
    <row r="56" ht="4.9" customHeight="1" thickTop="1"/>
  </sheetData>
  <mergeCells count="2">
    <mergeCell ref="A52:H55"/>
    <mergeCell ref="A31:H34"/>
  </mergeCells>
  <printOptions horizontalCentered="1" verticalCentered="1"/>
  <pageMargins left="0.5" right="0.25" top="0.25" bottom="0.25" header="0.5" footer="0.5"/>
  <pageSetup orientation="landscape" scale="77"/>
  <legacyDrawing xmlns:r="http://schemas.openxmlformats.org/officeDocument/2006/relationships" r:id="anysvml"/>
</worksheet>
</file>

<file path=xl/worksheets/sheet4.xml><?xml version="1.0" encoding="utf-8"?>
<worksheet xmlns="http://schemas.openxmlformats.org/spreadsheetml/2006/main">
  <sheetPr codeName="Sheet5">
    <tabColor rgb="002E75B6"/>
    <outlinePr summaryBelow="1" summaryRight="1"/>
    <pageSetUpPr fitToPage="1"/>
  </sheetPr>
  <dimension ref="A1:K39"/>
  <sheetViews>
    <sheetView tabSelected="1" zoomScale="93" zoomScaleNormal="100" workbookViewId="0">
      <pane ySplit="7" topLeftCell="A8" activePane="bottomLeft" state="frozen"/>
      <selection pane="bottomLeft" activeCell="H12" sqref="H12"/>
    </sheetView>
  </sheetViews>
  <sheetFormatPr baseColWidth="8" defaultColWidth="13.6640625" defaultRowHeight="12.75"/>
  <cols>
    <col width="5.6640625" customWidth="1" style="413" min="1" max="1"/>
    <col width="34.5" customWidth="1" style="413" min="2" max="2"/>
    <col width="33.83203125" customWidth="1" style="413" min="3" max="3"/>
    <col width="25" customWidth="1" style="413" min="4" max="4"/>
    <col width="21.33203125" customWidth="1" style="413" min="5" max="5"/>
    <col width="21" customWidth="1" style="413" min="6" max="6"/>
    <col width="8.83203125" customWidth="1" style="413" min="7" max="7"/>
    <col width="13.6640625" bestFit="1" customWidth="1" style="413" min="8" max="8"/>
    <col width="23.1640625" customWidth="1" style="413" min="9" max="9"/>
    <col width="18.1640625" customWidth="1" style="413" min="10" max="10"/>
    <col width="13.6640625" customWidth="1" style="413" min="11" max="16384"/>
  </cols>
  <sheetData>
    <row r="1" ht="26.25" customHeight="1">
      <c r="A1" s="805" t="inlineStr">
        <is>
          <t>IMPROVED MARKET APPROACH</t>
        </is>
      </c>
      <c r="B1" s="805" t="n"/>
      <c r="C1" s="805" t="n"/>
      <c r="D1" s="805" t="n"/>
      <c r="E1" s="805" t="n"/>
      <c r="F1" s="805" t="n"/>
      <c r="G1" s="805" t="n"/>
      <c r="H1" s="805" t="n"/>
      <c r="I1" s="805" t="n"/>
      <c r="J1" s="742" t="n"/>
      <c r="K1" s="742" t="n"/>
    </row>
    <row r="3" ht="21" customHeight="1" thickBot="1">
      <c r="A3" s="131" t="inlineStr">
        <is>
          <t>SUBJECT</t>
        </is>
      </c>
      <c r="B3" s="131" t="n"/>
      <c r="C3" s="131" t="n"/>
      <c r="D3" s="131" t="n"/>
      <c r="E3" s="131" t="n"/>
      <c r="F3" s="131" t="n"/>
      <c r="G3" s="131" t="n"/>
      <c r="H3" s="131" t="n"/>
      <c r="I3" s="131" t="n"/>
    </row>
    <row r="4" ht="13.5" customHeight="1" thickTop="1">
      <c r="B4" s="806" t="inlineStr">
        <is>
          <t>Account Number</t>
        </is>
      </c>
      <c r="C4" s="806" t="inlineStr">
        <is>
          <t>Grantor</t>
        </is>
      </c>
      <c r="D4" s="807" t="inlineStr">
        <is>
          <t xml:space="preserve">Sale Price </t>
        </is>
      </c>
      <c r="E4" s="807" t="inlineStr">
        <is>
          <t>Location</t>
        </is>
      </c>
      <c r="F4" s="807" t="inlineStr">
        <is>
          <t>Age</t>
        </is>
      </c>
      <c r="G4" s="808" t="n"/>
      <c r="H4" s="809" t="n"/>
      <c r="I4" s="810" t="inlineStr">
        <is>
          <t>Value of the</t>
        </is>
      </c>
    </row>
    <row r="5">
      <c r="B5" s="811" t="inlineStr">
        <is>
          <t>Property Address</t>
        </is>
      </c>
      <c r="C5" s="811" t="inlineStr">
        <is>
          <t>Grantee</t>
        </is>
      </c>
      <c r="D5" s="812" t="inlineStr">
        <is>
          <t>Sale Price  / SF</t>
        </is>
      </c>
      <c r="E5" s="812" t="inlineStr">
        <is>
          <t>Land Size</t>
        </is>
      </c>
      <c r="F5" s="812" t="inlineStr">
        <is>
          <t>Quality</t>
        </is>
      </c>
      <c r="G5" s="813" t="n"/>
      <c r="H5" s="814" t="n"/>
      <c r="I5" s="815" t="inlineStr">
        <is>
          <t xml:space="preserve"> Subject/SF</t>
        </is>
      </c>
    </row>
    <row r="6">
      <c r="B6" s="811" t="inlineStr">
        <is>
          <t>Parcel Number</t>
        </is>
      </c>
      <c r="C6" s="811" t="inlineStr">
        <is>
          <t>Reception Number</t>
        </is>
      </c>
      <c r="D6" s="816" t="inlineStr">
        <is>
          <t>PP/Time/Mkt Cond</t>
        </is>
      </c>
      <c r="E6" s="812" t="inlineStr">
        <is>
          <t>L : B  Ratio</t>
        </is>
      </c>
      <c r="F6" s="816" t="inlineStr">
        <is>
          <t>Phy./Funct Rating</t>
        </is>
      </c>
      <c r="G6" s="817" t="n"/>
      <c r="H6" s="814" t="n"/>
      <c r="I6" s="816" t="inlineStr">
        <is>
          <t>Value</t>
        </is>
      </c>
    </row>
    <row r="7" ht="13.5" customHeight="1" thickBot="1">
      <c r="B7" s="818" t="inlineStr">
        <is>
          <t>Property Type</t>
        </is>
      </c>
      <c r="C7" s="819" t="inlineStr">
        <is>
          <t>Sale Date</t>
        </is>
      </c>
      <c r="D7" s="820" t="inlineStr">
        <is>
          <t>Adj S P  / SF</t>
        </is>
      </c>
      <c r="E7" s="821" t="inlineStr">
        <is>
          <t>Building Size</t>
        </is>
      </c>
      <c r="F7" s="821" t="inlineStr">
        <is>
          <t>Zoning</t>
        </is>
      </c>
      <c r="G7" s="822" t="inlineStr">
        <is>
          <t>Comments</t>
        </is>
      </c>
      <c r="H7" s="823" t="n"/>
      <c r="I7" s="820" t="inlineStr">
        <is>
          <t>of the Subject</t>
        </is>
      </c>
    </row>
    <row r="8" ht="14.25" customHeight="1" thickBot="1" thickTop="1"/>
    <row r="9" ht="13.5" customHeight="1" thickTop="1">
      <c r="B9" s="432" t="n"/>
      <c r="C9" s="432" t="n"/>
      <c r="D9" s="540" t="n"/>
      <c r="E9" s="434" t="n"/>
      <c r="F9" s="434" t="n"/>
      <c r="G9" s="435" t="n"/>
      <c r="H9" s="436" t="n"/>
      <c r="I9" s="434" t="n"/>
    </row>
    <row r="10">
      <c r="B10" s="437" t="n"/>
      <c r="C10" s="437" t="n"/>
      <c r="D10" s="541">
        <f>D9/E12</f>
        <v/>
      </c>
      <c r="E10" s="439" t="n"/>
      <c r="F10" s="440" t="n"/>
      <c r="G10" s="441" t="n"/>
      <c r="H10" s="442" t="n"/>
      <c r="I10" s="542">
        <f>IF(E12="","",ROUND(I12/E12,2))</f>
        <v/>
      </c>
    </row>
    <row r="11">
      <c r="B11" s="465" t="n"/>
      <c r="C11" s="465" t="n"/>
      <c r="D11" s="543" t="n"/>
      <c r="E11" s="461" t="n"/>
      <c r="F11" s="440" t="n"/>
      <c r="G11" s="441" t="n"/>
      <c r="H11" s="442" t="n"/>
      <c r="I11" s="440" t="n"/>
    </row>
    <row r="12" ht="13.5" customHeight="1" thickBot="1">
      <c r="B12" s="445" t="n"/>
      <c r="C12" s="446" t="n"/>
      <c r="D12" s="544" t="n"/>
      <c r="E12" s="448" t="n"/>
      <c r="F12" s="449" t="n"/>
      <c r="G12" s="450" t="n"/>
      <c r="H12" s="451" t="n"/>
      <c r="I12" s="545" t="n"/>
    </row>
    <row r="13" ht="13.5" customHeight="1" thickTop="1">
      <c r="I13" s="546" t="n"/>
    </row>
    <row r="14">
      <c r="I14" s="546" t="n"/>
    </row>
    <row r="15" ht="21" customHeight="1" thickBot="1">
      <c r="A15" s="805" t="inlineStr">
        <is>
          <t>COMPARABLE SALE PROPERTIES</t>
        </is>
      </c>
      <c r="B15" s="805" t="n"/>
      <c r="C15" s="805" t="n"/>
      <c r="D15" s="805" t="n"/>
      <c r="E15" s="805" t="n"/>
      <c r="F15" s="805" t="n"/>
      <c r="G15" s="805" t="n"/>
      <c r="H15" s="805" t="n"/>
      <c r="I15" s="805" t="n"/>
      <c r="J15" s="742" t="n"/>
      <c r="K15" s="742" t="n"/>
    </row>
    <row r="16" ht="13.5" customHeight="1" thickTop="1">
      <c r="A16" s="800" t="n"/>
      <c r="B16" s="806" t="inlineStr">
        <is>
          <t>Account Number</t>
        </is>
      </c>
      <c r="C16" s="806" t="inlineStr">
        <is>
          <t>Grantor</t>
        </is>
      </c>
      <c r="D16" s="807" t="inlineStr">
        <is>
          <t xml:space="preserve">Sale Price </t>
        </is>
      </c>
      <c r="E16" s="807" t="inlineStr">
        <is>
          <t>Location</t>
        </is>
      </c>
      <c r="F16" s="807" t="inlineStr">
        <is>
          <t>Age</t>
        </is>
      </c>
      <c r="G16" s="807" t="n"/>
      <c r="H16" s="807" t="n"/>
      <c r="I16" s="807" t="inlineStr">
        <is>
          <t>Indicated Value</t>
        </is>
      </c>
    </row>
    <row r="17">
      <c r="A17" s="800" t="n"/>
      <c r="B17" s="811" t="inlineStr">
        <is>
          <t>Property Address</t>
        </is>
      </c>
      <c r="C17" s="811" t="inlineStr">
        <is>
          <t>Grantee</t>
        </is>
      </c>
      <c r="D17" s="812" t="inlineStr">
        <is>
          <t>Sale Price  / SF</t>
        </is>
      </c>
      <c r="E17" s="812" t="inlineStr">
        <is>
          <t>Land Size</t>
        </is>
      </c>
      <c r="F17" s="812" t="inlineStr">
        <is>
          <t>Quality</t>
        </is>
      </c>
      <c r="G17" s="812" t="n"/>
      <c r="H17" s="812" t="inlineStr">
        <is>
          <t>Adjusted</t>
        </is>
      </c>
      <c r="I17" s="815" t="inlineStr">
        <is>
          <t>of the Subject/SF</t>
        </is>
      </c>
    </row>
    <row r="18">
      <c r="A18" s="800" t="n"/>
      <c r="B18" s="811" t="inlineStr">
        <is>
          <t>Parcel Number</t>
        </is>
      </c>
      <c r="C18" s="811" t="inlineStr">
        <is>
          <t>Reception Number</t>
        </is>
      </c>
      <c r="D18" s="816" t="inlineStr">
        <is>
          <t>PP/Time/Mkt Cond Adj</t>
        </is>
      </c>
      <c r="E18" s="812" t="inlineStr">
        <is>
          <t>L : B  Ratio</t>
        </is>
      </c>
      <c r="F18" s="816" t="inlineStr">
        <is>
          <t>Phy/Funct Rating</t>
        </is>
      </c>
      <c r="G18" s="816" t="inlineStr">
        <is>
          <t>Net</t>
        </is>
      </c>
      <c r="H18" s="812" t="inlineStr">
        <is>
          <t>Sale</t>
        </is>
      </c>
      <c r="I18" s="816" t="inlineStr">
        <is>
          <t>Indicated Value</t>
        </is>
      </c>
    </row>
    <row r="19" ht="13.5" customHeight="1" thickBot="1">
      <c r="A19" s="800" t="n"/>
      <c r="B19" s="818" t="inlineStr">
        <is>
          <t>Property Type</t>
        </is>
      </c>
      <c r="C19" s="819" t="inlineStr">
        <is>
          <t>Sale Date</t>
        </is>
      </c>
      <c r="D19" s="820" t="inlineStr">
        <is>
          <t>Adj S P  / SF</t>
        </is>
      </c>
      <c r="E19" s="821" t="inlineStr">
        <is>
          <t>Building Size/Keys</t>
        </is>
      </c>
      <c r="F19" s="821" t="inlineStr">
        <is>
          <t>Zoning</t>
        </is>
      </c>
      <c r="G19" s="820" t="inlineStr">
        <is>
          <t>Adj.</t>
        </is>
      </c>
      <c r="H19" s="821" t="inlineStr">
        <is>
          <t>Price/SF</t>
        </is>
      </c>
      <c r="I19" s="820" t="inlineStr">
        <is>
          <t>of the Subject</t>
        </is>
      </c>
    </row>
    <row r="20" ht="14.25" customHeight="1" thickBot="1" thickTop="1"/>
    <row r="21" ht="13.5" customHeight="1" thickTop="1">
      <c r="A21" s="482" t="inlineStr">
        <is>
          <t>#1</t>
        </is>
      </c>
      <c r="B21" s="394">
        <f>IF(Sales!C2="","",+" "&amp;Sales!C2)</f>
        <v/>
      </c>
      <c r="C21" s="394">
        <f>IF(Sales!AE$2="","",Sales!AE$2)</f>
        <v/>
      </c>
      <c r="D21" s="547">
        <f>IF(Sales!AA$2="","",Sales!AA$2)</f>
        <v/>
      </c>
      <c r="E21" s="547">
        <f>IF(Sales!F$2="","",Sales!F$2)</f>
        <v/>
      </c>
      <c r="F21" s="396">
        <f>IF(Sales!M$2="","",Sales!M$2)</f>
        <v/>
      </c>
      <c r="G21" s="462" t="n"/>
      <c r="H21" s="396" t="n"/>
      <c r="I21" s="396" t="n"/>
    </row>
    <row r="22">
      <c r="B22" s="397">
        <f>IF(Sales!D$2="","",Sales!D$2)</f>
        <v/>
      </c>
      <c r="C22" s="397">
        <f>IF(Sales!AF$2="","",Sales!AF$2)</f>
        <v/>
      </c>
      <c r="D22" s="548">
        <f>IF(Sales!H$2="","",Sales!H$2)</f>
        <v/>
      </c>
      <c r="E22" s="399">
        <f>IF(Sales!S$2="","",Sales!S$2)</f>
        <v/>
      </c>
      <c r="F22" s="456">
        <f>IF(Sales!R2="","",VLOOKUP(Sales!R2,[0]!GRADE,2))</f>
        <v/>
      </c>
      <c r="G22" s="400" t="n"/>
      <c r="H22" s="400" t="n"/>
      <c r="I22" s="549">
        <f>IF(H24="","",H24)</f>
        <v/>
      </c>
    </row>
    <row r="23">
      <c r="B23" s="397">
        <f>IF(Sales!AC2="","",+Sales!AC2)</f>
        <v/>
      </c>
      <c r="C23" s="402">
        <f>IF(Sales!AD$2="","",Sales!AD$2)</f>
        <v/>
      </c>
      <c r="D23" s="550" t="n"/>
      <c r="E23" s="400">
        <f>IF(Sales!T$2="","",Sales!T$2)</f>
        <v/>
      </c>
      <c r="F23" s="457">
        <f>IF(Sales!V2="","",VLOOKUP(Sales!V2,Codes!$A$12:$B$16,2))</f>
        <v/>
      </c>
      <c r="G23" s="400" t="n"/>
      <c r="H23" s="400" t="n"/>
      <c r="I23" s="400" t="n"/>
    </row>
    <row r="24" ht="13.5" customHeight="1" thickBot="1">
      <c r="B24" s="404">
        <f>IF(Sales!E2="","",+" "&amp;VLOOKUP(Sales!E2,[0]!Class,2))</f>
        <v/>
      </c>
      <c r="C24" s="551">
        <f>IF(Sales!I$2="","",Sales!I$2)</f>
        <v/>
      </c>
      <c r="D24" s="552">
        <f>IF(D21="","",ROUND((D21+D23)/E24,2))</f>
        <v/>
      </c>
      <c r="E24" s="407">
        <f>IF(Sales!L$2="","",Sales!L$2)</f>
        <v/>
      </c>
      <c r="F24" s="408">
        <f>IF(Sales!P$2="","",Sales!P$2)</f>
        <v/>
      </c>
      <c r="G24" s="409" t="n"/>
      <c r="H24" s="553">
        <f>IF(D24="","",ROUND(D24*(1+G24),2))</f>
        <v/>
      </c>
      <c r="I24" s="554">
        <f>IF(E12="","",ROUND(E12*H24,-2))</f>
        <v/>
      </c>
    </row>
    <row r="25" ht="14.25" customHeight="1" thickBot="1" thickTop="1">
      <c r="A25" s="453" t="n"/>
      <c r="G25" s="454" t="n"/>
      <c r="I25" s="555" t="n"/>
    </row>
    <row r="26" ht="13.5" customHeight="1" thickTop="1">
      <c r="A26" s="482" t="inlineStr">
        <is>
          <t>#2</t>
        </is>
      </c>
      <c r="B26" s="394">
        <f>IF(Sales!C3="","",+" "&amp;Sales!C3)</f>
        <v/>
      </c>
      <c r="C26" s="394">
        <f>IF(Sales!AE$3="","",Sales!AE$3)</f>
        <v/>
      </c>
      <c r="D26" s="547">
        <f>IF(Sales!AA$3="","",Sales!AA$3)</f>
        <v/>
      </c>
      <c r="E26" s="547">
        <f>IF(Sales!F$3="","",Sales!F$3)</f>
        <v/>
      </c>
      <c r="F26" s="396">
        <f>IF(Sales!M$3="","",Sales!M$3)</f>
        <v/>
      </c>
      <c r="G26" s="463" t="n"/>
      <c r="H26" s="396" t="n"/>
      <c r="I26" s="396" t="n"/>
    </row>
    <row r="27">
      <c r="B27" s="397">
        <f>IF(Sales!D$3="","",Sales!D$3)</f>
        <v/>
      </c>
      <c r="C27" s="397">
        <f>IF(Sales!AF$3="","",Sales!AF$3)</f>
        <v/>
      </c>
      <c r="D27" s="548">
        <f>IF(Sales!H$3="","",Sales!H$3)</f>
        <v/>
      </c>
      <c r="E27" s="399">
        <f>IF(Sales!S$3="","",Sales!S$3)</f>
        <v/>
      </c>
      <c r="F27" s="400">
        <f>IF(Sales!R3="","",VLOOKUP(Sales!R3,[0]!GRADE,2))</f>
        <v/>
      </c>
      <c r="G27" s="400" t="n"/>
      <c r="H27" s="400" t="n"/>
      <c r="I27" s="549">
        <f>IF(H29="","",H29)</f>
        <v/>
      </c>
    </row>
    <row r="28">
      <c r="B28" s="397">
        <f>IF(Sales!AC3="","",+Sales!AC3)</f>
        <v/>
      </c>
      <c r="C28" s="402">
        <f>IF(Sales!AD$3="","",Sales!AD$3)</f>
        <v/>
      </c>
      <c r="D28" s="550" t="n"/>
      <c r="E28" s="400">
        <f>IF(Sales!T$3="","",Sales!T$3)</f>
        <v/>
      </c>
      <c r="F28" s="400">
        <f>IF(Sales!V3="","",VLOOKUP(Sales!V3,Codes!$A$12:$B$16,2))</f>
        <v/>
      </c>
      <c r="G28" s="400" t="n"/>
      <c r="H28" s="400" t="n"/>
      <c r="I28" s="400" t="n"/>
    </row>
    <row r="29" ht="13.5" customHeight="1" thickBot="1">
      <c r="B29" s="404">
        <f>IF(Sales!E3="","",+" "&amp;VLOOKUP(Sales!E3,[0]!Class,2))</f>
        <v/>
      </c>
      <c r="C29" s="551">
        <f>IF(Sales!I$3="","",Sales!I$3)</f>
        <v/>
      </c>
      <c r="D29" s="552">
        <f>IF(D26="","",ROUND((D26+D28)/E29,2))</f>
        <v/>
      </c>
      <c r="E29" s="407">
        <f>IF(Sales!L$3="","",Sales!L$3)</f>
        <v/>
      </c>
      <c r="F29" s="408">
        <f>IF(Sales!P$3="","",Sales!P$3)</f>
        <v/>
      </c>
      <c r="G29" s="409" t="n"/>
      <c r="H29" s="553">
        <f>IF(D29="","",ROUND(D29*(1+G29),2))</f>
        <v/>
      </c>
      <c r="I29" s="554">
        <f>IF(E12="","",ROUND(E12*H29,-2))</f>
        <v/>
      </c>
    </row>
    <row r="30" ht="14.25" customHeight="1" thickBot="1" thickTop="1">
      <c r="A30" s="453" t="n"/>
      <c r="G30" s="454" t="n"/>
      <c r="I30" s="555" t="n"/>
    </row>
    <row r="31" ht="13.5" customHeight="1" thickTop="1">
      <c r="A31" s="482" t="inlineStr">
        <is>
          <t>#3</t>
        </is>
      </c>
      <c r="B31" s="394">
        <f>IF(Sales!C4="","",+" "&amp;Sales!C4)</f>
        <v/>
      </c>
      <c r="C31" s="394">
        <f>IF(Sales!AE$4="","",Sales!AE$4)</f>
        <v/>
      </c>
      <c r="D31" s="547">
        <f>IF(Sales!AA$4="","",Sales!AA$4)</f>
        <v/>
      </c>
      <c r="E31" s="547">
        <f>IF(Sales!F$4="","",Sales!F$4)</f>
        <v/>
      </c>
      <c r="F31" s="396">
        <f>IF(Sales!M$4="","",Sales!M$4)</f>
        <v/>
      </c>
      <c r="G31" s="462" t="n"/>
      <c r="H31" s="396" t="n"/>
      <c r="I31" s="396" t="n"/>
    </row>
    <row r="32">
      <c r="B32" s="397">
        <f>IF(Sales!D$4="","",Sales!D$4)</f>
        <v/>
      </c>
      <c r="C32" s="397">
        <f>IF(Sales!AF$4="","",Sales!AF$4)</f>
        <v/>
      </c>
      <c r="D32" s="548">
        <f>IF(Sales!H$4="","",Sales!H$4)</f>
        <v/>
      </c>
      <c r="E32" s="399">
        <f>IF(Sales!S$4="","",Sales!S$4)</f>
        <v/>
      </c>
      <c r="F32" s="400">
        <f>IF(Sales!R4="","",VLOOKUP(Sales!R4,[0]!GRADE,2))</f>
        <v/>
      </c>
      <c r="G32" s="400" t="n"/>
      <c r="H32" s="400" t="n"/>
      <c r="I32" s="549">
        <f>IF(H34="","",H34)</f>
        <v/>
      </c>
    </row>
    <row r="33">
      <c r="B33" s="397">
        <f>IF(Sales!AC4="","",+Sales!AC4)</f>
        <v/>
      </c>
      <c r="C33" s="402">
        <f>IF(Sales!AD$4="","",Sales!AD$4)</f>
        <v/>
      </c>
      <c r="D33" s="550" t="n"/>
      <c r="E33" s="400">
        <f>IF(Sales!T$4="","",Sales!T$4)</f>
        <v/>
      </c>
      <c r="F33" s="400">
        <f>IF(Sales!V4="","",VLOOKUP(Sales!V4,Codes!$A$12:$B$16,2))</f>
        <v/>
      </c>
      <c r="G33" s="400" t="n"/>
      <c r="H33" s="400" t="n"/>
      <c r="I33" s="400" t="n"/>
      <c r="K33" s="555" t="n"/>
    </row>
    <row r="34" ht="13.5" customHeight="1" thickBot="1">
      <c r="B34" s="404">
        <f>IF(Sales!E4="","",+" "&amp;VLOOKUP(Sales!E4,[0]!Class,2))</f>
        <v/>
      </c>
      <c r="C34" s="551">
        <f>IF(Sales!I$4="","",Sales!I$4)</f>
        <v/>
      </c>
      <c r="D34" s="552">
        <f>IF(D31="","",ROUND((D31+D33)/E34,2))</f>
        <v/>
      </c>
      <c r="E34" s="407">
        <f>IF(Sales!L$4="","",Sales!L$4)</f>
        <v/>
      </c>
      <c r="F34" s="408">
        <f>IF(Sales!P$4="","",Sales!P$4)</f>
        <v/>
      </c>
      <c r="G34" s="409" t="n"/>
      <c r="H34" s="553">
        <f>IF(D34="","",ROUND(D34*(1+G34),2))</f>
        <v/>
      </c>
      <c r="I34" s="554">
        <f>IF(E12="","",ROUND(E12*H34,-2))</f>
        <v/>
      </c>
    </row>
    <row r="35" ht="14.25" customHeight="1" thickBot="1" thickTop="1">
      <c r="A35" s="453" t="n"/>
      <c r="G35" s="454" t="n"/>
      <c r="I35" s="555" t="n"/>
    </row>
    <row r="36" ht="13.5" customHeight="1" thickTop="1">
      <c r="A36" s="482" t="inlineStr">
        <is>
          <t>#4</t>
        </is>
      </c>
      <c r="B36" s="394">
        <f>IF(Sales!C5="","",+" "&amp;Sales!C5)</f>
        <v/>
      </c>
      <c r="C36" s="394">
        <f>IF(Sales!AE$5="","",Sales!AE$5)</f>
        <v/>
      </c>
      <c r="D36" s="547">
        <f>IF(Sales!AA$5="","",Sales!AA$5)</f>
        <v/>
      </c>
      <c r="E36" s="547">
        <f>IF(Sales!F$5="","",Sales!F$5)</f>
        <v/>
      </c>
      <c r="F36" s="396">
        <f>IF(Sales!M$5="","",Sales!M$5)</f>
        <v/>
      </c>
      <c r="G36" s="396" t="n"/>
      <c r="H36" s="396" t="n"/>
      <c r="I36" s="396" t="n"/>
    </row>
    <row r="37">
      <c r="B37" s="397">
        <f>IF(Sales!D$5="","",Sales!D$5)</f>
        <v/>
      </c>
      <c r="C37" s="397">
        <f>IF(Sales!AF$5="","",Sales!AF$5)</f>
        <v/>
      </c>
      <c r="D37" s="548">
        <f>IF(Sales!H$5="","",Sales!H$5)</f>
        <v/>
      </c>
      <c r="E37" s="399">
        <f>IF(Sales!S$5="","",Sales!S$5)</f>
        <v/>
      </c>
      <c r="F37" s="400">
        <f>IF(Sales!R5="","",VLOOKUP(Sales!R5,[0]!GRADE,2))</f>
        <v/>
      </c>
      <c r="G37" s="400" t="n"/>
      <c r="H37" s="400" t="n"/>
      <c r="I37" s="549">
        <f>IF(H39="","",H39)</f>
        <v/>
      </c>
    </row>
    <row r="38">
      <c r="B38" s="397">
        <f>IF(Sales!AC5="","",+Sales!AC5)</f>
        <v/>
      </c>
      <c r="C38" s="402">
        <f>IF(Sales!AD$5="","",Sales!AD$5)</f>
        <v/>
      </c>
      <c r="D38" s="550" t="n"/>
      <c r="E38" s="400">
        <f>IF(Sales!T$5="","",Sales!T$5)</f>
        <v/>
      </c>
      <c r="F38" s="400">
        <f>IF(Sales!V5="","",VLOOKUP(Sales!V5,Codes!$A$12:$B$16,2))</f>
        <v/>
      </c>
      <c r="G38" s="400" t="n"/>
      <c r="H38" s="400" t="n"/>
      <c r="I38" s="400" t="n"/>
    </row>
    <row r="39" ht="13.5" customHeight="1" thickBot="1">
      <c r="B39" s="404">
        <f>IF(Sales!E5="","",+" "&amp;VLOOKUP(Sales!E5,[0]!Class,2))</f>
        <v/>
      </c>
      <c r="C39" s="551">
        <f>IF(Sales!I$5="","",Sales!I$5)</f>
        <v/>
      </c>
      <c r="D39" s="552">
        <f>IF(D36="","",ROUND((D36+D38)/E39,2))</f>
        <v/>
      </c>
      <c r="E39" s="407">
        <f>IF(Sales!L$5="","",Sales!L$5)</f>
        <v/>
      </c>
      <c r="F39" s="408">
        <f>IF(Sales!P$5="","",Sales!P$5)</f>
        <v/>
      </c>
      <c r="G39" s="409" t="n"/>
      <c r="H39" s="553">
        <f>IF(D39="","",ROUND(D39*(1+G39),2))</f>
        <v/>
      </c>
      <c r="I39" s="554">
        <f>I37*E12</f>
        <v/>
      </c>
    </row>
    <row r="40" ht="13.5" customHeight="1" thickTop="1"/>
  </sheetData>
  <mergeCells count="4">
    <mergeCell ref="A31:A34"/>
    <mergeCell ref="A21:A24"/>
    <mergeCell ref="A26:A29"/>
    <mergeCell ref="A36:A38"/>
  </mergeCells>
  <printOptions horizontalCentered="1"/>
  <pageMargins left="0.25" right="0.25" top="0.5" bottom="0.5" header="0" footer="0"/>
  <pageSetup orientation="landscape" scale="81" verticalDpi="300"/>
  <legacyDrawing xmlns:r="http://schemas.openxmlformats.org/officeDocument/2006/relationships" r:id="anysvml"/>
</worksheet>
</file>

<file path=xl/worksheets/sheet5.xml><?xml version="1.0" encoding="utf-8"?>
<worksheet xmlns="http://schemas.openxmlformats.org/spreadsheetml/2006/main">
  <sheetPr codeName="Sheet11">
    <tabColor rgb="002E75B6"/>
    <outlinePr summaryBelow="1" summaryRight="1"/>
    <pageSetUpPr fitToPage="1"/>
  </sheetPr>
  <dimension ref="A1:H41"/>
  <sheetViews>
    <sheetView zoomScale="85" zoomScaleNormal="125" zoomScaleSheetLayoutView="100" workbookViewId="0">
      <selection activeCell="E47" sqref="E47"/>
    </sheetView>
  </sheetViews>
  <sheetFormatPr baseColWidth="8" defaultColWidth="12.5" defaultRowHeight="12.75"/>
  <cols>
    <col width="5.5" customWidth="1" style="132" min="1" max="1"/>
    <col width="32.5" customWidth="1" style="132" min="2" max="2"/>
    <col width="32.5" customWidth="1" style="133" min="3" max="6"/>
    <col width="19.83203125" customWidth="1" style="133" min="7" max="7"/>
    <col width="19.83203125" customWidth="1" style="132" min="8" max="8"/>
    <col width="12.5" customWidth="1" style="132" min="9" max="16384"/>
  </cols>
  <sheetData>
    <row r="1" ht="32.25" customHeight="1">
      <c r="B1" t="n"/>
    </row>
    <row r="2" ht="26.25" customHeight="1">
      <c r="A2" s="742" t="n"/>
      <c r="B2" s="824" t="inlineStr">
        <is>
          <t>RENT COMPARABLES</t>
        </is>
      </c>
      <c r="C2" s="824" t="n"/>
      <c r="D2" s="824" t="n"/>
      <c r="E2" s="824" t="n"/>
      <c r="F2" s="824" t="n"/>
      <c r="G2" s="824" t="n"/>
      <c r="H2" s="824" t="n"/>
    </row>
    <row r="4" ht="25.15" customHeight="1" thickBot="1">
      <c r="B4" s="825" t="inlineStr">
        <is>
          <t>SUBJECT</t>
        </is>
      </c>
      <c r="C4" s="826" t="n"/>
      <c r="D4" s="826" t="n"/>
      <c r="E4" s="826" t="n"/>
      <c r="F4" s="826" t="n"/>
      <c r="G4" s="826" t="n"/>
      <c r="H4" s="826" t="n"/>
    </row>
    <row r="5" ht="13.5" customHeight="1" thickTop="1">
      <c r="B5" s="827" t="inlineStr">
        <is>
          <t>Schedule Number</t>
        </is>
      </c>
      <c r="C5" s="828" t="inlineStr">
        <is>
          <t>Rent/Sq.Ft.</t>
        </is>
      </c>
      <c r="D5" s="829" t="inlineStr">
        <is>
          <t>Location</t>
        </is>
      </c>
      <c r="E5" s="829" t="inlineStr">
        <is>
          <t>Age</t>
        </is>
      </c>
      <c r="F5" s="829" t="n"/>
      <c r="G5" s="830" t="n"/>
      <c r="H5" s="831" t="n"/>
    </row>
    <row r="6">
      <c r="B6" s="832" t="inlineStr">
        <is>
          <t>Property Address</t>
        </is>
      </c>
      <c r="C6" s="833" t="inlineStr">
        <is>
          <t>Vacancy</t>
        </is>
      </c>
      <c r="D6" s="834" t="inlineStr">
        <is>
          <t>Land Size</t>
        </is>
      </c>
      <c r="E6" s="834" t="inlineStr">
        <is>
          <t>Quality</t>
        </is>
      </c>
      <c r="F6" s="834" t="n"/>
      <c r="G6" s="835" t="n"/>
      <c r="H6" s="836" t="n"/>
    </row>
    <row r="7">
      <c r="B7" s="832" t="inlineStr">
        <is>
          <t>Property Name</t>
        </is>
      </c>
      <c r="C7" s="834" t="inlineStr">
        <is>
          <t>Expense / Sq. Ft.</t>
        </is>
      </c>
      <c r="D7" s="834" t="inlineStr">
        <is>
          <t>L:B Ratio</t>
        </is>
      </c>
      <c r="E7" s="834" t="inlineStr">
        <is>
          <t>Phy/Funct Rating</t>
        </is>
      </c>
      <c r="F7" s="834" t="n"/>
      <c r="G7" s="835" t="n"/>
      <c r="H7" s="836" t="n"/>
    </row>
    <row r="8" ht="13.5" customHeight="1" thickBot="1">
      <c r="B8" s="837" t="inlineStr">
        <is>
          <t>Property Type</t>
        </is>
      </c>
      <c r="C8" s="838" t="inlineStr">
        <is>
          <t>Expense Ratio</t>
        </is>
      </c>
      <c r="D8" s="839" t="inlineStr">
        <is>
          <t>Building Size</t>
        </is>
      </c>
      <c r="E8" s="839" t="inlineStr">
        <is>
          <t>Zoning</t>
        </is>
      </c>
      <c r="F8" s="839" t="inlineStr">
        <is>
          <t>Other</t>
        </is>
      </c>
      <c r="G8" s="840" t="inlineStr">
        <is>
          <t>Comments</t>
        </is>
      </c>
      <c r="H8" s="841" t="n"/>
    </row>
    <row r="9" ht="14.25" customHeight="1" thickBot="1" thickTop="1"/>
    <row r="10" ht="13.5" customHeight="1" thickTop="1">
      <c r="B10" s="136">
        <f>IF('BAA Market'!B9="","",'BAA Market'!B9)</f>
        <v/>
      </c>
      <c r="C10" s="556" t="n"/>
      <c r="D10" s="138">
        <f>IF('BAA Market'!E9="","",'BAA Market'!E9)</f>
        <v/>
      </c>
      <c r="E10" s="138">
        <f>IF('BAA Market'!F9="","",'BAA Market'!F9)</f>
        <v/>
      </c>
      <c r="F10" s="138" t="n"/>
      <c r="G10" s="139" t="n"/>
      <c r="H10" s="140" t="n"/>
    </row>
    <row r="11">
      <c r="B11" s="141">
        <f>IF('BAA Market'!B10="","",'BAA Market'!B10)</f>
        <v/>
      </c>
      <c r="C11" s="557" t="n"/>
      <c r="D11" s="143">
        <f>IF('BAA Market'!E10="","",'BAA Market'!E10)</f>
        <v/>
      </c>
      <c r="E11" s="144">
        <f>IF('BAA Market'!F10="","",'BAA Market'!F10)</f>
        <v/>
      </c>
      <c r="F11" s="144" t="n"/>
      <c r="G11" s="145" t="n"/>
      <c r="H11" s="146" t="n"/>
    </row>
    <row r="12">
      <c r="B12" s="147">
        <f>IF('BAA Market'!B11="","",'BAA Market'!B11)</f>
        <v/>
      </c>
      <c r="C12" s="558" t="n"/>
      <c r="D12" s="149">
        <f>IF('BAA Market'!E11="","",'BAA Market'!E11)</f>
        <v/>
      </c>
      <c r="E12" s="144">
        <f>IF('BAA Market'!F11="","",'BAA Market'!F11)</f>
        <v/>
      </c>
      <c r="F12" s="144" t="n"/>
      <c r="G12" s="145" t="n"/>
      <c r="H12" s="146" t="n"/>
    </row>
    <row r="13" ht="13.5" customHeight="1" thickBot="1">
      <c r="B13" s="150">
        <f>IF('BAA Market'!B12="","",'BAA Market'!B12)</f>
        <v/>
      </c>
      <c r="C13" s="559" t="n"/>
      <c r="D13" s="152">
        <f>IF('BAA Market'!E12="","",'BAA Market'!E12)</f>
        <v/>
      </c>
      <c r="E13" s="153">
        <f>IF('BAA Market'!F12="","",'BAA Market'!F12)</f>
        <v/>
      </c>
      <c r="F13" s="153" t="n"/>
      <c r="G13" s="154" t="n"/>
      <c r="H13" s="155" t="n"/>
    </row>
    <row r="14" ht="13.5" customHeight="1" thickTop="1"/>
    <row r="17" ht="25.15" customHeight="1" thickBot="1">
      <c r="A17" s="742" t="n"/>
      <c r="B17" s="842" t="inlineStr">
        <is>
          <t>COMPARABLE RENTAL PROPERTIES</t>
        </is>
      </c>
      <c r="C17" s="842" t="n"/>
      <c r="D17" s="842" t="n"/>
      <c r="E17" s="842" t="n"/>
      <c r="F17" s="842" t="n"/>
      <c r="G17" s="842" t="n"/>
      <c r="H17" s="842" t="n"/>
    </row>
    <row r="18" ht="13.5" customHeight="1" thickTop="1">
      <c r="A18" s="800" t="n"/>
      <c r="B18" s="827" t="n"/>
      <c r="C18" s="828" t="inlineStr">
        <is>
          <t>Rent/Sq.Ft.</t>
        </is>
      </c>
      <c r="D18" s="829" t="inlineStr">
        <is>
          <t>Location</t>
        </is>
      </c>
      <c r="E18" s="829" t="inlineStr">
        <is>
          <t>Age</t>
        </is>
      </c>
      <c r="F18" s="829" t="n"/>
      <c r="G18" s="829" t="n"/>
      <c r="H18" s="827" t="n"/>
    </row>
    <row r="19">
      <c r="A19" s="800" t="n"/>
      <c r="B19" s="832" t="inlineStr">
        <is>
          <t>OFFICE</t>
        </is>
      </c>
      <c r="C19" s="833" t="inlineStr">
        <is>
          <t>Vacancy</t>
        </is>
      </c>
      <c r="D19" s="834" t="inlineStr">
        <is>
          <t>Land Size</t>
        </is>
      </c>
      <c r="E19" s="834" t="inlineStr">
        <is>
          <t>Quality</t>
        </is>
      </c>
      <c r="F19" s="834" t="n"/>
      <c r="G19" s="834" t="n"/>
      <c r="H19" s="833" t="n"/>
    </row>
    <row r="20">
      <c r="A20" s="800" t="n"/>
      <c r="B20" s="832" t="inlineStr">
        <is>
          <t>Source</t>
        </is>
      </c>
      <c r="C20" s="834" t="inlineStr">
        <is>
          <t>Expense / Sq. Ft.</t>
        </is>
      </c>
      <c r="D20" s="834" t="inlineStr">
        <is>
          <t>L:B Ratio</t>
        </is>
      </c>
      <c r="E20" s="834" t="inlineStr">
        <is>
          <t>Phy/Funct Rating</t>
        </is>
      </c>
      <c r="F20" s="834" t="n"/>
      <c r="G20" s="833" t="inlineStr">
        <is>
          <t>Net</t>
        </is>
      </c>
      <c r="H20" s="833" t="inlineStr">
        <is>
          <t>Adjusted</t>
        </is>
      </c>
    </row>
    <row r="21" ht="13.5" customHeight="1" thickBot="1">
      <c r="A21" s="800" t="n"/>
      <c r="B21" s="837" t="inlineStr">
        <is>
          <t>Property Type</t>
        </is>
      </c>
      <c r="C21" s="838" t="inlineStr">
        <is>
          <t>Expense Ratio</t>
        </is>
      </c>
      <c r="D21" s="839" t="inlineStr">
        <is>
          <t>Building Size</t>
        </is>
      </c>
      <c r="E21" s="839" t="inlineStr">
        <is>
          <t>Zoning</t>
        </is>
      </c>
      <c r="F21" s="839" t="inlineStr">
        <is>
          <t>Other</t>
        </is>
      </c>
      <c r="G21" s="838" t="inlineStr">
        <is>
          <t>Adjustments</t>
        </is>
      </c>
      <c r="H21" s="838" t="inlineStr">
        <is>
          <t>Rent/Sq.Ft.</t>
        </is>
      </c>
    </row>
    <row r="22" ht="14.25" customHeight="1" thickBot="1" thickTop="1"/>
    <row r="23" ht="13.5" customHeight="1" thickTop="1">
      <c r="A23" s="484" t="inlineStr">
        <is>
          <t>#1</t>
        </is>
      </c>
      <c r="B23" s="157" t="n"/>
      <c r="C23" s="556">
        <f>IF(Income!K2="","",Income!K$2)</f>
        <v/>
      </c>
      <c r="D23" s="284">
        <f>IF(Income!H2="","",VLOOKUP(Income!H2,[0]!Location,2))</f>
        <v/>
      </c>
      <c r="E23" s="284">
        <f>IF(Income!N2="","",Income!N2)</f>
        <v/>
      </c>
      <c r="F23" s="156" t="n"/>
      <c r="G23" s="156" t="n"/>
      <c r="H23" s="157" t="n"/>
    </row>
    <row r="24">
      <c r="A24" s="560" t="n"/>
      <c r="B24" s="285" t="n"/>
      <c r="C24" s="351">
        <f>IF(Income!L$2="","",Income!L$2)</f>
        <v/>
      </c>
      <c r="D24" s="286">
        <f>IF(Income!W2="","",Income!W2)</f>
        <v/>
      </c>
      <c r="E24" s="287">
        <f>IF(Income!Z2="","",VLOOKUP(Income!Z2,[0]!GRADE,2))</f>
        <v/>
      </c>
      <c r="F24" s="149" t="n"/>
      <c r="G24" s="149" t="n"/>
      <c r="H24" s="158" t="n"/>
    </row>
    <row r="25">
      <c r="A25" s="560" t="n"/>
      <c r="B25" s="158">
        <f>IF(Income!AA$2="","",Income!E$2)</f>
        <v/>
      </c>
      <c r="C25" s="558">
        <f>C23*(1-C24)*C26</f>
        <v/>
      </c>
      <c r="D25" s="287">
        <f>IF(Income!X2="","",Income!X2)</f>
        <v/>
      </c>
      <c r="E25" s="287">
        <f>IF(Income!AC2="","",VLOOKUP(Income!AC2,[0]!P_f,2))</f>
        <v/>
      </c>
      <c r="F25" s="149" t="n"/>
      <c r="G25" s="149" t="n"/>
      <c r="H25" s="158" t="n"/>
    </row>
    <row r="26" ht="13.5" customHeight="1" thickBot="1">
      <c r="A26" s="560" t="n"/>
      <c r="B26" s="288">
        <f>IF(Income!G$2="","",VLOOKUP(Income!G$2,[0]!Class,2))</f>
        <v/>
      </c>
      <c r="C26" s="352">
        <f>IF(Income!M2="","",Income!M$2)</f>
        <v/>
      </c>
      <c r="D26" s="289">
        <f>IF(Income!Y2="","",Income!Y2)</f>
        <v/>
      </c>
      <c r="E26" s="290">
        <f>IF(Income!T2="","",Income!T2)</f>
        <v/>
      </c>
      <c r="F26" s="559" t="n"/>
      <c r="G26" s="561" t="n"/>
      <c r="H26" s="562">
        <f>IF(C23="","",C23*(1+G26))</f>
        <v/>
      </c>
    </row>
    <row r="27" ht="14.25" customHeight="1" thickBot="1" thickTop="1">
      <c r="F27" s="563" t="n"/>
    </row>
    <row r="28" ht="13.5" customHeight="1" thickTop="1">
      <c r="A28" s="484" t="inlineStr">
        <is>
          <t>#2</t>
        </is>
      </c>
      <c r="B28" s="157" t="n"/>
      <c r="C28" s="556">
        <f>IF(Income!K3="","",Income!K3)</f>
        <v/>
      </c>
      <c r="D28" s="284">
        <f>IF(Income!H3="","",VLOOKUP(Income!H3,[0]!Location,2))</f>
        <v/>
      </c>
      <c r="E28" s="284">
        <f>IF(Income!N3="","",Income!N3)</f>
        <v/>
      </c>
      <c r="F28" s="156" t="n"/>
      <c r="G28" s="156" t="n"/>
      <c r="H28" s="157" t="n"/>
    </row>
    <row r="29">
      <c r="A29" s="560" t="n"/>
      <c r="B29" s="285" t="n"/>
      <c r="C29" s="351">
        <f>IF(Income!L3="","",Income!L3)</f>
        <v/>
      </c>
      <c r="D29" s="286">
        <f>IF(Income!W3="","",Income!W3)</f>
        <v/>
      </c>
      <c r="E29" s="287">
        <f>IF(Income!Z3="","",VLOOKUP(Income!Z3,[0]!GRADE,2))</f>
        <v/>
      </c>
      <c r="F29" s="149" t="n"/>
      <c r="G29" s="149" t="n"/>
      <c r="H29" s="158" t="n"/>
    </row>
    <row r="30">
      <c r="A30" s="560" t="n"/>
      <c r="B30" s="158">
        <f>IF(Income!E3="","",Income!E3)</f>
        <v/>
      </c>
      <c r="C30" s="558">
        <f>C28*(1-C29)*C31</f>
        <v/>
      </c>
      <c r="D30" s="287">
        <f>IF(Income!X3="","",Income!X3)</f>
        <v/>
      </c>
      <c r="E30" s="287">
        <f>IF(Income!AC3="","",VLOOKUP(Income!AC3,[0]!P_f,2))</f>
        <v/>
      </c>
      <c r="F30" s="149" t="n"/>
      <c r="G30" s="149" t="n"/>
      <c r="H30" s="158" t="n"/>
    </row>
    <row r="31" ht="13.5" customHeight="1" thickBot="1">
      <c r="A31" s="560" t="n"/>
      <c r="B31" s="288">
        <f>IF(Income!G3="","",VLOOKUP(Income!G3,[0]!Class,2))</f>
        <v/>
      </c>
      <c r="C31" s="352">
        <f>IF(Income!M3="","",Income!M3)</f>
        <v/>
      </c>
      <c r="D31" s="289">
        <f>IF(Income!Y3="","",Income!Y3)</f>
        <v/>
      </c>
      <c r="E31" s="290">
        <f>IF(Income!T3="","",Income!T3)</f>
        <v/>
      </c>
      <c r="F31" s="559" t="n"/>
      <c r="G31" s="561" t="n"/>
      <c r="H31" s="562">
        <f>IF(C28="","",C28*(1+G31))</f>
        <v/>
      </c>
    </row>
    <row r="32" ht="14.25" customHeight="1" thickBot="1" thickTop="1">
      <c r="F32" s="563" t="n"/>
    </row>
    <row r="33" ht="13.5" customHeight="1" thickTop="1">
      <c r="A33" s="484" t="inlineStr">
        <is>
          <t>#3</t>
        </is>
      </c>
      <c r="B33" s="157" t="n"/>
      <c r="C33" s="556">
        <f>IF(Income!K4="","",Income!K4)</f>
        <v/>
      </c>
      <c r="D33" s="284">
        <f>IF(Income!H4="","",VLOOKUP(Income!H4,[0]!Location,2))</f>
        <v/>
      </c>
      <c r="E33" s="284">
        <f>IF(Income!N4="","",Income!N4)</f>
        <v/>
      </c>
      <c r="F33" s="156" t="n"/>
      <c r="G33" s="156" t="n"/>
      <c r="H33" s="157" t="n"/>
    </row>
    <row r="34">
      <c r="A34" s="560" t="n"/>
      <c r="B34" s="285" t="n"/>
      <c r="C34" s="351">
        <f>IF(Income!L4="","",Income!L4)</f>
        <v/>
      </c>
      <c r="D34" s="286">
        <f>IF(Income!W4="","",Income!W4)</f>
        <v/>
      </c>
      <c r="E34" s="287">
        <f>IF(Income!Z4="","",VLOOKUP(Income!Z4,[0]!GRADE,2))</f>
        <v/>
      </c>
      <c r="F34" s="149" t="n"/>
      <c r="G34" s="149" t="n"/>
      <c r="H34" s="158" t="n"/>
    </row>
    <row r="35">
      <c r="A35" s="560" t="n"/>
      <c r="B35" s="158">
        <f>IF(Income!E4="","",Income!E4)</f>
        <v/>
      </c>
      <c r="C35" s="558">
        <f>C33*(1-C34)*C36</f>
        <v/>
      </c>
      <c r="D35" s="287">
        <f>IF(Income!X4="","",Income!X4)</f>
        <v/>
      </c>
      <c r="E35" s="287">
        <f>IF(Income!AC4="","",VLOOKUP(Income!AC4,[0]!P_f,2))</f>
        <v/>
      </c>
      <c r="F35" s="149" t="n"/>
      <c r="G35" s="149" t="n"/>
      <c r="H35" s="158" t="n"/>
    </row>
    <row r="36" ht="13.5" customHeight="1" thickBot="1">
      <c r="A36" s="560" t="n"/>
      <c r="B36" s="288">
        <f>IF(Income!G4="","",VLOOKUP(Income!G4,[0]!Class,2))</f>
        <v/>
      </c>
      <c r="C36" s="352">
        <f>IF(Income!M4="","",Income!M4)</f>
        <v/>
      </c>
      <c r="D36" s="289">
        <f>IF(Income!Y4="","",Income!Y4)</f>
        <v/>
      </c>
      <c r="E36" s="290">
        <f>IF(Income!T4="","",Income!T4)</f>
        <v/>
      </c>
      <c r="F36" s="559" t="n"/>
      <c r="G36" s="561" t="n"/>
      <c r="H36" s="562">
        <f>IF(C33="","",C33*(1+G36))</f>
        <v/>
      </c>
    </row>
    <row r="37" ht="14.25" customHeight="1" thickBot="1" thickTop="1">
      <c r="F37" s="563" t="n"/>
    </row>
    <row r="38" ht="13.5" customHeight="1" thickTop="1">
      <c r="A38" s="484" t="inlineStr">
        <is>
          <t>#4</t>
        </is>
      </c>
      <c r="B38" s="157" t="n"/>
      <c r="C38" s="556">
        <f>IF(Income!K5="","",Income!K5)</f>
        <v/>
      </c>
      <c r="D38" s="284">
        <f>IF(Income!H5="","",VLOOKUP(Income!H5,[0]!Location,2))</f>
        <v/>
      </c>
      <c r="E38" s="284">
        <f>IF(Income!N5="","",Income!N5)</f>
        <v/>
      </c>
      <c r="F38" s="156" t="n"/>
      <c r="G38" s="156" t="n"/>
      <c r="H38" s="157" t="n"/>
    </row>
    <row r="39">
      <c r="A39" s="560" t="n"/>
      <c r="B39" s="285" t="n"/>
      <c r="C39" s="351">
        <f>IF(Income!L5="","",Income!L5)</f>
        <v/>
      </c>
      <c r="D39" s="286">
        <f>IF(Income!W5="","",Income!W5)</f>
        <v/>
      </c>
      <c r="E39" s="287">
        <f>IF(Income!Z5="","",VLOOKUP(Income!Z5,[0]!GRADE,2))</f>
        <v/>
      </c>
      <c r="F39" s="149" t="n"/>
      <c r="G39" s="149" t="n"/>
      <c r="H39" s="158" t="n"/>
    </row>
    <row r="40">
      <c r="A40" s="560" t="n"/>
      <c r="B40" s="158">
        <f>IF(Income!E5="","",Income!E5)</f>
        <v/>
      </c>
      <c r="C40" s="558">
        <f>C38*(1-C39)*C41</f>
        <v/>
      </c>
      <c r="D40" s="287">
        <f>IF(Income!X5="","",Income!X5)</f>
        <v/>
      </c>
      <c r="E40" s="287">
        <f>IF(Income!AC5="","",VLOOKUP(Income!AC5,[0]!P_f,2))</f>
        <v/>
      </c>
      <c r="F40" s="149" t="n"/>
      <c r="G40" s="149" t="n"/>
      <c r="H40" s="158" t="n"/>
    </row>
    <row r="41" ht="13.5" customHeight="1" thickBot="1">
      <c r="A41" s="560" t="n"/>
      <c r="B41" s="288">
        <f>IF(Income!G5="","",VLOOKUP(Income!G5,[0]!Class,2))</f>
        <v/>
      </c>
      <c r="C41" s="352">
        <f>IF(Income!M5="","",Income!M5)</f>
        <v/>
      </c>
      <c r="D41" s="289">
        <f>IF(Income!Y5="","",Income!Y5)</f>
        <v/>
      </c>
      <c r="E41" s="290">
        <f>IF(Income!T5="","",Income!T5)</f>
        <v/>
      </c>
      <c r="F41" s="559" t="n"/>
      <c r="G41" s="561" t="n"/>
      <c r="H41" s="562">
        <f>IF(C38="","",C38*(1+G41))</f>
        <v/>
      </c>
    </row>
    <row r="42" ht="13.5" customHeight="1" thickTop="1"/>
  </sheetData>
  <mergeCells count="4">
    <mergeCell ref="A33:A36"/>
    <mergeCell ref="A38:A41"/>
    <mergeCell ref="A23:A26"/>
    <mergeCell ref="A28:A31"/>
  </mergeCells>
  <printOptions horizontalCentered="1"/>
  <pageMargins left="0.25" right="0.25" top="0.5" bottom="0.25" header="0.25" footer="0.25"/>
  <pageSetup orientation="landscape" scale="72" horizontalDpi="300" verticalDpi="300"/>
  <legacyDrawing xmlns:r="http://schemas.openxmlformats.org/officeDocument/2006/relationships" r:id="anysvml"/>
</worksheet>
</file>

<file path=xl/worksheets/sheet6.xml><?xml version="1.0" encoding="utf-8"?>
<worksheet xmlns="http://schemas.openxmlformats.org/spreadsheetml/2006/main">
  <sheetPr codeName="Sheet21">
    <tabColor rgb="002E75B6"/>
    <outlinePr summaryBelow="1" summaryRight="1"/>
    <pageSetUpPr autoPageBreaks="0"/>
  </sheetPr>
  <dimension ref="A1:L74"/>
  <sheetViews>
    <sheetView zoomScaleNormal="100" zoomScaleSheetLayoutView="75" workbookViewId="0">
      <selection activeCell="E47" sqref="E47"/>
    </sheetView>
  </sheetViews>
  <sheetFormatPr baseColWidth="8" defaultColWidth="12.5" defaultRowHeight="15.75"/>
  <cols>
    <col width="4" customWidth="1" style="162" min="1" max="1"/>
    <col width="9.5" customWidth="1" style="162" min="2" max="2"/>
    <col width="14.83203125" customWidth="1" style="162" min="3" max="3"/>
    <col width="12.83203125" customWidth="1" style="162" min="4" max="4"/>
    <col width="2.1640625" customWidth="1" style="162" min="5" max="5"/>
    <col width="10.1640625" customWidth="1" style="162" min="6" max="6"/>
    <col width="6.6640625" customWidth="1" style="162" min="7" max="7"/>
    <col width="11.6640625" customWidth="1" style="162" min="8" max="8"/>
    <col width="2.1640625" customWidth="1" style="162" min="9" max="9"/>
    <col width="12.1640625" customWidth="1" style="162" min="10" max="10"/>
    <col width="15.5" customWidth="1" style="162" min="11" max="11"/>
    <col width="11.5" customWidth="1" style="162" min="12" max="12"/>
    <col width="12.5" customWidth="1" style="162" min="13" max="16384"/>
  </cols>
  <sheetData>
    <row r="1">
      <c r="D1" t="n"/>
    </row>
    <row r="19">
      <c r="B19" s="162" t="inlineStr">
        <is>
          <t>OFFICE</t>
        </is>
      </c>
    </row>
    <row r="48">
      <c r="C48" s="486" t="inlineStr">
        <is>
          <t>Value Prior To Review</t>
        </is>
      </c>
      <c r="E48" s="163" t="n"/>
      <c r="F48" s="490" t="inlineStr">
        <is>
          <t>Recommended Value</t>
        </is>
      </c>
      <c r="J48" s="486" t="inlineStr">
        <is>
          <t>Value Reduction</t>
        </is>
      </c>
    </row>
    <row r="49">
      <c r="A49" s="162" t="inlineStr">
        <is>
          <t>Land</t>
        </is>
      </c>
      <c r="C49" s="564" t="n"/>
      <c r="D49" s="565" t="n"/>
      <c r="E49" s="566" t="n"/>
      <c r="F49" s="564" t="n"/>
      <c r="G49" s="565" t="n"/>
      <c r="H49" s="565" t="n"/>
      <c r="J49" s="567">
        <f>F49-C49</f>
        <v/>
      </c>
      <c r="K49" s="489" t="n"/>
    </row>
    <row r="50">
      <c r="A50" s="166" t="inlineStr">
        <is>
          <t>Imp(s)</t>
        </is>
      </c>
      <c r="C50" s="564" t="n"/>
      <c r="D50" s="565" t="n"/>
      <c r="E50" s="566" t="n"/>
      <c r="F50" s="564" t="n"/>
      <c r="G50" s="565" t="n"/>
      <c r="H50" s="565" t="n"/>
      <c r="J50" s="567">
        <f>F50-C50</f>
        <v/>
      </c>
      <c r="K50" s="489" t="n"/>
    </row>
    <row r="51">
      <c r="A51" s="162" t="inlineStr">
        <is>
          <t>Total</t>
        </is>
      </c>
      <c r="C51" s="568">
        <f>C50+C49</f>
        <v/>
      </c>
      <c r="D51" s="489" t="n"/>
      <c r="E51" s="566" t="n"/>
      <c r="F51" s="569">
        <f>F50+F49</f>
        <v/>
      </c>
      <c r="G51" s="489" t="n"/>
      <c r="H51" s="489" t="n"/>
      <c r="J51" s="567">
        <f>F51-C51</f>
        <v/>
      </c>
      <c r="K51" s="489" t="n"/>
    </row>
    <row r="54" ht="19.9" customHeight="1">
      <c r="A54" s="162" t="inlineStr">
        <is>
          <t>Appraiser</t>
        </is>
      </c>
      <c r="B54" s="500" t="n"/>
      <c r="C54" s="167" t="n"/>
      <c r="F54" s="500" t="n"/>
    </row>
    <row r="55" ht="19.9" customHeight="1">
      <c r="A55" s="168" t="inlineStr">
        <is>
          <t>Supervisor</t>
        </is>
      </c>
      <c r="B55" s="168" t="n"/>
      <c r="C55" s="168" t="n"/>
      <c r="D55" s="168" t="n"/>
      <c r="E55" s="168" t="n"/>
      <c r="F55" s="168" t="n"/>
    </row>
    <row r="56" ht="19.9" customHeight="1">
      <c r="A56" s="500" t="inlineStr">
        <is>
          <t>Deputy Assessor</t>
        </is>
      </c>
      <c r="B56" s="168" t="n"/>
      <c r="C56" s="500" t="n"/>
      <c r="D56" s="500" t="n"/>
      <c r="E56" s="500" t="n"/>
      <c r="F56" s="500" t="n"/>
    </row>
    <row r="57" ht="19.9" customHeight="1"/>
    <row r="58" ht="19.9" customHeight="1"/>
    <row r="59" ht="19.9" customHeight="1"/>
    <row r="60">
      <c r="A60" s="291" t="inlineStr">
        <is>
          <t>MARKET RENT COMPARABLES</t>
        </is>
      </c>
      <c r="B60" s="292" t="n"/>
      <c r="C60" s="292" t="n"/>
      <c r="D60" s="293" t="n"/>
      <c r="E60" s="293" t="n"/>
      <c r="F60" s="307" t="n"/>
      <c r="G60" s="307" t="n"/>
      <c r="H60" s="294" t="inlineStr">
        <is>
          <t>BUILDING</t>
        </is>
      </c>
      <c r="I60" s="294" t="n"/>
      <c r="J60" s="294" t="n"/>
      <c r="K60" s="294" t="n"/>
      <c r="L60" s="295" t="inlineStr">
        <is>
          <t>EXP</t>
        </is>
      </c>
    </row>
    <row r="61">
      <c r="A61" s="296" t="n"/>
      <c r="B61" s="297" t="inlineStr">
        <is>
          <t>MAP</t>
        </is>
      </c>
      <c r="C61" s="297" t="inlineStr">
        <is>
          <t>USE TYPE</t>
        </is>
      </c>
      <c r="D61" s="297" t="n"/>
      <c r="E61" s="297" t="n"/>
      <c r="F61" s="298" t="inlineStr">
        <is>
          <t>ZONE</t>
        </is>
      </c>
      <c r="G61" s="298" t="inlineStr">
        <is>
          <t>YOC</t>
        </is>
      </c>
      <c r="H61" s="299" t="inlineStr">
        <is>
          <t>SQ FT</t>
        </is>
      </c>
      <c r="I61" s="299" t="n"/>
      <c r="J61" s="299" t="inlineStr">
        <is>
          <t>RENT</t>
        </is>
      </c>
      <c r="K61" s="310" t="inlineStr">
        <is>
          <t>VACANCY</t>
        </is>
      </c>
      <c r="L61" s="300" t="inlineStr">
        <is>
          <t>RATIO</t>
        </is>
      </c>
    </row>
    <row r="62">
      <c r="A62" s="169" t="n"/>
      <c r="B62" s="170" t="inlineStr">
        <is>
          <t>SUBJECT PROPERTY</t>
        </is>
      </c>
      <c r="C62" s="170" t="n"/>
      <c r="D62" s="170" t="n"/>
      <c r="E62" s="170" t="n"/>
      <c r="F62" s="197" t="n"/>
      <c r="G62" s="197" t="n"/>
      <c r="H62" s="171" t="n"/>
      <c r="I62" s="171" t="n"/>
      <c r="J62" s="171" t="n"/>
      <c r="K62" s="171" t="n"/>
      <c r="L62" s="172" t="n"/>
    </row>
    <row r="63">
      <c r="A63" s="173" t="n"/>
      <c r="B63" s="494" t="n"/>
      <c r="C63" s="494" t="n"/>
      <c r="D63" s="531" t="n"/>
      <c r="E63" s="566" t="n"/>
      <c r="F63" s="198" t="n"/>
      <c r="G63" s="198" t="n"/>
      <c r="H63" s="175" t="n"/>
      <c r="I63" s="566" t="n"/>
      <c r="J63" s="570" t="n"/>
      <c r="K63" s="312" t="n"/>
      <c r="L63" s="176" t="n"/>
    </row>
    <row r="64">
      <c r="A64" s="177" t="inlineStr">
        <is>
          <t>1)</t>
        </is>
      </c>
      <c r="B64" s="515">
        <f>IF(Income!D$2="","",MID(Income!D2,1,5))</f>
        <v/>
      </c>
      <c r="C64" s="515">
        <f>IF(Income!G$2="","",VLOOKUP(Income!G$2,[0]!Class,2))</f>
        <v/>
      </c>
      <c r="D64" s="515" t="n"/>
      <c r="E64" s="515" t="n"/>
      <c r="F64" s="199">
        <f>IF(Income!T$2="","",Income!T$2)</f>
        <v/>
      </c>
      <c r="G64" s="199">
        <f>IF(Income!N$2="","",Income!N$2)</f>
        <v/>
      </c>
      <c r="H64" s="179">
        <f>IF(Income!J$2="","",Income!J$2)</f>
        <v/>
      </c>
      <c r="I64" s="179" t="n"/>
      <c r="J64" s="570">
        <f>IF(Income!K$2="","",Income!K$2)</f>
        <v/>
      </c>
      <c r="K64" s="313">
        <f>IF(Income!L$2="","",Income!L$2)</f>
        <v/>
      </c>
      <c r="L64" s="181">
        <f>IF(Income!M$2="","",Income!M$2)</f>
        <v/>
      </c>
    </row>
    <row r="65">
      <c r="A65" s="177" t="inlineStr">
        <is>
          <t>2)</t>
        </is>
      </c>
      <c r="B65" s="515">
        <f>IF(Income!D$3="","",MID(Income!D$3,1,5))</f>
        <v/>
      </c>
      <c r="C65" s="515">
        <f>IF(Income!G$3="","",VLOOKUP(Income!G$3,[0]!Class,2))</f>
        <v/>
      </c>
      <c r="D65" s="515" t="n"/>
      <c r="E65" s="515" t="n"/>
      <c r="F65" s="199">
        <f>IF(Income!T$3="","",Income!T$3)</f>
        <v/>
      </c>
      <c r="G65" s="199">
        <f>IF(Income!N$3="","",Income!N$3)</f>
        <v/>
      </c>
      <c r="H65" s="179">
        <f>IF(Income!J$3="","",Income!J$3)</f>
        <v/>
      </c>
      <c r="I65" s="179" t="n"/>
      <c r="J65" s="570">
        <f>IF(Income!K$3="","",Income!K$3)</f>
        <v/>
      </c>
      <c r="K65" s="313">
        <f>IF(Income!L$3="","",Income!L$3)</f>
        <v/>
      </c>
      <c r="L65" s="181">
        <f>IF(Income!M$3="","",Income!M$3)</f>
        <v/>
      </c>
    </row>
    <row r="66">
      <c r="A66" s="182" t="inlineStr">
        <is>
          <t>3)</t>
        </is>
      </c>
      <c r="B66" s="183">
        <f>IF(Income!D$4="","",MID(Income!D$4,1,5))</f>
        <v/>
      </c>
      <c r="C66" s="499">
        <f>IF(Income!G$4="","",VLOOKUP(Income!G$4,[0]!Class,2))</f>
        <v/>
      </c>
      <c r="D66" s="500" t="n"/>
      <c r="E66" s="500" t="n"/>
      <c r="F66" s="200">
        <f>IF(Income!T$4="","",Income!T$4)</f>
        <v/>
      </c>
      <c r="G66" s="200">
        <f>IF(Income!N$4="","",Income!N$4)</f>
        <v/>
      </c>
      <c r="H66" s="184">
        <f>IF(Income!J$4="","",Income!J$4)</f>
        <v/>
      </c>
      <c r="I66" s="184" t="n"/>
      <c r="J66" s="571">
        <f>IF(Income!K$4="","",Income!K$4)</f>
        <v/>
      </c>
      <c r="K66" s="314">
        <f>IF(Income!L$4="","",Income!L$4)</f>
        <v/>
      </c>
      <c r="L66" s="186">
        <f>IF(Income!M$4="","",Income!M$4)</f>
        <v/>
      </c>
    </row>
    <row r="67">
      <c r="A67" s="187" t="n"/>
      <c r="B67" s="187" t="n"/>
      <c r="C67" s="187" t="n"/>
      <c r="D67" s="187" t="n"/>
      <c r="E67" s="187" t="n"/>
    </row>
    <row r="68">
      <c r="A68" s="291" t="inlineStr">
        <is>
          <t>MARKET SALE COMPARABLES</t>
        </is>
      </c>
      <c r="B68" s="292" t="n"/>
      <c r="C68" s="292" t="n"/>
      <c r="D68" s="293" t="n"/>
      <c r="E68" s="293" t="n"/>
      <c r="F68" s="293" t="n"/>
      <c r="G68" s="307" t="n"/>
      <c r="H68" s="301" t="inlineStr">
        <is>
          <t>BUILDING</t>
        </is>
      </c>
      <c r="I68" s="301" t="n"/>
      <c r="J68" s="301" t="inlineStr">
        <is>
          <t>SALE</t>
        </is>
      </c>
      <c r="K68" s="301" t="inlineStr">
        <is>
          <t>SALE</t>
        </is>
      </c>
      <c r="L68" s="302" t="inlineStr">
        <is>
          <t>S.P./</t>
        </is>
      </c>
    </row>
    <row r="69">
      <c r="A69" s="303" t="inlineStr">
        <is>
          <t>PROPERTY ADDRESS</t>
        </is>
      </c>
      <c r="B69" s="304" t="n"/>
      <c r="C69" s="304" t="n"/>
      <c r="D69" s="304" t="inlineStr">
        <is>
          <t>SCHEDULE NUMBER</t>
        </is>
      </c>
      <c r="E69" s="304" t="n"/>
      <c r="F69" s="304" t="n"/>
      <c r="G69" s="308" t="inlineStr">
        <is>
          <t>YOC</t>
        </is>
      </c>
      <c r="H69" s="305" t="inlineStr">
        <is>
          <t>SQ FT</t>
        </is>
      </c>
      <c r="I69" s="305" t="n"/>
      <c r="J69" s="305" t="inlineStr">
        <is>
          <t>DATE</t>
        </is>
      </c>
      <c r="K69" s="305" t="inlineStr">
        <is>
          <t>PRICE</t>
        </is>
      </c>
      <c r="L69" s="306" t="inlineStr">
        <is>
          <t>SQ FT</t>
        </is>
      </c>
    </row>
    <row r="70">
      <c r="A70" s="173" t="n"/>
      <c r="B70" s="162" t="inlineStr">
        <is>
          <t>SUBJECT PROPERTY</t>
        </is>
      </c>
      <c r="G70" s="309" t="n"/>
      <c r="L70" s="188" t="n"/>
    </row>
    <row r="71">
      <c r="A71" s="173" t="n"/>
      <c r="B71" s="494" t="n"/>
      <c r="C71" s="495" t="n"/>
      <c r="D71" s="515" t="n"/>
      <c r="E71" s="515" t="n"/>
      <c r="F71" s="515" t="n"/>
      <c r="G71" s="199">
        <f>G63</f>
        <v/>
      </c>
      <c r="H71" s="179">
        <f>H63</f>
        <v/>
      </c>
      <c r="I71" s="179" t="n"/>
      <c r="J71" s="572" t="n"/>
      <c r="K71" s="572" t="n"/>
      <c r="L71" s="573">
        <f>+F51/H71</f>
        <v/>
      </c>
    </row>
    <row r="72">
      <c r="A72" s="177" t="inlineStr">
        <is>
          <t>1)</t>
        </is>
      </c>
      <c r="B72" s="515">
        <f>IF(Sales!D$2="","",Sales!D$2)</f>
        <v/>
      </c>
      <c r="C72" s="515" t="n"/>
      <c r="D72" s="515">
        <f>IF(Sales!C$2="","",Sales!C$2)</f>
        <v/>
      </c>
      <c r="E72" s="515" t="n"/>
      <c r="F72" s="515" t="n"/>
      <c r="G72" s="199">
        <f>IF(Sales!M$2="","",Sales!M$2)</f>
        <v/>
      </c>
      <c r="H72" s="179">
        <f>IF(Sales!L$2="","",Sales!L$2)</f>
        <v/>
      </c>
      <c r="I72" s="179" t="n"/>
      <c r="J72" s="574">
        <f>IF(Sales!I$2="","",Sales!I$2)</f>
        <v/>
      </c>
      <c r="K72" s="575">
        <f>IF(Sales!AA$2="","",Sales!AA$2)</f>
        <v/>
      </c>
      <c r="L72" s="576">
        <f>IF(Sales!H$2="","",Sales!H$2)</f>
        <v/>
      </c>
    </row>
    <row r="73">
      <c r="A73" s="177" t="inlineStr">
        <is>
          <t>2)</t>
        </is>
      </c>
      <c r="B73" s="515">
        <f>IF(Sales!D$3="","",Sales!D$3)</f>
        <v/>
      </c>
      <c r="C73" s="515" t="n"/>
      <c r="D73" s="515">
        <f>IF(Sales!C$3="","",Sales!C$3)</f>
        <v/>
      </c>
      <c r="E73" s="515" t="n"/>
      <c r="F73" s="515" t="n"/>
      <c r="G73" s="199">
        <f>IF(Sales!M$3="","",Sales!M$3)</f>
        <v/>
      </c>
      <c r="H73" s="179">
        <f>IF(Sales!L$3="","",Sales!L$3)</f>
        <v/>
      </c>
      <c r="I73" s="179" t="n"/>
      <c r="J73" s="574">
        <f>IF(Sales!I$3="","",Sales!I$3)</f>
        <v/>
      </c>
      <c r="K73" s="575">
        <f>IF(Sales!AA$3="","",Sales!AA$3)</f>
        <v/>
      </c>
      <c r="L73" s="576">
        <f>IF(Sales!H$3="","",Sales!H$3)</f>
        <v/>
      </c>
    </row>
    <row r="74">
      <c r="A74" s="182" t="inlineStr">
        <is>
          <t>3)</t>
        </is>
      </c>
      <c r="B74" s="183">
        <f>IF(Sales!D$4="","",Sales!D$4)</f>
        <v/>
      </c>
      <c r="C74" s="183" t="n"/>
      <c r="D74" s="183">
        <f>IF(Sales!C$4="","",Sales!C$4)</f>
        <v/>
      </c>
      <c r="E74" s="183" t="n"/>
      <c r="F74" s="183" t="n"/>
      <c r="G74" s="200">
        <f>IF(Sales!M$4="","",Sales!M$4)</f>
        <v/>
      </c>
      <c r="H74" s="184">
        <f>IF(Sales!L$4="","",Sales!L$4)</f>
        <v/>
      </c>
      <c r="I74" s="184" t="n"/>
      <c r="J74" s="577">
        <f>IF(Sales!I$4="","",Sales!I$4)</f>
        <v/>
      </c>
      <c r="K74" s="578">
        <f>IF(Sales!AA$4="","",Sales!AA$4)</f>
        <v/>
      </c>
      <c r="L74" s="579">
        <f>IF(Sales!H$4="","",Sales!H$4)</f>
        <v/>
      </c>
    </row>
  </sheetData>
  <mergeCells count="13">
    <mergeCell ref="J50:K50"/>
    <mergeCell ref="F49:H49"/>
    <mergeCell ref="C63:D63"/>
    <mergeCell ref="C51:D51"/>
    <mergeCell ref="J51:K51"/>
    <mergeCell ref="F50:H50"/>
    <mergeCell ref="C50:D50"/>
    <mergeCell ref="J49:K49"/>
    <mergeCell ref="F48:H48"/>
    <mergeCell ref="C48:D48"/>
    <mergeCell ref="J48:K48"/>
    <mergeCell ref="C49:D49"/>
    <mergeCell ref="F51:H51"/>
  </mergeCells>
  <printOptions horizontalCentered="1"/>
  <pageMargins left="0.43" right="0.44" top="0.76" bottom="0.42" header="0.5" footer="0.29"/>
  <pageSetup orientation="portrait" scale="92" fitToHeight="2" horizontalDpi="300" verticalDpi="300"/>
  <rowBreaks count="1" manualBreakCount="1">
    <brk id="40" min="0" max="16383" man="1"/>
  </rowBreaks>
  <legacyDrawing xmlns:r="http://schemas.openxmlformats.org/officeDocument/2006/relationships" r:id="anysvml"/>
</worksheet>
</file>

<file path=xl/worksheets/sheet7.xml><?xml version="1.0" encoding="utf-8"?>
<worksheet xmlns="http://schemas.openxmlformats.org/spreadsheetml/2006/main">
  <sheetPr codeName="Sheet12">
    <tabColor rgb="002E75B6"/>
    <outlinePr summaryBelow="1" summaryRight="1"/>
    <pageSetUpPr fitToPage="1"/>
  </sheetPr>
  <dimension ref="A1:K48"/>
  <sheetViews>
    <sheetView workbookViewId="0">
      <selection activeCell="P15" sqref="P15"/>
    </sheetView>
  </sheetViews>
  <sheetFormatPr baseColWidth="8" defaultColWidth="11.5" defaultRowHeight="12.75"/>
  <cols>
    <col width="3.6640625" customWidth="1" style="203" min="1" max="1"/>
    <col width="8.5" customWidth="1" style="203" min="2" max="2"/>
    <col width="17.6640625" customWidth="1" style="203" min="3" max="3"/>
    <col width="14.33203125" customWidth="1" style="203" min="4" max="4"/>
    <col width="6.83203125" customWidth="1" style="203" min="5" max="5"/>
    <col width="9.5" customWidth="1" style="203" min="6" max="6"/>
    <col width="8.6640625" customWidth="1" style="203" min="7" max="7"/>
    <col width="11" customWidth="1" style="203" min="8" max="8"/>
    <col width="10.6640625" customWidth="1" style="203" min="9" max="9"/>
    <col width="14.5" customWidth="1" style="203" min="10" max="10"/>
    <col width="11.6640625" customWidth="1" style="203" min="11" max="11"/>
    <col width="11.5" customWidth="1" style="203" min="12" max="16384"/>
  </cols>
  <sheetData>
    <row r="1" ht="34.9" customHeight="1">
      <c r="A1" s="843" t="inlineStr">
        <is>
          <t>2025 APPEAL WORKSHEET</t>
        </is>
      </c>
      <c r="B1" s="844" t="n"/>
      <c r="C1" s="844" t="n"/>
      <c r="D1" s="844" t="n"/>
      <c r="E1" s="844" t="n"/>
      <c r="F1" s="844" t="n"/>
      <c r="G1" s="844" t="n"/>
      <c r="H1" s="844" t="n"/>
      <c r="I1" s="844" t="n"/>
      <c r="J1" s="844" t="n"/>
      <c r="K1" s="844" t="n"/>
    </row>
    <row r="2" ht="16.15" customHeight="1">
      <c r="A2" s="845" t="inlineStr">
        <is>
          <t>ACCOUNT NUMBER</t>
        </is>
      </c>
      <c r="D2" s="846" t="inlineStr">
        <is>
          <t> </t>
        </is>
      </c>
      <c r="E2" s="204" t="n"/>
      <c r="F2" s="204" t="n"/>
      <c r="G2" s="204" t="n"/>
      <c r="H2" s="204" t="n"/>
    </row>
    <row r="3" ht="16.15" customHeight="1">
      <c r="A3" s="845" t="inlineStr">
        <is>
          <t>PROPERTY ADDRESS</t>
        </is>
      </c>
      <c r="D3" s="847" t="inlineStr">
        <is>
          <t> </t>
        </is>
      </c>
      <c r="E3" s="205" t="n"/>
      <c r="F3" s="205" t="n"/>
      <c r="G3" s="205" t="n"/>
      <c r="H3" s="205" t="n"/>
    </row>
    <row r="4" ht="16.15" customHeight="1">
      <c r="A4" s="845" t="inlineStr">
        <is>
          <t>PROTEST NUMBER</t>
        </is>
      </c>
      <c r="D4" s="847" t="inlineStr">
        <is>
          <t> </t>
        </is>
      </c>
      <c r="E4" s="205" t="n"/>
      <c r="F4" s="205" t="n"/>
      <c r="G4" s="205" t="n"/>
      <c r="H4" s="205" t="n"/>
    </row>
    <row r="5" ht="16.15" customHeight="1">
      <c r="A5" s="845" t="inlineStr">
        <is>
          <t>PETITIONER'S NAME</t>
        </is>
      </c>
      <c r="D5" s="847" t="inlineStr">
        <is>
          <t> </t>
        </is>
      </c>
      <c r="E5" s="205" t="n"/>
      <c r="F5" s="205" t="n"/>
      <c r="G5" s="205" t="n"/>
      <c r="H5" s="205" t="n"/>
    </row>
    <row r="7" ht="15.75" customHeight="1">
      <c r="A7" s="848" t="inlineStr">
        <is>
          <t>ASSESSOR'S REMARKS:</t>
        </is>
      </c>
    </row>
    <row r="8">
      <c r="A8" s="580" t="inlineStr">
        <is>
          <t> </t>
        </is>
      </c>
      <c r="B8" s="581" t="n"/>
      <c r="C8" s="581" t="n"/>
      <c r="D8" s="581" t="n"/>
      <c r="E8" s="581" t="n"/>
      <c r="F8" s="581" t="n"/>
      <c r="G8" s="581" t="n"/>
      <c r="H8" s="581" t="n"/>
      <c r="I8" s="581" t="n"/>
      <c r="J8" s="581" t="n"/>
      <c r="K8" s="582" t="n"/>
    </row>
    <row r="9">
      <c r="A9" s="583" t="n"/>
      <c r="K9" s="584" t="n"/>
    </row>
    <row r="10">
      <c r="A10" s="583" t="n"/>
      <c r="K10" s="584" t="n"/>
    </row>
    <row r="11">
      <c r="A11" s="583" t="n"/>
      <c r="K11" s="584" t="n"/>
    </row>
    <row r="12">
      <c r="A12" s="583" t="n"/>
      <c r="K12" s="584" t="n"/>
    </row>
    <row r="13">
      <c r="A13" s="583" t="n"/>
      <c r="K13" s="584" t="n"/>
    </row>
    <row r="14">
      <c r="A14" s="583" t="n"/>
      <c r="K14" s="584" t="n"/>
    </row>
    <row r="15">
      <c r="A15" s="585" t="n"/>
      <c r="B15" s="489" t="n"/>
      <c r="C15" s="489" t="n"/>
      <c r="D15" s="489" t="n"/>
      <c r="E15" s="489" t="n"/>
      <c r="F15" s="489" t="n"/>
      <c r="G15" s="489" t="n"/>
      <c r="H15" s="489" t="n"/>
      <c r="I15" s="489" t="n"/>
      <c r="J15" s="489" t="n"/>
      <c r="K15" s="586" t="n"/>
    </row>
    <row r="18" ht="15" customHeight="1">
      <c r="A18" s="849" t="inlineStr">
        <is>
          <t>MARKET RENT COMPARABLES</t>
        </is>
      </c>
      <c r="B18" s="850" t="n"/>
      <c r="C18" s="850" t="n"/>
      <c r="D18" s="850" t="n"/>
      <c r="E18" s="850" t="n"/>
      <c r="F18" s="850" t="n"/>
      <c r="G18" s="850" t="n"/>
      <c r="H18" s="851" t="inlineStr">
        <is>
          <t>BUILDING</t>
        </is>
      </c>
      <c r="I18" s="851" t="n"/>
      <c r="J18" s="851" t="n"/>
      <c r="K18" s="852" t="inlineStr">
        <is>
          <t>EXP</t>
        </is>
      </c>
    </row>
    <row r="19" ht="15" customHeight="1">
      <c r="A19" s="324" t="n"/>
      <c r="B19" s="853" t="inlineStr">
        <is>
          <t>OFFICE</t>
        </is>
      </c>
      <c r="C19" s="854" t="inlineStr">
        <is>
          <t>USE TYPE</t>
        </is>
      </c>
      <c r="D19" s="854" t="n"/>
      <c r="E19" s="854" t="n"/>
      <c r="F19" s="855" t="inlineStr">
        <is>
          <t>ZONE</t>
        </is>
      </c>
      <c r="G19" s="853" t="inlineStr">
        <is>
          <t>YOC</t>
        </is>
      </c>
      <c r="H19" s="856" t="inlineStr">
        <is>
          <t>SQ FT</t>
        </is>
      </c>
      <c r="I19" s="857" t="inlineStr">
        <is>
          <t>RENT</t>
        </is>
      </c>
      <c r="J19" s="857" t="inlineStr">
        <is>
          <t>VACANCY</t>
        </is>
      </c>
      <c r="K19" s="858" t="inlineStr">
        <is>
          <t>RATIO</t>
        </is>
      </c>
    </row>
    <row r="20" ht="16.5" customHeight="1">
      <c r="A20" s="207" t="n"/>
      <c r="B20" s="337" t="inlineStr">
        <is>
          <t>SUBJECT PROPERTY</t>
        </is>
      </c>
      <c r="C20" s="208" t="n"/>
      <c r="D20" s="208" t="n"/>
      <c r="E20" s="208" t="n"/>
      <c r="F20" s="236" t="n"/>
      <c r="G20" s="236" t="n"/>
      <c r="H20" s="209" t="n"/>
      <c r="I20" s="209" t="n"/>
      <c r="J20" s="209" t="n"/>
      <c r="K20" s="210" t="n"/>
    </row>
    <row r="21" ht="15.6" customHeight="1">
      <c r="A21" s="211" t="n"/>
      <c r="B21" s="235">
        <f>LEFT(D2,5)</f>
        <v/>
      </c>
      <c r="C21" s="501" t="inlineStr">
        <is>
          <t> </t>
        </is>
      </c>
      <c r="D21" s="531" t="n"/>
      <c r="E21" s="587" t="n"/>
      <c r="F21" s="235" t="inlineStr">
        <is>
          <t> </t>
        </is>
      </c>
      <c r="G21" s="235" t="inlineStr">
        <is>
          <t> </t>
        </is>
      </c>
      <c r="H21" s="213" t="inlineStr">
        <is>
          <t> </t>
        </is>
      </c>
      <c r="I21" s="570" t="inlineStr">
        <is>
          <t> </t>
        </is>
      </c>
      <c r="J21" s="344" t="inlineStr">
        <is>
          <t> </t>
        </is>
      </c>
      <c r="K21" s="214" t="inlineStr">
        <is>
          <t> </t>
        </is>
      </c>
    </row>
    <row r="22" ht="15" customHeight="1">
      <c r="A22" s="317" t="inlineStr">
        <is>
          <t>1)</t>
        </is>
      </c>
      <c r="B22" s="199">
        <f>IF(Income!D$2="","",MID(Income!D2,1,5))</f>
        <v/>
      </c>
      <c r="C22" s="515">
        <f>IF(Income!G$2="","",VLOOKUP(Income!G$2,[0]!Class,2))</f>
        <v/>
      </c>
      <c r="E22" s="515" t="n"/>
      <c r="F22" s="199">
        <f>IF(Income!T$2="","",Income!T$2)</f>
        <v/>
      </c>
      <c r="G22" s="199">
        <f>IF(Income!N$2="","",Income!N$2)</f>
        <v/>
      </c>
      <c r="H22" s="179">
        <f>IF(Income!J$2="","",Income!J$2)</f>
        <v/>
      </c>
      <c r="I22" s="570">
        <f>IF(Income!K$2="","",Income!K$2)</f>
        <v/>
      </c>
      <c r="J22" s="313">
        <f>IF(Income!L$2="","",Income!L$2)</f>
        <v/>
      </c>
      <c r="K22" s="181">
        <f>IF(Income!M$2="","",Income!M$2)</f>
        <v/>
      </c>
    </row>
    <row r="23" ht="15" customHeight="1">
      <c r="A23" s="317" t="inlineStr">
        <is>
          <t>2)</t>
        </is>
      </c>
      <c r="B23" s="199">
        <f>IF(Income!D$3="","",MID(Income!D$3,1,5))</f>
        <v/>
      </c>
      <c r="C23" s="515">
        <f>IF(Income!G$3="","",VLOOKUP(Income!G$3,[0]!Class,2))</f>
        <v/>
      </c>
      <c r="E23" s="515" t="n"/>
      <c r="F23" s="199">
        <f>IF(Income!T$3="","",Income!T$3)</f>
        <v/>
      </c>
      <c r="G23" s="199">
        <f>IF(Income!N$3="","",Income!N$3)</f>
        <v/>
      </c>
      <c r="H23" s="179">
        <f>IF(Income!J$3="","",Income!J$3)</f>
        <v/>
      </c>
      <c r="I23" s="570">
        <f>IF(Income!K$3="","",Income!K$3)</f>
        <v/>
      </c>
      <c r="J23" s="313">
        <f>IF(Income!L$3="","",Income!L$3)</f>
        <v/>
      </c>
      <c r="K23" s="181">
        <f>IF(Income!M$3="","",Income!M$3)</f>
        <v/>
      </c>
    </row>
    <row r="24" ht="15" customHeight="1">
      <c r="A24" s="318" t="inlineStr">
        <is>
          <t>3)</t>
        </is>
      </c>
      <c r="B24" s="200">
        <f>IF(Income!D$4="","",MID(Income!D$4,1,5))</f>
        <v/>
      </c>
      <c r="C24" s="499">
        <f>IF(Income!G$4="","",VLOOKUP(Income!G$4,[0]!Class,2))</f>
        <v/>
      </c>
      <c r="D24" s="489" t="n"/>
      <c r="E24" s="500" t="n"/>
      <c r="F24" s="200">
        <f>IF(Income!T$4="","",Income!T$4)</f>
        <v/>
      </c>
      <c r="G24" s="200">
        <f>IF(Income!N$4="","",Income!N$4)</f>
        <v/>
      </c>
      <c r="H24" s="184">
        <f>IF(Income!J$4="","",Income!J$4)</f>
        <v/>
      </c>
      <c r="I24" s="571">
        <f>IF(Income!K$4="","",Income!K$4)</f>
        <v/>
      </c>
      <c r="J24" s="314">
        <f>IF(Income!L$4="","",Income!L$4)</f>
        <v/>
      </c>
      <c r="K24" s="186">
        <f>IF(Income!M$4="","",Income!M$4)</f>
        <v/>
      </c>
    </row>
    <row r="25" ht="15.75" customHeight="1">
      <c r="A25" s="217" t="n"/>
      <c r="B25" s="217" t="n"/>
      <c r="C25" s="217" t="n"/>
      <c r="D25" s="217" t="n"/>
      <c r="E25" s="217" t="n"/>
    </row>
    <row r="26" ht="14.25" customHeight="1">
      <c r="A26" s="849" t="inlineStr">
        <is>
          <t>MARKET SALE COMPARABLES</t>
        </is>
      </c>
      <c r="B26" s="850" t="n"/>
      <c r="C26" s="850" t="n"/>
      <c r="D26" s="850" t="n"/>
      <c r="E26" s="850" t="n"/>
      <c r="F26" s="850" t="n"/>
      <c r="G26" s="850" t="n"/>
      <c r="H26" s="859" t="inlineStr">
        <is>
          <t>BUILDING</t>
        </is>
      </c>
      <c r="I26" s="859" t="inlineStr">
        <is>
          <t>SALE</t>
        </is>
      </c>
      <c r="J26" s="859" t="inlineStr">
        <is>
          <t>SALE</t>
        </is>
      </c>
      <c r="K26" s="860" t="inlineStr">
        <is>
          <t>S.P./</t>
        </is>
      </c>
    </row>
    <row r="27" ht="15" customHeight="1">
      <c r="A27" s="333" t="n"/>
      <c r="B27" s="854" t="inlineStr">
        <is>
          <t>PROPERTY ADDRESS</t>
        </is>
      </c>
      <c r="C27" s="854" t="n"/>
      <c r="D27" s="854" t="inlineStr">
        <is>
          <t>ACCOUNT NUMBER</t>
        </is>
      </c>
      <c r="E27" s="854" t="n"/>
      <c r="F27" s="854" t="n"/>
      <c r="G27" s="855" t="inlineStr">
        <is>
          <t>YOC</t>
        </is>
      </c>
      <c r="H27" s="857" t="inlineStr">
        <is>
          <t>SQ FT</t>
        </is>
      </c>
      <c r="I27" s="857" t="inlineStr">
        <is>
          <t>DATE</t>
        </is>
      </c>
      <c r="J27" s="857" t="inlineStr">
        <is>
          <t>PRICE</t>
        </is>
      </c>
      <c r="K27" s="861" t="inlineStr">
        <is>
          <t>SQ FT</t>
        </is>
      </c>
    </row>
    <row r="28" ht="16.5" customHeight="1">
      <c r="A28" s="211" t="n"/>
      <c r="B28" s="338" t="inlineStr">
        <is>
          <t>SUBJECT PROPERTY</t>
        </is>
      </c>
      <c r="G28" s="340" t="n"/>
      <c r="K28" s="218" t="n"/>
    </row>
    <row r="29" ht="15.6" customHeight="1">
      <c r="A29" s="211" t="n"/>
      <c r="B29" s="501">
        <f>D3</f>
        <v/>
      </c>
      <c r="C29" s="531" t="n"/>
      <c r="D29" s="513">
        <f>D2</f>
        <v/>
      </c>
      <c r="G29" s="341">
        <f>G21</f>
        <v/>
      </c>
      <c r="H29" s="215">
        <f>H21</f>
        <v/>
      </c>
      <c r="I29" s="588" t="n"/>
      <c r="J29" s="588" t="n"/>
      <c r="K29" s="589">
        <f>+D48/H29</f>
        <v/>
      </c>
    </row>
    <row r="30" ht="15" customHeight="1">
      <c r="A30" s="317" t="inlineStr">
        <is>
          <t>1)</t>
        </is>
      </c>
      <c r="B30" s="513">
        <f>IF(Sales!D$2="","",Sales!D$2)</f>
        <v/>
      </c>
      <c r="D30" s="513">
        <f>IF(Sales!C$2="","",Sales!C$2)</f>
        <v/>
      </c>
      <c r="G30" s="341">
        <f>IF(Sales!M$2="","",Sales!M$2)</f>
        <v/>
      </c>
      <c r="H30" s="215">
        <f>IF(Sales!L$2="","",Sales!L$2)</f>
        <v/>
      </c>
      <c r="I30" s="590">
        <f>IF(Sales!I$2="","",Sales!I$2)</f>
        <v/>
      </c>
      <c r="J30" s="591">
        <f>IF(Sales!AA$2="","",Sales!AA$2)</f>
        <v/>
      </c>
      <c r="K30" s="589">
        <f>IF(Sales!H$2="","",Sales!H$2)</f>
        <v/>
      </c>
    </row>
    <row r="31" ht="15" customHeight="1">
      <c r="A31" s="317" t="inlineStr">
        <is>
          <t>2)</t>
        </is>
      </c>
      <c r="B31" s="513">
        <f>IF(Sales!D$3="","",Sales!D$3)</f>
        <v/>
      </c>
      <c r="D31" s="513">
        <f>IF(Sales!C$3="","",Sales!C$3)</f>
        <v/>
      </c>
      <c r="G31" s="341">
        <f>IF(Sales!M$3="","",Sales!M$3)</f>
        <v/>
      </c>
      <c r="H31" s="215">
        <f>IF(Sales!L$3="","",Sales!L$3)</f>
        <v/>
      </c>
      <c r="I31" s="590">
        <f>IF(Sales!I$3="","",Sales!I$3)</f>
        <v/>
      </c>
      <c r="J31" s="591">
        <f>IF(Sales!AA$3="","",Sales!AA$3)</f>
        <v/>
      </c>
      <c r="K31" s="589">
        <f>IF(Sales!H$3="","",Sales!H$3)</f>
        <v/>
      </c>
    </row>
    <row r="32" ht="15" customHeight="1">
      <c r="A32" s="318" t="inlineStr">
        <is>
          <t>3)</t>
        </is>
      </c>
      <c r="B32" s="514">
        <f>IF(Sales!D$4="","",Sales!D$4)</f>
        <v/>
      </c>
      <c r="C32" s="592" t="n"/>
      <c r="D32" s="514">
        <f>IF(Sales!C$4="","",Sales!C$4)</f>
        <v/>
      </c>
      <c r="E32" s="592" t="n"/>
      <c r="F32" s="592" t="n"/>
      <c r="G32" s="342">
        <f>IF(Sales!M$4="","",Sales!M$4)</f>
        <v/>
      </c>
      <c r="H32" s="216">
        <f>IF(Sales!L$4="","",Sales!L$4)</f>
        <v/>
      </c>
      <c r="I32" s="593">
        <f>IF(Sales!I$4="","",Sales!I$4)</f>
        <v/>
      </c>
      <c r="J32" s="594">
        <f>IF(Sales!AA$4="","",Sales!AA$4)</f>
        <v/>
      </c>
      <c r="K32" s="595">
        <f>IF(Sales!H$4="","",Sales!H$4)</f>
        <v/>
      </c>
    </row>
    <row r="34" ht="15.75" customHeight="1">
      <c r="A34" s="862" t="inlineStr">
        <is>
          <t>VALUE CONCLUSIONS:</t>
        </is>
      </c>
    </row>
    <row r="35">
      <c r="A35" s="580" t="inlineStr">
        <is>
          <t> </t>
        </is>
      </c>
      <c r="B35" s="581" t="n"/>
      <c r="C35" s="581" t="n"/>
      <c r="D35" s="581" t="n"/>
      <c r="E35" s="581" t="n"/>
      <c r="F35" s="581" t="n"/>
      <c r="G35" s="581" t="n"/>
      <c r="H35" s="581" t="n"/>
      <c r="I35" s="581" t="n"/>
      <c r="J35" s="581" t="n"/>
      <c r="K35" s="582" t="n"/>
    </row>
    <row r="36">
      <c r="A36" s="583" t="n"/>
      <c r="K36" s="584" t="n"/>
    </row>
    <row r="37">
      <c r="A37" s="583" t="n"/>
      <c r="K37" s="584" t="n"/>
    </row>
    <row r="38">
      <c r="A38" s="583" t="n"/>
      <c r="K38" s="584" t="n"/>
    </row>
    <row r="39">
      <c r="A39" s="583" t="n"/>
      <c r="K39" s="584" t="n"/>
    </row>
    <row r="40">
      <c r="A40" s="583" t="n"/>
      <c r="K40" s="584" t="n"/>
    </row>
    <row r="41">
      <c r="A41" s="583" t="n"/>
      <c r="K41" s="584" t="n"/>
    </row>
    <row r="42">
      <c r="A42" s="585" t="n"/>
      <c r="B42" s="489" t="n"/>
      <c r="C42" s="489" t="n"/>
      <c r="D42" s="489" t="n"/>
      <c r="E42" s="489" t="n"/>
      <c r="F42" s="489" t="n"/>
      <c r="G42" s="489" t="n"/>
      <c r="H42" s="489" t="n"/>
      <c r="I42" s="489" t="n"/>
      <c r="J42" s="489" t="n"/>
      <c r="K42" s="586" t="n"/>
    </row>
    <row r="44" ht="15.75" customHeight="1">
      <c r="A44" s="863" t="inlineStr">
        <is>
          <t>VALUE ALLOCATION OF SUBJECT PROPERTY:</t>
        </is>
      </c>
    </row>
    <row r="46" ht="13.9" customHeight="1">
      <c r="A46" s="203" t="inlineStr">
        <is>
          <t>LAND VALUE:</t>
        </is>
      </c>
      <c r="D46" s="596" t="inlineStr">
        <is>
          <t> </t>
        </is>
      </c>
      <c r="E46" s="489" t="n"/>
      <c r="G46" s="203" t="inlineStr">
        <is>
          <t>NO CHANGE</t>
        </is>
      </c>
      <c r="H46" t="n"/>
      <c r="I46" s="203" t="inlineStr">
        <is>
          <t>REDUCTION</t>
        </is>
      </c>
    </row>
    <row r="47" ht="13.9" customHeight="1">
      <c r="A47" s="203" t="inlineStr">
        <is>
          <t>IMPROVEMENT VALUE:</t>
        </is>
      </c>
      <c r="D47" s="596" t="inlineStr">
        <is>
          <t> </t>
        </is>
      </c>
      <c r="E47" s="489" t="n"/>
      <c r="G47" s="203" t="inlineStr">
        <is>
          <t>NO CHANGE</t>
        </is>
      </c>
      <c r="I47" s="203" t="inlineStr">
        <is>
          <t>REDUCTION</t>
        </is>
      </c>
    </row>
    <row r="48">
      <c r="A48" s="203" t="inlineStr">
        <is>
          <t>TOTAL VALUE:</t>
        </is>
      </c>
      <c r="D48" s="596" t="inlineStr">
        <is>
          <t> </t>
        </is>
      </c>
      <c r="E48" s="489"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verticalDpi="300"/>
  <legacyDrawing xmlns:r="http://schemas.openxmlformats.org/officeDocument/2006/relationships" r:id="anysvml"/>
</worksheet>
</file>

<file path=xl/worksheets/sheet8.xml><?xml version="1.0" encoding="utf-8"?>
<worksheet xmlns="http://schemas.openxmlformats.org/spreadsheetml/2006/main">
  <sheetPr>
    <tabColor rgb="00548235"/>
    <outlinePr summaryBelow="1" summaryRight="1"/>
    <pageSetUpPr/>
  </sheetPr>
  <dimension ref="B1:M681"/>
  <sheetViews>
    <sheetView showGridLines="0" workbookViewId="0">
      <selection activeCell="A1" sqref="A1"/>
    </sheetView>
  </sheetViews>
  <sheetFormatPr baseColWidth="8" defaultRowHeight="15"/>
  <cols>
    <col width="2" customWidth="1" min="1" max="1"/>
    <col width="34" customWidth="1" min="2" max="2"/>
    <col width="16" customWidth="1" min="3" max="3"/>
    <col width="10" customWidth="1" min="4" max="4"/>
    <col width="60" customWidth="1" min="5" max="5"/>
    <col width="16" customWidth="1" min="6" max="6"/>
    <col width="10" customWidth="1" min="7" max="7"/>
    <col width="10" customWidth="1" min="8" max="8"/>
  </cols>
  <sheetData>
    <row r="1">
      <c r="B1" s="597" t="inlineStr">
        <is>
          <t>MARSHALL AND SWIFT (MVS) REFERENCE ENGINE -- June 2024 Ed. (Section 99/98 multiplier inserts dated Jan 2025)</t>
        </is>
      </c>
    </row>
    <row r="2" ht="28" customHeight="1">
      <c r="B2" s="598" t="inlineStr">
        <is>
          <t>ALL WORKING INPUTS LIVE ON THE 'COST APPROACH' TAB -- this sheet is locked MVS reference/lookup data only. Go to Cost Approach to value a property.</t>
        </is>
      </c>
    </row>
    <row r="4">
      <c r="B4" s="599" t="inlineStr">
        <is>
          <t>CURRENT RESULT  (mirrors the 'Cost Approach' tab)</t>
        </is>
      </c>
      <c r="C4" s="599" t="n"/>
      <c r="D4" s="599" t="n"/>
      <c r="E4" s="599" t="n"/>
      <c r="F4" s="599" t="n"/>
    </row>
    <row r="5">
      <c r="B5" s="600" t="inlineStr">
        <is>
          <t>Total Replacement Cost New (RCN)</t>
        </is>
      </c>
      <c r="C5" s="601">
        <f>'Cost Approach'!G51</f>
        <v/>
      </c>
    </row>
    <row r="6">
      <c r="B6" s="600" t="inlineStr">
        <is>
          <t>Depreciated Value of Improvements</t>
        </is>
      </c>
      <c r="C6" s="601">
        <f>'Cost Approach'!G64</f>
        <v/>
      </c>
    </row>
    <row r="7">
      <c r="B7" s="600" t="inlineStr">
        <is>
          <t>Plus: Land Value</t>
        </is>
      </c>
      <c r="C7" s="601">
        <f>'Cost Approach'!G67</f>
        <v/>
      </c>
    </row>
    <row r="8">
      <c r="B8" s="600" t="inlineStr">
        <is>
          <t>INDICATED VALUE BY COST APPROACH</t>
        </is>
      </c>
      <c r="C8" s="601">
        <f>'Cost Approach'!G70</f>
        <v/>
      </c>
    </row>
    <row r="11">
      <c r="B11" s="602" t="inlineStr">
        <is>
          <t>MVS QUICK-REFERENCE TABLES -- DO NOT EDIT  (sourced &amp;amp; verified from the licensed MVS June 2024 edition; Sec.99/98 multiplier inserts dated Jan 2025)</t>
        </is>
      </c>
      <c r="C11" s="602" t="n"/>
      <c r="D11" s="602" t="n"/>
      <c r="E11" s="602" t="n"/>
      <c r="F11" s="602" t="n"/>
      <c r="G11" s="602" t="n"/>
      <c r="H11" s="602" t="n"/>
    </row>
    <row r="13">
      <c r="B13" s="603" t="inlineStr">
        <is>
          <t>REFERENCE 1 -- Class of Construction Indicators (MVS Section 1, pp.4-9)</t>
        </is>
      </c>
      <c r="C13" s="603" t="n"/>
      <c r="D13" s="603" t="n"/>
      <c r="E13" s="603" t="n"/>
      <c r="F13" s="603" t="n"/>
      <c r="G13" s="603" t="n"/>
      <c r="H13" s="603" t="n"/>
    </row>
    <row r="14">
      <c r="B14" s="604" t="inlineStr">
        <is>
          <t>Class</t>
        </is>
      </c>
      <c r="C14" s="604" t="inlineStr">
        <is>
          <t>Frame</t>
        </is>
      </c>
      <c r="D14" s="604" t="inlineStr">
        <is>
          <t>Floor</t>
        </is>
      </c>
      <c r="E14" s="604" t="inlineStr">
        <is>
          <t>Roof</t>
        </is>
      </c>
      <c r="F14" s="604" t="inlineStr">
        <is>
          <t>Walls</t>
        </is>
      </c>
    </row>
    <row r="15" ht="45" customHeight="1">
      <c r="B15" s="605" t="inlineStr">
        <is>
          <t>A</t>
        </is>
      </c>
      <c r="C15" s="605" t="inlineStr">
        <is>
          <t>Structural steel columns and beams, fireproofed with masonry, concrete, plaster, or other noncombustible material.</t>
        </is>
      </c>
      <c r="D15" s="605" t="inlineStr">
        <is>
          <t>Concrete or concrete on steel deck, fireproofed.</t>
        </is>
      </c>
      <c r="E15" s="605" t="inlineStr">
        <is>
          <t>Formed concrete, precast slabs, concrete or gypsum on steel deck, fireproofed.</t>
        </is>
      </c>
      <c r="F15" s="605" t="inlineStr">
        <is>
          <t>Nonbearing curtain walls, masonry, concrete, metal and glass panels, stone, steel studs and masonry, tile or stucco, etc.</t>
        </is>
      </c>
    </row>
    <row r="16" ht="45" customHeight="1">
      <c r="B16" s="605" t="inlineStr">
        <is>
          <t>B</t>
        </is>
      </c>
      <c r="C16" s="605" t="inlineStr">
        <is>
          <t>Reinforced concrete columns and beams.</t>
        </is>
      </c>
      <c r="D16" s="605" t="inlineStr">
        <is>
          <t>Concrete or concrete on steel deck, fireproofed.</t>
        </is>
      </c>
      <c r="E16" s="605" t="inlineStr">
        <is>
          <t>Formed concrete, precast slabs, concrete or gypsum on steel deck, fireproofed.</t>
        </is>
      </c>
      <c r="F16" s="605" t="inlineStr">
        <is>
          <t>Nonbearing curtain walls, masonry, concrete, metal and glass panels, stone, steel studs and masonry, tile or stucco, etc.</t>
        </is>
      </c>
    </row>
    <row r="17" ht="45" customHeight="1">
      <c r="B17" s="605" t="inlineStr">
        <is>
          <t>C</t>
        </is>
      </c>
      <c r="C17" s="605" t="inlineStr">
        <is>
          <t>Masonry or concrete load-bearing walls with or without pilasters. Masonry, concrete or curtain walls with full or partial open steel, wood, or concrete frame.</t>
        </is>
      </c>
      <c r="D17" s="605" t="inlineStr">
        <is>
          <t>Wood or concrete plank on wood or steel floor joists, or concrete slab on grade.</t>
        </is>
      </c>
      <c r="E17" s="605" t="inlineStr">
        <is>
          <t>Wood or steel joists with wood or steel deck. Concrete plank.</t>
        </is>
      </c>
      <c r="F17" s="605" t="inlineStr">
        <is>
          <t>Brick, concrete block, or tile masonry, tilt-up, formed concrete, nonbearing curtain walls.</t>
        </is>
      </c>
    </row>
    <row r="18" ht="45" customHeight="1">
      <c r="B18" s="605" t="inlineStr">
        <is>
          <t>D</t>
        </is>
      </c>
      <c r="C18" s="605" t="inlineStr">
        <is>
          <t>Wood or steel studs in bearing wall, full or partial open wood or steel frame, primarily combustible construction.</t>
        </is>
      </c>
      <c r="D18" s="605" t="inlineStr">
        <is>
          <t>Wood or steel floor joists or concrete slab on grade.</t>
        </is>
      </c>
      <c r="E18" s="605" t="inlineStr">
        <is>
          <t>Wood or steel joists with wood or steel deck.</t>
        </is>
      </c>
      <c r="F18" s="605" t="inlineStr">
        <is>
          <t>Almost any material except bearing or curtain walls of solid masonry or concrete. Generally combustible construction.</t>
        </is>
      </c>
    </row>
    <row r="19" ht="45" customHeight="1">
      <c r="B19" s="605" t="inlineStr">
        <is>
          <t>S</t>
        </is>
      </c>
      <c r="C19" s="605" t="inlineStr">
        <is>
          <t>Metal bents, columns, girders, purlins and girts without fireproofing, incombustible construction.</t>
        </is>
      </c>
      <c r="D19" s="605" t="inlineStr">
        <is>
          <t>Wood or steel deck on steel floor joists, or concrete slab on grade.</t>
        </is>
      </c>
      <c r="E19" s="605" t="inlineStr">
        <is>
          <t>Steel or wood deck on steel joists.</t>
        </is>
      </c>
      <c r="F19" s="605" t="inlineStr">
        <is>
          <t>Metal skin or sandwich panels. Generally incombustible.</t>
        </is>
      </c>
    </row>
    <row r="21">
      <c r="B21" s="603" t="inlineStr">
        <is>
          <t>REFERENCE 2 -- Quality Tier Definitions (MVS Section 1, pp.10-12)</t>
        </is>
      </c>
      <c r="C21" s="603" t="n"/>
      <c r="D21" s="603" t="n"/>
      <c r="E21" s="603" t="n"/>
      <c r="F21" s="603" t="n"/>
      <c r="G21" s="603" t="n"/>
      <c r="H21" s="603" t="n"/>
    </row>
    <row r="22">
      <c r="B22" s="604" t="inlineStr">
        <is>
          <t>Quality</t>
        </is>
      </c>
      <c r="C22" s="604" t="inlineStr">
        <is>
          <t>Description</t>
        </is>
      </c>
    </row>
    <row r="23" ht="45" customHeight="1">
      <c r="B23" t="inlineStr">
        <is>
          <t>Low Cost</t>
        </is>
      </c>
      <c r="C23" s="605" t="inlineStr">
        <is>
          <t>Constructed to minimum code requirements, little regard for architectural appearance, minimum investment, little ornamentation, minimal/low-quality interior finish.</t>
        </is>
      </c>
    </row>
    <row r="24" ht="45" customHeight="1">
      <c r="B24" t="inlineStr">
        <is>
          <t>Average</t>
        </is>
      </c>
      <c r="C24" s="605" t="inlineStr">
        <is>
          <t>Largest group of buildings constructed (~50% of all buildings). Designed for maximum economic potential without pride-of-ownership amenities. Good standard code construction, simple ornamentation and finishes.</t>
        </is>
      </c>
    </row>
    <row r="25" ht="45" customHeight="1">
      <c r="B25" t="inlineStr">
        <is>
          <t>Good</t>
        </is>
      </c>
      <c r="C25" s="605" t="inlineStr">
        <is>
          <t>Designed for good appearance, comfort and convenience with an element of prestige. Higher-quality ornamental treatment, interiors designed for upper-class rentals, better lighting and mechanical work.</t>
        </is>
      </c>
    </row>
    <row r="26" ht="45" customHeight="1">
      <c r="B26" t="inlineStr">
        <is>
          <t>Excellent</t>
        </is>
      </c>
      <c r="C26" s="605" t="inlineStr">
        <is>
          <t>Prestige buildings. Part of cost is attributable to pride of ownership. Expensive finishes and fixtures; built for established professionals/institutions or high-profile tenants.</t>
        </is>
      </c>
    </row>
    <row r="28">
      <c r="B28" s="603" t="inlineStr">
        <is>
          <t>REFERENCE 3 -- Occupancy Base Cost Tables (Calculator Method, $/SF)</t>
        </is>
      </c>
      <c r="C28" s="603" t="n"/>
      <c r="D28" s="603" t="n"/>
      <c r="E28" s="603" t="n"/>
      <c r="F28" s="603" t="n"/>
      <c r="G28" s="603" t="n"/>
      <c r="H28" s="603" t="n"/>
    </row>
    <row r="29">
      <c r="B29" s="604" t="inlineStr">
        <is>
          <t>Occupancy Name</t>
        </is>
      </c>
      <c r="C29" s="604" t="inlineStr">
        <is>
          <t>Occ. Code</t>
        </is>
      </c>
      <c r="D29" s="604" t="inlineStr">
        <is>
          <t>Section</t>
        </is>
      </c>
      <c r="E29" s="604" t="inlineStr">
        <is>
          <t>Page</t>
        </is>
      </c>
      <c r="F29" s="604" t="inlineStr">
        <is>
          <t>Class</t>
        </is>
      </c>
      <c r="G29" s="604" t="inlineStr">
        <is>
          <t>Quality</t>
        </is>
      </c>
      <c r="H29" s="604" t="inlineStr">
        <is>
          <t>$/SF</t>
        </is>
      </c>
      <c r="I29" s="604" t="inlineStr">
        <is>
          <t>Lookup Key</t>
        </is>
      </c>
      <c r="J29" s="604" t="inlineStr">
        <is>
          <t>Story Tbl</t>
        </is>
      </c>
      <c r="K29" s="604" t="inlineStr">
        <is>
          <t>Sprinkler Tbl</t>
        </is>
      </c>
      <c r="L29" s="604" t="inlineStr">
        <is>
          <t>Elevator Tbl</t>
        </is>
      </c>
      <c r="M29" s="604" t="inlineStr">
        <is>
          <t>Citation</t>
        </is>
      </c>
    </row>
    <row r="30">
      <c r="B30" t="inlineStr">
        <is>
          <t>Storage Warehouses</t>
        </is>
      </c>
      <c r="C30" t="inlineStr">
        <is>
          <t>406</t>
        </is>
      </c>
      <c r="D30" t="inlineStr">
        <is>
          <t>14</t>
        </is>
      </c>
      <c r="E30" t="inlineStr">
        <is>
          <t>26</t>
        </is>
      </c>
      <c r="F30" t="inlineStr">
        <is>
          <t>A</t>
        </is>
      </c>
      <c r="G30" t="inlineStr">
        <is>
          <t>Good</t>
        </is>
      </c>
      <c r="H30" s="606" t="n">
        <v>137</v>
      </c>
      <c r="I30">
        <f>B30&amp;"~"&amp;F30&amp;"~"&amp;G30</f>
        <v/>
      </c>
      <c r="J30" t="inlineStr">
        <is>
          <t>14</t>
        </is>
      </c>
      <c r="K30" t="inlineStr">
        <is>
          <t>14</t>
        </is>
      </c>
      <c r="L30" t="inlineStr">
        <is>
          <t>14</t>
        </is>
      </c>
      <c r="M30" t="inlineStr">
        <is>
          <t>MVS Sec.14 p.26</t>
        </is>
      </c>
    </row>
    <row r="31">
      <c r="B31" t="inlineStr">
        <is>
          <t>Storage Warehouses</t>
        </is>
      </c>
      <c r="C31" t="inlineStr">
        <is>
          <t>406</t>
        </is>
      </c>
      <c r="D31" t="inlineStr">
        <is>
          <t>14</t>
        </is>
      </c>
      <c r="E31" t="inlineStr">
        <is>
          <t>26</t>
        </is>
      </c>
      <c r="F31" t="inlineStr">
        <is>
          <t>A</t>
        </is>
      </c>
      <c r="G31" t="inlineStr">
        <is>
          <t>Average</t>
        </is>
      </c>
      <c r="H31" s="606" t="n">
        <v>101</v>
      </c>
      <c r="I31">
        <f>B31&amp;"~"&amp;F31&amp;"~"&amp;G31</f>
        <v/>
      </c>
      <c r="J31" t="inlineStr">
        <is>
          <t>14</t>
        </is>
      </c>
      <c r="K31" t="inlineStr">
        <is>
          <t>14</t>
        </is>
      </c>
      <c r="L31" t="inlineStr">
        <is>
          <t>14</t>
        </is>
      </c>
      <c r="M31" t="inlineStr">
        <is>
          <t>MVS Sec.14 p.26</t>
        </is>
      </c>
    </row>
    <row r="32">
      <c r="B32" t="inlineStr">
        <is>
          <t>Storage Warehouses</t>
        </is>
      </c>
      <c r="C32" t="inlineStr">
        <is>
          <t>406</t>
        </is>
      </c>
      <c r="D32" t="inlineStr">
        <is>
          <t>14</t>
        </is>
      </c>
      <c r="E32" t="inlineStr">
        <is>
          <t>26</t>
        </is>
      </c>
      <c r="F32" t="inlineStr">
        <is>
          <t>A</t>
        </is>
      </c>
      <c r="G32" t="inlineStr">
        <is>
          <t>Low Cost</t>
        </is>
      </c>
      <c r="H32" s="606" t="n">
        <v>79.5</v>
      </c>
      <c r="I32">
        <f>B32&amp;"~"&amp;F32&amp;"~"&amp;G32</f>
        <v/>
      </c>
      <c r="J32" t="inlineStr">
        <is>
          <t>14</t>
        </is>
      </c>
      <c r="K32" t="inlineStr">
        <is>
          <t>14</t>
        </is>
      </c>
      <c r="L32" t="inlineStr">
        <is>
          <t>14</t>
        </is>
      </c>
      <c r="M32" t="inlineStr">
        <is>
          <t>MVS Sec.14 p.26</t>
        </is>
      </c>
    </row>
    <row r="33">
      <c r="B33" t="inlineStr">
        <is>
          <t>Storage Warehouses</t>
        </is>
      </c>
      <c r="C33" t="inlineStr">
        <is>
          <t>406</t>
        </is>
      </c>
      <c r="D33" t="inlineStr">
        <is>
          <t>14</t>
        </is>
      </c>
      <c r="E33" t="inlineStr">
        <is>
          <t>26</t>
        </is>
      </c>
      <c r="F33" t="inlineStr">
        <is>
          <t>B</t>
        </is>
      </c>
      <c r="G33" t="inlineStr">
        <is>
          <t>Good</t>
        </is>
      </c>
      <c r="H33" s="606" t="n">
        <v>121</v>
      </c>
      <c r="I33">
        <f>B33&amp;"~"&amp;F33&amp;"~"&amp;G33</f>
        <v/>
      </c>
      <c r="J33" t="inlineStr">
        <is>
          <t>14</t>
        </is>
      </c>
      <c r="K33" t="inlineStr">
        <is>
          <t>14</t>
        </is>
      </c>
      <c r="L33" t="inlineStr">
        <is>
          <t>14</t>
        </is>
      </c>
      <c r="M33" t="inlineStr">
        <is>
          <t>MVS Sec.14 p.26</t>
        </is>
      </c>
    </row>
    <row r="34">
      <c r="B34" t="inlineStr">
        <is>
          <t>Storage Warehouses</t>
        </is>
      </c>
      <c r="C34" t="inlineStr">
        <is>
          <t>406</t>
        </is>
      </c>
      <c r="D34" t="inlineStr">
        <is>
          <t>14</t>
        </is>
      </c>
      <c r="E34" t="inlineStr">
        <is>
          <t>26</t>
        </is>
      </c>
      <c r="F34" t="inlineStr">
        <is>
          <t>B</t>
        </is>
      </c>
      <c r="G34" t="inlineStr">
        <is>
          <t>Average</t>
        </is>
      </c>
      <c r="H34" s="606" t="n">
        <v>88</v>
      </c>
      <c r="I34">
        <f>B34&amp;"~"&amp;F34&amp;"~"&amp;G34</f>
        <v/>
      </c>
      <c r="J34" t="inlineStr">
        <is>
          <t>14</t>
        </is>
      </c>
      <c r="K34" t="inlineStr">
        <is>
          <t>14</t>
        </is>
      </c>
      <c r="L34" t="inlineStr">
        <is>
          <t>14</t>
        </is>
      </c>
      <c r="M34" t="inlineStr">
        <is>
          <t>MVS Sec.14 p.26</t>
        </is>
      </c>
    </row>
    <row r="35">
      <c r="B35" t="inlineStr">
        <is>
          <t>Storage Warehouses</t>
        </is>
      </c>
      <c r="C35" t="inlineStr">
        <is>
          <t>406</t>
        </is>
      </c>
      <c r="D35" t="inlineStr">
        <is>
          <t>14</t>
        </is>
      </c>
      <c r="E35" t="inlineStr">
        <is>
          <t>26</t>
        </is>
      </c>
      <c r="F35" t="inlineStr">
        <is>
          <t>B</t>
        </is>
      </c>
      <c r="G35" t="inlineStr">
        <is>
          <t>Low Cost</t>
        </is>
      </c>
      <c r="H35" s="606" t="n">
        <v>69</v>
      </c>
      <c r="I35">
        <f>B35&amp;"~"&amp;F35&amp;"~"&amp;G35</f>
        <v/>
      </c>
      <c r="J35" t="inlineStr">
        <is>
          <t>14</t>
        </is>
      </c>
      <c r="K35" t="inlineStr">
        <is>
          <t>14</t>
        </is>
      </c>
      <c r="L35" t="inlineStr">
        <is>
          <t>14</t>
        </is>
      </c>
      <c r="M35" t="inlineStr">
        <is>
          <t>MVS Sec.14 p.26</t>
        </is>
      </c>
    </row>
    <row r="36">
      <c r="B36" t="inlineStr">
        <is>
          <t>Storage Warehouses</t>
        </is>
      </c>
      <c r="C36" t="inlineStr">
        <is>
          <t>406</t>
        </is>
      </c>
      <c r="D36" t="inlineStr">
        <is>
          <t>14</t>
        </is>
      </c>
      <c r="E36" t="inlineStr">
        <is>
          <t>26</t>
        </is>
      </c>
      <c r="F36" t="inlineStr">
        <is>
          <t>C</t>
        </is>
      </c>
      <c r="G36" t="inlineStr">
        <is>
          <t>Excellent</t>
        </is>
      </c>
      <c r="H36" s="606" t="n">
        <v>134</v>
      </c>
      <c r="I36">
        <f>B36&amp;"~"&amp;F36&amp;"~"&amp;G36</f>
        <v/>
      </c>
      <c r="J36" t="inlineStr">
        <is>
          <t>14</t>
        </is>
      </c>
      <c r="K36" t="inlineStr">
        <is>
          <t>14</t>
        </is>
      </c>
      <c r="L36" t="inlineStr">
        <is>
          <t>14</t>
        </is>
      </c>
      <c r="M36" t="inlineStr">
        <is>
          <t>MVS Sec.14 p.26</t>
        </is>
      </c>
    </row>
    <row r="37">
      <c r="B37" t="inlineStr">
        <is>
          <t>Storage Warehouses</t>
        </is>
      </c>
      <c r="C37" t="inlineStr">
        <is>
          <t>406</t>
        </is>
      </c>
      <c r="D37" t="inlineStr">
        <is>
          <t>14</t>
        </is>
      </c>
      <c r="E37" t="inlineStr">
        <is>
          <t>26</t>
        </is>
      </c>
      <c r="F37" t="inlineStr">
        <is>
          <t>C</t>
        </is>
      </c>
      <c r="G37" t="inlineStr">
        <is>
          <t>Good</t>
        </is>
      </c>
      <c r="H37" s="606" t="n">
        <v>86.5</v>
      </c>
      <c r="I37">
        <f>B37&amp;"~"&amp;F37&amp;"~"&amp;G37</f>
        <v/>
      </c>
      <c r="J37" t="inlineStr">
        <is>
          <t>14</t>
        </is>
      </c>
      <c r="K37" t="inlineStr">
        <is>
          <t>14</t>
        </is>
      </c>
      <c r="L37" t="inlineStr">
        <is>
          <t>14</t>
        </is>
      </c>
      <c r="M37" t="inlineStr">
        <is>
          <t>MVS Sec.14 p.26</t>
        </is>
      </c>
    </row>
    <row r="38">
      <c r="B38" t="inlineStr">
        <is>
          <t>Storage Warehouses</t>
        </is>
      </c>
      <c r="C38" t="inlineStr">
        <is>
          <t>406</t>
        </is>
      </c>
      <c r="D38" t="inlineStr">
        <is>
          <t>14</t>
        </is>
      </c>
      <c r="E38" t="inlineStr">
        <is>
          <t>26</t>
        </is>
      </c>
      <c r="F38" t="inlineStr">
        <is>
          <t>C</t>
        </is>
      </c>
      <c r="G38" t="inlineStr">
        <is>
          <t>Average</t>
        </is>
      </c>
      <c r="H38" s="606" t="n">
        <v>61</v>
      </c>
      <c r="I38">
        <f>B38&amp;"~"&amp;F38&amp;"~"&amp;G38</f>
        <v/>
      </c>
      <c r="J38" t="inlineStr">
        <is>
          <t>14</t>
        </is>
      </c>
      <c r="K38" t="inlineStr">
        <is>
          <t>14</t>
        </is>
      </c>
      <c r="L38" t="inlineStr">
        <is>
          <t>14</t>
        </is>
      </c>
      <c r="M38" t="inlineStr">
        <is>
          <t>MVS Sec.14 p.26</t>
        </is>
      </c>
    </row>
    <row r="39">
      <c r="B39" t="inlineStr">
        <is>
          <t>Storage Warehouses</t>
        </is>
      </c>
      <c r="C39" t="inlineStr">
        <is>
          <t>406</t>
        </is>
      </c>
      <c r="D39" t="inlineStr">
        <is>
          <t>14</t>
        </is>
      </c>
      <c r="E39" t="inlineStr">
        <is>
          <t>26</t>
        </is>
      </c>
      <c r="F39" t="inlineStr">
        <is>
          <t>C</t>
        </is>
      </c>
      <c r="G39" t="inlineStr">
        <is>
          <t>Low Cost</t>
        </is>
      </c>
      <c r="H39" s="606" t="n">
        <v>43</v>
      </c>
      <c r="I39">
        <f>B39&amp;"~"&amp;F39&amp;"~"&amp;G39</f>
        <v/>
      </c>
      <c r="J39" t="inlineStr">
        <is>
          <t>14</t>
        </is>
      </c>
      <c r="K39" t="inlineStr">
        <is>
          <t>14</t>
        </is>
      </c>
      <c r="L39" t="inlineStr">
        <is>
          <t>14</t>
        </is>
      </c>
      <c r="M39" t="inlineStr">
        <is>
          <t>MVS Sec.14 p.26</t>
        </is>
      </c>
    </row>
    <row r="40">
      <c r="B40" t="inlineStr">
        <is>
          <t>Storage Warehouses</t>
        </is>
      </c>
      <c r="C40" t="inlineStr">
        <is>
          <t>406</t>
        </is>
      </c>
      <c r="D40" t="inlineStr">
        <is>
          <t>14</t>
        </is>
      </c>
      <c r="E40" t="inlineStr">
        <is>
          <t>26</t>
        </is>
      </c>
      <c r="F40" t="inlineStr">
        <is>
          <t>CMILL</t>
        </is>
      </c>
      <c r="G40" t="inlineStr">
        <is>
          <t>Good</t>
        </is>
      </c>
      <c r="H40" s="606" t="n">
        <v>119</v>
      </c>
      <c r="I40">
        <f>B40&amp;"~"&amp;F40&amp;"~"&amp;G40</f>
        <v/>
      </c>
      <c r="J40" t="inlineStr">
        <is>
          <t>14</t>
        </is>
      </c>
      <c r="K40" t="inlineStr">
        <is>
          <t>14</t>
        </is>
      </c>
      <c r="L40" t="inlineStr">
        <is>
          <t>14</t>
        </is>
      </c>
      <c r="M40" t="inlineStr">
        <is>
          <t>MVS Sec.14 p.26</t>
        </is>
      </c>
    </row>
    <row r="41">
      <c r="B41" t="inlineStr">
        <is>
          <t>Storage Warehouses</t>
        </is>
      </c>
      <c r="C41" t="inlineStr">
        <is>
          <t>406</t>
        </is>
      </c>
      <c r="D41" t="inlineStr">
        <is>
          <t>14</t>
        </is>
      </c>
      <c r="E41" t="inlineStr">
        <is>
          <t>26</t>
        </is>
      </c>
      <c r="F41" t="inlineStr">
        <is>
          <t>CMILL</t>
        </is>
      </c>
      <c r="G41" t="inlineStr">
        <is>
          <t>Average</t>
        </is>
      </c>
      <c r="H41" s="606" t="n">
        <v>82</v>
      </c>
      <c r="I41">
        <f>B41&amp;"~"&amp;F41&amp;"~"&amp;G41</f>
        <v/>
      </c>
      <c r="J41" t="inlineStr">
        <is>
          <t>14</t>
        </is>
      </c>
      <c r="K41" t="inlineStr">
        <is>
          <t>14</t>
        </is>
      </c>
      <c r="L41" t="inlineStr">
        <is>
          <t>14</t>
        </is>
      </c>
      <c r="M41" t="inlineStr">
        <is>
          <t>MVS Sec.14 p.26</t>
        </is>
      </c>
    </row>
    <row r="42">
      <c r="B42" t="inlineStr">
        <is>
          <t>Storage Warehouses</t>
        </is>
      </c>
      <c r="C42" t="inlineStr">
        <is>
          <t>406</t>
        </is>
      </c>
      <c r="D42" t="inlineStr">
        <is>
          <t>14</t>
        </is>
      </c>
      <c r="E42" t="inlineStr">
        <is>
          <t>26</t>
        </is>
      </c>
      <c r="F42" t="inlineStr">
        <is>
          <t>D</t>
        </is>
      </c>
      <c r="G42" t="inlineStr">
        <is>
          <t>Good</t>
        </is>
      </c>
      <c r="H42" s="606" t="n">
        <v>78</v>
      </c>
      <c r="I42">
        <f>B42&amp;"~"&amp;F42&amp;"~"&amp;G42</f>
        <v/>
      </c>
      <c r="J42" t="inlineStr">
        <is>
          <t>14</t>
        </is>
      </c>
      <c r="K42" t="inlineStr">
        <is>
          <t>14</t>
        </is>
      </c>
      <c r="L42" t="inlineStr">
        <is>
          <t>14</t>
        </is>
      </c>
      <c r="M42" t="inlineStr">
        <is>
          <t>MVS Sec.14 p.26</t>
        </is>
      </c>
    </row>
    <row r="43">
      <c r="B43" t="inlineStr">
        <is>
          <t>Storage Warehouses</t>
        </is>
      </c>
      <c r="C43" t="inlineStr">
        <is>
          <t>406</t>
        </is>
      </c>
      <c r="D43" t="inlineStr">
        <is>
          <t>14</t>
        </is>
      </c>
      <c r="E43" t="inlineStr">
        <is>
          <t>26</t>
        </is>
      </c>
      <c r="F43" t="inlineStr">
        <is>
          <t>D</t>
        </is>
      </c>
      <c r="G43" t="inlineStr">
        <is>
          <t>Average</t>
        </is>
      </c>
      <c r="H43" s="606" t="n">
        <v>54.5</v>
      </c>
      <c r="I43">
        <f>B43&amp;"~"&amp;F43&amp;"~"&amp;G43</f>
        <v/>
      </c>
      <c r="J43" t="inlineStr">
        <is>
          <t>14</t>
        </is>
      </c>
      <c r="K43" t="inlineStr">
        <is>
          <t>14</t>
        </is>
      </c>
      <c r="L43" t="inlineStr">
        <is>
          <t>14</t>
        </is>
      </c>
      <c r="M43" t="inlineStr">
        <is>
          <t>MVS Sec.14 p.26</t>
        </is>
      </c>
    </row>
    <row r="44">
      <c r="B44" t="inlineStr">
        <is>
          <t>Storage Warehouses</t>
        </is>
      </c>
      <c r="C44" t="inlineStr">
        <is>
          <t>406</t>
        </is>
      </c>
      <c r="D44" t="inlineStr">
        <is>
          <t>14</t>
        </is>
      </c>
      <c r="E44" t="inlineStr">
        <is>
          <t>26</t>
        </is>
      </c>
      <c r="F44" t="inlineStr">
        <is>
          <t>D</t>
        </is>
      </c>
      <c r="G44" t="inlineStr">
        <is>
          <t>Low Cost</t>
        </is>
      </c>
      <c r="H44" s="606" t="n">
        <v>38.75</v>
      </c>
      <c r="I44">
        <f>B44&amp;"~"&amp;F44&amp;"~"&amp;G44</f>
        <v/>
      </c>
      <c r="J44" t="inlineStr">
        <is>
          <t>14</t>
        </is>
      </c>
      <c r="K44" t="inlineStr">
        <is>
          <t>14</t>
        </is>
      </c>
      <c r="L44" t="inlineStr">
        <is>
          <t>14</t>
        </is>
      </c>
      <c r="M44" t="inlineStr">
        <is>
          <t>MVS Sec.14 p.26</t>
        </is>
      </c>
    </row>
    <row r="45">
      <c r="B45" t="inlineStr">
        <is>
          <t>Storage Warehouses</t>
        </is>
      </c>
      <c r="C45" t="inlineStr">
        <is>
          <t>406</t>
        </is>
      </c>
      <c r="D45" t="inlineStr">
        <is>
          <t>14</t>
        </is>
      </c>
      <c r="E45" t="inlineStr">
        <is>
          <t>26</t>
        </is>
      </c>
      <c r="F45" t="inlineStr">
        <is>
          <t>DPOLE</t>
        </is>
      </c>
      <c r="G45" t="inlineStr">
        <is>
          <t>Average</t>
        </is>
      </c>
      <c r="H45" s="606" t="n">
        <v>48</v>
      </c>
      <c r="I45">
        <f>B45&amp;"~"&amp;F45&amp;"~"&amp;G45</f>
        <v/>
      </c>
      <c r="J45" t="inlineStr">
        <is>
          <t>14</t>
        </is>
      </c>
      <c r="K45" t="inlineStr">
        <is>
          <t>14</t>
        </is>
      </c>
      <c r="L45" t="inlineStr">
        <is>
          <t>14</t>
        </is>
      </c>
      <c r="M45" t="inlineStr">
        <is>
          <t>MVS Sec.14 p.26</t>
        </is>
      </c>
    </row>
    <row r="46">
      <c r="B46" t="inlineStr">
        <is>
          <t>Storage Warehouses</t>
        </is>
      </c>
      <c r="C46" t="inlineStr">
        <is>
          <t>406</t>
        </is>
      </c>
      <c r="D46" t="inlineStr">
        <is>
          <t>14</t>
        </is>
      </c>
      <c r="E46" t="inlineStr">
        <is>
          <t>26</t>
        </is>
      </c>
      <c r="F46" t="inlineStr">
        <is>
          <t>DPOLE</t>
        </is>
      </c>
      <c r="G46" t="inlineStr">
        <is>
          <t>Low Cost</t>
        </is>
      </c>
      <c r="H46" s="606" t="n">
        <v>34</v>
      </c>
      <c r="I46">
        <f>B46&amp;"~"&amp;F46&amp;"~"&amp;G46</f>
        <v/>
      </c>
      <c r="J46" t="inlineStr">
        <is>
          <t>14</t>
        </is>
      </c>
      <c r="K46" t="inlineStr">
        <is>
          <t>14</t>
        </is>
      </c>
      <c r="L46" t="inlineStr">
        <is>
          <t>14</t>
        </is>
      </c>
      <c r="M46" t="inlineStr">
        <is>
          <t>MVS Sec.14 p.26</t>
        </is>
      </c>
    </row>
    <row r="47">
      <c r="B47" t="inlineStr">
        <is>
          <t>Storage Warehouses</t>
        </is>
      </c>
      <c r="C47" t="inlineStr">
        <is>
          <t>406</t>
        </is>
      </c>
      <c r="D47" t="inlineStr">
        <is>
          <t>14</t>
        </is>
      </c>
      <c r="E47" t="inlineStr">
        <is>
          <t>26</t>
        </is>
      </c>
      <c r="F47" t="inlineStr">
        <is>
          <t>S</t>
        </is>
      </c>
      <c r="G47" t="inlineStr">
        <is>
          <t>Excellent</t>
        </is>
      </c>
      <c r="H47" s="606" t="n">
        <v>125</v>
      </c>
      <c r="I47">
        <f>B47&amp;"~"&amp;F47&amp;"~"&amp;G47</f>
        <v/>
      </c>
      <c r="J47" t="inlineStr">
        <is>
          <t>14</t>
        </is>
      </c>
      <c r="K47" t="inlineStr">
        <is>
          <t>14</t>
        </is>
      </c>
      <c r="L47" t="inlineStr">
        <is>
          <t>14</t>
        </is>
      </c>
      <c r="M47" t="inlineStr">
        <is>
          <t>MVS Sec.14 p.26</t>
        </is>
      </c>
    </row>
    <row r="48">
      <c r="B48" t="inlineStr">
        <is>
          <t>Storage Warehouses</t>
        </is>
      </c>
      <c r="C48" t="inlineStr">
        <is>
          <t>406</t>
        </is>
      </c>
      <c r="D48" t="inlineStr">
        <is>
          <t>14</t>
        </is>
      </c>
      <c r="E48" t="inlineStr">
        <is>
          <t>26</t>
        </is>
      </c>
      <c r="F48" t="inlineStr">
        <is>
          <t>S</t>
        </is>
      </c>
      <c r="G48" t="inlineStr">
        <is>
          <t>Good</t>
        </is>
      </c>
      <c r="H48" s="606" t="n">
        <v>79.5</v>
      </c>
      <c r="I48">
        <f>B48&amp;"~"&amp;F48&amp;"~"&amp;G48</f>
        <v/>
      </c>
      <c r="J48" t="inlineStr">
        <is>
          <t>14</t>
        </is>
      </c>
      <c r="K48" t="inlineStr">
        <is>
          <t>14</t>
        </is>
      </c>
      <c r="L48" t="inlineStr">
        <is>
          <t>14</t>
        </is>
      </c>
      <c r="M48" t="inlineStr">
        <is>
          <t>MVS Sec.14 p.26</t>
        </is>
      </c>
    </row>
    <row r="49">
      <c r="B49" t="inlineStr">
        <is>
          <t>Storage Warehouses</t>
        </is>
      </c>
      <c r="C49" t="inlineStr">
        <is>
          <t>406</t>
        </is>
      </c>
      <c r="D49" t="inlineStr">
        <is>
          <t>14</t>
        </is>
      </c>
      <c r="E49" t="inlineStr">
        <is>
          <t>26</t>
        </is>
      </c>
      <c r="F49" t="inlineStr">
        <is>
          <t>S</t>
        </is>
      </c>
      <c r="G49" t="inlineStr">
        <is>
          <t>Average</t>
        </is>
      </c>
      <c r="H49" s="606" t="n">
        <v>55.5</v>
      </c>
      <c r="I49">
        <f>B49&amp;"~"&amp;F49&amp;"~"&amp;G49</f>
        <v/>
      </c>
      <c r="J49" t="inlineStr">
        <is>
          <t>14</t>
        </is>
      </c>
      <c r="K49" t="inlineStr">
        <is>
          <t>14</t>
        </is>
      </c>
      <c r="L49" t="inlineStr">
        <is>
          <t>14</t>
        </is>
      </c>
      <c r="M49" t="inlineStr">
        <is>
          <t>MVS Sec.14 p.26</t>
        </is>
      </c>
    </row>
    <row r="50">
      <c r="B50" t="inlineStr">
        <is>
          <t>Storage Warehouses</t>
        </is>
      </c>
      <c r="C50" t="inlineStr">
        <is>
          <t>406</t>
        </is>
      </c>
      <c r="D50" t="inlineStr">
        <is>
          <t>14</t>
        </is>
      </c>
      <c r="E50" t="inlineStr">
        <is>
          <t>26</t>
        </is>
      </c>
      <c r="F50" t="inlineStr">
        <is>
          <t>S</t>
        </is>
      </c>
      <c r="G50" t="inlineStr">
        <is>
          <t>Low Cost</t>
        </is>
      </c>
      <c r="H50" s="606" t="n">
        <v>38.75</v>
      </c>
      <c r="I50">
        <f>B50&amp;"~"&amp;F50&amp;"~"&amp;G50</f>
        <v/>
      </c>
      <c r="J50" t="inlineStr">
        <is>
          <t>14</t>
        </is>
      </c>
      <c r="K50" t="inlineStr">
        <is>
          <t>14</t>
        </is>
      </c>
      <c r="L50" t="inlineStr">
        <is>
          <t>14</t>
        </is>
      </c>
      <c r="M50" t="inlineStr">
        <is>
          <t>MVS Sec.14 p.26</t>
        </is>
      </c>
    </row>
    <row r="51">
      <c r="B51" t="inlineStr">
        <is>
          <t>Distribution Warehouses</t>
        </is>
      </c>
      <c r="C51" t="inlineStr">
        <is>
          <t>407</t>
        </is>
      </c>
      <c r="D51" t="inlineStr">
        <is>
          <t>14</t>
        </is>
      </c>
      <c r="E51" t="inlineStr">
        <is>
          <t>23</t>
        </is>
      </c>
      <c r="F51" t="inlineStr">
        <is>
          <t>A</t>
        </is>
      </c>
      <c r="G51" t="inlineStr">
        <is>
          <t>Good</t>
        </is>
      </c>
      <c r="H51" s="606" t="n">
        <v>161</v>
      </c>
      <c r="I51">
        <f>B51&amp;"~"&amp;F51&amp;"~"&amp;G51</f>
        <v/>
      </c>
      <c r="J51" t="inlineStr">
        <is>
          <t>14</t>
        </is>
      </c>
      <c r="K51" t="inlineStr">
        <is>
          <t>14</t>
        </is>
      </c>
      <c r="L51" t="inlineStr">
        <is>
          <t>14</t>
        </is>
      </c>
      <c r="M51" t="inlineStr">
        <is>
          <t>MVS Sec.14 p.23</t>
        </is>
      </c>
    </row>
    <row r="52">
      <c r="B52" t="inlineStr">
        <is>
          <t>Distribution Warehouses</t>
        </is>
      </c>
      <c r="C52" t="inlineStr">
        <is>
          <t>407</t>
        </is>
      </c>
      <c r="D52" t="inlineStr">
        <is>
          <t>14</t>
        </is>
      </c>
      <c r="E52" t="inlineStr">
        <is>
          <t>23</t>
        </is>
      </c>
      <c r="F52" t="inlineStr">
        <is>
          <t>A</t>
        </is>
      </c>
      <c r="G52" t="inlineStr">
        <is>
          <t>Average</t>
        </is>
      </c>
      <c r="H52" s="606" t="n">
        <v>123</v>
      </c>
      <c r="I52">
        <f>B52&amp;"~"&amp;F52&amp;"~"&amp;G52</f>
        <v/>
      </c>
      <c r="J52" t="inlineStr">
        <is>
          <t>14</t>
        </is>
      </c>
      <c r="K52" t="inlineStr">
        <is>
          <t>14</t>
        </is>
      </c>
      <c r="L52" t="inlineStr">
        <is>
          <t>14</t>
        </is>
      </c>
      <c r="M52" t="inlineStr">
        <is>
          <t>MVS Sec.14 p.23</t>
        </is>
      </c>
    </row>
    <row r="53">
      <c r="B53" t="inlineStr">
        <is>
          <t>Distribution Warehouses</t>
        </is>
      </c>
      <c r="C53" t="inlineStr">
        <is>
          <t>407</t>
        </is>
      </c>
      <c r="D53" t="inlineStr">
        <is>
          <t>14</t>
        </is>
      </c>
      <c r="E53" t="inlineStr">
        <is>
          <t>23</t>
        </is>
      </c>
      <c r="F53" t="inlineStr">
        <is>
          <t>B</t>
        </is>
      </c>
      <c r="G53" t="inlineStr">
        <is>
          <t>Good</t>
        </is>
      </c>
      <c r="H53" s="606" t="n">
        <v>144</v>
      </c>
      <c r="I53">
        <f>B53&amp;"~"&amp;F53&amp;"~"&amp;G53</f>
        <v/>
      </c>
      <c r="J53" t="inlineStr">
        <is>
          <t>14</t>
        </is>
      </c>
      <c r="K53" t="inlineStr">
        <is>
          <t>14</t>
        </is>
      </c>
      <c r="L53" t="inlineStr">
        <is>
          <t>14</t>
        </is>
      </c>
      <c r="M53" t="inlineStr">
        <is>
          <t>MVS Sec.14 p.23</t>
        </is>
      </c>
    </row>
    <row r="54">
      <c r="B54" t="inlineStr">
        <is>
          <t>Distribution Warehouses</t>
        </is>
      </c>
      <c r="C54" t="inlineStr">
        <is>
          <t>407</t>
        </is>
      </c>
      <c r="D54" t="inlineStr">
        <is>
          <t>14</t>
        </is>
      </c>
      <c r="E54" t="inlineStr">
        <is>
          <t>23</t>
        </is>
      </c>
      <c r="F54" t="inlineStr">
        <is>
          <t>B</t>
        </is>
      </c>
      <c r="G54" t="inlineStr">
        <is>
          <t>Average</t>
        </is>
      </c>
      <c r="H54" s="606" t="n">
        <v>108</v>
      </c>
      <c r="I54">
        <f>B54&amp;"~"&amp;F54&amp;"~"&amp;G54</f>
        <v/>
      </c>
      <c r="J54" t="inlineStr">
        <is>
          <t>14</t>
        </is>
      </c>
      <c r="K54" t="inlineStr">
        <is>
          <t>14</t>
        </is>
      </c>
      <c r="L54" t="inlineStr">
        <is>
          <t>14</t>
        </is>
      </c>
      <c r="M54" t="inlineStr">
        <is>
          <t>MVS Sec.14 p.23</t>
        </is>
      </c>
    </row>
    <row r="55">
      <c r="B55" t="inlineStr">
        <is>
          <t>Distribution Warehouses</t>
        </is>
      </c>
      <c r="C55" t="inlineStr">
        <is>
          <t>407</t>
        </is>
      </c>
      <c r="D55" t="inlineStr">
        <is>
          <t>14</t>
        </is>
      </c>
      <c r="E55" t="inlineStr">
        <is>
          <t>23</t>
        </is>
      </c>
      <c r="F55" t="inlineStr">
        <is>
          <t>C</t>
        </is>
      </c>
      <c r="G55" t="inlineStr">
        <is>
          <t>Excellent</t>
        </is>
      </c>
      <c r="H55" s="606" t="n">
        <v>150</v>
      </c>
      <c r="I55">
        <f>B55&amp;"~"&amp;F55&amp;"~"&amp;G55</f>
        <v/>
      </c>
      <c r="J55" t="inlineStr">
        <is>
          <t>14</t>
        </is>
      </c>
      <c r="K55" t="inlineStr">
        <is>
          <t>14</t>
        </is>
      </c>
      <c r="L55" t="inlineStr">
        <is>
          <t>14</t>
        </is>
      </c>
      <c r="M55" t="inlineStr">
        <is>
          <t>MVS Sec.14 p.23</t>
        </is>
      </c>
    </row>
    <row r="56">
      <c r="B56" t="inlineStr">
        <is>
          <t>Distribution Warehouses</t>
        </is>
      </c>
      <c r="C56" t="inlineStr">
        <is>
          <t>407</t>
        </is>
      </c>
      <c r="D56" t="inlineStr">
        <is>
          <t>14</t>
        </is>
      </c>
      <c r="E56" t="inlineStr">
        <is>
          <t>23</t>
        </is>
      </c>
      <c r="F56" t="inlineStr">
        <is>
          <t>C</t>
        </is>
      </c>
      <c r="G56" t="inlineStr">
        <is>
          <t>Good</t>
        </is>
      </c>
      <c r="H56" s="606" t="n">
        <v>103</v>
      </c>
      <c r="I56">
        <f>B56&amp;"~"&amp;F56&amp;"~"&amp;G56</f>
        <v/>
      </c>
      <c r="J56" t="inlineStr">
        <is>
          <t>14</t>
        </is>
      </c>
      <c r="K56" t="inlineStr">
        <is>
          <t>14</t>
        </is>
      </c>
      <c r="L56" t="inlineStr">
        <is>
          <t>14</t>
        </is>
      </c>
      <c r="M56" t="inlineStr">
        <is>
          <t>MVS Sec.14 p.23</t>
        </is>
      </c>
    </row>
    <row r="57">
      <c r="B57" t="inlineStr">
        <is>
          <t>Distribution Warehouses</t>
        </is>
      </c>
      <c r="C57" t="inlineStr">
        <is>
          <t>407</t>
        </is>
      </c>
      <c r="D57" t="inlineStr">
        <is>
          <t>14</t>
        </is>
      </c>
      <c r="E57" t="inlineStr">
        <is>
          <t>23</t>
        </is>
      </c>
      <c r="F57" t="inlineStr">
        <is>
          <t>C</t>
        </is>
      </c>
      <c r="G57" t="inlineStr">
        <is>
          <t>Average</t>
        </is>
      </c>
      <c r="H57" s="606" t="n">
        <v>70.5</v>
      </c>
      <c r="I57">
        <f>B57&amp;"~"&amp;F57&amp;"~"&amp;G57</f>
        <v/>
      </c>
      <c r="J57" t="inlineStr">
        <is>
          <t>14</t>
        </is>
      </c>
      <c r="K57" t="inlineStr">
        <is>
          <t>14</t>
        </is>
      </c>
      <c r="L57" t="inlineStr">
        <is>
          <t>14</t>
        </is>
      </c>
      <c r="M57" t="inlineStr">
        <is>
          <t>MVS Sec.14 p.23</t>
        </is>
      </c>
    </row>
    <row r="58">
      <c r="B58" t="inlineStr">
        <is>
          <t>Distribution Warehouses</t>
        </is>
      </c>
      <c r="C58" t="inlineStr">
        <is>
          <t>407</t>
        </is>
      </c>
      <c r="D58" t="inlineStr">
        <is>
          <t>14</t>
        </is>
      </c>
      <c r="E58" t="inlineStr">
        <is>
          <t>23</t>
        </is>
      </c>
      <c r="F58" t="inlineStr">
        <is>
          <t>C</t>
        </is>
      </c>
      <c r="G58" t="inlineStr">
        <is>
          <t>Low Cost</t>
        </is>
      </c>
      <c r="H58" s="606" t="n">
        <v>50.5</v>
      </c>
      <c r="I58">
        <f>B58&amp;"~"&amp;F58&amp;"~"&amp;G58</f>
        <v/>
      </c>
      <c r="J58" t="inlineStr">
        <is>
          <t>14</t>
        </is>
      </c>
      <c r="K58" t="inlineStr">
        <is>
          <t>14</t>
        </is>
      </c>
      <c r="L58" t="inlineStr">
        <is>
          <t>14</t>
        </is>
      </c>
      <c r="M58" t="inlineStr">
        <is>
          <t>MVS Sec.14 p.23</t>
        </is>
      </c>
    </row>
    <row r="59">
      <c r="B59" t="inlineStr">
        <is>
          <t>Distribution Warehouses</t>
        </is>
      </c>
      <c r="C59" t="inlineStr">
        <is>
          <t>407</t>
        </is>
      </c>
      <c r="D59" t="inlineStr">
        <is>
          <t>14</t>
        </is>
      </c>
      <c r="E59" t="inlineStr">
        <is>
          <t>23</t>
        </is>
      </c>
      <c r="F59" t="inlineStr">
        <is>
          <t>D</t>
        </is>
      </c>
      <c r="G59" t="inlineStr">
        <is>
          <t>Good</t>
        </is>
      </c>
      <c r="H59" s="606" t="n">
        <v>92.5</v>
      </c>
      <c r="I59">
        <f>B59&amp;"~"&amp;F59&amp;"~"&amp;G59</f>
        <v/>
      </c>
      <c r="J59" t="inlineStr">
        <is>
          <t>14</t>
        </is>
      </c>
      <c r="K59" t="inlineStr">
        <is>
          <t>14</t>
        </is>
      </c>
      <c r="L59" t="inlineStr">
        <is>
          <t>14</t>
        </is>
      </c>
      <c r="M59" t="inlineStr">
        <is>
          <t>MVS Sec.14 p.23</t>
        </is>
      </c>
    </row>
    <row r="60">
      <c r="B60" t="inlineStr">
        <is>
          <t>Distribution Warehouses</t>
        </is>
      </c>
      <c r="C60" t="inlineStr">
        <is>
          <t>407</t>
        </is>
      </c>
      <c r="D60" t="inlineStr">
        <is>
          <t>14</t>
        </is>
      </c>
      <c r="E60" t="inlineStr">
        <is>
          <t>23</t>
        </is>
      </c>
      <c r="F60" t="inlineStr">
        <is>
          <t>D</t>
        </is>
      </c>
      <c r="G60" t="inlineStr">
        <is>
          <t>Average</t>
        </is>
      </c>
      <c r="H60" s="606" t="n">
        <v>63</v>
      </c>
      <c r="I60">
        <f>B60&amp;"~"&amp;F60&amp;"~"&amp;G60</f>
        <v/>
      </c>
      <c r="J60" t="inlineStr">
        <is>
          <t>14</t>
        </is>
      </c>
      <c r="K60" t="inlineStr">
        <is>
          <t>14</t>
        </is>
      </c>
      <c r="L60" t="inlineStr">
        <is>
          <t>14</t>
        </is>
      </c>
      <c r="M60" t="inlineStr">
        <is>
          <t>MVS Sec.14 p.23</t>
        </is>
      </c>
    </row>
    <row r="61">
      <c r="B61" t="inlineStr">
        <is>
          <t>Distribution Warehouses</t>
        </is>
      </c>
      <c r="C61" t="inlineStr">
        <is>
          <t>407</t>
        </is>
      </c>
      <c r="D61" t="inlineStr">
        <is>
          <t>14</t>
        </is>
      </c>
      <c r="E61" t="inlineStr">
        <is>
          <t>23</t>
        </is>
      </c>
      <c r="F61" t="inlineStr">
        <is>
          <t>DPOLE</t>
        </is>
      </c>
      <c r="G61" t="inlineStr">
        <is>
          <t>Average</t>
        </is>
      </c>
      <c r="H61" s="606" t="n">
        <v>57</v>
      </c>
      <c r="I61">
        <f>B61&amp;"~"&amp;F61&amp;"~"&amp;G61</f>
        <v/>
      </c>
      <c r="J61" t="inlineStr">
        <is>
          <t>14</t>
        </is>
      </c>
      <c r="K61" t="inlineStr">
        <is>
          <t>14</t>
        </is>
      </c>
      <c r="L61" t="inlineStr">
        <is>
          <t>14</t>
        </is>
      </c>
      <c r="M61" t="inlineStr">
        <is>
          <t>MVS Sec.14 p.23</t>
        </is>
      </c>
    </row>
    <row r="62">
      <c r="B62" t="inlineStr">
        <is>
          <t>Distribution Warehouses</t>
        </is>
      </c>
      <c r="C62" t="inlineStr">
        <is>
          <t>407</t>
        </is>
      </c>
      <c r="D62" t="inlineStr">
        <is>
          <t>14</t>
        </is>
      </c>
      <c r="E62" t="inlineStr">
        <is>
          <t>23</t>
        </is>
      </c>
      <c r="F62" t="inlineStr">
        <is>
          <t>DPOLE</t>
        </is>
      </c>
      <c r="G62" t="inlineStr">
        <is>
          <t>Low Cost</t>
        </is>
      </c>
      <c r="H62" s="606" t="n">
        <v>41.25</v>
      </c>
      <c r="I62">
        <f>B62&amp;"~"&amp;F62&amp;"~"&amp;G62</f>
        <v/>
      </c>
      <c r="J62" t="inlineStr">
        <is>
          <t>14</t>
        </is>
      </c>
      <c r="K62" t="inlineStr">
        <is>
          <t>14</t>
        </is>
      </c>
      <c r="L62" t="inlineStr">
        <is>
          <t>14</t>
        </is>
      </c>
      <c r="M62" t="inlineStr">
        <is>
          <t>MVS Sec.14 p.23</t>
        </is>
      </c>
    </row>
    <row r="63">
      <c r="B63" t="inlineStr">
        <is>
          <t>Distribution Warehouses</t>
        </is>
      </c>
      <c r="C63" t="inlineStr">
        <is>
          <t>407</t>
        </is>
      </c>
      <c r="D63" t="inlineStr">
        <is>
          <t>14</t>
        </is>
      </c>
      <c r="E63" t="inlineStr">
        <is>
          <t>23</t>
        </is>
      </c>
      <c r="F63" t="inlineStr">
        <is>
          <t>S</t>
        </is>
      </c>
      <c r="G63" t="inlineStr">
        <is>
          <t>Excellent</t>
        </is>
      </c>
      <c r="H63" s="606" t="n">
        <v>139</v>
      </c>
      <c r="I63">
        <f>B63&amp;"~"&amp;F63&amp;"~"&amp;G63</f>
        <v/>
      </c>
      <c r="J63" t="inlineStr">
        <is>
          <t>14</t>
        </is>
      </c>
      <c r="K63" t="inlineStr">
        <is>
          <t>14</t>
        </is>
      </c>
      <c r="L63" t="inlineStr">
        <is>
          <t>14</t>
        </is>
      </c>
      <c r="M63" t="inlineStr">
        <is>
          <t>MVS Sec.14 p.23</t>
        </is>
      </c>
    </row>
    <row r="64">
      <c r="B64" t="inlineStr">
        <is>
          <t>Distribution Warehouses</t>
        </is>
      </c>
      <c r="C64" t="inlineStr">
        <is>
          <t>407</t>
        </is>
      </c>
      <c r="D64" t="inlineStr">
        <is>
          <t>14</t>
        </is>
      </c>
      <c r="E64" t="inlineStr">
        <is>
          <t>23</t>
        </is>
      </c>
      <c r="F64" t="inlineStr">
        <is>
          <t>S</t>
        </is>
      </c>
      <c r="G64" t="inlineStr">
        <is>
          <t>Good</t>
        </is>
      </c>
      <c r="H64" s="606" t="n">
        <v>94.5</v>
      </c>
      <c r="I64">
        <f>B64&amp;"~"&amp;F64&amp;"~"&amp;G64</f>
        <v/>
      </c>
      <c r="J64" t="inlineStr">
        <is>
          <t>14</t>
        </is>
      </c>
      <c r="K64" t="inlineStr">
        <is>
          <t>14</t>
        </is>
      </c>
      <c r="L64" t="inlineStr">
        <is>
          <t>14</t>
        </is>
      </c>
      <c r="M64" t="inlineStr">
        <is>
          <t>MVS Sec.14 p.23</t>
        </is>
      </c>
    </row>
    <row r="65">
      <c r="B65" t="inlineStr">
        <is>
          <t>Distribution Warehouses</t>
        </is>
      </c>
      <c r="C65" t="inlineStr">
        <is>
          <t>407</t>
        </is>
      </c>
      <c r="D65" t="inlineStr">
        <is>
          <t>14</t>
        </is>
      </c>
      <c r="E65" t="inlineStr">
        <is>
          <t>23</t>
        </is>
      </c>
      <c r="F65" t="inlineStr">
        <is>
          <t>S</t>
        </is>
      </c>
      <c r="G65" t="inlineStr">
        <is>
          <t>Average</t>
        </is>
      </c>
      <c r="H65" s="606" t="n">
        <v>64</v>
      </c>
      <c r="I65">
        <f>B65&amp;"~"&amp;F65&amp;"~"&amp;G65</f>
        <v/>
      </c>
      <c r="J65" t="inlineStr">
        <is>
          <t>14</t>
        </is>
      </c>
      <c r="K65" t="inlineStr">
        <is>
          <t>14</t>
        </is>
      </c>
      <c r="L65" t="inlineStr">
        <is>
          <t>14</t>
        </is>
      </c>
      <c r="M65" t="inlineStr">
        <is>
          <t>MVS Sec.14 p.23</t>
        </is>
      </c>
    </row>
    <row r="66">
      <c r="B66" t="inlineStr">
        <is>
          <t>Distribution Warehouses</t>
        </is>
      </c>
      <c r="C66" t="inlineStr">
        <is>
          <t>407</t>
        </is>
      </c>
      <c r="D66" t="inlineStr">
        <is>
          <t>14</t>
        </is>
      </c>
      <c r="E66" t="inlineStr">
        <is>
          <t>23</t>
        </is>
      </c>
      <c r="F66" t="inlineStr">
        <is>
          <t>S</t>
        </is>
      </c>
      <c r="G66" t="inlineStr">
        <is>
          <t>Low Cost</t>
        </is>
      </c>
      <c r="H66" s="606" t="n">
        <v>45.5</v>
      </c>
      <c r="I66">
        <f>B66&amp;"~"&amp;F66&amp;"~"&amp;G66</f>
        <v/>
      </c>
      <c r="J66" t="inlineStr">
        <is>
          <t>14</t>
        </is>
      </c>
      <c r="K66" t="inlineStr">
        <is>
          <t>14</t>
        </is>
      </c>
      <c r="L66" t="inlineStr">
        <is>
          <t>14</t>
        </is>
      </c>
      <c r="M66" t="inlineStr">
        <is>
          <t>MVS Sec.14 p.23</t>
        </is>
      </c>
    </row>
    <row r="67">
      <c r="B67" t="inlineStr">
        <is>
          <t>Mini-Warehouses / Self-Storage</t>
        </is>
      </c>
      <c r="C67" t="inlineStr">
        <is>
          <t>386</t>
        </is>
      </c>
      <c r="D67" t="inlineStr">
        <is>
          <t>14</t>
        </is>
      </c>
      <c r="E67" t="inlineStr">
        <is>
          <t>28</t>
        </is>
      </c>
      <c r="F67" t="inlineStr">
        <is>
          <t>C</t>
        </is>
      </c>
      <c r="G67" t="inlineStr">
        <is>
          <t>Good</t>
        </is>
      </c>
      <c r="H67" s="606" t="n">
        <v>68.5</v>
      </c>
      <c r="I67">
        <f>B67&amp;"~"&amp;F67&amp;"~"&amp;G67</f>
        <v/>
      </c>
      <c r="J67" t="inlineStr">
        <is>
          <t>14</t>
        </is>
      </c>
      <c r="K67" t="inlineStr">
        <is>
          <t>14</t>
        </is>
      </c>
      <c r="L67" t="inlineStr">
        <is>
          <t>14</t>
        </is>
      </c>
      <c r="M67" t="inlineStr">
        <is>
          <t>MVS Sec.14 p.28</t>
        </is>
      </c>
    </row>
    <row r="68">
      <c r="B68" t="inlineStr">
        <is>
          <t>Mini-Warehouses / Self-Storage</t>
        </is>
      </c>
      <c r="C68" t="inlineStr">
        <is>
          <t>386</t>
        </is>
      </c>
      <c r="D68" t="inlineStr">
        <is>
          <t>14</t>
        </is>
      </c>
      <c r="E68" t="inlineStr">
        <is>
          <t>28</t>
        </is>
      </c>
      <c r="F68" t="inlineStr">
        <is>
          <t>C</t>
        </is>
      </c>
      <c r="G68" t="inlineStr">
        <is>
          <t>Average</t>
        </is>
      </c>
      <c r="H68" s="606" t="n">
        <v>51</v>
      </c>
      <c r="I68">
        <f>B68&amp;"~"&amp;F68&amp;"~"&amp;G68</f>
        <v/>
      </c>
      <c r="J68" t="inlineStr">
        <is>
          <t>14</t>
        </is>
      </c>
      <c r="K68" t="inlineStr">
        <is>
          <t>14</t>
        </is>
      </c>
      <c r="L68" t="inlineStr">
        <is>
          <t>14</t>
        </is>
      </c>
      <c r="M68" t="inlineStr">
        <is>
          <t>MVS Sec.14 p.28</t>
        </is>
      </c>
    </row>
    <row r="69">
      <c r="B69" t="inlineStr">
        <is>
          <t>Mini-Warehouses / Self-Storage</t>
        </is>
      </c>
      <c r="C69" t="inlineStr">
        <is>
          <t>386</t>
        </is>
      </c>
      <c r="D69" t="inlineStr">
        <is>
          <t>14</t>
        </is>
      </c>
      <c r="E69" t="inlineStr">
        <is>
          <t>28</t>
        </is>
      </c>
      <c r="F69" t="inlineStr">
        <is>
          <t>C</t>
        </is>
      </c>
      <c r="G69" t="inlineStr">
        <is>
          <t>Low Cost</t>
        </is>
      </c>
      <c r="H69" s="606" t="n">
        <v>38.25</v>
      </c>
      <c r="I69">
        <f>B69&amp;"~"&amp;F69&amp;"~"&amp;G69</f>
        <v/>
      </c>
      <c r="J69" t="inlineStr">
        <is>
          <t>14</t>
        </is>
      </c>
      <c r="K69" t="inlineStr">
        <is>
          <t>14</t>
        </is>
      </c>
      <c r="L69" t="inlineStr">
        <is>
          <t>14</t>
        </is>
      </c>
      <c r="M69" t="inlineStr">
        <is>
          <t>MVS Sec.14 p.28</t>
        </is>
      </c>
    </row>
    <row r="70">
      <c r="B70" t="inlineStr">
        <is>
          <t>Mini-Warehouses / Self-Storage</t>
        </is>
      </c>
      <c r="C70" t="inlineStr">
        <is>
          <t>386</t>
        </is>
      </c>
      <c r="D70" t="inlineStr">
        <is>
          <t>14</t>
        </is>
      </c>
      <c r="E70" t="inlineStr">
        <is>
          <t>28</t>
        </is>
      </c>
      <c r="F70" t="inlineStr">
        <is>
          <t>D</t>
        </is>
      </c>
      <c r="G70" t="inlineStr">
        <is>
          <t>Good</t>
        </is>
      </c>
      <c r="H70" s="606" t="n">
        <v>63.5</v>
      </c>
      <c r="I70">
        <f>B70&amp;"~"&amp;F70&amp;"~"&amp;G70</f>
        <v/>
      </c>
      <c r="J70" t="inlineStr">
        <is>
          <t>14</t>
        </is>
      </c>
      <c r="K70" t="inlineStr">
        <is>
          <t>14</t>
        </is>
      </c>
      <c r="L70" t="inlineStr">
        <is>
          <t>14</t>
        </is>
      </c>
      <c r="M70" t="inlineStr">
        <is>
          <t>MVS Sec.14 p.28</t>
        </is>
      </c>
    </row>
    <row r="71">
      <c r="B71" t="inlineStr">
        <is>
          <t>Mini-Warehouses / Self-Storage</t>
        </is>
      </c>
      <c r="C71" t="inlineStr">
        <is>
          <t>386</t>
        </is>
      </c>
      <c r="D71" t="inlineStr">
        <is>
          <t>14</t>
        </is>
      </c>
      <c r="E71" t="inlineStr">
        <is>
          <t>28</t>
        </is>
      </c>
      <c r="F71" t="inlineStr">
        <is>
          <t>D</t>
        </is>
      </c>
      <c r="G71" t="inlineStr">
        <is>
          <t>Average</t>
        </is>
      </c>
      <c r="H71" s="606" t="n">
        <v>47.5</v>
      </c>
      <c r="I71">
        <f>B71&amp;"~"&amp;F71&amp;"~"&amp;G71</f>
        <v/>
      </c>
      <c r="J71" t="inlineStr">
        <is>
          <t>14</t>
        </is>
      </c>
      <c r="K71" t="inlineStr">
        <is>
          <t>14</t>
        </is>
      </c>
      <c r="L71" t="inlineStr">
        <is>
          <t>14</t>
        </is>
      </c>
      <c r="M71" t="inlineStr">
        <is>
          <t>MVS Sec.14 p.28</t>
        </is>
      </c>
    </row>
    <row r="72">
      <c r="B72" t="inlineStr">
        <is>
          <t>Mini-Warehouses / Self-Storage</t>
        </is>
      </c>
      <c r="C72" t="inlineStr">
        <is>
          <t>386</t>
        </is>
      </c>
      <c r="D72" t="inlineStr">
        <is>
          <t>14</t>
        </is>
      </c>
      <c r="E72" t="inlineStr">
        <is>
          <t>28</t>
        </is>
      </c>
      <c r="F72" t="inlineStr">
        <is>
          <t>D</t>
        </is>
      </c>
      <c r="G72" t="inlineStr">
        <is>
          <t>Low Cost</t>
        </is>
      </c>
      <c r="H72" s="606" t="n">
        <v>35.5</v>
      </c>
      <c r="I72">
        <f>B72&amp;"~"&amp;F72&amp;"~"&amp;G72</f>
        <v/>
      </c>
      <c r="J72" t="inlineStr">
        <is>
          <t>14</t>
        </is>
      </c>
      <c r="K72" t="inlineStr">
        <is>
          <t>14</t>
        </is>
      </c>
      <c r="L72" t="inlineStr">
        <is>
          <t>14</t>
        </is>
      </c>
      <c r="M72" t="inlineStr">
        <is>
          <t>MVS Sec.14 p.28</t>
        </is>
      </c>
    </row>
    <row r="73">
      <c r="B73" t="inlineStr">
        <is>
          <t>Mini-Warehouses / Self-Storage</t>
        </is>
      </c>
      <c r="C73" t="inlineStr">
        <is>
          <t>386</t>
        </is>
      </c>
      <c r="D73" t="inlineStr">
        <is>
          <t>14</t>
        </is>
      </c>
      <c r="E73" t="inlineStr">
        <is>
          <t>28</t>
        </is>
      </c>
      <c r="F73" t="inlineStr">
        <is>
          <t>DPOLE</t>
        </is>
      </c>
      <c r="G73" t="inlineStr">
        <is>
          <t>Good</t>
        </is>
      </c>
      <c r="H73" s="606" t="n">
        <v>58.5</v>
      </c>
      <c r="I73">
        <f>B73&amp;"~"&amp;F73&amp;"~"&amp;G73</f>
        <v/>
      </c>
      <c r="J73" t="inlineStr">
        <is>
          <t>14</t>
        </is>
      </c>
      <c r="K73" t="inlineStr">
        <is>
          <t>14</t>
        </is>
      </c>
      <c r="L73" t="inlineStr">
        <is>
          <t>14</t>
        </is>
      </c>
      <c r="M73" t="inlineStr">
        <is>
          <t>MVS Sec.14 p.28</t>
        </is>
      </c>
    </row>
    <row r="74">
      <c r="B74" t="inlineStr">
        <is>
          <t>Mini-Warehouses / Self-Storage</t>
        </is>
      </c>
      <c r="C74" t="inlineStr">
        <is>
          <t>386</t>
        </is>
      </c>
      <c r="D74" t="inlineStr">
        <is>
          <t>14</t>
        </is>
      </c>
      <c r="E74" t="inlineStr">
        <is>
          <t>28</t>
        </is>
      </c>
      <c r="F74" t="inlineStr">
        <is>
          <t>DPOLE</t>
        </is>
      </c>
      <c r="G74" t="inlineStr">
        <is>
          <t>Average</t>
        </is>
      </c>
      <c r="H74" s="606" t="n">
        <v>43.5</v>
      </c>
      <c r="I74">
        <f>B74&amp;"~"&amp;F74&amp;"~"&amp;G74</f>
        <v/>
      </c>
      <c r="J74" t="inlineStr">
        <is>
          <t>14</t>
        </is>
      </c>
      <c r="K74" t="inlineStr">
        <is>
          <t>14</t>
        </is>
      </c>
      <c r="L74" t="inlineStr">
        <is>
          <t>14</t>
        </is>
      </c>
      <c r="M74" t="inlineStr">
        <is>
          <t>MVS Sec.14 p.28</t>
        </is>
      </c>
    </row>
    <row r="75">
      <c r="B75" t="inlineStr">
        <is>
          <t>Mini-Warehouses / Self-Storage</t>
        </is>
      </c>
      <c r="C75" t="inlineStr">
        <is>
          <t>386</t>
        </is>
      </c>
      <c r="D75" t="inlineStr">
        <is>
          <t>14</t>
        </is>
      </c>
      <c r="E75" t="inlineStr">
        <is>
          <t>28</t>
        </is>
      </c>
      <c r="F75" t="inlineStr">
        <is>
          <t>DPOLE</t>
        </is>
      </c>
      <c r="G75" t="inlineStr">
        <is>
          <t>Low Cost</t>
        </is>
      </c>
      <c r="H75" s="606" t="n">
        <v>32.5</v>
      </c>
      <c r="I75">
        <f>B75&amp;"~"&amp;F75&amp;"~"&amp;G75</f>
        <v/>
      </c>
      <c r="J75" t="inlineStr">
        <is>
          <t>14</t>
        </is>
      </c>
      <c r="K75" t="inlineStr">
        <is>
          <t>14</t>
        </is>
      </c>
      <c r="L75" t="inlineStr">
        <is>
          <t>14</t>
        </is>
      </c>
      <c r="M75" t="inlineStr">
        <is>
          <t>MVS Sec.14 p.28</t>
        </is>
      </c>
    </row>
    <row r="76">
      <c r="B76" t="inlineStr">
        <is>
          <t>Mini-Warehouses / Self-Storage</t>
        </is>
      </c>
      <c r="C76" t="inlineStr">
        <is>
          <t>386</t>
        </is>
      </c>
      <c r="D76" t="inlineStr">
        <is>
          <t>14</t>
        </is>
      </c>
      <c r="E76" t="inlineStr">
        <is>
          <t>28</t>
        </is>
      </c>
      <c r="F76" t="inlineStr">
        <is>
          <t>S</t>
        </is>
      </c>
      <c r="G76" t="inlineStr">
        <is>
          <t>Good</t>
        </is>
      </c>
      <c r="H76" s="606" t="n">
        <v>63.5</v>
      </c>
      <c r="I76">
        <f>B76&amp;"~"&amp;F76&amp;"~"&amp;G76</f>
        <v/>
      </c>
      <c r="J76" t="inlineStr">
        <is>
          <t>14</t>
        </is>
      </c>
      <c r="K76" t="inlineStr">
        <is>
          <t>14</t>
        </is>
      </c>
      <c r="L76" t="inlineStr">
        <is>
          <t>14</t>
        </is>
      </c>
      <c r="M76" t="inlineStr">
        <is>
          <t>MVS Sec.14 p.28</t>
        </is>
      </c>
    </row>
    <row r="77">
      <c r="B77" t="inlineStr">
        <is>
          <t>Mini-Warehouses / Self-Storage</t>
        </is>
      </c>
      <c r="C77" t="inlineStr">
        <is>
          <t>386</t>
        </is>
      </c>
      <c r="D77" t="inlineStr">
        <is>
          <t>14</t>
        </is>
      </c>
      <c r="E77" t="inlineStr">
        <is>
          <t>28</t>
        </is>
      </c>
      <c r="F77" t="inlineStr">
        <is>
          <t>S</t>
        </is>
      </c>
      <c r="G77" t="inlineStr">
        <is>
          <t>Average</t>
        </is>
      </c>
      <c r="H77" s="606" t="n">
        <v>47.5</v>
      </c>
      <c r="I77">
        <f>B77&amp;"~"&amp;F77&amp;"~"&amp;G77</f>
        <v/>
      </c>
      <c r="J77" t="inlineStr">
        <is>
          <t>14</t>
        </is>
      </c>
      <c r="K77" t="inlineStr">
        <is>
          <t>14</t>
        </is>
      </c>
      <c r="L77" t="inlineStr">
        <is>
          <t>14</t>
        </is>
      </c>
      <c r="M77" t="inlineStr">
        <is>
          <t>MVS Sec.14 p.28</t>
        </is>
      </c>
    </row>
    <row r="78">
      <c r="B78" t="inlineStr">
        <is>
          <t>Mini-Warehouses / Self-Storage</t>
        </is>
      </c>
      <c r="C78" t="inlineStr">
        <is>
          <t>386</t>
        </is>
      </c>
      <c r="D78" t="inlineStr">
        <is>
          <t>14</t>
        </is>
      </c>
      <c r="E78" t="inlineStr">
        <is>
          <t>28</t>
        </is>
      </c>
      <c r="F78" t="inlineStr">
        <is>
          <t>S</t>
        </is>
      </c>
      <c r="G78" t="inlineStr">
        <is>
          <t>Low Cost</t>
        </is>
      </c>
      <c r="H78" s="606" t="n">
        <v>35.5</v>
      </c>
      <c r="I78">
        <f>B78&amp;"~"&amp;F78&amp;"~"&amp;G78</f>
        <v/>
      </c>
      <c r="J78" t="inlineStr">
        <is>
          <t>14</t>
        </is>
      </c>
      <c r="K78" t="inlineStr">
        <is>
          <t>14</t>
        </is>
      </c>
      <c r="L78" t="inlineStr">
        <is>
          <t>14</t>
        </is>
      </c>
      <c r="M78" t="inlineStr">
        <is>
          <t>MVS Sec.14 p.28</t>
        </is>
      </c>
    </row>
    <row r="79">
      <c r="B79" t="inlineStr">
        <is>
          <t>Mini-Warehouses / Self-Storage</t>
        </is>
      </c>
      <c r="C79" t="inlineStr">
        <is>
          <t>386</t>
        </is>
      </c>
      <c r="D79" t="inlineStr">
        <is>
          <t>14</t>
        </is>
      </c>
      <c r="E79" t="inlineStr">
        <is>
          <t>28</t>
        </is>
      </c>
      <c r="F79" t="inlineStr">
        <is>
          <t>S</t>
        </is>
      </c>
      <c r="G79" t="inlineStr">
        <is>
          <t>Cheap</t>
        </is>
      </c>
      <c r="H79" s="606" t="n">
        <v>26.25</v>
      </c>
      <c r="I79">
        <f>B79&amp;"~"&amp;F79&amp;"~"&amp;G79</f>
        <v/>
      </c>
      <c r="J79" t="inlineStr">
        <is>
          <t>14</t>
        </is>
      </c>
      <c r="K79" t="inlineStr">
        <is>
          <t>14</t>
        </is>
      </c>
      <c r="L79" t="inlineStr">
        <is>
          <t>14</t>
        </is>
      </c>
      <c r="M79" t="inlineStr">
        <is>
          <t>MVS Sec.14 p.28</t>
        </is>
      </c>
    </row>
    <row r="80">
      <c r="B80" t="inlineStr">
        <is>
          <t>Mini-Warehouses, High-Rise</t>
        </is>
      </c>
      <c r="C80" t="inlineStr">
        <is>
          <t>525</t>
        </is>
      </c>
      <c r="D80" t="inlineStr">
        <is>
          <t>14</t>
        </is>
      </c>
      <c r="E80" t="inlineStr">
        <is>
          <t>28</t>
        </is>
      </c>
      <c r="F80" t="inlineStr">
        <is>
          <t>A-B</t>
        </is>
      </c>
      <c r="G80" t="inlineStr">
        <is>
          <t>Average</t>
        </is>
      </c>
      <c r="H80" s="606" t="n">
        <v>94</v>
      </c>
      <c r="I80">
        <f>B80&amp;"~"&amp;F80&amp;"~"&amp;G80</f>
        <v/>
      </c>
      <c r="J80" t="inlineStr">
        <is>
          <t>14</t>
        </is>
      </c>
      <c r="K80" t="inlineStr">
        <is>
          <t>14</t>
        </is>
      </c>
      <c r="L80" t="inlineStr">
        <is>
          <t>14</t>
        </is>
      </c>
      <c r="M80" t="inlineStr">
        <is>
          <t>MVS Sec.14 p.28</t>
        </is>
      </c>
    </row>
    <row r="81">
      <c r="B81" t="inlineStr">
        <is>
          <t>Mini-Warehouses, High-Rise</t>
        </is>
      </c>
      <c r="C81" t="inlineStr">
        <is>
          <t>525</t>
        </is>
      </c>
      <c r="D81" t="inlineStr">
        <is>
          <t>14</t>
        </is>
      </c>
      <c r="E81" t="inlineStr">
        <is>
          <t>28</t>
        </is>
      </c>
      <c r="F81" t="inlineStr">
        <is>
          <t>C</t>
        </is>
      </c>
      <c r="G81" t="inlineStr">
        <is>
          <t>Good</t>
        </is>
      </c>
      <c r="H81" s="606" t="n">
        <v>86.5</v>
      </c>
      <c r="I81">
        <f>B81&amp;"~"&amp;F81&amp;"~"&amp;G81</f>
        <v/>
      </c>
      <c r="J81" t="inlineStr">
        <is>
          <t>14</t>
        </is>
      </c>
      <c r="K81" t="inlineStr">
        <is>
          <t>14</t>
        </is>
      </c>
      <c r="L81" t="inlineStr">
        <is>
          <t>14</t>
        </is>
      </c>
      <c r="M81" t="inlineStr">
        <is>
          <t>MVS Sec.14 p.28</t>
        </is>
      </c>
    </row>
    <row r="82">
      <c r="B82" t="inlineStr">
        <is>
          <t>Mini-Warehouses, High-Rise</t>
        </is>
      </c>
      <c r="C82" t="inlineStr">
        <is>
          <t>525</t>
        </is>
      </c>
      <c r="D82" t="inlineStr">
        <is>
          <t>14</t>
        </is>
      </c>
      <c r="E82" t="inlineStr">
        <is>
          <t>28</t>
        </is>
      </c>
      <c r="F82" t="inlineStr">
        <is>
          <t>C</t>
        </is>
      </c>
      <c r="G82" t="inlineStr">
        <is>
          <t>Average</t>
        </is>
      </c>
      <c r="H82" s="606" t="n">
        <v>66</v>
      </c>
      <c r="I82">
        <f>B82&amp;"~"&amp;F82&amp;"~"&amp;G82</f>
        <v/>
      </c>
      <c r="J82" t="inlineStr">
        <is>
          <t>14</t>
        </is>
      </c>
      <c r="K82" t="inlineStr">
        <is>
          <t>14</t>
        </is>
      </c>
      <c r="L82" t="inlineStr">
        <is>
          <t>14</t>
        </is>
      </c>
      <c r="M82" t="inlineStr">
        <is>
          <t>MVS Sec.14 p.28</t>
        </is>
      </c>
    </row>
    <row r="83">
      <c r="B83" t="inlineStr">
        <is>
          <t>Mini-Warehouses, High-Rise</t>
        </is>
      </c>
      <c r="C83" t="inlineStr">
        <is>
          <t>525</t>
        </is>
      </c>
      <c r="D83" t="inlineStr">
        <is>
          <t>14</t>
        </is>
      </c>
      <c r="E83" t="inlineStr">
        <is>
          <t>28</t>
        </is>
      </c>
      <c r="F83" t="inlineStr">
        <is>
          <t>D</t>
        </is>
      </c>
      <c r="G83" t="inlineStr">
        <is>
          <t>Good</t>
        </is>
      </c>
      <c r="H83" s="606" t="n">
        <v>79.5</v>
      </c>
      <c r="I83">
        <f>B83&amp;"~"&amp;F83&amp;"~"&amp;G83</f>
        <v/>
      </c>
      <c r="J83" t="inlineStr">
        <is>
          <t>14</t>
        </is>
      </c>
      <c r="K83" t="inlineStr">
        <is>
          <t>14</t>
        </is>
      </c>
      <c r="L83" t="inlineStr">
        <is>
          <t>14</t>
        </is>
      </c>
      <c r="M83" t="inlineStr">
        <is>
          <t>MVS Sec.14 p.28</t>
        </is>
      </c>
    </row>
    <row r="84">
      <c r="B84" t="inlineStr">
        <is>
          <t>Mini-Warehouses, High-Rise</t>
        </is>
      </c>
      <c r="C84" t="inlineStr">
        <is>
          <t>525</t>
        </is>
      </c>
      <c r="D84" t="inlineStr">
        <is>
          <t>14</t>
        </is>
      </c>
      <c r="E84" t="inlineStr">
        <is>
          <t>28</t>
        </is>
      </c>
      <c r="F84" t="inlineStr">
        <is>
          <t>S</t>
        </is>
      </c>
      <c r="G84" t="inlineStr">
        <is>
          <t>Good</t>
        </is>
      </c>
      <c r="H84" s="606" t="n">
        <v>81</v>
      </c>
      <c r="I84">
        <f>B84&amp;"~"&amp;F84&amp;"~"&amp;G84</f>
        <v/>
      </c>
      <c r="J84" t="inlineStr">
        <is>
          <t>14</t>
        </is>
      </c>
      <c r="K84" t="inlineStr">
        <is>
          <t>14</t>
        </is>
      </c>
      <c r="L84" t="inlineStr">
        <is>
          <t>14</t>
        </is>
      </c>
      <c r="M84" t="inlineStr">
        <is>
          <t>MVS Sec.14 p.28</t>
        </is>
      </c>
    </row>
    <row r="85">
      <c r="B85" t="inlineStr">
        <is>
          <t>Industrials, Light Manufacturing</t>
        </is>
      </c>
      <c r="C85" t="inlineStr">
        <is>
          <t>494</t>
        </is>
      </c>
      <c r="D85" t="inlineStr">
        <is>
          <t>14</t>
        </is>
      </c>
      <c r="E85" t="inlineStr">
        <is>
          <t>14</t>
        </is>
      </c>
      <c r="F85" t="inlineStr">
        <is>
          <t>A</t>
        </is>
      </c>
      <c r="G85" t="inlineStr">
        <is>
          <t>Average</t>
        </is>
      </c>
      <c r="H85" s="606" t="n">
        <v>122</v>
      </c>
      <c r="I85">
        <f>B85&amp;"~"&amp;F85&amp;"~"&amp;G85</f>
        <v/>
      </c>
      <c r="J85" t="inlineStr">
        <is>
          <t>14</t>
        </is>
      </c>
      <c r="K85" t="inlineStr">
        <is>
          <t>14</t>
        </is>
      </c>
      <c r="L85" t="inlineStr">
        <is>
          <t>14</t>
        </is>
      </c>
      <c r="M85" t="inlineStr">
        <is>
          <t>MVS Sec.14 p.14</t>
        </is>
      </c>
    </row>
    <row r="86">
      <c r="B86" t="inlineStr">
        <is>
          <t>Industrials, Light Manufacturing</t>
        </is>
      </c>
      <c r="C86" t="inlineStr">
        <is>
          <t>494</t>
        </is>
      </c>
      <c r="D86" t="inlineStr">
        <is>
          <t>14</t>
        </is>
      </c>
      <c r="E86" t="inlineStr">
        <is>
          <t>14</t>
        </is>
      </c>
      <c r="F86" t="inlineStr">
        <is>
          <t>A</t>
        </is>
      </c>
      <c r="G86" t="inlineStr">
        <is>
          <t>Low Cost</t>
        </is>
      </c>
      <c r="H86" s="606" t="n">
        <v>84.5</v>
      </c>
      <c r="I86">
        <f>B86&amp;"~"&amp;F86&amp;"~"&amp;G86</f>
        <v/>
      </c>
      <c r="J86" t="inlineStr">
        <is>
          <t>14</t>
        </is>
      </c>
      <c r="K86" t="inlineStr">
        <is>
          <t>14</t>
        </is>
      </c>
      <c r="L86" t="inlineStr">
        <is>
          <t>14</t>
        </is>
      </c>
      <c r="M86" t="inlineStr">
        <is>
          <t>MVS Sec.14 p.14</t>
        </is>
      </c>
    </row>
    <row r="87">
      <c r="B87" t="inlineStr">
        <is>
          <t>Industrials, Light Manufacturing</t>
        </is>
      </c>
      <c r="C87" t="inlineStr">
        <is>
          <t>494</t>
        </is>
      </c>
      <c r="D87" t="inlineStr">
        <is>
          <t>14</t>
        </is>
      </c>
      <c r="E87" t="inlineStr">
        <is>
          <t>14</t>
        </is>
      </c>
      <c r="F87" t="inlineStr">
        <is>
          <t>B</t>
        </is>
      </c>
      <c r="G87" t="inlineStr">
        <is>
          <t>Average</t>
        </is>
      </c>
      <c r="H87" s="606" t="n">
        <v>107</v>
      </c>
      <c r="I87">
        <f>B87&amp;"~"&amp;F87&amp;"~"&amp;G87</f>
        <v/>
      </c>
      <c r="J87" t="inlineStr">
        <is>
          <t>14</t>
        </is>
      </c>
      <c r="K87" t="inlineStr">
        <is>
          <t>14</t>
        </is>
      </c>
      <c r="L87" t="inlineStr">
        <is>
          <t>14</t>
        </is>
      </c>
      <c r="M87" t="inlineStr">
        <is>
          <t>MVS Sec.14 p.14</t>
        </is>
      </c>
    </row>
    <row r="88">
      <c r="B88" t="inlineStr">
        <is>
          <t>Industrials, Light Manufacturing</t>
        </is>
      </c>
      <c r="C88" t="inlineStr">
        <is>
          <t>494</t>
        </is>
      </c>
      <c r="D88" t="inlineStr">
        <is>
          <t>14</t>
        </is>
      </c>
      <c r="E88" t="inlineStr">
        <is>
          <t>14</t>
        </is>
      </c>
      <c r="F88" t="inlineStr">
        <is>
          <t>B</t>
        </is>
      </c>
      <c r="G88" t="inlineStr">
        <is>
          <t>Low Cost</t>
        </is>
      </c>
      <c r="H88" s="606" t="n">
        <v>74</v>
      </c>
      <c r="I88">
        <f>B88&amp;"~"&amp;F88&amp;"~"&amp;G88</f>
        <v/>
      </c>
      <c r="J88" t="inlineStr">
        <is>
          <t>14</t>
        </is>
      </c>
      <c r="K88" t="inlineStr">
        <is>
          <t>14</t>
        </is>
      </c>
      <c r="L88" t="inlineStr">
        <is>
          <t>14</t>
        </is>
      </c>
      <c r="M88" t="inlineStr">
        <is>
          <t>MVS Sec.14 p.14</t>
        </is>
      </c>
    </row>
    <row r="89">
      <c r="B89" t="inlineStr">
        <is>
          <t>Industrials, Light Manufacturing</t>
        </is>
      </c>
      <c r="C89" t="inlineStr">
        <is>
          <t>494</t>
        </is>
      </c>
      <c r="D89" t="inlineStr">
        <is>
          <t>14</t>
        </is>
      </c>
      <c r="E89" t="inlineStr">
        <is>
          <t>14</t>
        </is>
      </c>
      <c r="F89" t="inlineStr">
        <is>
          <t>C</t>
        </is>
      </c>
      <c r="G89" t="inlineStr">
        <is>
          <t>Good</t>
        </is>
      </c>
      <c r="H89" s="606" t="n">
        <v>100</v>
      </c>
      <c r="I89">
        <f>B89&amp;"~"&amp;F89&amp;"~"&amp;G89</f>
        <v/>
      </c>
      <c r="J89" t="inlineStr">
        <is>
          <t>14</t>
        </is>
      </c>
      <c r="K89" t="inlineStr">
        <is>
          <t>14</t>
        </is>
      </c>
      <c r="L89" t="inlineStr">
        <is>
          <t>14</t>
        </is>
      </c>
      <c r="M89" t="inlineStr">
        <is>
          <t>MVS Sec.14 p.14</t>
        </is>
      </c>
    </row>
    <row r="90">
      <c r="B90" t="inlineStr">
        <is>
          <t>Industrials, Light Manufacturing</t>
        </is>
      </c>
      <c r="C90" t="inlineStr">
        <is>
          <t>494</t>
        </is>
      </c>
      <c r="D90" t="inlineStr">
        <is>
          <t>14</t>
        </is>
      </c>
      <c r="E90" t="inlineStr">
        <is>
          <t>14</t>
        </is>
      </c>
      <c r="F90" t="inlineStr">
        <is>
          <t>C</t>
        </is>
      </c>
      <c r="G90" t="inlineStr">
        <is>
          <t>Average</t>
        </is>
      </c>
      <c r="H90" s="606" t="n">
        <v>72</v>
      </c>
      <c r="I90">
        <f>B90&amp;"~"&amp;F90&amp;"~"&amp;G90</f>
        <v/>
      </c>
      <c r="J90" t="inlineStr">
        <is>
          <t>14</t>
        </is>
      </c>
      <c r="K90" t="inlineStr">
        <is>
          <t>14</t>
        </is>
      </c>
      <c r="L90" t="inlineStr">
        <is>
          <t>14</t>
        </is>
      </c>
      <c r="M90" t="inlineStr">
        <is>
          <t>MVS Sec.14 p.14</t>
        </is>
      </c>
    </row>
    <row r="91">
      <c r="B91" t="inlineStr">
        <is>
          <t>Industrials, Light Manufacturing</t>
        </is>
      </c>
      <c r="C91" t="inlineStr">
        <is>
          <t>494</t>
        </is>
      </c>
      <c r="D91" t="inlineStr">
        <is>
          <t>14</t>
        </is>
      </c>
      <c r="E91" t="inlineStr">
        <is>
          <t>14</t>
        </is>
      </c>
      <c r="F91" t="inlineStr">
        <is>
          <t>C</t>
        </is>
      </c>
      <c r="G91" t="inlineStr">
        <is>
          <t>Low Cost</t>
        </is>
      </c>
      <c r="H91" s="606" t="n">
        <v>52.5</v>
      </c>
      <c r="I91">
        <f>B91&amp;"~"&amp;F91&amp;"~"&amp;G91</f>
        <v/>
      </c>
      <c r="J91" t="inlineStr">
        <is>
          <t>14</t>
        </is>
      </c>
      <c r="K91" t="inlineStr">
        <is>
          <t>14</t>
        </is>
      </c>
      <c r="L91" t="inlineStr">
        <is>
          <t>14</t>
        </is>
      </c>
      <c r="M91" t="inlineStr">
        <is>
          <t>MVS Sec.14 p.14</t>
        </is>
      </c>
    </row>
    <row r="92">
      <c r="B92" t="inlineStr">
        <is>
          <t>Industrials, Light Manufacturing</t>
        </is>
      </c>
      <c r="C92" t="inlineStr">
        <is>
          <t>494</t>
        </is>
      </c>
      <c r="D92" t="inlineStr">
        <is>
          <t>14</t>
        </is>
      </c>
      <c r="E92" t="inlineStr">
        <is>
          <t>14</t>
        </is>
      </c>
      <c r="F92" t="inlineStr">
        <is>
          <t>D</t>
        </is>
      </c>
      <c r="G92" t="inlineStr">
        <is>
          <t>Good</t>
        </is>
      </c>
      <c r="H92" s="606" t="n">
        <v>92</v>
      </c>
      <c r="I92">
        <f>B92&amp;"~"&amp;F92&amp;"~"&amp;G92</f>
        <v/>
      </c>
      <c r="J92" t="inlineStr">
        <is>
          <t>14</t>
        </is>
      </c>
      <c r="K92" t="inlineStr">
        <is>
          <t>14</t>
        </is>
      </c>
      <c r="L92" t="inlineStr">
        <is>
          <t>14</t>
        </is>
      </c>
      <c r="M92" t="inlineStr">
        <is>
          <t>MVS Sec.14 p.14</t>
        </is>
      </c>
    </row>
    <row r="93">
      <c r="B93" t="inlineStr">
        <is>
          <t>Industrials, Light Manufacturing</t>
        </is>
      </c>
      <c r="C93" t="inlineStr">
        <is>
          <t>494</t>
        </is>
      </c>
      <c r="D93" t="inlineStr">
        <is>
          <t>14</t>
        </is>
      </c>
      <c r="E93" t="inlineStr">
        <is>
          <t>14</t>
        </is>
      </c>
      <c r="F93" t="inlineStr">
        <is>
          <t>D</t>
        </is>
      </c>
      <c r="G93" t="inlineStr">
        <is>
          <t>Average</t>
        </is>
      </c>
      <c r="H93" s="606" t="n">
        <v>65.5</v>
      </c>
      <c r="I93">
        <f>B93&amp;"~"&amp;F93&amp;"~"&amp;G93</f>
        <v/>
      </c>
      <c r="J93" t="inlineStr">
        <is>
          <t>14</t>
        </is>
      </c>
      <c r="K93" t="inlineStr">
        <is>
          <t>14</t>
        </is>
      </c>
      <c r="L93" t="inlineStr">
        <is>
          <t>14</t>
        </is>
      </c>
      <c r="M93" t="inlineStr">
        <is>
          <t>MVS Sec.14 p.14</t>
        </is>
      </c>
    </row>
    <row r="94">
      <c r="B94" t="inlineStr">
        <is>
          <t>Industrials, Light Manufacturing</t>
        </is>
      </c>
      <c r="C94" t="inlineStr">
        <is>
          <t>494</t>
        </is>
      </c>
      <c r="D94" t="inlineStr">
        <is>
          <t>14</t>
        </is>
      </c>
      <c r="E94" t="inlineStr">
        <is>
          <t>14</t>
        </is>
      </c>
      <c r="F94" t="inlineStr">
        <is>
          <t>D</t>
        </is>
      </c>
      <c r="G94" t="inlineStr">
        <is>
          <t>Low Cost</t>
        </is>
      </c>
      <c r="H94" s="606" t="n">
        <v>47</v>
      </c>
      <c r="I94">
        <f>B94&amp;"~"&amp;F94&amp;"~"&amp;G94</f>
        <v/>
      </c>
      <c r="J94" t="inlineStr">
        <is>
          <t>14</t>
        </is>
      </c>
      <c r="K94" t="inlineStr">
        <is>
          <t>14</t>
        </is>
      </c>
      <c r="L94" t="inlineStr">
        <is>
          <t>14</t>
        </is>
      </c>
      <c r="M94" t="inlineStr">
        <is>
          <t>MVS Sec.14 p.14</t>
        </is>
      </c>
    </row>
    <row r="95">
      <c r="B95" t="inlineStr">
        <is>
          <t>Industrials, Light Manufacturing</t>
        </is>
      </c>
      <c r="C95" t="inlineStr">
        <is>
          <t>494</t>
        </is>
      </c>
      <c r="D95" t="inlineStr">
        <is>
          <t>14</t>
        </is>
      </c>
      <c r="E95" t="inlineStr">
        <is>
          <t>14</t>
        </is>
      </c>
      <c r="F95" t="inlineStr">
        <is>
          <t>DPOLE</t>
        </is>
      </c>
      <c r="G95" t="inlineStr">
        <is>
          <t>Good</t>
        </is>
      </c>
      <c r="H95" s="606" t="n">
        <v>84</v>
      </c>
      <c r="I95">
        <f>B95&amp;"~"&amp;F95&amp;"~"&amp;G95</f>
        <v/>
      </c>
      <c r="J95" t="inlineStr">
        <is>
          <t>14</t>
        </is>
      </c>
      <c r="K95" t="inlineStr">
        <is>
          <t>14</t>
        </is>
      </c>
      <c r="L95" t="inlineStr">
        <is>
          <t>14</t>
        </is>
      </c>
      <c r="M95" t="inlineStr">
        <is>
          <t>MVS Sec.14 p.14</t>
        </is>
      </c>
    </row>
    <row r="96">
      <c r="B96" t="inlineStr">
        <is>
          <t>Industrials, Light Manufacturing</t>
        </is>
      </c>
      <c r="C96" t="inlineStr">
        <is>
          <t>494</t>
        </is>
      </c>
      <c r="D96" t="inlineStr">
        <is>
          <t>14</t>
        </is>
      </c>
      <c r="E96" t="inlineStr">
        <is>
          <t>14</t>
        </is>
      </c>
      <c r="F96" t="inlineStr">
        <is>
          <t>DPOLE</t>
        </is>
      </c>
      <c r="G96" t="inlineStr">
        <is>
          <t>Average</t>
        </is>
      </c>
      <c r="H96" s="606" t="n">
        <v>60.5</v>
      </c>
      <c r="I96">
        <f>B96&amp;"~"&amp;F96&amp;"~"&amp;G96</f>
        <v/>
      </c>
      <c r="J96" t="inlineStr">
        <is>
          <t>14</t>
        </is>
      </c>
      <c r="K96" t="inlineStr">
        <is>
          <t>14</t>
        </is>
      </c>
      <c r="L96" t="inlineStr">
        <is>
          <t>14</t>
        </is>
      </c>
      <c r="M96" t="inlineStr">
        <is>
          <t>MVS Sec.14 p.14</t>
        </is>
      </c>
    </row>
    <row r="97">
      <c r="B97" t="inlineStr">
        <is>
          <t>Industrials, Light Manufacturing</t>
        </is>
      </c>
      <c r="C97" t="inlineStr">
        <is>
          <t>494</t>
        </is>
      </c>
      <c r="D97" t="inlineStr">
        <is>
          <t>14</t>
        </is>
      </c>
      <c r="E97" t="inlineStr">
        <is>
          <t>14</t>
        </is>
      </c>
      <c r="F97" t="inlineStr">
        <is>
          <t>DPOLE</t>
        </is>
      </c>
      <c r="G97" t="inlineStr">
        <is>
          <t>Low Cost</t>
        </is>
      </c>
      <c r="H97" s="606" t="n">
        <v>43.5</v>
      </c>
      <c r="I97">
        <f>B97&amp;"~"&amp;F97&amp;"~"&amp;G97</f>
        <v/>
      </c>
      <c r="J97" t="inlineStr">
        <is>
          <t>14</t>
        </is>
      </c>
      <c r="K97" t="inlineStr">
        <is>
          <t>14</t>
        </is>
      </c>
      <c r="L97" t="inlineStr">
        <is>
          <t>14</t>
        </is>
      </c>
      <c r="M97" t="inlineStr">
        <is>
          <t>MVS Sec.14 p.14</t>
        </is>
      </c>
    </row>
    <row r="98">
      <c r="B98" t="inlineStr">
        <is>
          <t>Industrials, Light Manufacturing</t>
        </is>
      </c>
      <c r="C98" t="inlineStr">
        <is>
          <t>494</t>
        </is>
      </c>
      <c r="D98" t="inlineStr">
        <is>
          <t>14</t>
        </is>
      </c>
      <c r="E98" t="inlineStr">
        <is>
          <t>14</t>
        </is>
      </c>
      <c r="F98" t="inlineStr">
        <is>
          <t>S</t>
        </is>
      </c>
      <c r="G98" t="inlineStr">
        <is>
          <t>Good</t>
        </is>
      </c>
      <c r="H98" s="606" t="n">
        <v>93</v>
      </c>
      <c r="I98">
        <f>B98&amp;"~"&amp;F98&amp;"~"&amp;G98</f>
        <v/>
      </c>
      <c r="J98" t="inlineStr">
        <is>
          <t>14</t>
        </is>
      </c>
      <c r="K98" t="inlineStr">
        <is>
          <t>14</t>
        </is>
      </c>
      <c r="L98" t="inlineStr">
        <is>
          <t>14</t>
        </is>
      </c>
      <c r="M98" t="inlineStr">
        <is>
          <t>MVS Sec.14 p.14</t>
        </is>
      </c>
    </row>
    <row r="99">
      <c r="B99" t="inlineStr">
        <is>
          <t>Industrials, Light Manufacturing</t>
        </is>
      </c>
      <c r="C99" t="inlineStr">
        <is>
          <t>494</t>
        </is>
      </c>
      <c r="D99" t="inlineStr">
        <is>
          <t>14</t>
        </is>
      </c>
      <c r="E99" t="inlineStr">
        <is>
          <t>14</t>
        </is>
      </c>
      <c r="F99" t="inlineStr">
        <is>
          <t>S</t>
        </is>
      </c>
      <c r="G99" t="inlineStr">
        <is>
          <t>Average</t>
        </is>
      </c>
      <c r="H99" s="606" t="n">
        <v>66</v>
      </c>
      <c r="I99">
        <f>B99&amp;"~"&amp;F99&amp;"~"&amp;G99</f>
        <v/>
      </c>
      <c r="J99" t="inlineStr">
        <is>
          <t>14</t>
        </is>
      </c>
      <c r="K99" t="inlineStr">
        <is>
          <t>14</t>
        </is>
      </c>
      <c r="L99" t="inlineStr">
        <is>
          <t>14</t>
        </is>
      </c>
      <c r="M99" t="inlineStr">
        <is>
          <t>MVS Sec.14 p.14</t>
        </is>
      </c>
    </row>
    <row r="100">
      <c r="B100" t="inlineStr">
        <is>
          <t>Industrials, Light Manufacturing</t>
        </is>
      </c>
      <c r="C100" t="inlineStr">
        <is>
          <t>494</t>
        </is>
      </c>
      <c r="D100" t="inlineStr">
        <is>
          <t>14</t>
        </is>
      </c>
      <c r="E100" t="inlineStr">
        <is>
          <t>14</t>
        </is>
      </c>
      <c r="F100" t="inlineStr">
        <is>
          <t>S</t>
        </is>
      </c>
      <c r="G100" t="inlineStr">
        <is>
          <t>Low Cost</t>
        </is>
      </c>
      <c r="H100" s="606" t="n">
        <v>46.75</v>
      </c>
      <c r="I100">
        <f>B100&amp;"~"&amp;F100&amp;"~"&amp;G100</f>
        <v/>
      </c>
      <c r="J100" t="inlineStr">
        <is>
          <t>14</t>
        </is>
      </c>
      <c r="K100" t="inlineStr">
        <is>
          <t>14</t>
        </is>
      </c>
      <c r="L100" t="inlineStr">
        <is>
          <t>14</t>
        </is>
      </c>
      <c r="M100" t="inlineStr">
        <is>
          <t>MVS Sec.14 p.14</t>
        </is>
      </c>
    </row>
    <row r="101">
      <c r="B101" t="inlineStr">
        <is>
          <t>Industrials, Heavy (Process) Manufacturing</t>
        </is>
      </c>
      <c r="C101" t="inlineStr">
        <is>
          <t>495</t>
        </is>
      </c>
      <c r="D101" t="inlineStr">
        <is>
          <t>14</t>
        </is>
      </c>
      <c r="E101" t="inlineStr">
        <is>
          <t>15</t>
        </is>
      </c>
      <c r="F101" t="inlineStr">
        <is>
          <t>A</t>
        </is>
      </c>
      <c r="G101" t="inlineStr">
        <is>
          <t>Excellent</t>
        </is>
      </c>
      <c r="H101" s="606" t="n">
        <v>376</v>
      </c>
      <c r="I101">
        <f>B101&amp;"~"&amp;F101&amp;"~"&amp;G101</f>
        <v/>
      </c>
      <c r="J101" t="inlineStr">
        <is>
          <t>14</t>
        </is>
      </c>
      <c r="K101" t="inlineStr">
        <is>
          <t>14</t>
        </is>
      </c>
      <c r="L101" t="inlineStr">
        <is>
          <t>14</t>
        </is>
      </c>
      <c r="M101" t="inlineStr">
        <is>
          <t>MVS Sec.14 p.15</t>
        </is>
      </c>
    </row>
    <row r="102">
      <c r="B102" t="inlineStr">
        <is>
          <t>Industrials, Heavy (Process) Manufacturing</t>
        </is>
      </c>
      <c r="C102" t="inlineStr">
        <is>
          <t>495</t>
        </is>
      </c>
      <c r="D102" t="inlineStr">
        <is>
          <t>14</t>
        </is>
      </c>
      <c r="E102" t="inlineStr">
        <is>
          <t>15</t>
        </is>
      </c>
      <c r="F102" t="inlineStr">
        <is>
          <t>A</t>
        </is>
      </c>
      <c r="G102" t="inlineStr">
        <is>
          <t>Good</t>
        </is>
      </c>
      <c r="H102" s="606" t="n">
        <v>302</v>
      </c>
      <c r="I102">
        <f>B102&amp;"~"&amp;F102&amp;"~"&amp;G102</f>
        <v/>
      </c>
      <c r="J102" t="inlineStr">
        <is>
          <t>14</t>
        </is>
      </c>
      <c r="K102" t="inlineStr">
        <is>
          <t>14</t>
        </is>
      </c>
      <c r="L102" t="inlineStr">
        <is>
          <t>14</t>
        </is>
      </c>
      <c r="M102" t="inlineStr">
        <is>
          <t>MVS Sec.14 p.15</t>
        </is>
      </c>
    </row>
    <row r="103">
      <c r="B103" t="inlineStr">
        <is>
          <t>Industrials, Heavy (Process) Manufacturing</t>
        </is>
      </c>
      <c r="C103" t="inlineStr">
        <is>
          <t>495</t>
        </is>
      </c>
      <c r="D103" t="inlineStr">
        <is>
          <t>14</t>
        </is>
      </c>
      <c r="E103" t="inlineStr">
        <is>
          <t>15</t>
        </is>
      </c>
      <c r="F103" t="inlineStr">
        <is>
          <t>A</t>
        </is>
      </c>
      <c r="G103" t="inlineStr">
        <is>
          <t>Average</t>
        </is>
      </c>
      <c r="H103" s="606" t="n">
        <v>232</v>
      </c>
      <c r="I103">
        <f>B103&amp;"~"&amp;F103&amp;"~"&amp;G103</f>
        <v/>
      </c>
      <c r="J103" t="inlineStr">
        <is>
          <t>14</t>
        </is>
      </c>
      <c r="K103" t="inlineStr">
        <is>
          <t>14</t>
        </is>
      </c>
      <c r="L103" t="inlineStr">
        <is>
          <t>14</t>
        </is>
      </c>
      <c r="M103" t="inlineStr">
        <is>
          <t>MVS Sec.14 p.15</t>
        </is>
      </c>
    </row>
    <row r="104">
      <c r="B104" t="inlineStr">
        <is>
          <t>Industrials, Heavy (Process) Manufacturing</t>
        </is>
      </c>
      <c r="C104" t="inlineStr">
        <is>
          <t>495</t>
        </is>
      </c>
      <c r="D104" t="inlineStr">
        <is>
          <t>14</t>
        </is>
      </c>
      <c r="E104" t="inlineStr">
        <is>
          <t>15</t>
        </is>
      </c>
      <c r="F104" t="inlineStr">
        <is>
          <t>A</t>
        </is>
      </c>
      <c r="G104" t="inlineStr">
        <is>
          <t>Low Cost</t>
        </is>
      </c>
      <c r="H104" s="606" t="n">
        <v>180</v>
      </c>
      <c r="I104">
        <f>B104&amp;"~"&amp;F104&amp;"~"&amp;G104</f>
        <v/>
      </c>
      <c r="J104" t="inlineStr">
        <is>
          <t>14</t>
        </is>
      </c>
      <c r="K104" t="inlineStr">
        <is>
          <t>14</t>
        </is>
      </c>
      <c r="L104" t="inlineStr">
        <is>
          <t>14</t>
        </is>
      </c>
      <c r="M104" t="inlineStr">
        <is>
          <t>MVS Sec.14 p.15</t>
        </is>
      </c>
    </row>
    <row r="105">
      <c r="B105" t="inlineStr">
        <is>
          <t>Industrials, Heavy (Process) Manufacturing</t>
        </is>
      </c>
      <c r="C105" t="inlineStr">
        <is>
          <t>495</t>
        </is>
      </c>
      <c r="D105" t="inlineStr">
        <is>
          <t>14</t>
        </is>
      </c>
      <c r="E105" t="inlineStr">
        <is>
          <t>15</t>
        </is>
      </c>
      <c r="F105" t="inlineStr">
        <is>
          <t>B</t>
        </is>
      </c>
      <c r="G105" t="inlineStr">
        <is>
          <t>Excellent</t>
        </is>
      </c>
      <c r="H105" s="606" t="n">
        <v>339</v>
      </c>
      <c r="I105">
        <f>B105&amp;"~"&amp;F105&amp;"~"&amp;G105</f>
        <v/>
      </c>
      <c r="J105" t="inlineStr">
        <is>
          <t>14</t>
        </is>
      </c>
      <c r="K105" t="inlineStr">
        <is>
          <t>14</t>
        </is>
      </c>
      <c r="L105" t="inlineStr">
        <is>
          <t>14</t>
        </is>
      </c>
      <c r="M105" t="inlineStr">
        <is>
          <t>MVS Sec.14 p.15</t>
        </is>
      </c>
    </row>
    <row r="106">
      <c r="B106" t="inlineStr">
        <is>
          <t>Industrials, Heavy (Process) Manufacturing</t>
        </is>
      </c>
      <c r="C106" t="inlineStr">
        <is>
          <t>495</t>
        </is>
      </c>
      <c r="D106" t="inlineStr">
        <is>
          <t>14</t>
        </is>
      </c>
      <c r="E106" t="inlineStr">
        <is>
          <t>15</t>
        </is>
      </c>
      <c r="F106" t="inlineStr">
        <is>
          <t>B</t>
        </is>
      </c>
      <c r="G106" t="inlineStr">
        <is>
          <t>Good</t>
        </is>
      </c>
      <c r="H106" s="606" t="n">
        <v>272</v>
      </c>
      <c r="I106">
        <f>B106&amp;"~"&amp;F106&amp;"~"&amp;G106</f>
        <v/>
      </c>
      <c r="J106" t="inlineStr">
        <is>
          <t>14</t>
        </is>
      </c>
      <c r="K106" t="inlineStr">
        <is>
          <t>14</t>
        </is>
      </c>
      <c r="L106" t="inlineStr">
        <is>
          <t>14</t>
        </is>
      </c>
      <c r="M106" t="inlineStr">
        <is>
          <t>MVS Sec.14 p.15</t>
        </is>
      </c>
    </row>
    <row r="107">
      <c r="B107" t="inlineStr">
        <is>
          <t>Industrials, Heavy (Process) Manufacturing</t>
        </is>
      </c>
      <c r="C107" t="inlineStr">
        <is>
          <t>495</t>
        </is>
      </c>
      <c r="D107" t="inlineStr">
        <is>
          <t>14</t>
        </is>
      </c>
      <c r="E107" t="inlineStr">
        <is>
          <t>15</t>
        </is>
      </c>
      <c r="F107" t="inlineStr">
        <is>
          <t>B</t>
        </is>
      </c>
      <c r="G107" t="inlineStr">
        <is>
          <t>Average</t>
        </is>
      </c>
      <c r="H107" s="606" t="n">
        <v>208</v>
      </c>
      <c r="I107">
        <f>B107&amp;"~"&amp;F107&amp;"~"&amp;G107</f>
        <v/>
      </c>
      <c r="J107" t="inlineStr">
        <is>
          <t>14</t>
        </is>
      </c>
      <c r="K107" t="inlineStr">
        <is>
          <t>14</t>
        </is>
      </c>
      <c r="L107" t="inlineStr">
        <is>
          <t>14</t>
        </is>
      </c>
      <c r="M107" t="inlineStr">
        <is>
          <t>MVS Sec.14 p.15</t>
        </is>
      </c>
    </row>
    <row r="108">
      <c r="B108" t="inlineStr">
        <is>
          <t>Industrials, Heavy (Process) Manufacturing</t>
        </is>
      </c>
      <c r="C108" t="inlineStr">
        <is>
          <t>495</t>
        </is>
      </c>
      <c r="D108" t="inlineStr">
        <is>
          <t>14</t>
        </is>
      </c>
      <c r="E108" t="inlineStr">
        <is>
          <t>15</t>
        </is>
      </c>
      <c r="F108" t="inlineStr">
        <is>
          <t>B</t>
        </is>
      </c>
      <c r="G108" t="inlineStr">
        <is>
          <t>Low Cost</t>
        </is>
      </c>
      <c r="H108" s="606" t="n">
        <v>161</v>
      </c>
      <c r="I108">
        <f>B108&amp;"~"&amp;F108&amp;"~"&amp;G108</f>
        <v/>
      </c>
      <c r="J108" t="inlineStr">
        <is>
          <t>14</t>
        </is>
      </c>
      <c r="K108" t="inlineStr">
        <is>
          <t>14</t>
        </is>
      </c>
      <c r="L108" t="inlineStr">
        <is>
          <t>14</t>
        </is>
      </c>
      <c r="M108" t="inlineStr">
        <is>
          <t>MVS Sec.14 p.15</t>
        </is>
      </c>
    </row>
    <row r="109">
      <c r="B109" t="inlineStr">
        <is>
          <t>Industrials, Heavy (Process) Manufacturing</t>
        </is>
      </c>
      <c r="C109" t="inlineStr">
        <is>
          <t>495</t>
        </is>
      </c>
      <c r="D109" t="inlineStr">
        <is>
          <t>14</t>
        </is>
      </c>
      <c r="E109" t="inlineStr">
        <is>
          <t>15</t>
        </is>
      </c>
      <c r="F109" t="inlineStr">
        <is>
          <t>C</t>
        </is>
      </c>
      <c r="G109" t="inlineStr">
        <is>
          <t>Good</t>
        </is>
      </c>
      <c r="H109" s="606" t="n">
        <v>217</v>
      </c>
      <c r="I109">
        <f>B109&amp;"~"&amp;F109&amp;"~"&amp;G109</f>
        <v/>
      </c>
      <c r="J109" t="inlineStr">
        <is>
          <t>14</t>
        </is>
      </c>
      <c r="K109" t="inlineStr">
        <is>
          <t>14</t>
        </is>
      </c>
      <c r="L109" t="inlineStr">
        <is>
          <t>14</t>
        </is>
      </c>
      <c r="M109" t="inlineStr">
        <is>
          <t>MVS Sec.14 p.15</t>
        </is>
      </c>
    </row>
    <row r="110">
      <c r="B110" t="inlineStr">
        <is>
          <t>Industrials, Heavy (Process) Manufacturing</t>
        </is>
      </c>
      <c r="C110" t="inlineStr">
        <is>
          <t>495</t>
        </is>
      </c>
      <c r="D110" t="inlineStr">
        <is>
          <t>14</t>
        </is>
      </c>
      <c r="E110" t="inlineStr">
        <is>
          <t>15</t>
        </is>
      </c>
      <c r="F110" t="inlineStr">
        <is>
          <t>C</t>
        </is>
      </c>
      <c r="G110" t="inlineStr">
        <is>
          <t>Average</t>
        </is>
      </c>
      <c r="H110" s="606" t="n">
        <v>162</v>
      </c>
      <c r="I110">
        <f>B110&amp;"~"&amp;F110&amp;"~"&amp;G110</f>
        <v/>
      </c>
      <c r="J110" t="inlineStr">
        <is>
          <t>14</t>
        </is>
      </c>
      <c r="K110" t="inlineStr">
        <is>
          <t>14</t>
        </is>
      </c>
      <c r="L110" t="inlineStr">
        <is>
          <t>14</t>
        </is>
      </c>
      <c r="M110" t="inlineStr">
        <is>
          <t>MVS Sec.14 p.15</t>
        </is>
      </c>
    </row>
    <row r="111">
      <c r="B111" t="inlineStr">
        <is>
          <t>Industrials, Heavy (Process) Manufacturing</t>
        </is>
      </c>
      <c r="C111" t="inlineStr">
        <is>
          <t>495</t>
        </is>
      </c>
      <c r="D111" t="inlineStr">
        <is>
          <t>14</t>
        </is>
      </c>
      <c r="E111" t="inlineStr">
        <is>
          <t>15</t>
        </is>
      </c>
      <c r="F111" t="inlineStr">
        <is>
          <t>C</t>
        </is>
      </c>
      <c r="G111" t="inlineStr">
        <is>
          <t>Low Cost</t>
        </is>
      </c>
      <c r="H111" s="606" t="n">
        <v>117</v>
      </c>
      <c r="I111">
        <f>B111&amp;"~"&amp;F111&amp;"~"&amp;G111</f>
        <v/>
      </c>
      <c r="J111" t="inlineStr">
        <is>
          <t>14</t>
        </is>
      </c>
      <c r="K111" t="inlineStr">
        <is>
          <t>14</t>
        </is>
      </c>
      <c r="L111" t="inlineStr">
        <is>
          <t>14</t>
        </is>
      </c>
      <c r="M111" t="inlineStr">
        <is>
          <t>MVS Sec.14 p.15</t>
        </is>
      </c>
    </row>
    <row r="112">
      <c r="B112" t="inlineStr">
        <is>
          <t>Industrials, Heavy (Process) Manufacturing</t>
        </is>
      </c>
      <c r="C112" t="inlineStr">
        <is>
          <t>495</t>
        </is>
      </c>
      <c r="D112" t="inlineStr">
        <is>
          <t>14</t>
        </is>
      </c>
      <c r="E112" t="inlineStr">
        <is>
          <t>15</t>
        </is>
      </c>
      <c r="F112" t="inlineStr">
        <is>
          <t>CMILL</t>
        </is>
      </c>
      <c r="G112" t="inlineStr">
        <is>
          <t>Good</t>
        </is>
      </c>
      <c r="H112" s="606" t="n">
        <v>139</v>
      </c>
      <c r="I112">
        <f>B112&amp;"~"&amp;F112&amp;"~"&amp;G112</f>
        <v/>
      </c>
      <c r="J112" t="inlineStr">
        <is>
          <t>14</t>
        </is>
      </c>
      <c r="K112" t="inlineStr">
        <is>
          <t>14</t>
        </is>
      </c>
      <c r="L112" t="inlineStr">
        <is>
          <t>14</t>
        </is>
      </c>
      <c r="M112" t="inlineStr">
        <is>
          <t>MVS Sec.14 p.15</t>
        </is>
      </c>
    </row>
    <row r="113">
      <c r="B113" t="inlineStr">
        <is>
          <t>Industrials, Heavy (Process) Manufacturing</t>
        </is>
      </c>
      <c r="C113" t="inlineStr">
        <is>
          <t>495</t>
        </is>
      </c>
      <c r="D113" t="inlineStr">
        <is>
          <t>14</t>
        </is>
      </c>
      <c r="E113" t="inlineStr">
        <is>
          <t>15</t>
        </is>
      </c>
      <c r="F113" t="inlineStr">
        <is>
          <t>CMILL</t>
        </is>
      </c>
      <c r="G113" t="inlineStr">
        <is>
          <t>Average</t>
        </is>
      </c>
      <c r="H113" s="606" t="n">
        <v>106</v>
      </c>
      <c r="I113">
        <f>B113&amp;"~"&amp;F113&amp;"~"&amp;G113</f>
        <v/>
      </c>
      <c r="J113" t="inlineStr">
        <is>
          <t>14</t>
        </is>
      </c>
      <c r="K113" t="inlineStr">
        <is>
          <t>14</t>
        </is>
      </c>
      <c r="L113" t="inlineStr">
        <is>
          <t>14</t>
        </is>
      </c>
      <c r="M113" t="inlineStr">
        <is>
          <t>MVS Sec.14 p.15</t>
        </is>
      </c>
    </row>
    <row r="114">
      <c r="B114" t="inlineStr">
        <is>
          <t>Industrials, Heavy (Process) Manufacturing</t>
        </is>
      </c>
      <c r="C114" t="inlineStr">
        <is>
          <t>495</t>
        </is>
      </c>
      <c r="D114" t="inlineStr">
        <is>
          <t>14</t>
        </is>
      </c>
      <c r="E114" t="inlineStr">
        <is>
          <t>15</t>
        </is>
      </c>
      <c r="F114" t="inlineStr">
        <is>
          <t>D</t>
        </is>
      </c>
      <c r="G114" t="inlineStr">
        <is>
          <t>Average</t>
        </is>
      </c>
      <c r="H114" s="606" t="n">
        <v>144</v>
      </c>
      <c r="I114">
        <f>B114&amp;"~"&amp;F114&amp;"~"&amp;G114</f>
        <v/>
      </c>
      <c r="J114" t="inlineStr">
        <is>
          <t>14</t>
        </is>
      </c>
      <c r="K114" t="inlineStr">
        <is>
          <t>14</t>
        </is>
      </c>
      <c r="L114" t="inlineStr">
        <is>
          <t>14</t>
        </is>
      </c>
      <c r="M114" t="inlineStr">
        <is>
          <t>MVS Sec.14 p.15</t>
        </is>
      </c>
    </row>
    <row r="115">
      <c r="B115" t="inlineStr">
        <is>
          <t>Industrials, Heavy (Process) Manufacturing</t>
        </is>
      </c>
      <c r="C115" t="inlineStr">
        <is>
          <t>495</t>
        </is>
      </c>
      <c r="D115" t="inlineStr">
        <is>
          <t>14</t>
        </is>
      </c>
      <c r="E115" t="inlineStr">
        <is>
          <t>15</t>
        </is>
      </c>
      <c r="F115" t="inlineStr">
        <is>
          <t>D</t>
        </is>
      </c>
      <c r="G115" t="inlineStr">
        <is>
          <t>Low Cost</t>
        </is>
      </c>
      <c r="H115" s="606" t="n">
        <v>111</v>
      </c>
      <c r="I115">
        <f>B115&amp;"~"&amp;F115&amp;"~"&amp;G115</f>
        <v/>
      </c>
      <c r="J115" t="inlineStr">
        <is>
          <t>14</t>
        </is>
      </c>
      <c r="K115" t="inlineStr">
        <is>
          <t>14</t>
        </is>
      </c>
      <c r="L115" t="inlineStr">
        <is>
          <t>14</t>
        </is>
      </c>
      <c r="M115" t="inlineStr">
        <is>
          <t>MVS Sec.14 p.15</t>
        </is>
      </c>
    </row>
    <row r="116">
      <c r="B116" t="inlineStr">
        <is>
          <t>Industrials, Heavy (Process) Manufacturing</t>
        </is>
      </c>
      <c r="C116" t="inlineStr">
        <is>
          <t>495</t>
        </is>
      </c>
      <c r="D116" t="inlineStr">
        <is>
          <t>14</t>
        </is>
      </c>
      <c r="E116" t="inlineStr">
        <is>
          <t>15</t>
        </is>
      </c>
      <c r="F116" t="inlineStr">
        <is>
          <t>S</t>
        </is>
      </c>
      <c r="G116" t="inlineStr">
        <is>
          <t>Good</t>
        </is>
      </c>
      <c r="H116" s="606" t="n">
        <v>209</v>
      </c>
      <c r="I116">
        <f>B116&amp;"~"&amp;F116&amp;"~"&amp;G116</f>
        <v/>
      </c>
      <c r="J116" t="inlineStr">
        <is>
          <t>14</t>
        </is>
      </c>
      <c r="K116" t="inlineStr">
        <is>
          <t>14</t>
        </is>
      </c>
      <c r="L116" t="inlineStr">
        <is>
          <t>14</t>
        </is>
      </c>
      <c r="M116" t="inlineStr">
        <is>
          <t>MVS Sec.14 p.15</t>
        </is>
      </c>
    </row>
    <row r="117">
      <c r="B117" t="inlineStr">
        <is>
          <t>Industrials, Heavy (Process) Manufacturing</t>
        </is>
      </c>
      <c r="C117" t="inlineStr">
        <is>
          <t>495</t>
        </is>
      </c>
      <c r="D117" t="inlineStr">
        <is>
          <t>14</t>
        </is>
      </c>
      <c r="E117" t="inlineStr">
        <is>
          <t>15</t>
        </is>
      </c>
      <c r="F117" t="inlineStr">
        <is>
          <t>S</t>
        </is>
      </c>
      <c r="G117" t="inlineStr">
        <is>
          <t>Average</t>
        </is>
      </c>
      <c r="H117" s="606" t="n">
        <v>149</v>
      </c>
      <c r="I117">
        <f>B117&amp;"~"&amp;F117&amp;"~"&amp;G117</f>
        <v/>
      </c>
      <c r="J117" t="inlineStr">
        <is>
          <t>14</t>
        </is>
      </c>
      <c r="K117" t="inlineStr">
        <is>
          <t>14</t>
        </is>
      </c>
      <c r="L117" t="inlineStr">
        <is>
          <t>14</t>
        </is>
      </c>
      <c r="M117" t="inlineStr">
        <is>
          <t>MVS Sec.14 p.15</t>
        </is>
      </c>
    </row>
    <row r="118">
      <c r="B118" t="inlineStr">
        <is>
          <t>Industrials, Heavy (Process) Manufacturing</t>
        </is>
      </c>
      <c r="C118" t="inlineStr">
        <is>
          <t>495</t>
        </is>
      </c>
      <c r="D118" t="inlineStr">
        <is>
          <t>14</t>
        </is>
      </c>
      <c r="E118" t="inlineStr">
        <is>
          <t>15</t>
        </is>
      </c>
      <c r="F118" t="inlineStr">
        <is>
          <t>S</t>
        </is>
      </c>
      <c r="G118" t="inlineStr">
        <is>
          <t>Low Cost</t>
        </is>
      </c>
      <c r="H118" s="606" t="n">
        <v>113</v>
      </c>
      <c r="I118">
        <f>B118&amp;"~"&amp;F118&amp;"~"&amp;G118</f>
        <v/>
      </c>
      <c r="J118" t="inlineStr">
        <is>
          <t>14</t>
        </is>
      </c>
      <c r="K118" t="inlineStr">
        <is>
          <t>14</t>
        </is>
      </c>
      <c r="L118" t="inlineStr">
        <is>
          <t>14</t>
        </is>
      </c>
      <c r="M118" t="inlineStr">
        <is>
          <t>MVS Sec.14 p.15</t>
        </is>
      </c>
    </row>
    <row r="119">
      <c r="B119" t="inlineStr">
        <is>
          <t>Service Garages (Commercial/Repair)</t>
        </is>
      </c>
      <c r="C119" t="inlineStr">
        <is>
          <t>528</t>
        </is>
      </c>
      <c r="D119" t="inlineStr">
        <is>
          <t>14</t>
        </is>
      </c>
      <c r="E119" t="inlineStr">
        <is>
          <t>32</t>
        </is>
      </c>
      <c r="F119" t="inlineStr">
        <is>
          <t>A-B</t>
        </is>
      </c>
      <c r="G119" t="inlineStr">
        <is>
          <t>Average</t>
        </is>
      </c>
      <c r="H119" s="606" t="n">
        <v>122</v>
      </c>
      <c r="I119">
        <f>B119&amp;"~"&amp;F119&amp;"~"&amp;G119</f>
        <v/>
      </c>
      <c r="J119" t="inlineStr">
        <is>
          <t>14</t>
        </is>
      </c>
      <c r="K119" t="inlineStr">
        <is>
          <t>14</t>
        </is>
      </c>
      <c r="L119" t="inlineStr">
        <is>
          <t>14</t>
        </is>
      </c>
      <c r="M119" t="inlineStr">
        <is>
          <t>MVS Sec.14 p.32</t>
        </is>
      </c>
    </row>
    <row r="120">
      <c r="B120" t="inlineStr">
        <is>
          <t>Service Garages (Commercial/Repair)</t>
        </is>
      </c>
      <c r="C120" t="inlineStr">
        <is>
          <t>528</t>
        </is>
      </c>
      <c r="D120" t="inlineStr">
        <is>
          <t>14</t>
        </is>
      </c>
      <c r="E120" t="inlineStr">
        <is>
          <t>32</t>
        </is>
      </c>
      <c r="F120" t="inlineStr">
        <is>
          <t>C</t>
        </is>
      </c>
      <c r="G120" t="inlineStr">
        <is>
          <t>Excellent</t>
        </is>
      </c>
      <c r="H120" s="606" t="n">
        <v>156</v>
      </c>
      <c r="I120">
        <f>B120&amp;"~"&amp;F120&amp;"~"&amp;G120</f>
        <v/>
      </c>
      <c r="J120" t="inlineStr">
        <is>
          <t>14</t>
        </is>
      </c>
      <c r="K120" t="inlineStr">
        <is>
          <t>14</t>
        </is>
      </c>
      <c r="L120" t="inlineStr">
        <is>
          <t>14</t>
        </is>
      </c>
      <c r="M120" t="inlineStr">
        <is>
          <t>MVS Sec.14 p.32</t>
        </is>
      </c>
    </row>
    <row r="121">
      <c r="B121" t="inlineStr">
        <is>
          <t>Service Garages (Commercial/Repair)</t>
        </is>
      </c>
      <c r="C121" t="inlineStr">
        <is>
          <t>528</t>
        </is>
      </c>
      <c r="D121" t="inlineStr">
        <is>
          <t>14</t>
        </is>
      </c>
      <c r="E121" t="inlineStr">
        <is>
          <t>32</t>
        </is>
      </c>
      <c r="F121" t="inlineStr">
        <is>
          <t>C</t>
        </is>
      </c>
      <c r="G121" t="inlineStr">
        <is>
          <t>Good</t>
        </is>
      </c>
      <c r="H121" s="606" t="n">
        <v>109</v>
      </c>
      <c r="I121">
        <f>B121&amp;"~"&amp;F121&amp;"~"&amp;G121</f>
        <v/>
      </c>
      <c r="J121" t="inlineStr">
        <is>
          <t>14</t>
        </is>
      </c>
      <c r="K121" t="inlineStr">
        <is>
          <t>14</t>
        </is>
      </c>
      <c r="L121" t="inlineStr">
        <is>
          <t>14</t>
        </is>
      </c>
      <c r="M121" t="inlineStr">
        <is>
          <t>MVS Sec.14 p.32</t>
        </is>
      </c>
    </row>
    <row r="122">
      <c r="B122" t="inlineStr">
        <is>
          <t>Service Garages (Commercial/Repair)</t>
        </is>
      </c>
      <c r="C122" t="inlineStr">
        <is>
          <t>528</t>
        </is>
      </c>
      <c r="D122" t="inlineStr">
        <is>
          <t>14</t>
        </is>
      </c>
      <c r="E122" t="inlineStr">
        <is>
          <t>32</t>
        </is>
      </c>
      <c r="F122" t="inlineStr">
        <is>
          <t>C</t>
        </is>
      </c>
      <c r="G122" t="inlineStr">
        <is>
          <t>Average</t>
        </is>
      </c>
      <c r="H122" s="606" t="n">
        <v>79.5</v>
      </c>
      <c r="I122">
        <f>B122&amp;"~"&amp;F122&amp;"~"&amp;G122</f>
        <v/>
      </c>
      <c r="J122" t="inlineStr">
        <is>
          <t>14</t>
        </is>
      </c>
      <c r="K122" t="inlineStr">
        <is>
          <t>14</t>
        </is>
      </c>
      <c r="L122" t="inlineStr">
        <is>
          <t>14</t>
        </is>
      </c>
      <c r="M122" t="inlineStr">
        <is>
          <t>MVS Sec.14 p.32</t>
        </is>
      </c>
    </row>
    <row r="123">
      <c r="B123" t="inlineStr">
        <is>
          <t>Service Garages (Commercial/Repair)</t>
        </is>
      </c>
      <c r="C123" t="inlineStr">
        <is>
          <t>528</t>
        </is>
      </c>
      <c r="D123" t="inlineStr">
        <is>
          <t>14</t>
        </is>
      </c>
      <c r="E123" t="inlineStr">
        <is>
          <t>32</t>
        </is>
      </c>
      <c r="F123" t="inlineStr">
        <is>
          <t>C</t>
        </is>
      </c>
      <c r="G123" t="inlineStr">
        <is>
          <t>Low Cost</t>
        </is>
      </c>
      <c r="H123" s="606" t="n">
        <v>57.5</v>
      </c>
      <c r="I123">
        <f>B123&amp;"~"&amp;F123&amp;"~"&amp;G123</f>
        <v/>
      </c>
      <c r="J123" t="inlineStr">
        <is>
          <t>14</t>
        </is>
      </c>
      <c r="K123" t="inlineStr">
        <is>
          <t>14</t>
        </is>
      </c>
      <c r="L123" t="inlineStr">
        <is>
          <t>14</t>
        </is>
      </c>
      <c r="M123" t="inlineStr">
        <is>
          <t>MVS Sec.14 p.32</t>
        </is>
      </c>
    </row>
    <row r="124">
      <c r="B124" t="inlineStr">
        <is>
          <t>Service Garages (Commercial/Repair)</t>
        </is>
      </c>
      <c r="C124" t="inlineStr">
        <is>
          <t>528</t>
        </is>
      </c>
      <c r="D124" t="inlineStr">
        <is>
          <t>14</t>
        </is>
      </c>
      <c r="E124" t="inlineStr">
        <is>
          <t>32</t>
        </is>
      </c>
      <c r="F124" t="inlineStr">
        <is>
          <t>D</t>
        </is>
      </c>
      <c r="G124" t="inlineStr">
        <is>
          <t>Good</t>
        </is>
      </c>
      <c r="H124" s="606" t="n">
        <v>96</v>
      </c>
      <c r="I124">
        <f>B124&amp;"~"&amp;F124&amp;"~"&amp;G124</f>
        <v/>
      </c>
      <c r="J124" t="inlineStr">
        <is>
          <t>14</t>
        </is>
      </c>
      <c r="K124" t="inlineStr">
        <is>
          <t>14</t>
        </is>
      </c>
      <c r="L124" t="inlineStr">
        <is>
          <t>14</t>
        </is>
      </c>
      <c r="M124" t="inlineStr">
        <is>
          <t>MVS Sec.14 p.32</t>
        </is>
      </c>
    </row>
    <row r="125">
      <c r="B125" t="inlineStr">
        <is>
          <t>Service Garages (Commercial/Repair)</t>
        </is>
      </c>
      <c r="C125" t="inlineStr">
        <is>
          <t>528</t>
        </is>
      </c>
      <c r="D125" t="inlineStr">
        <is>
          <t>14</t>
        </is>
      </c>
      <c r="E125" t="inlineStr">
        <is>
          <t>32</t>
        </is>
      </c>
      <c r="F125" t="inlineStr">
        <is>
          <t>D</t>
        </is>
      </c>
      <c r="G125" t="inlineStr">
        <is>
          <t>Average</t>
        </is>
      </c>
      <c r="H125" s="606" t="n">
        <v>70.5</v>
      </c>
      <c r="I125">
        <f>B125&amp;"~"&amp;F125&amp;"~"&amp;G125</f>
        <v/>
      </c>
      <c r="J125" t="inlineStr">
        <is>
          <t>14</t>
        </is>
      </c>
      <c r="K125" t="inlineStr">
        <is>
          <t>14</t>
        </is>
      </c>
      <c r="L125" t="inlineStr">
        <is>
          <t>14</t>
        </is>
      </c>
      <c r="M125" t="inlineStr">
        <is>
          <t>MVS Sec.14 p.32</t>
        </is>
      </c>
    </row>
    <row r="126">
      <c r="B126" t="inlineStr">
        <is>
          <t>Service Garages (Commercial/Repair)</t>
        </is>
      </c>
      <c r="C126" t="inlineStr">
        <is>
          <t>528</t>
        </is>
      </c>
      <c r="D126" t="inlineStr">
        <is>
          <t>14</t>
        </is>
      </c>
      <c r="E126" t="inlineStr">
        <is>
          <t>32</t>
        </is>
      </c>
      <c r="F126" t="inlineStr">
        <is>
          <t>D</t>
        </is>
      </c>
      <c r="G126" t="inlineStr">
        <is>
          <t>Low Cost</t>
        </is>
      </c>
      <c r="H126" s="606" t="n">
        <v>52</v>
      </c>
      <c r="I126">
        <f>B126&amp;"~"&amp;F126&amp;"~"&amp;G126</f>
        <v/>
      </c>
      <c r="J126" t="inlineStr">
        <is>
          <t>14</t>
        </is>
      </c>
      <c r="K126" t="inlineStr">
        <is>
          <t>14</t>
        </is>
      </c>
      <c r="L126" t="inlineStr">
        <is>
          <t>14</t>
        </is>
      </c>
      <c r="M126" t="inlineStr">
        <is>
          <t>MVS Sec.14 p.32</t>
        </is>
      </c>
    </row>
    <row r="127">
      <c r="B127" t="inlineStr">
        <is>
          <t>Service Garages (Commercial/Repair)</t>
        </is>
      </c>
      <c r="C127" t="inlineStr">
        <is>
          <t>528</t>
        </is>
      </c>
      <c r="D127" t="inlineStr">
        <is>
          <t>14</t>
        </is>
      </c>
      <c r="E127" t="inlineStr">
        <is>
          <t>32</t>
        </is>
      </c>
      <c r="F127" t="inlineStr">
        <is>
          <t>DPOLE</t>
        </is>
      </c>
      <c r="G127" t="inlineStr">
        <is>
          <t>Average</t>
        </is>
      </c>
      <c r="H127" s="606" t="n">
        <v>62</v>
      </c>
      <c r="I127">
        <f>B127&amp;"~"&amp;F127&amp;"~"&amp;G127</f>
        <v/>
      </c>
      <c r="J127" t="inlineStr">
        <is>
          <t>14</t>
        </is>
      </c>
      <c r="K127" t="inlineStr">
        <is>
          <t>14</t>
        </is>
      </c>
      <c r="L127" t="inlineStr">
        <is>
          <t>14</t>
        </is>
      </c>
      <c r="M127" t="inlineStr">
        <is>
          <t>MVS Sec.14 p.32</t>
        </is>
      </c>
    </row>
    <row r="128">
      <c r="B128" t="inlineStr">
        <is>
          <t>Service Garages (Commercial/Repair)</t>
        </is>
      </c>
      <c r="C128" t="inlineStr">
        <is>
          <t>528</t>
        </is>
      </c>
      <c r="D128" t="inlineStr">
        <is>
          <t>14</t>
        </is>
      </c>
      <c r="E128" t="inlineStr">
        <is>
          <t>32</t>
        </is>
      </c>
      <c r="F128" t="inlineStr">
        <is>
          <t>DPOLE</t>
        </is>
      </c>
      <c r="G128" t="inlineStr">
        <is>
          <t>Low Cost</t>
        </is>
      </c>
      <c r="H128" s="606" t="n">
        <v>45.5</v>
      </c>
      <c r="I128">
        <f>B128&amp;"~"&amp;F128&amp;"~"&amp;G128</f>
        <v/>
      </c>
      <c r="J128" t="inlineStr">
        <is>
          <t>14</t>
        </is>
      </c>
      <c r="K128" t="inlineStr">
        <is>
          <t>14</t>
        </is>
      </c>
      <c r="L128" t="inlineStr">
        <is>
          <t>14</t>
        </is>
      </c>
      <c r="M128" t="inlineStr">
        <is>
          <t>MVS Sec.14 p.32</t>
        </is>
      </c>
    </row>
    <row r="129">
      <c r="B129" t="inlineStr">
        <is>
          <t>Service Garages (Commercial/Repair)</t>
        </is>
      </c>
      <c r="C129" t="inlineStr">
        <is>
          <t>528</t>
        </is>
      </c>
      <c r="D129" t="inlineStr">
        <is>
          <t>14</t>
        </is>
      </c>
      <c r="E129" t="inlineStr">
        <is>
          <t>32</t>
        </is>
      </c>
      <c r="F129" t="inlineStr">
        <is>
          <t>S</t>
        </is>
      </c>
      <c r="G129" t="inlineStr">
        <is>
          <t>Good</t>
        </is>
      </c>
      <c r="H129" s="606" t="n">
        <v>94.5</v>
      </c>
      <c r="I129">
        <f>B129&amp;"~"&amp;F129&amp;"~"&amp;G129</f>
        <v/>
      </c>
      <c r="J129" t="inlineStr">
        <is>
          <t>14</t>
        </is>
      </c>
      <c r="K129" t="inlineStr">
        <is>
          <t>14</t>
        </is>
      </c>
      <c r="L129" t="inlineStr">
        <is>
          <t>14</t>
        </is>
      </c>
      <c r="M129" t="inlineStr">
        <is>
          <t>MVS Sec.14 p.32</t>
        </is>
      </c>
    </row>
    <row r="130">
      <c r="B130" t="inlineStr">
        <is>
          <t>Service Garages (Commercial/Repair)</t>
        </is>
      </c>
      <c r="C130" t="inlineStr">
        <is>
          <t>528</t>
        </is>
      </c>
      <c r="D130" t="inlineStr">
        <is>
          <t>14</t>
        </is>
      </c>
      <c r="E130" t="inlineStr">
        <is>
          <t>32</t>
        </is>
      </c>
      <c r="F130" t="inlineStr">
        <is>
          <t>S</t>
        </is>
      </c>
      <c r="G130" t="inlineStr">
        <is>
          <t>Average</t>
        </is>
      </c>
      <c r="H130" s="606" t="n">
        <v>68</v>
      </c>
      <c r="I130">
        <f>B130&amp;"~"&amp;F130&amp;"~"&amp;G130</f>
        <v/>
      </c>
      <c r="J130" t="inlineStr">
        <is>
          <t>14</t>
        </is>
      </c>
      <c r="K130" t="inlineStr">
        <is>
          <t>14</t>
        </is>
      </c>
      <c r="L130" t="inlineStr">
        <is>
          <t>14</t>
        </is>
      </c>
      <c r="M130" t="inlineStr">
        <is>
          <t>MVS Sec.14 p.32</t>
        </is>
      </c>
    </row>
    <row r="131">
      <c r="B131" t="inlineStr">
        <is>
          <t>Service Garages (Commercial/Repair)</t>
        </is>
      </c>
      <c r="C131" t="inlineStr">
        <is>
          <t>528</t>
        </is>
      </c>
      <c r="D131" t="inlineStr">
        <is>
          <t>14</t>
        </is>
      </c>
      <c r="E131" t="inlineStr">
        <is>
          <t>32</t>
        </is>
      </c>
      <c r="F131" t="inlineStr">
        <is>
          <t>S</t>
        </is>
      </c>
      <c r="G131" t="inlineStr">
        <is>
          <t>Low Cost</t>
        </is>
      </c>
      <c r="H131" s="606" t="n">
        <v>49.5</v>
      </c>
      <c r="I131">
        <f>B131&amp;"~"&amp;F131&amp;"~"&amp;G131</f>
        <v/>
      </c>
      <c r="J131" t="inlineStr">
        <is>
          <t>14</t>
        </is>
      </c>
      <c r="K131" t="inlineStr">
        <is>
          <t>14</t>
        </is>
      </c>
      <c r="L131" t="inlineStr">
        <is>
          <t>14</t>
        </is>
      </c>
      <c r="M131" t="inlineStr">
        <is>
          <t>MVS Sec.14 p.32</t>
        </is>
      </c>
    </row>
    <row r="132">
      <c r="B132" t="inlineStr">
        <is>
          <t>Retail Stores</t>
        </is>
      </c>
      <c r="C132" t="inlineStr">
        <is>
          <t>353</t>
        </is>
      </c>
      <c r="D132" t="inlineStr">
        <is>
          <t>13</t>
        </is>
      </c>
      <c r="E132" t="inlineStr">
        <is>
          <t>26</t>
        </is>
      </c>
      <c r="F132" t="inlineStr">
        <is>
          <t>A</t>
        </is>
      </c>
      <c r="G132" t="inlineStr">
        <is>
          <t>Excellent</t>
        </is>
      </c>
      <c r="H132" s="606" t="n">
        <v>273</v>
      </c>
      <c r="I132">
        <f>B132&amp;"~"&amp;F132&amp;"~"&amp;G132</f>
        <v/>
      </c>
      <c r="J132" t="inlineStr">
        <is>
          <t>13</t>
        </is>
      </c>
      <c r="K132" t="inlineStr">
        <is>
          <t>13</t>
        </is>
      </c>
      <c r="L132" t="inlineStr">
        <is>
          <t>13</t>
        </is>
      </c>
      <c r="M132" t="inlineStr">
        <is>
          <t>MVS Sec.13 p.26</t>
        </is>
      </c>
    </row>
    <row r="133">
      <c r="B133" t="inlineStr">
        <is>
          <t>Retail Stores</t>
        </is>
      </c>
      <c r="C133" t="inlineStr">
        <is>
          <t>353</t>
        </is>
      </c>
      <c r="D133" t="inlineStr">
        <is>
          <t>13</t>
        </is>
      </c>
      <c r="E133" t="inlineStr">
        <is>
          <t>26</t>
        </is>
      </c>
      <c r="F133" t="inlineStr">
        <is>
          <t>A</t>
        </is>
      </c>
      <c r="G133" t="inlineStr">
        <is>
          <t>Good</t>
        </is>
      </c>
      <c r="H133" s="606" t="n">
        <v>205</v>
      </c>
      <c r="I133">
        <f>B133&amp;"~"&amp;F133&amp;"~"&amp;G133</f>
        <v/>
      </c>
      <c r="J133" t="inlineStr">
        <is>
          <t>13</t>
        </is>
      </c>
      <c r="K133" t="inlineStr">
        <is>
          <t>13</t>
        </is>
      </c>
      <c r="L133" t="inlineStr">
        <is>
          <t>13</t>
        </is>
      </c>
      <c r="M133" t="inlineStr">
        <is>
          <t>MVS Sec.13 p.26</t>
        </is>
      </c>
    </row>
    <row r="134">
      <c r="B134" t="inlineStr">
        <is>
          <t>Retail Stores</t>
        </is>
      </c>
      <c r="C134" t="inlineStr">
        <is>
          <t>353</t>
        </is>
      </c>
      <c r="D134" t="inlineStr">
        <is>
          <t>13</t>
        </is>
      </c>
      <c r="E134" t="inlineStr">
        <is>
          <t>26</t>
        </is>
      </c>
      <c r="F134" t="inlineStr">
        <is>
          <t>A</t>
        </is>
      </c>
      <c r="G134" t="inlineStr">
        <is>
          <t>Average</t>
        </is>
      </c>
      <c r="H134" s="606" t="n">
        <v>161</v>
      </c>
      <c r="I134">
        <f>B134&amp;"~"&amp;F134&amp;"~"&amp;G134</f>
        <v/>
      </c>
      <c r="J134" t="inlineStr">
        <is>
          <t>13</t>
        </is>
      </c>
      <c r="K134" t="inlineStr">
        <is>
          <t>13</t>
        </is>
      </c>
      <c r="L134" t="inlineStr">
        <is>
          <t>13</t>
        </is>
      </c>
      <c r="M134" t="inlineStr">
        <is>
          <t>MVS Sec.13 p.26</t>
        </is>
      </c>
    </row>
    <row r="135">
      <c r="B135" t="inlineStr">
        <is>
          <t>Retail Stores</t>
        </is>
      </c>
      <c r="C135" t="inlineStr">
        <is>
          <t>353</t>
        </is>
      </c>
      <c r="D135" t="inlineStr">
        <is>
          <t>13</t>
        </is>
      </c>
      <c r="E135" t="inlineStr">
        <is>
          <t>26</t>
        </is>
      </c>
      <c r="F135" t="inlineStr">
        <is>
          <t>A</t>
        </is>
      </c>
      <c r="G135" t="inlineStr">
        <is>
          <t>Low Cost</t>
        </is>
      </c>
      <c r="H135" s="606" t="n">
        <v>123</v>
      </c>
      <c r="I135">
        <f>B135&amp;"~"&amp;F135&amp;"~"&amp;G135</f>
        <v/>
      </c>
      <c r="J135" t="inlineStr">
        <is>
          <t>13</t>
        </is>
      </c>
      <c r="K135" t="inlineStr">
        <is>
          <t>13</t>
        </is>
      </c>
      <c r="L135" t="inlineStr">
        <is>
          <t>13</t>
        </is>
      </c>
      <c r="M135" t="inlineStr">
        <is>
          <t>MVS Sec.13 p.26</t>
        </is>
      </c>
    </row>
    <row r="136">
      <c r="B136" t="inlineStr">
        <is>
          <t>Retail Stores</t>
        </is>
      </c>
      <c r="C136" t="inlineStr">
        <is>
          <t>353</t>
        </is>
      </c>
      <c r="D136" t="inlineStr">
        <is>
          <t>13</t>
        </is>
      </c>
      <c r="E136" t="inlineStr">
        <is>
          <t>26</t>
        </is>
      </c>
      <c r="F136" t="inlineStr">
        <is>
          <t>B</t>
        </is>
      </c>
      <c r="G136" t="inlineStr">
        <is>
          <t>Excellent</t>
        </is>
      </c>
      <c r="H136" s="606" t="n">
        <v>248</v>
      </c>
      <c r="I136">
        <f>B136&amp;"~"&amp;F136&amp;"~"&amp;G136</f>
        <v/>
      </c>
      <c r="J136" t="inlineStr">
        <is>
          <t>13</t>
        </is>
      </c>
      <c r="K136" t="inlineStr">
        <is>
          <t>13</t>
        </is>
      </c>
      <c r="L136" t="inlineStr">
        <is>
          <t>13</t>
        </is>
      </c>
      <c r="M136" t="inlineStr">
        <is>
          <t>MVS Sec.13 p.26</t>
        </is>
      </c>
    </row>
    <row r="137">
      <c r="B137" t="inlineStr">
        <is>
          <t>Retail Stores</t>
        </is>
      </c>
      <c r="C137" t="inlineStr">
        <is>
          <t>353</t>
        </is>
      </c>
      <c r="D137" t="inlineStr">
        <is>
          <t>13</t>
        </is>
      </c>
      <c r="E137" t="inlineStr">
        <is>
          <t>26</t>
        </is>
      </c>
      <c r="F137" t="inlineStr">
        <is>
          <t>B</t>
        </is>
      </c>
      <c r="G137" t="inlineStr">
        <is>
          <t>Good</t>
        </is>
      </c>
      <c r="H137" s="606" t="n">
        <v>185</v>
      </c>
      <c r="I137">
        <f>B137&amp;"~"&amp;F137&amp;"~"&amp;G137</f>
        <v/>
      </c>
      <c r="J137" t="inlineStr">
        <is>
          <t>13</t>
        </is>
      </c>
      <c r="K137" t="inlineStr">
        <is>
          <t>13</t>
        </is>
      </c>
      <c r="L137" t="inlineStr">
        <is>
          <t>13</t>
        </is>
      </c>
      <c r="M137" t="inlineStr">
        <is>
          <t>MVS Sec.13 p.26</t>
        </is>
      </c>
    </row>
    <row r="138">
      <c r="B138" t="inlineStr">
        <is>
          <t>Retail Stores</t>
        </is>
      </c>
      <c r="C138" t="inlineStr">
        <is>
          <t>353</t>
        </is>
      </c>
      <c r="D138" t="inlineStr">
        <is>
          <t>13</t>
        </is>
      </c>
      <c r="E138" t="inlineStr">
        <is>
          <t>26</t>
        </is>
      </c>
      <c r="F138" t="inlineStr">
        <is>
          <t>B</t>
        </is>
      </c>
      <c r="G138" t="inlineStr">
        <is>
          <t>Average</t>
        </is>
      </c>
      <c r="H138" s="606" t="n">
        <v>145</v>
      </c>
      <c r="I138">
        <f>B138&amp;"~"&amp;F138&amp;"~"&amp;G138</f>
        <v/>
      </c>
      <c r="J138" t="inlineStr">
        <is>
          <t>13</t>
        </is>
      </c>
      <c r="K138" t="inlineStr">
        <is>
          <t>13</t>
        </is>
      </c>
      <c r="L138" t="inlineStr">
        <is>
          <t>13</t>
        </is>
      </c>
      <c r="M138" t="inlineStr">
        <is>
          <t>MVS Sec.13 p.26</t>
        </is>
      </c>
    </row>
    <row r="139">
      <c r="B139" t="inlineStr">
        <is>
          <t>Retail Stores</t>
        </is>
      </c>
      <c r="C139" t="inlineStr">
        <is>
          <t>353</t>
        </is>
      </c>
      <c r="D139" t="inlineStr">
        <is>
          <t>13</t>
        </is>
      </c>
      <c r="E139" t="inlineStr">
        <is>
          <t>26</t>
        </is>
      </c>
      <c r="F139" t="inlineStr">
        <is>
          <t>B</t>
        </is>
      </c>
      <c r="G139" t="inlineStr">
        <is>
          <t>Low Cost</t>
        </is>
      </c>
      <c r="H139" s="606" t="n">
        <v>110</v>
      </c>
      <c r="I139">
        <f>B139&amp;"~"&amp;F139&amp;"~"&amp;G139</f>
        <v/>
      </c>
      <c r="J139" t="inlineStr">
        <is>
          <t>13</t>
        </is>
      </c>
      <c r="K139" t="inlineStr">
        <is>
          <t>13</t>
        </is>
      </c>
      <c r="L139" t="inlineStr">
        <is>
          <t>13</t>
        </is>
      </c>
      <c r="M139" t="inlineStr">
        <is>
          <t>MVS Sec.13 p.26</t>
        </is>
      </c>
    </row>
    <row r="140">
      <c r="B140" t="inlineStr">
        <is>
          <t>Retail Stores</t>
        </is>
      </c>
      <c r="C140" t="inlineStr">
        <is>
          <t>353</t>
        </is>
      </c>
      <c r="D140" t="inlineStr">
        <is>
          <t>13</t>
        </is>
      </c>
      <c r="E140" t="inlineStr">
        <is>
          <t>26</t>
        </is>
      </c>
      <c r="F140" t="inlineStr">
        <is>
          <t>C</t>
        </is>
      </c>
      <c r="G140" t="inlineStr">
        <is>
          <t>Excellent</t>
        </is>
      </c>
      <c r="H140" s="606" t="n">
        <v>208</v>
      </c>
      <c r="I140">
        <f>B140&amp;"~"&amp;F140&amp;"~"&amp;G140</f>
        <v/>
      </c>
      <c r="J140" t="inlineStr">
        <is>
          <t>13</t>
        </is>
      </c>
      <c r="K140" t="inlineStr">
        <is>
          <t>13</t>
        </is>
      </c>
      <c r="L140" t="inlineStr">
        <is>
          <t>13</t>
        </is>
      </c>
      <c r="M140" t="inlineStr">
        <is>
          <t>MVS Sec.13 p.26</t>
        </is>
      </c>
    </row>
    <row r="141">
      <c r="B141" t="inlineStr">
        <is>
          <t>Retail Stores</t>
        </is>
      </c>
      <c r="C141" t="inlineStr">
        <is>
          <t>353</t>
        </is>
      </c>
      <c r="D141" t="inlineStr">
        <is>
          <t>13</t>
        </is>
      </c>
      <c r="E141" t="inlineStr">
        <is>
          <t>26</t>
        </is>
      </c>
      <c r="F141" t="inlineStr">
        <is>
          <t>C</t>
        </is>
      </c>
      <c r="G141" t="inlineStr">
        <is>
          <t>Good</t>
        </is>
      </c>
      <c r="H141" s="606" t="n">
        <v>154</v>
      </c>
      <c r="I141">
        <f>B141&amp;"~"&amp;F141&amp;"~"&amp;G141</f>
        <v/>
      </c>
      <c r="J141" t="inlineStr">
        <is>
          <t>13</t>
        </is>
      </c>
      <c r="K141" t="inlineStr">
        <is>
          <t>13</t>
        </is>
      </c>
      <c r="L141" t="inlineStr">
        <is>
          <t>13</t>
        </is>
      </c>
      <c r="M141" t="inlineStr">
        <is>
          <t>MVS Sec.13 p.26</t>
        </is>
      </c>
    </row>
    <row r="142">
      <c r="B142" t="inlineStr">
        <is>
          <t>Retail Stores</t>
        </is>
      </c>
      <c r="C142" t="inlineStr">
        <is>
          <t>353</t>
        </is>
      </c>
      <c r="D142" t="inlineStr">
        <is>
          <t>13</t>
        </is>
      </c>
      <c r="E142" t="inlineStr">
        <is>
          <t>26</t>
        </is>
      </c>
      <c r="F142" t="inlineStr">
        <is>
          <t>C</t>
        </is>
      </c>
      <c r="G142" t="inlineStr">
        <is>
          <t>Average</t>
        </is>
      </c>
      <c r="H142" s="606" t="n">
        <v>117</v>
      </c>
      <c r="I142">
        <f>B142&amp;"~"&amp;F142&amp;"~"&amp;G142</f>
        <v/>
      </c>
      <c r="J142" t="inlineStr">
        <is>
          <t>13</t>
        </is>
      </c>
      <c r="K142" t="inlineStr">
        <is>
          <t>13</t>
        </is>
      </c>
      <c r="L142" t="inlineStr">
        <is>
          <t>13</t>
        </is>
      </c>
      <c r="M142" t="inlineStr">
        <is>
          <t>MVS Sec.13 p.26</t>
        </is>
      </c>
    </row>
    <row r="143">
      <c r="B143" t="inlineStr">
        <is>
          <t>Retail Stores</t>
        </is>
      </c>
      <c r="C143" t="inlineStr">
        <is>
          <t>353</t>
        </is>
      </c>
      <c r="D143" t="inlineStr">
        <is>
          <t>13</t>
        </is>
      </c>
      <c r="E143" t="inlineStr">
        <is>
          <t>26</t>
        </is>
      </c>
      <c r="F143" t="inlineStr">
        <is>
          <t>C</t>
        </is>
      </c>
      <c r="G143" t="inlineStr">
        <is>
          <t>Low Cost</t>
        </is>
      </c>
      <c r="H143" s="606" t="n">
        <v>84</v>
      </c>
      <c r="I143">
        <f>B143&amp;"~"&amp;F143&amp;"~"&amp;G143</f>
        <v/>
      </c>
      <c r="J143" t="inlineStr">
        <is>
          <t>13</t>
        </is>
      </c>
      <c r="K143" t="inlineStr">
        <is>
          <t>13</t>
        </is>
      </c>
      <c r="L143" t="inlineStr">
        <is>
          <t>13</t>
        </is>
      </c>
      <c r="M143" t="inlineStr">
        <is>
          <t>MVS Sec.13 p.26</t>
        </is>
      </c>
    </row>
    <row r="144">
      <c r="B144" t="inlineStr">
        <is>
          <t>Retail Stores</t>
        </is>
      </c>
      <c r="C144" t="inlineStr">
        <is>
          <t>353</t>
        </is>
      </c>
      <c r="D144" t="inlineStr">
        <is>
          <t>13</t>
        </is>
      </c>
      <c r="E144" t="inlineStr">
        <is>
          <t>26</t>
        </is>
      </c>
      <c r="F144" t="inlineStr">
        <is>
          <t>D</t>
        </is>
      </c>
      <c r="G144" t="inlineStr">
        <is>
          <t>Excellent</t>
        </is>
      </c>
      <c r="H144" s="606" t="n">
        <v>198</v>
      </c>
      <c r="I144">
        <f>B144&amp;"~"&amp;F144&amp;"~"&amp;G144</f>
        <v/>
      </c>
      <c r="J144" t="inlineStr">
        <is>
          <t>13</t>
        </is>
      </c>
      <c r="K144" t="inlineStr">
        <is>
          <t>13</t>
        </is>
      </c>
      <c r="L144" t="inlineStr">
        <is>
          <t>13</t>
        </is>
      </c>
      <c r="M144" t="inlineStr">
        <is>
          <t>MVS Sec.13 p.26</t>
        </is>
      </c>
    </row>
    <row r="145">
      <c r="B145" t="inlineStr">
        <is>
          <t>Retail Stores</t>
        </is>
      </c>
      <c r="C145" t="inlineStr">
        <is>
          <t>353</t>
        </is>
      </c>
      <c r="D145" t="inlineStr">
        <is>
          <t>13</t>
        </is>
      </c>
      <c r="E145" t="inlineStr">
        <is>
          <t>26</t>
        </is>
      </c>
      <c r="F145" t="inlineStr">
        <is>
          <t>D</t>
        </is>
      </c>
      <c r="G145" t="inlineStr">
        <is>
          <t>Good</t>
        </is>
      </c>
      <c r="H145" s="606" t="n">
        <v>145</v>
      </c>
      <c r="I145">
        <f>B145&amp;"~"&amp;F145&amp;"~"&amp;G145</f>
        <v/>
      </c>
      <c r="J145" t="inlineStr">
        <is>
          <t>13</t>
        </is>
      </c>
      <c r="K145" t="inlineStr">
        <is>
          <t>13</t>
        </is>
      </c>
      <c r="L145" t="inlineStr">
        <is>
          <t>13</t>
        </is>
      </c>
      <c r="M145" t="inlineStr">
        <is>
          <t>MVS Sec.13 p.26</t>
        </is>
      </c>
    </row>
    <row r="146">
      <c r="B146" t="inlineStr">
        <is>
          <t>Retail Stores</t>
        </is>
      </c>
      <c r="C146" t="inlineStr">
        <is>
          <t>353</t>
        </is>
      </c>
      <c r="D146" t="inlineStr">
        <is>
          <t>13</t>
        </is>
      </c>
      <c r="E146" t="inlineStr">
        <is>
          <t>26</t>
        </is>
      </c>
      <c r="F146" t="inlineStr">
        <is>
          <t>D</t>
        </is>
      </c>
      <c r="G146" t="inlineStr">
        <is>
          <t>Average</t>
        </is>
      </c>
      <c r="H146" s="606" t="n">
        <v>110</v>
      </c>
      <c r="I146">
        <f>B146&amp;"~"&amp;F146&amp;"~"&amp;G146</f>
        <v/>
      </c>
      <c r="J146" t="inlineStr">
        <is>
          <t>13</t>
        </is>
      </c>
      <c r="K146" t="inlineStr">
        <is>
          <t>13</t>
        </is>
      </c>
      <c r="L146" t="inlineStr">
        <is>
          <t>13</t>
        </is>
      </c>
      <c r="M146" t="inlineStr">
        <is>
          <t>MVS Sec.13 p.26</t>
        </is>
      </c>
    </row>
    <row r="147">
      <c r="B147" t="inlineStr">
        <is>
          <t>Retail Stores</t>
        </is>
      </c>
      <c r="C147" t="inlineStr">
        <is>
          <t>353</t>
        </is>
      </c>
      <c r="D147" t="inlineStr">
        <is>
          <t>13</t>
        </is>
      </c>
      <c r="E147" t="inlineStr">
        <is>
          <t>26</t>
        </is>
      </c>
      <c r="F147" t="inlineStr">
        <is>
          <t>D</t>
        </is>
      </c>
      <c r="G147" t="inlineStr">
        <is>
          <t>Low Cost</t>
        </is>
      </c>
      <c r="H147" s="606" t="n">
        <v>78.5</v>
      </c>
      <c r="I147">
        <f>B147&amp;"~"&amp;F147&amp;"~"&amp;G147</f>
        <v/>
      </c>
      <c r="J147" t="inlineStr">
        <is>
          <t>13</t>
        </is>
      </c>
      <c r="K147" t="inlineStr">
        <is>
          <t>13</t>
        </is>
      </c>
      <c r="L147" t="inlineStr">
        <is>
          <t>13</t>
        </is>
      </c>
      <c r="M147" t="inlineStr">
        <is>
          <t>MVS Sec.13 p.26</t>
        </is>
      </c>
    </row>
    <row r="148">
      <c r="B148" t="inlineStr">
        <is>
          <t>Retail Stores</t>
        </is>
      </c>
      <c r="C148" t="inlineStr">
        <is>
          <t>353</t>
        </is>
      </c>
      <c r="D148" t="inlineStr">
        <is>
          <t>13</t>
        </is>
      </c>
      <c r="E148" t="inlineStr">
        <is>
          <t>26</t>
        </is>
      </c>
      <c r="F148" t="inlineStr">
        <is>
          <t>DPOLE</t>
        </is>
      </c>
      <c r="G148" t="inlineStr">
        <is>
          <t>Low Cost</t>
        </is>
      </c>
      <c r="H148" s="606" t="n">
        <v>73</v>
      </c>
      <c r="I148">
        <f>B148&amp;"~"&amp;F148&amp;"~"&amp;G148</f>
        <v/>
      </c>
      <c r="J148" t="inlineStr">
        <is>
          <t>13</t>
        </is>
      </c>
      <c r="K148" t="inlineStr">
        <is>
          <t>13</t>
        </is>
      </c>
      <c r="L148" t="inlineStr">
        <is>
          <t>13</t>
        </is>
      </c>
      <c r="M148" t="inlineStr">
        <is>
          <t>MVS Sec.13 p.26</t>
        </is>
      </c>
    </row>
    <row r="149">
      <c r="B149" t="inlineStr">
        <is>
          <t>Retail Stores</t>
        </is>
      </c>
      <c r="C149" t="inlineStr">
        <is>
          <t>353</t>
        </is>
      </c>
      <c r="D149" t="inlineStr">
        <is>
          <t>13</t>
        </is>
      </c>
      <c r="E149" t="inlineStr">
        <is>
          <t>26</t>
        </is>
      </c>
      <c r="F149" t="inlineStr">
        <is>
          <t>S</t>
        </is>
      </c>
      <c r="G149" t="inlineStr">
        <is>
          <t>Good</t>
        </is>
      </c>
      <c r="H149" s="606" t="n">
        <v>146</v>
      </c>
      <c r="I149">
        <f>B149&amp;"~"&amp;F149&amp;"~"&amp;G149</f>
        <v/>
      </c>
      <c r="J149" t="inlineStr">
        <is>
          <t>13</t>
        </is>
      </c>
      <c r="K149" t="inlineStr">
        <is>
          <t>13</t>
        </is>
      </c>
      <c r="L149" t="inlineStr">
        <is>
          <t>13</t>
        </is>
      </c>
      <c r="M149" t="inlineStr">
        <is>
          <t>MVS Sec.13 p.26</t>
        </is>
      </c>
    </row>
    <row r="150">
      <c r="B150" t="inlineStr">
        <is>
          <t>Retail Stores</t>
        </is>
      </c>
      <c r="C150" t="inlineStr">
        <is>
          <t>353</t>
        </is>
      </c>
      <c r="D150" t="inlineStr">
        <is>
          <t>13</t>
        </is>
      </c>
      <c r="E150" t="inlineStr">
        <is>
          <t>26</t>
        </is>
      </c>
      <c r="F150" t="inlineStr">
        <is>
          <t>S</t>
        </is>
      </c>
      <c r="G150" t="inlineStr">
        <is>
          <t>Average</t>
        </is>
      </c>
      <c r="H150" s="606" t="n">
        <v>108</v>
      </c>
      <c r="I150">
        <f>B150&amp;"~"&amp;F150&amp;"~"&amp;G150</f>
        <v/>
      </c>
      <c r="J150" t="inlineStr">
        <is>
          <t>13</t>
        </is>
      </c>
      <c r="K150" t="inlineStr">
        <is>
          <t>13</t>
        </is>
      </c>
      <c r="L150" t="inlineStr">
        <is>
          <t>13</t>
        </is>
      </c>
      <c r="M150" t="inlineStr">
        <is>
          <t>MVS Sec.13 p.26</t>
        </is>
      </c>
    </row>
    <row r="151">
      <c r="B151" t="inlineStr">
        <is>
          <t>Retail Stores</t>
        </is>
      </c>
      <c r="C151" t="inlineStr">
        <is>
          <t>353</t>
        </is>
      </c>
      <c r="D151" t="inlineStr">
        <is>
          <t>13</t>
        </is>
      </c>
      <c r="E151" t="inlineStr">
        <is>
          <t>26</t>
        </is>
      </c>
      <c r="F151" t="inlineStr">
        <is>
          <t>S</t>
        </is>
      </c>
      <c r="G151" t="inlineStr">
        <is>
          <t>Low Cost</t>
        </is>
      </c>
      <c r="H151" s="606" t="n">
        <v>76</v>
      </c>
      <c r="I151">
        <f>B151&amp;"~"&amp;F151&amp;"~"&amp;G151</f>
        <v/>
      </c>
      <c r="J151" t="inlineStr">
        <is>
          <t>13</t>
        </is>
      </c>
      <c r="K151" t="inlineStr">
        <is>
          <t>13</t>
        </is>
      </c>
      <c r="L151" t="inlineStr">
        <is>
          <t>13</t>
        </is>
      </c>
      <c r="M151" t="inlineStr">
        <is>
          <t>MVS Sec.13 p.26</t>
        </is>
      </c>
    </row>
    <row r="152">
      <c r="B152" t="inlineStr">
        <is>
          <t>Neighborhood Shopping Centers</t>
        </is>
      </c>
      <c r="C152" t="inlineStr">
        <is>
          <t>412</t>
        </is>
      </c>
      <c r="D152" t="inlineStr">
        <is>
          <t>13</t>
        </is>
      </c>
      <c r="E152" t="inlineStr">
        <is>
          <t>33</t>
        </is>
      </c>
      <c r="F152" t="inlineStr">
        <is>
          <t>C</t>
        </is>
      </c>
      <c r="G152" t="inlineStr">
        <is>
          <t>Good</t>
        </is>
      </c>
      <c r="H152" s="606" t="n">
        <v>152</v>
      </c>
      <c r="I152">
        <f>B152&amp;"~"&amp;F152&amp;"~"&amp;G152</f>
        <v/>
      </c>
      <c r="J152" t="inlineStr">
        <is>
          <t>13</t>
        </is>
      </c>
      <c r="K152" t="inlineStr">
        <is>
          <t>13</t>
        </is>
      </c>
      <c r="L152" t="inlineStr">
        <is>
          <t>13</t>
        </is>
      </c>
      <c r="M152" t="inlineStr">
        <is>
          <t>MVS Sec.13 p.33</t>
        </is>
      </c>
    </row>
    <row r="153">
      <c r="B153" t="inlineStr">
        <is>
          <t>Neighborhood Shopping Centers</t>
        </is>
      </c>
      <c r="C153" t="inlineStr">
        <is>
          <t>412</t>
        </is>
      </c>
      <c r="D153" t="inlineStr">
        <is>
          <t>13</t>
        </is>
      </c>
      <c r="E153" t="inlineStr">
        <is>
          <t>33</t>
        </is>
      </c>
      <c r="F153" t="inlineStr">
        <is>
          <t>C</t>
        </is>
      </c>
      <c r="G153" t="inlineStr">
        <is>
          <t>Average</t>
        </is>
      </c>
      <c r="H153" s="606" t="n">
        <v>127</v>
      </c>
      <c r="I153">
        <f>B153&amp;"~"&amp;F153&amp;"~"&amp;G153</f>
        <v/>
      </c>
      <c r="J153" t="inlineStr">
        <is>
          <t>13</t>
        </is>
      </c>
      <c r="K153" t="inlineStr">
        <is>
          <t>13</t>
        </is>
      </c>
      <c r="L153" t="inlineStr">
        <is>
          <t>13</t>
        </is>
      </c>
      <c r="M153" t="inlineStr">
        <is>
          <t>MVS Sec.13 p.33</t>
        </is>
      </c>
    </row>
    <row r="154">
      <c r="B154" t="inlineStr">
        <is>
          <t>Neighborhood Shopping Centers</t>
        </is>
      </c>
      <c r="C154" t="inlineStr">
        <is>
          <t>412</t>
        </is>
      </c>
      <c r="D154" t="inlineStr">
        <is>
          <t>13</t>
        </is>
      </c>
      <c r="E154" t="inlineStr">
        <is>
          <t>33</t>
        </is>
      </c>
      <c r="F154" t="inlineStr">
        <is>
          <t>C</t>
        </is>
      </c>
      <c r="G154" t="inlineStr">
        <is>
          <t>Low Cost</t>
        </is>
      </c>
      <c r="H154" s="606" t="n">
        <v>100</v>
      </c>
      <c r="I154">
        <f>B154&amp;"~"&amp;F154&amp;"~"&amp;G154</f>
        <v/>
      </c>
      <c r="J154" t="inlineStr">
        <is>
          <t>13</t>
        </is>
      </c>
      <c r="K154" t="inlineStr">
        <is>
          <t>13</t>
        </is>
      </c>
      <c r="L154" t="inlineStr">
        <is>
          <t>13</t>
        </is>
      </c>
      <c r="M154" t="inlineStr">
        <is>
          <t>MVS Sec.13 p.33</t>
        </is>
      </c>
    </row>
    <row r="155">
      <c r="B155" t="inlineStr">
        <is>
          <t>Neighborhood Shopping Centers</t>
        </is>
      </c>
      <c r="C155" t="inlineStr">
        <is>
          <t>412</t>
        </is>
      </c>
      <c r="D155" t="inlineStr">
        <is>
          <t>13</t>
        </is>
      </c>
      <c r="E155" t="inlineStr">
        <is>
          <t>33</t>
        </is>
      </c>
      <c r="F155" t="inlineStr">
        <is>
          <t>CMILL</t>
        </is>
      </c>
      <c r="G155" t="inlineStr">
        <is>
          <t>Average</t>
        </is>
      </c>
      <c r="H155" s="606" t="n">
        <v>145</v>
      </c>
      <c r="I155">
        <f>B155&amp;"~"&amp;F155&amp;"~"&amp;G155</f>
        <v/>
      </c>
      <c r="J155" t="inlineStr">
        <is>
          <t>13</t>
        </is>
      </c>
      <c r="K155" t="inlineStr">
        <is>
          <t>13</t>
        </is>
      </c>
      <c r="L155" t="inlineStr">
        <is>
          <t>13</t>
        </is>
      </c>
      <c r="M155" t="inlineStr">
        <is>
          <t>MVS Sec.13 p.33</t>
        </is>
      </c>
    </row>
    <row r="156">
      <c r="B156" t="inlineStr">
        <is>
          <t>Neighborhood Shopping Centers</t>
        </is>
      </c>
      <c r="C156" t="inlineStr">
        <is>
          <t>412</t>
        </is>
      </c>
      <c r="D156" t="inlineStr">
        <is>
          <t>13</t>
        </is>
      </c>
      <c r="E156" t="inlineStr">
        <is>
          <t>33</t>
        </is>
      </c>
      <c r="F156" t="inlineStr">
        <is>
          <t>D</t>
        </is>
      </c>
      <c r="G156" t="inlineStr">
        <is>
          <t>Good</t>
        </is>
      </c>
      <c r="H156" s="606" t="n">
        <v>143</v>
      </c>
      <c r="I156">
        <f>B156&amp;"~"&amp;F156&amp;"~"&amp;G156</f>
        <v/>
      </c>
      <c r="J156" t="inlineStr">
        <is>
          <t>13</t>
        </is>
      </c>
      <c r="K156" t="inlineStr">
        <is>
          <t>13</t>
        </is>
      </c>
      <c r="L156" t="inlineStr">
        <is>
          <t>13</t>
        </is>
      </c>
      <c r="M156" t="inlineStr">
        <is>
          <t>MVS Sec.13 p.33</t>
        </is>
      </c>
    </row>
    <row r="157">
      <c r="B157" t="inlineStr">
        <is>
          <t>Neighborhood Shopping Centers</t>
        </is>
      </c>
      <c r="C157" t="inlineStr">
        <is>
          <t>412</t>
        </is>
      </c>
      <c r="D157" t="inlineStr">
        <is>
          <t>13</t>
        </is>
      </c>
      <c r="E157" t="inlineStr">
        <is>
          <t>33</t>
        </is>
      </c>
      <c r="F157" t="inlineStr">
        <is>
          <t>D</t>
        </is>
      </c>
      <c r="G157" t="inlineStr">
        <is>
          <t>Average</t>
        </is>
      </c>
      <c r="H157" s="606" t="n">
        <v>119</v>
      </c>
      <c r="I157">
        <f>B157&amp;"~"&amp;F157&amp;"~"&amp;G157</f>
        <v/>
      </c>
      <c r="J157" t="inlineStr">
        <is>
          <t>13</t>
        </is>
      </c>
      <c r="K157" t="inlineStr">
        <is>
          <t>13</t>
        </is>
      </c>
      <c r="L157" t="inlineStr">
        <is>
          <t>13</t>
        </is>
      </c>
      <c r="M157" t="inlineStr">
        <is>
          <t>MVS Sec.13 p.33</t>
        </is>
      </c>
    </row>
    <row r="158">
      <c r="B158" t="inlineStr">
        <is>
          <t>Neighborhood Shopping Centers</t>
        </is>
      </c>
      <c r="C158" t="inlineStr">
        <is>
          <t>412</t>
        </is>
      </c>
      <c r="D158" t="inlineStr">
        <is>
          <t>13</t>
        </is>
      </c>
      <c r="E158" t="inlineStr">
        <is>
          <t>33</t>
        </is>
      </c>
      <c r="F158" t="inlineStr">
        <is>
          <t>D</t>
        </is>
      </c>
      <c r="G158" t="inlineStr">
        <is>
          <t>Low Cost</t>
        </is>
      </c>
      <c r="H158" s="606" t="n">
        <v>93</v>
      </c>
      <c r="I158">
        <f>B158&amp;"~"&amp;F158&amp;"~"&amp;G158</f>
        <v/>
      </c>
      <c r="J158" t="inlineStr">
        <is>
          <t>13</t>
        </is>
      </c>
      <c r="K158" t="inlineStr">
        <is>
          <t>13</t>
        </is>
      </c>
      <c r="L158" t="inlineStr">
        <is>
          <t>13</t>
        </is>
      </c>
      <c r="M158" t="inlineStr">
        <is>
          <t>MVS Sec.13 p.33</t>
        </is>
      </c>
    </row>
    <row r="159">
      <c r="B159" t="inlineStr">
        <is>
          <t>Neighborhood Shopping Centers</t>
        </is>
      </c>
      <c r="C159" t="inlineStr">
        <is>
          <t>412</t>
        </is>
      </c>
      <c r="D159" t="inlineStr">
        <is>
          <t>13</t>
        </is>
      </c>
      <c r="E159" t="inlineStr">
        <is>
          <t>33</t>
        </is>
      </c>
      <c r="F159" t="inlineStr">
        <is>
          <t>DPOLE</t>
        </is>
      </c>
      <c r="G159" t="inlineStr">
        <is>
          <t>Low Cost</t>
        </is>
      </c>
      <c r="H159" s="606" t="n">
        <v>88.5</v>
      </c>
      <c r="I159">
        <f>B159&amp;"~"&amp;F159&amp;"~"&amp;G159</f>
        <v/>
      </c>
      <c r="J159" t="inlineStr">
        <is>
          <t>13</t>
        </is>
      </c>
      <c r="K159" t="inlineStr">
        <is>
          <t>13</t>
        </is>
      </c>
      <c r="L159" t="inlineStr">
        <is>
          <t>13</t>
        </is>
      </c>
      <c r="M159" t="inlineStr">
        <is>
          <t>MVS Sec.13 p.33</t>
        </is>
      </c>
    </row>
    <row r="160">
      <c r="B160" t="inlineStr">
        <is>
          <t>Neighborhood Shopping Centers</t>
        </is>
      </c>
      <c r="C160" t="inlineStr">
        <is>
          <t>412</t>
        </is>
      </c>
      <c r="D160" t="inlineStr">
        <is>
          <t>13</t>
        </is>
      </c>
      <c r="E160" t="inlineStr">
        <is>
          <t>33</t>
        </is>
      </c>
      <c r="F160" t="inlineStr">
        <is>
          <t>S</t>
        </is>
      </c>
      <c r="G160" t="inlineStr">
        <is>
          <t>Average</t>
        </is>
      </c>
      <c r="H160" s="606" t="n">
        <v>116</v>
      </c>
      <c r="I160">
        <f>B160&amp;"~"&amp;F160&amp;"~"&amp;G160</f>
        <v/>
      </c>
      <c r="J160" t="inlineStr">
        <is>
          <t>13</t>
        </is>
      </c>
      <c r="K160" t="inlineStr">
        <is>
          <t>13</t>
        </is>
      </c>
      <c r="L160" t="inlineStr">
        <is>
          <t>13</t>
        </is>
      </c>
      <c r="M160" t="inlineStr">
        <is>
          <t>MVS Sec.13 p.33</t>
        </is>
      </c>
    </row>
    <row r="161">
      <c r="B161" t="inlineStr">
        <is>
          <t>Neighborhood Shopping Centers</t>
        </is>
      </c>
      <c r="C161" t="inlineStr">
        <is>
          <t>412</t>
        </is>
      </c>
      <c r="D161" t="inlineStr">
        <is>
          <t>13</t>
        </is>
      </c>
      <c r="E161" t="inlineStr">
        <is>
          <t>33</t>
        </is>
      </c>
      <c r="F161" t="inlineStr">
        <is>
          <t>S</t>
        </is>
      </c>
      <c r="G161" t="inlineStr">
        <is>
          <t>Low Cost</t>
        </is>
      </c>
      <c r="H161" s="606" t="n">
        <v>91</v>
      </c>
      <c r="I161">
        <f>B161&amp;"~"&amp;F161&amp;"~"&amp;G161</f>
        <v/>
      </c>
      <c r="J161" t="inlineStr">
        <is>
          <t>13</t>
        </is>
      </c>
      <c r="K161" t="inlineStr">
        <is>
          <t>13</t>
        </is>
      </c>
      <c r="L161" t="inlineStr">
        <is>
          <t>13</t>
        </is>
      </c>
      <c r="M161" t="inlineStr">
        <is>
          <t>MVS Sec.13 p.33</t>
        </is>
      </c>
    </row>
    <row r="162">
      <c r="B162" t="inlineStr">
        <is>
          <t>Community Shopping Centers</t>
        </is>
      </c>
      <c r="C162" t="inlineStr">
        <is>
          <t>413</t>
        </is>
      </c>
      <c r="D162" t="inlineStr">
        <is>
          <t>13</t>
        </is>
      </c>
      <c r="E162" t="inlineStr">
        <is>
          <t>34</t>
        </is>
      </c>
      <c r="F162" t="inlineStr">
        <is>
          <t>C</t>
        </is>
      </c>
      <c r="G162" t="inlineStr">
        <is>
          <t>Excellent</t>
        </is>
      </c>
      <c r="H162" s="606" t="n">
        <v>207</v>
      </c>
      <c r="I162">
        <f>B162&amp;"~"&amp;F162&amp;"~"&amp;G162</f>
        <v/>
      </c>
      <c r="J162" t="inlineStr">
        <is>
          <t>13</t>
        </is>
      </c>
      <c r="K162" t="inlineStr">
        <is>
          <t>13</t>
        </is>
      </c>
      <c r="L162" t="inlineStr">
        <is>
          <t>13</t>
        </is>
      </c>
      <c r="M162" t="inlineStr">
        <is>
          <t>MVS Sec.13 p.34</t>
        </is>
      </c>
    </row>
    <row r="163">
      <c r="B163" t="inlineStr">
        <is>
          <t>Community Shopping Centers</t>
        </is>
      </c>
      <c r="C163" t="inlineStr">
        <is>
          <t>413</t>
        </is>
      </c>
      <c r="D163" t="inlineStr">
        <is>
          <t>13</t>
        </is>
      </c>
      <c r="E163" t="inlineStr">
        <is>
          <t>34</t>
        </is>
      </c>
      <c r="F163" t="inlineStr">
        <is>
          <t>C</t>
        </is>
      </c>
      <c r="G163" t="inlineStr">
        <is>
          <t>Good</t>
        </is>
      </c>
      <c r="H163" s="606" t="n">
        <v>169</v>
      </c>
      <c r="I163">
        <f>B163&amp;"~"&amp;F163&amp;"~"&amp;G163</f>
        <v/>
      </c>
      <c r="J163" t="inlineStr">
        <is>
          <t>13</t>
        </is>
      </c>
      <c r="K163" t="inlineStr">
        <is>
          <t>13</t>
        </is>
      </c>
      <c r="L163" t="inlineStr">
        <is>
          <t>13</t>
        </is>
      </c>
      <c r="M163" t="inlineStr">
        <is>
          <t>MVS Sec.13 p.34</t>
        </is>
      </c>
    </row>
    <row r="164">
      <c r="B164" t="inlineStr">
        <is>
          <t>Community Shopping Centers</t>
        </is>
      </c>
      <c r="C164" t="inlineStr">
        <is>
          <t>413</t>
        </is>
      </c>
      <c r="D164" t="inlineStr">
        <is>
          <t>13</t>
        </is>
      </c>
      <c r="E164" t="inlineStr">
        <is>
          <t>34</t>
        </is>
      </c>
      <c r="F164" t="inlineStr">
        <is>
          <t>C</t>
        </is>
      </c>
      <c r="G164" t="inlineStr">
        <is>
          <t>Average</t>
        </is>
      </c>
      <c r="H164" s="606" t="n">
        <v>135</v>
      </c>
      <c r="I164">
        <f>B164&amp;"~"&amp;F164&amp;"~"&amp;G164</f>
        <v/>
      </c>
      <c r="J164" t="inlineStr">
        <is>
          <t>13</t>
        </is>
      </c>
      <c r="K164" t="inlineStr">
        <is>
          <t>13</t>
        </is>
      </c>
      <c r="L164" t="inlineStr">
        <is>
          <t>13</t>
        </is>
      </c>
      <c r="M164" t="inlineStr">
        <is>
          <t>MVS Sec.13 p.34</t>
        </is>
      </c>
    </row>
    <row r="165">
      <c r="B165" t="inlineStr">
        <is>
          <t>Community Shopping Centers</t>
        </is>
      </c>
      <c r="C165" t="inlineStr">
        <is>
          <t>413</t>
        </is>
      </c>
      <c r="D165" t="inlineStr">
        <is>
          <t>13</t>
        </is>
      </c>
      <c r="E165" t="inlineStr">
        <is>
          <t>34</t>
        </is>
      </c>
      <c r="F165" t="inlineStr">
        <is>
          <t>C</t>
        </is>
      </c>
      <c r="G165" t="inlineStr">
        <is>
          <t>Low Cost</t>
        </is>
      </c>
      <c r="H165" s="606" t="n">
        <v>111</v>
      </c>
      <c r="I165">
        <f>B165&amp;"~"&amp;F165&amp;"~"&amp;G165</f>
        <v/>
      </c>
      <c r="J165" t="inlineStr">
        <is>
          <t>13</t>
        </is>
      </c>
      <c r="K165" t="inlineStr">
        <is>
          <t>13</t>
        </is>
      </c>
      <c r="L165" t="inlineStr">
        <is>
          <t>13</t>
        </is>
      </c>
      <c r="M165" t="inlineStr">
        <is>
          <t>MVS Sec.13 p.34</t>
        </is>
      </c>
    </row>
    <row r="166">
      <c r="B166" t="inlineStr">
        <is>
          <t>Community Shopping Centers</t>
        </is>
      </c>
      <c r="C166" t="inlineStr">
        <is>
          <t>413</t>
        </is>
      </c>
      <c r="D166" t="inlineStr">
        <is>
          <t>13</t>
        </is>
      </c>
      <c r="E166" t="inlineStr">
        <is>
          <t>34</t>
        </is>
      </c>
      <c r="F166" t="inlineStr">
        <is>
          <t>D</t>
        </is>
      </c>
      <c r="G166" t="inlineStr">
        <is>
          <t>Excellent</t>
        </is>
      </c>
      <c r="H166" s="606" t="n">
        <v>195</v>
      </c>
      <c r="I166">
        <f>B166&amp;"~"&amp;F166&amp;"~"&amp;G166</f>
        <v/>
      </c>
      <c r="J166" t="inlineStr">
        <is>
          <t>13</t>
        </is>
      </c>
      <c r="K166" t="inlineStr">
        <is>
          <t>13</t>
        </is>
      </c>
      <c r="L166" t="inlineStr">
        <is>
          <t>13</t>
        </is>
      </c>
      <c r="M166" t="inlineStr">
        <is>
          <t>MVS Sec.13 p.34</t>
        </is>
      </c>
    </row>
    <row r="167">
      <c r="B167" t="inlineStr">
        <is>
          <t>Community Shopping Centers</t>
        </is>
      </c>
      <c r="C167" t="inlineStr">
        <is>
          <t>413</t>
        </is>
      </c>
      <c r="D167" t="inlineStr">
        <is>
          <t>13</t>
        </is>
      </c>
      <c r="E167" t="inlineStr">
        <is>
          <t>34</t>
        </is>
      </c>
      <c r="F167" t="inlineStr">
        <is>
          <t>D</t>
        </is>
      </c>
      <c r="G167" t="inlineStr">
        <is>
          <t>Good</t>
        </is>
      </c>
      <c r="H167" s="606" t="n">
        <v>159</v>
      </c>
      <c r="I167">
        <f>B167&amp;"~"&amp;F167&amp;"~"&amp;G167</f>
        <v/>
      </c>
      <c r="J167" t="inlineStr">
        <is>
          <t>13</t>
        </is>
      </c>
      <c r="K167" t="inlineStr">
        <is>
          <t>13</t>
        </is>
      </c>
      <c r="L167" t="inlineStr">
        <is>
          <t>13</t>
        </is>
      </c>
      <c r="M167" t="inlineStr">
        <is>
          <t>MVS Sec.13 p.34</t>
        </is>
      </c>
    </row>
    <row r="168">
      <c r="B168" t="inlineStr">
        <is>
          <t>Community Shopping Centers</t>
        </is>
      </c>
      <c r="C168" t="inlineStr">
        <is>
          <t>413</t>
        </is>
      </c>
      <c r="D168" t="inlineStr">
        <is>
          <t>13</t>
        </is>
      </c>
      <c r="E168" t="inlineStr">
        <is>
          <t>34</t>
        </is>
      </c>
      <c r="F168" t="inlineStr">
        <is>
          <t>D</t>
        </is>
      </c>
      <c r="G168" t="inlineStr">
        <is>
          <t>Average</t>
        </is>
      </c>
      <c r="H168" s="606" t="n">
        <v>126</v>
      </c>
      <c r="I168">
        <f>B168&amp;"~"&amp;F168&amp;"~"&amp;G168</f>
        <v/>
      </c>
      <c r="J168" t="inlineStr">
        <is>
          <t>13</t>
        </is>
      </c>
      <c r="K168" t="inlineStr">
        <is>
          <t>13</t>
        </is>
      </c>
      <c r="L168" t="inlineStr">
        <is>
          <t>13</t>
        </is>
      </c>
      <c r="M168" t="inlineStr">
        <is>
          <t>MVS Sec.13 p.34</t>
        </is>
      </c>
    </row>
    <row r="169">
      <c r="B169" t="inlineStr">
        <is>
          <t>Community Shopping Centers</t>
        </is>
      </c>
      <c r="C169" t="inlineStr">
        <is>
          <t>413</t>
        </is>
      </c>
      <c r="D169" t="inlineStr">
        <is>
          <t>13</t>
        </is>
      </c>
      <c r="E169" t="inlineStr">
        <is>
          <t>34</t>
        </is>
      </c>
      <c r="F169" t="inlineStr">
        <is>
          <t>S</t>
        </is>
      </c>
      <c r="G169" t="inlineStr">
        <is>
          <t>Average</t>
        </is>
      </c>
      <c r="H169" s="606" t="n">
        <v>124</v>
      </c>
      <c r="I169">
        <f>B169&amp;"~"&amp;F169&amp;"~"&amp;G169</f>
        <v/>
      </c>
      <c r="J169" t="inlineStr">
        <is>
          <t>13</t>
        </is>
      </c>
      <c r="K169" t="inlineStr">
        <is>
          <t>13</t>
        </is>
      </c>
      <c r="L169" t="inlineStr">
        <is>
          <t>13</t>
        </is>
      </c>
      <c r="M169" t="inlineStr">
        <is>
          <t>MVS Sec.13 p.34</t>
        </is>
      </c>
    </row>
    <row r="170">
      <c r="B170" t="inlineStr">
        <is>
          <t>Regional Shopping Centers</t>
        </is>
      </c>
      <c r="C170" t="inlineStr">
        <is>
          <t>414</t>
        </is>
      </c>
      <c r="D170" t="inlineStr">
        <is>
          <t>13</t>
        </is>
      </c>
      <c r="E170" t="inlineStr">
        <is>
          <t>35</t>
        </is>
      </c>
      <c r="F170" t="inlineStr">
        <is>
          <t>A-B</t>
        </is>
      </c>
      <c r="G170" t="inlineStr">
        <is>
          <t>Excellent*</t>
        </is>
      </c>
      <c r="H170" s="606" t="n">
        <v>284</v>
      </c>
      <c r="I170">
        <f>B170&amp;"~"&amp;F170&amp;"~"&amp;G170</f>
        <v/>
      </c>
      <c r="J170" t="inlineStr">
        <is>
          <t>13</t>
        </is>
      </c>
      <c r="K170" t="inlineStr">
        <is>
          <t>13</t>
        </is>
      </c>
      <c r="L170" t="inlineStr">
        <is>
          <t>13</t>
        </is>
      </c>
      <c r="M170" t="inlineStr">
        <is>
          <t>MVS Sec.13 p.35</t>
        </is>
      </c>
    </row>
    <row r="171">
      <c r="B171" t="inlineStr">
        <is>
          <t>Regional Shopping Centers</t>
        </is>
      </c>
      <c r="C171" t="inlineStr">
        <is>
          <t>414</t>
        </is>
      </c>
      <c r="D171" t="inlineStr">
        <is>
          <t>13</t>
        </is>
      </c>
      <c r="E171" t="inlineStr">
        <is>
          <t>35</t>
        </is>
      </c>
      <c r="F171" t="inlineStr">
        <is>
          <t>A-B</t>
        </is>
      </c>
      <c r="G171" t="inlineStr">
        <is>
          <t>Good*</t>
        </is>
      </c>
      <c r="H171" s="606" t="n">
        <v>233</v>
      </c>
      <c r="I171">
        <f>B171&amp;"~"&amp;F171&amp;"~"&amp;G171</f>
        <v/>
      </c>
      <c r="J171" t="inlineStr">
        <is>
          <t>13</t>
        </is>
      </c>
      <c r="K171" t="inlineStr">
        <is>
          <t>13</t>
        </is>
      </c>
      <c r="L171" t="inlineStr">
        <is>
          <t>13</t>
        </is>
      </c>
      <c r="M171" t="inlineStr">
        <is>
          <t>MVS Sec.13 p.35</t>
        </is>
      </c>
    </row>
    <row r="172">
      <c r="B172" t="inlineStr">
        <is>
          <t>Regional Shopping Centers</t>
        </is>
      </c>
      <c r="C172" t="inlineStr">
        <is>
          <t>414</t>
        </is>
      </c>
      <c r="D172" t="inlineStr">
        <is>
          <t>13</t>
        </is>
      </c>
      <c r="E172" t="inlineStr">
        <is>
          <t>35</t>
        </is>
      </c>
      <c r="F172" t="inlineStr">
        <is>
          <t>C</t>
        </is>
      </c>
      <c r="G172" t="inlineStr">
        <is>
          <t>Excellent*</t>
        </is>
      </c>
      <c r="H172" s="606" t="n">
        <v>238</v>
      </c>
      <c r="I172">
        <f>B172&amp;"~"&amp;F172&amp;"~"&amp;G172</f>
        <v/>
      </c>
      <c r="J172" t="inlineStr">
        <is>
          <t>13</t>
        </is>
      </c>
      <c r="K172" t="inlineStr">
        <is>
          <t>13</t>
        </is>
      </c>
      <c r="L172" t="inlineStr">
        <is>
          <t>13</t>
        </is>
      </c>
      <c r="M172" t="inlineStr">
        <is>
          <t>MVS Sec.13 p.35</t>
        </is>
      </c>
    </row>
    <row r="173">
      <c r="B173" t="inlineStr">
        <is>
          <t>Regional Shopping Centers</t>
        </is>
      </c>
      <c r="C173" t="inlineStr">
        <is>
          <t>414</t>
        </is>
      </c>
      <c r="D173" t="inlineStr">
        <is>
          <t>13</t>
        </is>
      </c>
      <c r="E173" t="inlineStr">
        <is>
          <t>35</t>
        </is>
      </c>
      <c r="F173" t="inlineStr">
        <is>
          <t>C</t>
        </is>
      </c>
      <c r="G173" t="inlineStr">
        <is>
          <t>Good*</t>
        </is>
      </c>
      <c r="H173" s="606" t="n">
        <v>189</v>
      </c>
      <c r="I173">
        <f>B173&amp;"~"&amp;F173&amp;"~"&amp;G173</f>
        <v/>
      </c>
      <c r="J173" t="inlineStr">
        <is>
          <t>13</t>
        </is>
      </c>
      <c r="K173" t="inlineStr">
        <is>
          <t>13</t>
        </is>
      </c>
      <c r="L173" t="inlineStr">
        <is>
          <t>13</t>
        </is>
      </c>
      <c r="M173" t="inlineStr">
        <is>
          <t>MVS Sec.13 p.35</t>
        </is>
      </c>
    </row>
    <row r="174">
      <c r="B174" t="inlineStr">
        <is>
          <t>Regional Shopping Centers</t>
        </is>
      </c>
      <c r="C174" t="inlineStr">
        <is>
          <t>414</t>
        </is>
      </c>
      <c r="D174" t="inlineStr">
        <is>
          <t>13</t>
        </is>
      </c>
      <c r="E174" t="inlineStr">
        <is>
          <t>35</t>
        </is>
      </c>
      <c r="F174" t="inlineStr">
        <is>
          <t>C</t>
        </is>
      </c>
      <c r="G174" t="inlineStr">
        <is>
          <t>Average</t>
        </is>
      </c>
      <c r="H174" s="606" t="n">
        <v>153</v>
      </c>
      <c r="I174">
        <f>B174&amp;"~"&amp;F174&amp;"~"&amp;G174</f>
        <v/>
      </c>
      <c r="J174" t="inlineStr">
        <is>
          <t>13</t>
        </is>
      </c>
      <c r="K174" t="inlineStr">
        <is>
          <t>13</t>
        </is>
      </c>
      <c r="L174" t="inlineStr">
        <is>
          <t>13</t>
        </is>
      </c>
      <c r="M174" t="inlineStr">
        <is>
          <t>MVS Sec.13 p.35</t>
        </is>
      </c>
    </row>
    <row r="175">
      <c r="B175" t="inlineStr">
        <is>
          <t>Regional Shopping Centers</t>
        </is>
      </c>
      <c r="C175" t="inlineStr">
        <is>
          <t>414</t>
        </is>
      </c>
      <c r="D175" t="inlineStr">
        <is>
          <t>13</t>
        </is>
      </c>
      <c r="E175" t="inlineStr">
        <is>
          <t>35</t>
        </is>
      </c>
      <c r="F175" t="inlineStr">
        <is>
          <t>D</t>
        </is>
      </c>
      <c r="G175" t="inlineStr">
        <is>
          <t>Excellent*</t>
        </is>
      </c>
      <c r="H175" s="606" t="n">
        <v>223</v>
      </c>
      <c r="I175">
        <f>B175&amp;"~"&amp;F175&amp;"~"&amp;G175</f>
        <v/>
      </c>
      <c r="J175" t="inlineStr">
        <is>
          <t>13</t>
        </is>
      </c>
      <c r="K175" t="inlineStr">
        <is>
          <t>13</t>
        </is>
      </c>
      <c r="L175" t="inlineStr">
        <is>
          <t>13</t>
        </is>
      </c>
      <c r="M175" t="inlineStr">
        <is>
          <t>MVS Sec.13 p.35</t>
        </is>
      </c>
    </row>
    <row r="176">
      <c r="B176" t="inlineStr">
        <is>
          <t>Regional Shopping Centers</t>
        </is>
      </c>
      <c r="C176" t="inlineStr">
        <is>
          <t>414</t>
        </is>
      </c>
      <c r="D176" t="inlineStr">
        <is>
          <t>13</t>
        </is>
      </c>
      <c r="E176" t="inlineStr">
        <is>
          <t>35</t>
        </is>
      </c>
      <c r="F176" t="inlineStr">
        <is>
          <t>D</t>
        </is>
      </c>
      <c r="G176" t="inlineStr">
        <is>
          <t>Good*</t>
        </is>
      </c>
      <c r="H176" s="606" t="n">
        <v>176</v>
      </c>
      <c r="I176">
        <f>B176&amp;"~"&amp;F176&amp;"~"&amp;G176</f>
        <v/>
      </c>
      <c r="J176" t="inlineStr">
        <is>
          <t>13</t>
        </is>
      </c>
      <c r="K176" t="inlineStr">
        <is>
          <t>13</t>
        </is>
      </c>
      <c r="L176" t="inlineStr">
        <is>
          <t>13</t>
        </is>
      </c>
      <c r="M176" t="inlineStr">
        <is>
          <t>MVS Sec.13 p.35</t>
        </is>
      </c>
    </row>
    <row r="177">
      <c r="B177" t="inlineStr">
        <is>
          <t>Regional Shopping Centers</t>
        </is>
      </c>
      <c r="C177" t="inlineStr">
        <is>
          <t>414</t>
        </is>
      </c>
      <c r="D177" t="inlineStr">
        <is>
          <t>13</t>
        </is>
      </c>
      <c r="E177" t="inlineStr">
        <is>
          <t>35</t>
        </is>
      </c>
      <c r="F177" t="inlineStr">
        <is>
          <t>D</t>
        </is>
      </c>
      <c r="G177" t="inlineStr">
        <is>
          <t>Average</t>
        </is>
      </c>
      <c r="H177" s="606" t="n">
        <v>142</v>
      </c>
      <c r="I177">
        <f>B177&amp;"~"&amp;F177&amp;"~"&amp;G177</f>
        <v/>
      </c>
      <c r="J177" t="inlineStr">
        <is>
          <t>13</t>
        </is>
      </c>
      <c r="K177" t="inlineStr">
        <is>
          <t>13</t>
        </is>
      </c>
      <c r="L177" t="inlineStr">
        <is>
          <t>13</t>
        </is>
      </c>
      <c r="M177" t="inlineStr">
        <is>
          <t>MVS Sec.13 p.35</t>
        </is>
      </c>
    </row>
    <row r="178">
      <c r="B178" t="inlineStr">
        <is>
          <t>Regional Shopping Centers</t>
        </is>
      </c>
      <c r="C178" t="inlineStr">
        <is>
          <t>414</t>
        </is>
      </c>
      <c r="D178" t="inlineStr">
        <is>
          <t>13</t>
        </is>
      </c>
      <c r="E178" t="inlineStr">
        <is>
          <t>35</t>
        </is>
      </c>
      <c r="F178" t="inlineStr">
        <is>
          <t>S</t>
        </is>
      </c>
      <c r="G178" t="inlineStr">
        <is>
          <t>Average</t>
        </is>
      </c>
      <c r="H178" s="606" t="n">
        <v>142</v>
      </c>
      <c r="I178">
        <f>B178&amp;"~"&amp;F178&amp;"~"&amp;G178</f>
        <v/>
      </c>
      <c r="J178" t="inlineStr">
        <is>
          <t>13</t>
        </is>
      </c>
      <c r="K178" t="inlineStr">
        <is>
          <t>13</t>
        </is>
      </c>
      <c r="L178" t="inlineStr">
        <is>
          <t>13</t>
        </is>
      </c>
      <c r="M178" t="inlineStr">
        <is>
          <t>MVS Sec.13 p.35</t>
        </is>
      </c>
    </row>
    <row r="179">
      <c r="B179" t="inlineStr">
        <is>
          <t>Department Stores</t>
        </is>
      </c>
      <c r="C179" t="inlineStr">
        <is>
          <t>318</t>
        </is>
      </c>
      <c r="D179" t="inlineStr">
        <is>
          <t>13</t>
        </is>
      </c>
      <c r="E179" t="inlineStr">
        <is>
          <t>27</t>
        </is>
      </c>
      <c r="F179" t="inlineStr">
        <is>
          <t>A</t>
        </is>
      </c>
      <c r="G179" t="inlineStr">
        <is>
          <t>Excellent</t>
        </is>
      </c>
      <c r="H179" s="606" t="n">
        <v>317</v>
      </c>
      <c r="I179">
        <f>B179&amp;"~"&amp;F179&amp;"~"&amp;G179</f>
        <v/>
      </c>
      <c r="J179" t="inlineStr">
        <is>
          <t>13</t>
        </is>
      </c>
      <c r="K179" t="inlineStr">
        <is>
          <t>13</t>
        </is>
      </c>
      <c r="L179" t="inlineStr">
        <is>
          <t>13</t>
        </is>
      </c>
      <c r="M179" t="inlineStr">
        <is>
          <t>MVS Sec.13 p.27</t>
        </is>
      </c>
    </row>
    <row r="180">
      <c r="B180" t="inlineStr">
        <is>
          <t>Department Stores</t>
        </is>
      </c>
      <c r="C180" t="inlineStr">
        <is>
          <t>318</t>
        </is>
      </c>
      <c r="D180" t="inlineStr">
        <is>
          <t>13</t>
        </is>
      </c>
      <c r="E180" t="inlineStr">
        <is>
          <t>27</t>
        </is>
      </c>
      <c r="F180" t="inlineStr">
        <is>
          <t>A</t>
        </is>
      </c>
      <c r="G180" t="inlineStr">
        <is>
          <t>Good</t>
        </is>
      </c>
      <c r="H180" s="606" t="n">
        <v>256</v>
      </c>
      <c r="I180">
        <f>B180&amp;"~"&amp;F180&amp;"~"&amp;G180</f>
        <v/>
      </c>
      <c r="J180" t="inlineStr">
        <is>
          <t>13</t>
        </is>
      </c>
      <c r="K180" t="inlineStr">
        <is>
          <t>13</t>
        </is>
      </c>
      <c r="L180" t="inlineStr">
        <is>
          <t>13</t>
        </is>
      </c>
      <c r="M180" t="inlineStr">
        <is>
          <t>MVS Sec.13 p.27</t>
        </is>
      </c>
    </row>
    <row r="181">
      <c r="B181" t="inlineStr">
        <is>
          <t>Department Stores</t>
        </is>
      </c>
      <c r="C181" t="inlineStr">
        <is>
          <t>318</t>
        </is>
      </c>
      <c r="D181" t="inlineStr">
        <is>
          <t>13</t>
        </is>
      </c>
      <c r="E181" t="inlineStr">
        <is>
          <t>27</t>
        </is>
      </c>
      <c r="F181" t="inlineStr">
        <is>
          <t>A</t>
        </is>
      </c>
      <c r="G181" t="inlineStr">
        <is>
          <t>Average</t>
        </is>
      </c>
      <c r="H181" s="606" t="n">
        <v>198</v>
      </c>
      <c r="I181">
        <f>B181&amp;"~"&amp;F181&amp;"~"&amp;G181</f>
        <v/>
      </c>
      <c r="J181" t="inlineStr">
        <is>
          <t>13</t>
        </is>
      </c>
      <c r="K181" t="inlineStr">
        <is>
          <t>13</t>
        </is>
      </c>
      <c r="L181" t="inlineStr">
        <is>
          <t>13</t>
        </is>
      </c>
      <c r="M181" t="inlineStr">
        <is>
          <t>MVS Sec.13 p.27</t>
        </is>
      </c>
    </row>
    <row r="182">
      <c r="B182" t="inlineStr">
        <is>
          <t>Department Stores</t>
        </is>
      </c>
      <c r="C182" t="inlineStr">
        <is>
          <t>318</t>
        </is>
      </c>
      <c r="D182" t="inlineStr">
        <is>
          <t>13</t>
        </is>
      </c>
      <c r="E182" t="inlineStr">
        <is>
          <t>27</t>
        </is>
      </c>
      <c r="F182" t="inlineStr">
        <is>
          <t>B</t>
        </is>
      </c>
      <c r="G182" t="inlineStr">
        <is>
          <t>Excellent</t>
        </is>
      </c>
      <c r="H182" s="606" t="n">
        <v>289</v>
      </c>
      <c r="I182">
        <f>B182&amp;"~"&amp;F182&amp;"~"&amp;G182</f>
        <v/>
      </c>
      <c r="J182" t="inlineStr">
        <is>
          <t>13</t>
        </is>
      </c>
      <c r="K182" t="inlineStr">
        <is>
          <t>13</t>
        </is>
      </c>
      <c r="L182" t="inlineStr">
        <is>
          <t>13</t>
        </is>
      </c>
      <c r="M182" t="inlineStr">
        <is>
          <t>MVS Sec.13 p.27</t>
        </is>
      </c>
    </row>
    <row r="183">
      <c r="B183" t="inlineStr">
        <is>
          <t>Department Stores</t>
        </is>
      </c>
      <c r="C183" t="inlineStr">
        <is>
          <t>318</t>
        </is>
      </c>
      <c r="D183" t="inlineStr">
        <is>
          <t>13</t>
        </is>
      </c>
      <c r="E183" t="inlineStr">
        <is>
          <t>27</t>
        </is>
      </c>
      <c r="F183" t="inlineStr">
        <is>
          <t>B</t>
        </is>
      </c>
      <c r="G183" t="inlineStr">
        <is>
          <t>Good</t>
        </is>
      </c>
      <c r="H183" s="606" t="n">
        <v>233</v>
      </c>
      <c r="I183">
        <f>B183&amp;"~"&amp;F183&amp;"~"&amp;G183</f>
        <v/>
      </c>
      <c r="J183" t="inlineStr">
        <is>
          <t>13</t>
        </is>
      </c>
      <c r="K183" t="inlineStr">
        <is>
          <t>13</t>
        </is>
      </c>
      <c r="L183" t="inlineStr">
        <is>
          <t>13</t>
        </is>
      </c>
      <c r="M183" t="inlineStr">
        <is>
          <t>MVS Sec.13 p.27</t>
        </is>
      </c>
    </row>
    <row r="184">
      <c r="B184" t="inlineStr">
        <is>
          <t>Department Stores</t>
        </is>
      </c>
      <c r="C184" t="inlineStr">
        <is>
          <t>318</t>
        </is>
      </c>
      <c r="D184" t="inlineStr">
        <is>
          <t>13</t>
        </is>
      </c>
      <c r="E184" t="inlineStr">
        <is>
          <t>27</t>
        </is>
      </c>
      <c r="F184" t="inlineStr">
        <is>
          <t>B</t>
        </is>
      </c>
      <c r="G184" t="inlineStr">
        <is>
          <t>Average</t>
        </is>
      </c>
      <c r="H184" s="606" t="n">
        <v>180</v>
      </c>
      <c r="I184">
        <f>B184&amp;"~"&amp;F184&amp;"~"&amp;G184</f>
        <v/>
      </c>
      <c r="J184" t="inlineStr">
        <is>
          <t>13</t>
        </is>
      </c>
      <c r="K184" t="inlineStr">
        <is>
          <t>13</t>
        </is>
      </c>
      <c r="L184" t="inlineStr">
        <is>
          <t>13</t>
        </is>
      </c>
      <c r="M184" t="inlineStr">
        <is>
          <t>MVS Sec.13 p.27</t>
        </is>
      </c>
    </row>
    <row r="185">
      <c r="B185" t="inlineStr">
        <is>
          <t>Department Stores</t>
        </is>
      </c>
      <c r="C185" t="inlineStr">
        <is>
          <t>318</t>
        </is>
      </c>
      <c r="D185" t="inlineStr">
        <is>
          <t>13</t>
        </is>
      </c>
      <c r="E185" t="inlineStr">
        <is>
          <t>27</t>
        </is>
      </c>
      <c r="F185" t="inlineStr">
        <is>
          <t>C</t>
        </is>
      </c>
      <c r="G185" t="inlineStr">
        <is>
          <t>Excellent</t>
        </is>
      </c>
      <c r="H185" s="606" t="n">
        <v>254</v>
      </c>
      <c r="I185">
        <f>B185&amp;"~"&amp;F185&amp;"~"&amp;G185</f>
        <v/>
      </c>
      <c r="J185" t="inlineStr">
        <is>
          <t>13</t>
        </is>
      </c>
      <c r="K185" t="inlineStr">
        <is>
          <t>13</t>
        </is>
      </c>
      <c r="L185" t="inlineStr">
        <is>
          <t>13</t>
        </is>
      </c>
      <c r="M185" t="inlineStr">
        <is>
          <t>MVS Sec.13 p.27</t>
        </is>
      </c>
    </row>
    <row r="186">
      <c r="B186" t="inlineStr">
        <is>
          <t>Department Stores</t>
        </is>
      </c>
      <c r="C186" t="inlineStr">
        <is>
          <t>318</t>
        </is>
      </c>
      <c r="D186" t="inlineStr">
        <is>
          <t>13</t>
        </is>
      </c>
      <c r="E186" t="inlineStr">
        <is>
          <t>27</t>
        </is>
      </c>
      <c r="F186" t="inlineStr">
        <is>
          <t>C</t>
        </is>
      </c>
      <c r="G186" t="inlineStr">
        <is>
          <t>Good</t>
        </is>
      </c>
      <c r="H186" s="606" t="n">
        <v>193</v>
      </c>
      <c r="I186">
        <f>B186&amp;"~"&amp;F186&amp;"~"&amp;G186</f>
        <v/>
      </c>
      <c r="J186" t="inlineStr">
        <is>
          <t>13</t>
        </is>
      </c>
      <c r="K186" t="inlineStr">
        <is>
          <t>13</t>
        </is>
      </c>
      <c r="L186" t="inlineStr">
        <is>
          <t>13</t>
        </is>
      </c>
      <c r="M186" t="inlineStr">
        <is>
          <t>MVS Sec.13 p.27</t>
        </is>
      </c>
    </row>
    <row r="187">
      <c r="B187" t="inlineStr">
        <is>
          <t>Department Stores</t>
        </is>
      </c>
      <c r="C187" t="inlineStr">
        <is>
          <t>318</t>
        </is>
      </c>
      <c r="D187" t="inlineStr">
        <is>
          <t>13</t>
        </is>
      </c>
      <c r="E187" t="inlineStr">
        <is>
          <t>27</t>
        </is>
      </c>
      <c r="F187" t="inlineStr">
        <is>
          <t>C</t>
        </is>
      </c>
      <c r="G187" t="inlineStr">
        <is>
          <t>Average</t>
        </is>
      </c>
      <c r="H187" s="606" t="n">
        <v>154</v>
      </c>
      <c r="I187">
        <f>B187&amp;"~"&amp;F187&amp;"~"&amp;G187</f>
        <v/>
      </c>
      <c r="J187" t="inlineStr">
        <is>
          <t>13</t>
        </is>
      </c>
      <c r="K187" t="inlineStr">
        <is>
          <t>13</t>
        </is>
      </c>
      <c r="L187" t="inlineStr">
        <is>
          <t>13</t>
        </is>
      </c>
      <c r="M187" t="inlineStr">
        <is>
          <t>MVS Sec.13 p.27</t>
        </is>
      </c>
    </row>
    <row r="188">
      <c r="B188" t="inlineStr">
        <is>
          <t>Discount Stores</t>
        </is>
      </c>
      <c r="C188" t="inlineStr">
        <is>
          <t>319</t>
        </is>
      </c>
      <c r="D188" t="inlineStr">
        <is>
          <t>13</t>
        </is>
      </c>
      <c r="E188" t="inlineStr">
        <is>
          <t>28</t>
        </is>
      </c>
      <c r="F188" t="inlineStr">
        <is>
          <t>A-B</t>
        </is>
      </c>
      <c r="G188" t="inlineStr">
        <is>
          <t>Average</t>
        </is>
      </c>
      <c r="H188" s="606" t="n">
        <v>121</v>
      </c>
      <c r="I188">
        <f>B188&amp;"~"&amp;F188&amp;"~"&amp;G188</f>
        <v/>
      </c>
      <c r="J188" t="inlineStr">
        <is>
          <t>13</t>
        </is>
      </c>
      <c r="K188" t="inlineStr">
        <is>
          <t>13</t>
        </is>
      </c>
      <c r="L188" t="inlineStr">
        <is>
          <t>13</t>
        </is>
      </c>
      <c r="M188" t="inlineStr">
        <is>
          <t>MVS Sec.13 p.28</t>
        </is>
      </c>
    </row>
    <row r="189">
      <c r="B189" t="inlineStr">
        <is>
          <t>Discount Stores</t>
        </is>
      </c>
      <c r="C189" t="inlineStr">
        <is>
          <t>319</t>
        </is>
      </c>
      <c r="D189" t="inlineStr">
        <is>
          <t>13</t>
        </is>
      </c>
      <c r="E189" t="inlineStr">
        <is>
          <t>28</t>
        </is>
      </c>
      <c r="F189" t="inlineStr">
        <is>
          <t>C</t>
        </is>
      </c>
      <c r="G189" t="inlineStr">
        <is>
          <t>Good</t>
        </is>
      </c>
      <c r="H189" s="606" t="n">
        <v>118</v>
      </c>
      <c r="I189">
        <f>B189&amp;"~"&amp;F189&amp;"~"&amp;G189</f>
        <v/>
      </c>
      <c r="J189" t="inlineStr">
        <is>
          <t>13</t>
        </is>
      </c>
      <c r="K189" t="inlineStr">
        <is>
          <t>13</t>
        </is>
      </c>
      <c r="L189" t="inlineStr">
        <is>
          <t>13</t>
        </is>
      </c>
      <c r="M189" t="inlineStr">
        <is>
          <t>MVS Sec.13 p.28</t>
        </is>
      </c>
    </row>
    <row r="190">
      <c r="B190" t="inlineStr">
        <is>
          <t>Discount Stores</t>
        </is>
      </c>
      <c r="C190" t="inlineStr">
        <is>
          <t>319</t>
        </is>
      </c>
      <c r="D190" t="inlineStr">
        <is>
          <t>13</t>
        </is>
      </c>
      <c r="E190" t="inlineStr">
        <is>
          <t>28</t>
        </is>
      </c>
      <c r="F190" t="inlineStr">
        <is>
          <t>C</t>
        </is>
      </c>
      <c r="G190" t="inlineStr">
        <is>
          <t>Average</t>
        </is>
      </c>
      <c r="H190" s="606" t="n">
        <v>94</v>
      </c>
      <c r="I190">
        <f>B190&amp;"~"&amp;F190&amp;"~"&amp;G190</f>
        <v/>
      </c>
      <c r="J190" t="inlineStr">
        <is>
          <t>13</t>
        </is>
      </c>
      <c r="K190" t="inlineStr">
        <is>
          <t>13</t>
        </is>
      </c>
      <c r="L190" t="inlineStr">
        <is>
          <t>13</t>
        </is>
      </c>
      <c r="M190" t="inlineStr">
        <is>
          <t>MVS Sec.13 p.28</t>
        </is>
      </c>
    </row>
    <row r="191">
      <c r="B191" t="inlineStr">
        <is>
          <t>Discount Stores</t>
        </is>
      </c>
      <c r="C191" t="inlineStr">
        <is>
          <t>319</t>
        </is>
      </c>
      <c r="D191" t="inlineStr">
        <is>
          <t>13</t>
        </is>
      </c>
      <c r="E191" t="inlineStr">
        <is>
          <t>28</t>
        </is>
      </c>
      <c r="F191" t="inlineStr">
        <is>
          <t>C</t>
        </is>
      </c>
      <c r="G191" t="inlineStr">
        <is>
          <t>Low Cost</t>
        </is>
      </c>
      <c r="H191" s="606" t="n">
        <v>72</v>
      </c>
      <c r="I191">
        <f>B191&amp;"~"&amp;F191&amp;"~"&amp;G191</f>
        <v/>
      </c>
      <c r="J191" t="inlineStr">
        <is>
          <t>13</t>
        </is>
      </c>
      <c r="K191" t="inlineStr">
        <is>
          <t>13</t>
        </is>
      </c>
      <c r="L191" t="inlineStr">
        <is>
          <t>13</t>
        </is>
      </c>
      <c r="M191" t="inlineStr">
        <is>
          <t>MVS Sec.13 p.28</t>
        </is>
      </c>
    </row>
    <row r="192">
      <c r="B192" t="inlineStr">
        <is>
          <t>Discount Stores</t>
        </is>
      </c>
      <c r="C192" t="inlineStr">
        <is>
          <t>319</t>
        </is>
      </c>
      <c r="D192" t="inlineStr">
        <is>
          <t>13</t>
        </is>
      </c>
      <c r="E192" t="inlineStr">
        <is>
          <t>28</t>
        </is>
      </c>
      <c r="F192" t="inlineStr">
        <is>
          <t>D</t>
        </is>
      </c>
      <c r="G192" t="inlineStr">
        <is>
          <t>Good</t>
        </is>
      </c>
      <c r="H192" s="606" t="n">
        <v>111</v>
      </c>
      <c r="I192">
        <f>B192&amp;"~"&amp;F192&amp;"~"&amp;G192</f>
        <v/>
      </c>
      <c r="J192" t="inlineStr">
        <is>
          <t>13</t>
        </is>
      </c>
      <c r="K192" t="inlineStr">
        <is>
          <t>13</t>
        </is>
      </c>
      <c r="L192" t="inlineStr">
        <is>
          <t>13</t>
        </is>
      </c>
      <c r="M192" t="inlineStr">
        <is>
          <t>MVS Sec.13 p.28</t>
        </is>
      </c>
    </row>
    <row r="193">
      <c r="B193" t="inlineStr">
        <is>
          <t>Discount Stores</t>
        </is>
      </c>
      <c r="C193" t="inlineStr">
        <is>
          <t>319</t>
        </is>
      </c>
      <c r="D193" t="inlineStr">
        <is>
          <t>13</t>
        </is>
      </c>
      <c r="E193" t="inlineStr">
        <is>
          <t>28</t>
        </is>
      </c>
      <c r="F193" t="inlineStr">
        <is>
          <t>D</t>
        </is>
      </c>
      <c r="G193" t="inlineStr">
        <is>
          <t>Average</t>
        </is>
      </c>
      <c r="H193" s="606" t="n">
        <v>87</v>
      </c>
      <c r="I193">
        <f>B193&amp;"~"&amp;F193&amp;"~"&amp;G193</f>
        <v/>
      </c>
      <c r="J193" t="inlineStr">
        <is>
          <t>13</t>
        </is>
      </c>
      <c r="K193" t="inlineStr">
        <is>
          <t>13</t>
        </is>
      </c>
      <c r="L193" t="inlineStr">
        <is>
          <t>13</t>
        </is>
      </c>
      <c r="M193" t="inlineStr">
        <is>
          <t>MVS Sec.13 p.28</t>
        </is>
      </c>
    </row>
    <row r="194">
      <c r="B194" t="inlineStr">
        <is>
          <t>Discount Stores</t>
        </is>
      </c>
      <c r="C194" t="inlineStr">
        <is>
          <t>319</t>
        </is>
      </c>
      <c r="D194" t="inlineStr">
        <is>
          <t>13</t>
        </is>
      </c>
      <c r="E194" t="inlineStr">
        <is>
          <t>28</t>
        </is>
      </c>
      <c r="F194" t="inlineStr">
        <is>
          <t>D</t>
        </is>
      </c>
      <c r="G194" t="inlineStr">
        <is>
          <t>Low Cost</t>
        </is>
      </c>
      <c r="H194" s="606" t="n">
        <v>65.5</v>
      </c>
      <c r="I194">
        <f>B194&amp;"~"&amp;F194&amp;"~"&amp;G194</f>
        <v/>
      </c>
      <c r="J194" t="inlineStr">
        <is>
          <t>13</t>
        </is>
      </c>
      <c r="K194" t="inlineStr">
        <is>
          <t>13</t>
        </is>
      </c>
      <c r="L194" t="inlineStr">
        <is>
          <t>13</t>
        </is>
      </c>
      <c r="M194" t="inlineStr">
        <is>
          <t>MVS Sec.13 p.28</t>
        </is>
      </c>
    </row>
    <row r="195">
      <c r="B195" t="inlineStr">
        <is>
          <t>Discount Stores</t>
        </is>
      </c>
      <c r="C195" t="inlineStr">
        <is>
          <t>319</t>
        </is>
      </c>
      <c r="D195" t="inlineStr">
        <is>
          <t>13</t>
        </is>
      </c>
      <c r="E195" t="inlineStr">
        <is>
          <t>28</t>
        </is>
      </c>
      <c r="F195" t="inlineStr">
        <is>
          <t>DPOLE</t>
        </is>
      </c>
      <c r="G195" t="inlineStr">
        <is>
          <t>Low Cost</t>
        </is>
      </c>
      <c r="H195" s="606" t="n">
        <v>59</v>
      </c>
      <c r="I195">
        <f>B195&amp;"~"&amp;F195&amp;"~"&amp;G195</f>
        <v/>
      </c>
      <c r="J195" t="inlineStr">
        <is>
          <t>13</t>
        </is>
      </c>
      <c r="K195" t="inlineStr">
        <is>
          <t>13</t>
        </is>
      </c>
      <c r="L195" t="inlineStr">
        <is>
          <t>13</t>
        </is>
      </c>
      <c r="M195" t="inlineStr">
        <is>
          <t>MVS Sec.13 p.28</t>
        </is>
      </c>
    </row>
    <row r="196">
      <c r="B196" t="inlineStr">
        <is>
          <t>Discount Stores</t>
        </is>
      </c>
      <c r="C196" t="inlineStr">
        <is>
          <t>319</t>
        </is>
      </c>
      <c r="D196" t="inlineStr">
        <is>
          <t>13</t>
        </is>
      </c>
      <c r="E196" t="inlineStr">
        <is>
          <t>28</t>
        </is>
      </c>
      <c r="F196" t="inlineStr">
        <is>
          <t>S</t>
        </is>
      </c>
      <c r="G196" t="inlineStr">
        <is>
          <t>Good</t>
        </is>
      </c>
      <c r="H196" s="606" t="n">
        <v>111</v>
      </c>
      <c r="I196">
        <f>B196&amp;"~"&amp;F196&amp;"~"&amp;G196</f>
        <v/>
      </c>
      <c r="J196" t="inlineStr">
        <is>
          <t>13</t>
        </is>
      </c>
      <c r="K196" t="inlineStr">
        <is>
          <t>13</t>
        </is>
      </c>
      <c r="L196" t="inlineStr">
        <is>
          <t>13</t>
        </is>
      </c>
      <c r="M196" t="inlineStr">
        <is>
          <t>MVS Sec.13 p.28</t>
        </is>
      </c>
    </row>
    <row r="197">
      <c r="B197" t="inlineStr">
        <is>
          <t>Discount Stores</t>
        </is>
      </c>
      <c r="C197" t="inlineStr">
        <is>
          <t>319</t>
        </is>
      </c>
      <c r="D197" t="inlineStr">
        <is>
          <t>13</t>
        </is>
      </c>
      <c r="E197" t="inlineStr">
        <is>
          <t>28</t>
        </is>
      </c>
      <c r="F197" t="inlineStr">
        <is>
          <t>S</t>
        </is>
      </c>
      <c r="G197" t="inlineStr">
        <is>
          <t>Average</t>
        </is>
      </c>
      <c r="H197" s="606" t="n">
        <v>85</v>
      </c>
      <c r="I197">
        <f>B197&amp;"~"&amp;F197&amp;"~"&amp;G197</f>
        <v/>
      </c>
      <c r="J197" t="inlineStr">
        <is>
          <t>13</t>
        </is>
      </c>
      <c r="K197" t="inlineStr">
        <is>
          <t>13</t>
        </is>
      </c>
      <c r="L197" t="inlineStr">
        <is>
          <t>13</t>
        </is>
      </c>
      <c r="M197" t="inlineStr">
        <is>
          <t>MVS Sec.13 p.28</t>
        </is>
      </c>
    </row>
    <row r="198">
      <c r="B198" t="inlineStr">
        <is>
          <t>Discount Stores</t>
        </is>
      </c>
      <c r="C198" t="inlineStr">
        <is>
          <t>319</t>
        </is>
      </c>
      <c r="D198" t="inlineStr">
        <is>
          <t>13</t>
        </is>
      </c>
      <c r="E198" t="inlineStr">
        <is>
          <t>28</t>
        </is>
      </c>
      <c r="F198" t="inlineStr">
        <is>
          <t>S</t>
        </is>
      </c>
      <c r="G198" t="inlineStr">
        <is>
          <t>Low Cost</t>
        </is>
      </c>
      <c r="H198" s="606" t="n">
        <v>63</v>
      </c>
      <c r="I198">
        <f>B198&amp;"~"&amp;F198&amp;"~"&amp;G198</f>
        <v/>
      </c>
      <c r="J198" t="inlineStr">
        <is>
          <t>13</t>
        </is>
      </c>
      <c r="K198" t="inlineStr">
        <is>
          <t>13</t>
        </is>
      </c>
      <c r="L198" t="inlineStr">
        <is>
          <t>13</t>
        </is>
      </c>
      <c r="M198" t="inlineStr">
        <is>
          <t>MVS Sec.13 p.28</t>
        </is>
      </c>
    </row>
    <row r="199">
      <c r="B199" t="inlineStr">
        <is>
          <t>Office Buildings</t>
        </is>
      </c>
      <c r="C199" t="inlineStr">
        <is>
          <t>344</t>
        </is>
      </c>
      <c r="D199" t="inlineStr">
        <is>
          <t>15</t>
        </is>
      </c>
      <c r="E199" t="inlineStr">
        <is>
          <t>17</t>
        </is>
      </c>
      <c r="F199" t="inlineStr">
        <is>
          <t>A</t>
        </is>
      </c>
      <c r="G199" t="inlineStr">
        <is>
          <t>Excellent</t>
        </is>
      </c>
      <c r="H199" s="606" t="n">
        <v>404</v>
      </c>
      <c r="I199">
        <f>B199&amp;"~"&amp;F199&amp;"~"&amp;G199</f>
        <v/>
      </c>
      <c r="J199" t="inlineStr">
        <is>
          <t>15</t>
        </is>
      </c>
      <c r="K199" t="inlineStr">
        <is>
          <t>15</t>
        </is>
      </c>
      <c r="L199" t="inlineStr">
        <is>
          <t>15</t>
        </is>
      </c>
      <c r="M199" t="inlineStr">
        <is>
          <t>MVS Sec.15 p.17</t>
        </is>
      </c>
    </row>
    <row r="200">
      <c r="B200" t="inlineStr">
        <is>
          <t>Office Buildings</t>
        </is>
      </c>
      <c r="C200" t="inlineStr">
        <is>
          <t>344</t>
        </is>
      </c>
      <c r="D200" t="inlineStr">
        <is>
          <t>15</t>
        </is>
      </c>
      <c r="E200" t="inlineStr">
        <is>
          <t>17</t>
        </is>
      </c>
      <c r="F200" t="inlineStr">
        <is>
          <t>A</t>
        </is>
      </c>
      <c r="G200" t="inlineStr">
        <is>
          <t>Good</t>
        </is>
      </c>
      <c r="H200" s="606" t="n">
        <v>320</v>
      </c>
      <c r="I200">
        <f>B200&amp;"~"&amp;F200&amp;"~"&amp;G200</f>
        <v/>
      </c>
      <c r="J200" t="inlineStr">
        <is>
          <t>15</t>
        </is>
      </c>
      <c r="K200" t="inlineStr">
        <is>
          <t>15</t>
        </is>
      </c>
      <c r="L200" t="inlineStr">
        <is>
          <t>15</t>
        </is>
      </c>
      <c r="M200" t="inlineStr">
        <is>
          <t>MVS Sec.15 p.17</t>
        </is>
      </c>
    </row>
    <row r="201">
      <c r="B201" t="inlineStr">
        <is>
          <t>Office Buildings</t>
        </is>
      </c>
      <c r="C201" t="inlineStr">
        <is>
          <t>344</t>
        </is>
      </c>
      <c r="D201" t="inlineStr">
        <is>
          <t>15</t>
        </is>
      </c>
      <c r="E201" t="inlineStr">
        <is>
          <t>17</t>
        </is>
      </c>
      <c r="F201" t="inlineStr">
        <is>
          <t>A</t>
        </is>
      </c>
      <c r="G201" t="inlineStr">
        <is>
          <t>Average</t>
        </is>
      </c>
      <c r="H201" s="606" t="n">
        <v>241</v>
      </c>
      <c r="I201">
        <f>B201&amp;"~"&amp;F201&amp;"~"&amp;G201</f>
        <v/>
      </c>
      <c r="J201" t="inlineStr">
        <is>
          <t>15</t>
        </is>
      </c>
      <c r="K201" t="inlineStr">
        <is>
          <t>15</t>
        </is>
      </c>
      <c r="L201" t="inlineStr">
        <is>
          <t>15</t>
        </is>
      </c>
      <c r="M201" t="inlineStr">
        <is>
          <t>MVS Sec.15 p.17</t>
        </is>
      </c>
    </row>
    <row r="202">
      <c r="B202" t="inlineStr">
        <is>
          <t>Office Buildings</t>
        </is>
      </c>
      <c r="C202" t="inlineStr">
        <is>
          <t>344</t>
        </is>
      </c>
      <c r="D202" t="inlineStr">
        <is>
          <t>15</t>
        </is>
      </c>
      <c r="E202" t="inlineStr">
        <is>
          <t>17</t>
        </is>
      </c>
      <c r="F202" t="inlineStr">
        <is>
          <t>A</t>
        </is>
      </c>
      <c r="G202" t="inlineStr">
        <is>
          <t>Low Cost</t>
        </is>
      </c>
      <c r="H202" s="606" t="n">
        <v>192</v>
      </c>
      <c r="I202">
        <f>B202&amp;"~"&amp;F202&amp;"~"&amp;G202</f>
        <v/>
      </c>
      <c r="J202" t="inlineStr">
        <is>
          <t>15</t>
        </is>
      </c>
      <c r="K202" t="inlineStr">
        <is>
          <t>15</t>
        </is>
      </c>
      <c r="L202" t="inlineStr">
        <is>
          <t>15</t>
        </is>
      </c>
      <c r="M202" t="inlineStr">
        <is>
          <t>MVS Sec.15 p.17</t>
        </is>
      </c>
    </row>
    <row r="203">
      <c r="B203" t="inlineStr">
        <is>
          <t>Office Buildings</t>
        </is>
      </c>
      <c r="C203" t="inlineStr">
        <is>
          <t>344</t>
        </is>
      </c>
      <c r="D203" t="inlineStr">
        <is>
          <t>15</t>
        </is>
      </c>
      <c r="E203" t="inlineStr">
        <is>
          <t>17</t>
        </is>
      </c>
      <c r="F203" t="inlineStr">
        <is>
          <t>B</t>
        </is>
      </c>
      <c r="G203" t="inlineStr">
        <is>
          <t>Excellent</t>
        </is>
      </c>
      <c r="H203" s="606" t="n">
        <v>372</v>
      </c>
      <c r="I203">
        <f>B203&amp;"~"&amp;F203&amp;"~"&amp;G203</f>
        <v/>
      </c>
      <c r="J203" t="inlineStr">
        <is>
          <t>15</t>
        </is>
      </c>
      <c r="K203" t="inlineStr">
        <is>
          <t>15</t>
        </is>
      </c>
      <c r="L203" t="inlineStr">
        <is>
          <t>15</t>
        </is>
      </c>
      <c r="M203" t="inlineStr">
        <is>
          <t>MVS Sec.15 p.17</t>
        </is>
      </c>
    </row>
    <row r="204">
      <c r="B204" t="inlineStr">
        <is>
          <t>Office Buildings</t>
        </is>
      </c>
      <c r="C204" t="inlineStr">
        <is>
          <t>344</t>
        </is>
      </c>
      <c r="D204" t="inlineStr">
        <is>
          <t>15</t>
        </is>
      </c>
      <c r="E204" t="inlineStr">
        <is>
          <t>17</t>
        </is>
      </c>
      <c r="F204" t="inlineStr">
        <is>
          <t>B</t>
        </is>
      </c>
      <c r="G204" t="inlineStr">
        <is>
          <t>Good</t>
        </is>
      </c>
      <c r="H204" s="606" t="n">
        <v>293</v>
      </c>
      <c r="I204">
        <f>B204&amp;"~"&amp;F204&amp;"~"&amp;G204</f>
        <v/>
      </c>
      <c r="J204" t="inlineStr">
        <is>
          <t>15</t>
        </is>
      </c>
      <c r="K204" t="inlineStr">
        <is>
          <t>15</t>
        </is>
      </c>
      <c r="L204" t="inlineStr">
        <is>
          <t>15</t>
        </is>
      </c>
      <c r="M204" t="inlineStr">
        <is>
          <t>MVS Sec.15 p.17</t>
        </is>
      </c>
    </row>
    <row r="205">
      <c r="B205" t="inlineStr">
        <is>
          <t>Office Buildings</t>
        </is>
      </c>
      <c r="C205" t="inlineStr">
        <is>
          <t>344</t>
        </is>
      </c>
      <c r="D205" t="inlineStr">
        <is>
          <t>15</t>
        </is>
      </c>
      <c r="E205" t="inlineStr">
        <is>
          <t>17</t>
        </is>
      </c>
      <c r="F205" t="inlineStr">
        <is>
          <t>B</t>
        </is>
      </c>
      <c r="G205" t="inlineStr">
        <is>
          <t>Average</t>
        </is>
      </c>
      <c r="H205" s="606" t="n">
        <v>219</v>
      </c>
      <c r="I205">
        <f>B205&amp;"~"&amp;F205&amp;"~"&amp;G205</f>
        <v/>
      </c>
      <c r="J205" t="inlineStr">
        <is>
          <t>15</t>
        </is>
      </c>
      <c r="K205" t="inlineStr">
        <is>
          <t>15</t>
        </is>
      </c>
      <c r="L205" t="inlineStr">
        <is>
          <t>15</t>
        </is>
      </c>
      <c r="M205" t="inlineStr">
        <is>
          <t>MVS Sec.15 p.17</t>
        </is>
      </c>
    </row>
    <row r="206">
      <c r="B206" t="inlineStr">
        <is>
          <t>Office Buildings</t>
        </is>
      </c>
      <c r="C206" t="inlineStr">
        <is>
          <t>344</t>
        </is>
      </c>
      <c r="D206" t="inlineStr">
        <is>
          <t>15</t>
        </is>
      </c>
      <c r="E206" t="inlineStr">
        <is>
          <t>17</t>
        </is>
      </c>
      <c r="F206" t="inlineStr">
        <is>
          <t>B</t>
        </is>
      </c>
      <c r="G206" t="inlineStr">
        <is>
          <t>Low Cost</t>
        </is>
      </c>
      <c r="H206" s="606" t="n">
        <v>173</v>
      </c>
      <c r="I206">
        <f>B206&amp;"~"&amp;F206&amp;"~"&amp;G206</f>
        <v/>
      </c>
      <c r="J206" t="inlineStr">
        <is>
          <t>15</t>
        </is>
      </c>
      <c r="K206" t="inlineStr">
        <is>
          <t>15</t>
        </is>
      </c>
      <c r="L206" t="inlineStr">
        <is>
          <t>15</t>
        </is>
      </c>
      <c r="M206" t="inlineStr">
        <is>
          <t>MVS Sec.15 p.17</t>
        </is>
      </c>
    </row>
    <row r="207">
      <c r="B207" t="inlineStr">
        <is>
          <t>Office Buildings</t>
        </is>
      </c>
      <c r="C207" t="inlineStr">
        <is>
          <t>344</t>
        </is>
      </c>
      <c r="D207" t="inlineStr">
        <is>
          <t>15</t>
        </is>
      </c>
      <c r="E207" t="inlineStr">
        <is>
          <t>17</t>
        </is>
      </c>
      <c r="F207" t="inlineStr">
        <is>
          <t>C</t>
        </is>
      </c>
      <c r="G207" t="inlineStr">
        <is>
          <t>Excellent</t>
        </is>
      </c>
      <c r="H207" s="606" t="n">
        <v>317</v>
      </c>
      <c r="I207">
        <f>B207&amp;"~"&amp;F207&amp;"~"&amp;G207</f>
        <v/>
      </c>
      <c r="J207" t="inlineStr">
        <is>
          <t>15</t>
        </is>
      </c>
      <c r="K207" t="inlineStr">
        <is>
          <t>15</t>
        </is>
      </c>
      <c r="L207" t="inlineStr">
        <is>
          <t>15</t>
        </is>
      </c>
      <c r="M207" t="inlineStr">
        <is>
          <t>MVS Sec.15 p.17</t>
        </is>
      </c>
    </row>
    <row r="208">
      <c r="B208" t="inlineStr">
        <is>
          <t>Office Buildings</t>
        </is>
      </c>
      <c r="C208" t="inlineStr">
        <is>
          <t>344</t>
        </is>
      </c>
      <c r="D208" t="inlineStr">
        <is>
          <t>15</t>
        </is>
      </c>
      <c r="E208" t="inlineStr">
        <is>
          <t>17</t>
        </is>
      </c>
      <c r="F208" t="inlineStr">
        <is>
          <t>C</t>
        </is>
      </c>
      <c r="G208" t="inlineStr">
        <is>
          <t>Good</t>
        </is>
      </c>
      <c r="H208" s="606" t="n">
        <v>221</v>
      </c>
      <c r="I208">
        <f>B208&amp;"~"&amp;F208&amp;"~"&amp;G208</f>
        <v/>
      </c>
      <c r="J208" t="inlineStr">
        <is>
          <t>15</t>
        </is>
      </c>
      <c r="K208" t="inlineStr">
        <is>
          <t>15</t>
        </is>
      </c>
      <c r="L208" t="inlineStr">
        <is>
          <t>15</t>
        </is>
      </c>
      <c r="M208" t="inlineStr">
        <is>
          <t>MVS Sec.15 p.17</t>
        </is>
      </c>
    </row>
    <row r="209">
      <c r="B209" t="inlineStr">
        <is>
          <t>Office Buildings</t>
        </is>
      </c>
      <c r="C209" t="inlineStr">
        <is>
          <t>344</t>
        </is>
      </c>
      <c r="D209" t="inlineStr">
        <is>
          <t>15</t>
        </is>
      </c>
      <c r="E209" t="inlineStr">
        <is>
          <t>17</t>
        </is>
      </c>
      <c r="F209" t="inlineStr">
        <is>
          <t>C</t>
        </is>
      </c>
      <c r="G209" t="inlineStr">
        <is>
          <t>Average</t>
        </is>
      </c>
      <c r="H209" s="606" t="n">
        <v>157</v>
      </c>
      <c r="I209">
        <f>B209&amp;"~"&amp;F209&amp;"~"&amp;G209</f>
        <v/>
      </c>
      <c r="J209" t="inlineStr">
        <is>
          <t>15</t>
        </is>
      </c>
      <c r="K209" t="inlineStr">
        <is>
          <t>15</t>
        </is>
      </c>
      <c r="L209" t="inlineStr">
        <is>
          <t>15</t>
        </is>
      </c>
      <c r="M209" t="inlineStr">
        <is>
          <t>MVS Sec.15 p.17</t>
        </is>
      </c>
    </row>
    <row r="210">
      <c r="B210" t="inlineStr">
        <is>
          <t>Office Buildings</t>
        </is>
      </c>
      <c r="C210" t="inlineStr">
        <is>
          <t>344</t>
        </is>
      </c>
      <c r="D210" t="inlineStr">
        <is>
          <t>15</t>
        </is>
      </c>
      <c r="E210" t="inlineStr">
        <is>
          <t>17</t>
        </is>
      </c>
      <c r="F210" t="inlineStr">
        <is>
          <t>C</t>
        </is>
      </c>
      <c r="G210" t="inlineStr">
        <is>
          <t>Low Cost</t>
        </is>
      </c>
      <c r="H210" s="606" t="n">
        <v>106</v>
      </c>
      <c r="I210">
        <f>B210&amp;"~"&amp;F210&amp;"~"&amp;G210</f>
        <v/>
      </c>
      <c r="J210" t="inlineStr">
        <is>
          <t>15</t>
        </is>
      </c>
      <c r="K210" t="inlineStr">
        <is>
          <t>15</t>
        </is>
      </c>
      <c r="L210" t="inlineStr">
        <is>
          <t>15</t>
        </is>
      </c>
      <c r="M210" t="inlineStr">
        <is>
          <t>MVS Sec.15 p.17</t>
        </is>
      </c>
    </row>
    <row r="211">
      <c r="B211" t="inlineStr">
        <is>
          <t>Office Buildings</t>
        </is>
      </c>
      <c r="C211" t="inlineStr">
        <is>
          <t>344</t>
        </is>
      </c>
      <c r="D211" t="inlineStr">
        <is>
          <t>15</t>
        </is>
      </c>
      <c r="E211" t="inlineStr">
        <is>
          <t>17</t>
        </is>
      </c>
      <c r="F211" t="inlineStr">
        <is>
          <t>D</t>
        </is>
      </c>
      <c r="G211" t="inlineStr">
        <is>
          <t>Excellent</t>
        </is>
      </c>
      <c r="H211" s="606" t="n">
        <v>302</v>
      </c>
      <c r="I211">
        <f>B211&amp;"~"&amp;F211&amp;"~"&amp;G211</f>
        <v/>
      </c>
      <c r="J211" t="inlineStr">
        <is>
          <t>15</t>
        </is>
      </c>
      <c r="K211" t="inlineStr">
        <is>
          <t>15</t>
        </is>
      </c>
      <c r="L211" t="inlineStr">
        <is>
          <t>15</t>
        </is>
      </c>
      <c r="M211" t="inlineStr">
        <is>
          <t>MVS Sec.15 p.17</t>
        </is>
      </c>
    </row>
    <row r="212">
      <c r="B212" t="inlineStr">
        <is>
          <t>Office Buildings</t>
        </is>
      </c>
      <c r="C212" t="inlineStr">
        <is>
          <t>344</t>
        </is>
      </c>
      <c r="D212" t="inlineStr">
        <is>
          <t>15</t>
        </is>
      </c>
      <c r="E212" t="inlineStr">
        <is>
          <t>17</t>
        </is>
      </c>
      <c r="F212" t="inlineStr">
        <is>
          <t>D</t>
        </is>
      </c>
      <c r="G212" t="inlineStr">
        <is>
          <t>Good</t>
        </is>
      </c>
      <c r="H212" s="606" t="n">
        <v>210</v>
      </c>
      <c r="I212">
        <f>B212&amp;"~"&amp;F212&amp;"~"&amp;G212</f>
        <v/>
      </c>
      <c r="J212" t="inlineStr">
        <is>
          <t>15</t>
        </is>
      </c>
      <c r="K212" t="inlineStr">
        <is>
          <t>15</t>
        </is>
      </c>
      <c r="L212" t="inlineStr">
        <is>
          <t>15</t>
        </is>
      </c>
      <c r="M212" t="inlineStr">
        <is>
          <t>MVS Sec.15 p.17</t>
        </is>
      </c>
    </row>
    <row r="213">
      <c r="B213" t="inlineStr">
        <is>
          <t>Office Buildings</t>
        </is>
      </c>
      <c r="C213" t="inlineStr">
        <is>
          <t>344</t>
        </is>
      </c>
      <c r="D213" t="inlineStr">
        <is>
          <t>15</t>
        </is>
      </c>
      <c r="E213" t="inlineStr">
        <is>
          <t>17</t>
        </is>
      </c>
      <c r="F213" t="inlineStr">
        <is>
          <t>D</t>
        </is>
      </c>
      <c r="G213" t="inlineStr">
        <is>
          <t>Average</t>
        </is>
      </c>
      <c r="H213" s="606" t="n">
        <v>149</v>
      </c>
      <c r="I213">
        <f>B213&amp;"~"&amp;F213&amp;"~"&amp;G213</f>
        <v/>
      </c>
      <c r="J213" t="inlineStr">
        <is>
          <t>15</t>
        </is>
      </c>
      <c r="K213" t="inlineStr">
        <is>
          <t>15</t>
        </is>
      </c>
      <c r="L213" t="inlineStr">
        <is>
          <t>15</t>
        </is>
      </c>
      <c r="M213" t="inlineStr">
        <is>
          <t>MVS Sec.15 p.17</t>
        </is>
      </c>
    </row>
    <row r="214">
      <c r="B214" t="inlineStr">
        <is>
          <t>Office Buildings</t>
        </is>
      </c>
      <c r="C214" t="inlineStr">
        <is>
          <t>344</t>
        </is>
      </c>
      <c r="D214" t="inlineStr">
        <is>
          <t>15</t>
        </is>
      </c>
      <c r="E214" t="inlineStr">
        <is>
          <t>17</t>
        </is>
      </c>
      <c r="F214" t="inlineStr">
        <is>
          <t>D</t>
        </is>
      </c>
      <c r="G214" t="inlineStr">
        <is>
          <t>Low Cost</t>
        </is>
      </c>
      <c r="H214" s="606" t="n">
        <v>99.5</v>
      </c>
      <c r="I214">
        <f>B214&amp;"~"&amp;F214&amp;"~"&amp;G214</f>
        <v/>
      </c>
      <c r="J214" t="inlineStr">
        <is>
          <t>15</t>
        </is>
      </c>
      <c r="K214" t="inlineStr">
        <is>
          <t>15</t>
        </is>
      </c>
      <c r="L214" t="inlineStr">
        <is>
          <t>15</t>
        </is>
      </c>
      <c r="M214" t="inlineStr">
        <is>
          <t>MVS Sec.15 p.17</t>
        </is>
      </c>
    </row>
    <row r="215">
      <c r="B215" t="inlineStr">
        <is>
          <t>Office Buildings</t>
        </is>
      </c>
      <c r="C215" t="inlineStr">
        <is>
          <t>344</t>
        </is>
      </c>
      <c r="D215" t="inlineStr">
        <is>
          <t>15</t>
        </is>
      </c>
      <c r="E215" t="inlineStr">
        <is>
          <t>17</t>
        </is>
      </c>
      <c r="F215" t="inlineStr">
        <is>
          <t>DPOLE</t>
        </is>
      </c>
      <c r="G215" t="inlineStr">
        <is>
          <t>Good</t>
        </is>
      </c>
      <c r="H215" s="606" t="n">
        <v>198</v>
      </c>
      <c r="I215">
        <f>B215&amp;"~"&amp;F215&amp;"~"&amp;G215</f>
        <v/>
      </c>
      <c r="J215" t="inlineStr">
        <is>
          <t>15</t>
        </is>
      </c>
      <c r="K215" t="inlineStr">
        <is>
          <t>15</t>
        </is>
      </c>
      <c r="L215" t="inlineStr">
        <is>
          <t>15</t>
        </is>
      </c>
      <c r="M215" t="inlineStr">
        <is>
          <t>MVS Sec.15 p.17</t>
        </is>
      </c>
    </row>
    <row r="216">
      <c r="B216" t="inlineStr">
        <is>
          <t>Office Buildings</t>
        </is>
      </c>
      <c r="C216" t="inlineStr">
        <is>
          <t>344</t>
        </is>
      </c>
      <c r="D216" t="inlineStr">
        <is>
          <t>15</t>
        </is>
      </c>
      <c r="E216" t="inlineStr">
        <is>
          <t>17</t>
        </is>
      </c>
      <c r="F216" t="inlineStr">
        <is>
          <t>DPOLE</t>
        </is>
      </c>
      <c r="G216" t="inlineStr">
        <is>
          <t>Average</t>
        </is>
      </c>
      <c r="H216" s="606" t="n">
        <v>135</v>
      </c>
      <c r="I216">
        <f>B216&amp;"~"&amp;F216&amp;"~"&amp;G216</f>
        <v/>
      </c>
      <c r="J216" t="inlineStr">
        <is>
          <t>15</t>
        </is>
      </c>
      <c r="K216" t="inlineStr">
        <is>
          <t>15</t>
        </is>
      </c>
      <c r="L216" t="inlineStr">
        <is>
          <t>15</t>
        </is>
      </c>
      <c r="M216" t="inlineStr">
        <is>
          <t>MVS Sec.15 p.17</t>
        </is>
      </c>
    </row>
    <row r="217">
      <c r="B217" t="inlineStr">
        <is>
          <t>Office Buildings</t>
        </is>
      </c>
      <c r="C217" t="inlineStr">
        <is>
          <t>344</t>
        </is>
      </c>
      <c r="D217" t="inlineStr">
        <is>
          <t>15</t>
        </is>
      </c>
      <c r="E217" t="inlineStr">
        <is>
          <t>17</t>
        </is>
      </c>
      <c r="F217" t="inlineStr">
        <is>
          <t>DPOLE</t>
        </is>
      </c>
      <c r="G217" t="inlineStr">
        <is>
          <t>Low Cost</t>
        </is>
      </c>
      <c r="H217" s="606" t="n">
        <v>91.5</v>
      </c>
      <c r="I217">
        <f>B217&amp;"~"&amp;F217&amp;"~"&amp;G217</f>
        <v/>
      </c>
      <c r="J217" t="inlineStr">
        <is>
          <t>15</t>
        </is>
      </c>
      <c r="K217" t="inlineStr">
        <is>
          <t>15</t>
        </is>
      </c>
      <c r="L217" t="inlineStr">
        <is>
          <t>15</t>
        </is>
      </c>
      <c r="M217" t="inlineStr">
        <is>
          <t>MVS Sec.15 p.17</t>
        </is>
      </c>
    </row>
    <row r="218">
      <c r="B218" t="inlineStr">
        <is>
          <t>Office Buildings</t>
        </is>
      </c>
      <c r="C218" t="inlineStr">
        <is>
          <t>344</t>
        </is>
      </c>
      <c r="D218" t="inlineStr">
        <is>
          <t>15</t>
        </is>
      </c>
      <c r="E218" t="inlineStr">
        <is>
          <t>17</t>
        </is>
      </c>
      <c r="F218" t="inlineStr">
        <is>
          <t>S</t>
        </is>
      </c>
      <c r="G218" t="inlineStr">
        <is>
          <t>Good</t>
        </is>
      </c>
      <c r="H218" s="606" t="n">
        <v>203</v>
      </c>
      <c r="I218">
        <f>B218&amp;"~"&amp;F218&amp;"~"&amp;G218</f>
        <v/>
      </c>
      <c r="J218" t="inlineStr">
        <is>
          <t>15</t>
        </is>
      </c>
      <c r="K218" t="inlineStr">
        <is>
          <t>15</t>
        </is>
      </c>
      <c r="L218" t="inlineStr">
        <is>
          <t>15</t>
        </is>
      </c>
      <c r="M218" t="inlineStr">
        <is>
          <t>MVS Sec.15 p.17</t>
        </is>
      </c>
    </row>
    <row r="219">
      <c r="B219" t="inlineStr">
        <is>
          <t>Office Buildings</t>
        </is>
      </c>
      <c r="C219" t="inlineStr">
        <is>
          <t>344</t>
        </is>
      </c>
      <c r="D219" t="inlineStr">
        <is>
          <t>15</t>
        </is>
      </c>
      <c r="E219" t="inlineStr">
        <is>
          <t>17</t>
        </is>
      </c>
      <c r="F219" t="inlineStr">
        <is>
          <t>S</t>
        </is>
      </c>
      <c r="G219" t="inlineStr">
        <is>
          <t>Average</t>
        </is>
      </c>
      <c r="H219" s="606" t="n">
        <v>140</v>
      </c>
      <c r="I219">
        <f>B219&amp;"~"&amp;F219&amp;"~"&amp;G219</f>
        <v/>
      </c>
      <c r="J219" t="inlineStr">
        <is>
          <t>15</t>
        </is>
      </c>
      <c r="K219" t="inlineStr">
        <is>
          <t>15</t>
        </is>
      </c>
      <c r="L219" t="inlineStr">
        <is>
          <t>15</t>
        </is>
      </c>
      <c r="M219" t="inlineStr">
        <is>
          <t>MVS Sec.15 p.17</t>
        </is>
      </c>
    </row>
    <row r="220">
      <c r="B220" t="inlineStr">
        <is>
          <t>Office Buildings</t>
        </is>
      </c>
      <c r="C220" t="inlineStr">
        <is>
          <t>344</t>
        </is>
      </c>
      <c r="D220" t="inlineStr">
        <is>
          <t>15</t>
        </is>
      </c>
      <c r="E220" t="inlineStr">
        <is>
          <t>17</t>
        </is>
      </c>
      <c r="F220" t="inlineStr">
        <is>
          <t>S</t>
        </is>
      </c>
      <c r="G220" t="inlineStr">
        <is>
          <t>Low Cost</t>
        </is>
      </c>
      <c r="H220" s="606" t="n">
        <v>94.5</v>
      </c>
      <c r="I220">
        <f>B220&amp;"~"&amp;F220&amp;"~"&amp;G220</f>
        <v/>
      </c>
      <c r="J220" t="inlineStr">
        <is>
          <t>15</t>
        </is>
      </c>
      <c r="K220" t="inlineStr">
        <is>
          <t>15</t>
        </is>
      </c>
      <c r="L220" t="inlineStr">
        <is>
          <t>15</t>
        </is>
      </c>
      <c r="M220" t="inlineStr">
        <is>
          <t>MVS Sec.15 p.17</t>
        </is>
      </c>
    </row>
    <row r="221">
      <c r="B221" t="inlineStr">
        <is>
          <t>Medical Office Buildings</t>
        </is>
      </c>
      <c r="C221" t="inlineStr">
        <is>
          <t>341</t>
        </is>
      </c>
      <c r="D221" t="inlineStr">
        <is>
          <t>15</t>
        </is>
      </c>
      <c r="E221" t="inlineStr">
        <is>
          <t>22</t>
        </is>
      </c>
      <c r="F221" t="inlineStr">
        <is>
          <t>A</t>
        </is>
      </c>
      <c r="G221" t="inlineStr">
        <is>
          <t>Excellent</t>
        </is>
      </c>
      <c r="H221" s="606" t="n">
        <v>438</v>
      </c>
      <c r="I221">
        <f>B221&amp;"~"&amp;F221&amp;"~"&amp;G221</f>
        <v/>
      </c>
      <c r="J221" t="inlineStr">
        <is>
          <t>15</t>
        </is>
      </c>
      <c r="K221" t="inlineStr">
        <is>
          <t>15</t>
        </is>
      </c>
      <c r="L221" t="inlineStr">
        <is>
          <t>15</t>
        </is>
      </c>
      <c r="M221" t="inlineStr">
        <is>
          <t>MVS Sec.15 p.22</t>
        </is>
      </c>
    </row>
    <row r="222">
      <c r="B222" t="inlineStr">
        <is>
          <t>Medical Office Buildings</t>
        </is>
      </c>
      <c r="C222" t="inlineStr">
        <is>
          <t>341</t>
        </is>
      </c>
      <c r="D222" t="inlineStr">
        <is>
          <t>15</t>
        </is>
      </c>
      <c r="E222" t="inlineStr">
        <is>
          <t>22</t>
        </is>
      </c>
      <c r="F222" t="inlineStr">
        <is>
          <t>A</t>
        </is>
      </c>
      <c r="G222" t="inlineStr">
        <is>
          <t>Good</t>
        </is>
      </c>
      <c r="H222" s="606" t="n">
        <v>351</v>
      </c>
      <c r="I222">
        <f>B222&amp;"~"&amp;F222&amp;"~"&amp;G222</f>
        <v/>
      </c>
      <c r="J222" t="inlineStr">
        <is>
          <t>15</t>
        </is>
      </c>
      <c r="K222" t="inlineStr">
        <is>
          <t>15</t>
        </is>
      </c>
      <c r="L222" t="inlineStr">
        <is>
          <t>15</t>
        </is>
      </c>
      <c r="M222" t="inlineStr">
        <is>
          <t>MVS Sec.15 p.22</t>
        </is>
      </c>
    </row>
    <row r="223">
      <c r="B223" t="inlineStr">
        <is>
          <t>Medical Office Buildings</t>
        </is>
      </c>
      <c r="C223" t="inlineStr">
        <is>
          <t>341</t>
        </is>
      </c>
      <c r="D223" t="inlineStr">
        <is>
          <t>15</t>
        </is>
      </c>
      <c r="E223" t="inlineStr">
        <is>
          <t>22</t>
        </is>
      </c>
      <c r="F223" t="inlineStr">
        <is>
          <t>A</t>
        </is>
      </c>
      <c r="G223" t="inlineStr">
        <is>
          <t>Average</t>
        </is>
      </c>
      <c r="H223" s="606" t="n">
        <v>270</v>
      </c>
      <c r="I223">
        <f>B223&amp;"~"&amp;F223&amp;"~"&amp;G223</f>
        <v/>
      </c>
      <c r="J223" t="inlineStr">
        <is>
          <t>15</t>
        </is>
      </c>
      <c r="K223" t="inlineStr">
        <is>
          <t>15</t>
        </is>
      </c>
      <c r="L223" t="inlineStr">
        <is>
          <t>15</t>
        </is>
      </c>
      <c r="M223" t="inlineStr">
        <is>
          <t>MVS Sec.15 p.22</t>
        </is>
      </c>
    </row>
    <row r="224">
      <c r="B224" t="inlineStr">
        <is>
          <t>Medical Office Buildings</t>
        </is>
      </c>
      <c r="C224" t="inlineStr">
        <is>
          <t>341</t>
        </is>
      </c>
      <c r="D224" t="inlineStr">
        <is>
          <t>15</t>
        </is>
      </c>
      <c r="E224" t="inlineStr">
        <is>
          <t>22</t>
        </is>
      </c>
      <c r="F224" t="inlineStr">
        <is>
          <t>A</t>
        </is>
      </c>
      <c r="G224" t="inlineStr">
        <is>
          <t>Low Cost</t>
        </is>
      </c>
      <c r="H224" s="606" t="n">
        <v>207</v>
      </c>
      <c r="I224">
        <f>B224&amp;"~"&amp;F224&amp;"~"&amp;G224</f>
        <v/>
      </c>
      <c r="J224" t="inlineStr">
        <is>
          <t>15</t>
        </is>
      </c>
      <c r="K224" t="inlineStr">
        <is>
          <t>15</t>
        </is>
      </c>
      <c r="L224" t="inlineStr">
        <is>
          <t>15</t>
        </is>
      </c>
      <c r="M224" t="inlineStr">
        <is>
          <t>MVS Sec.15 p.22</t>
        </is>
      </c>
    </row>
    <row r="225">
      <c r="B225" t="inlineStr">
        <is>
          <t>Medical Office Buildings</t>
        </is>
      </c>
      <c r="C225" t="inlineStr">
        <is>
          <t>341</t>
        </is>
      </c>
      <c r="D225" t="inlineStr">
        <is>
          <t>15</t>
        </is>
      </c>
      <c r="E225" t="inlineStr">
        <is>
          <t>22</t>
        </is>
      </c>
      <c r="F225" t="inlineStr">
        <is>
          <t>B</t>
        </is>
      </c>
      <c r="G225" t="inlineStr">
        <is>
          <t>Excellent</t>
        </is>
      </c>
      <c r="H225" s="606" t="n">
        <v>402</v>
      </c>
      <c r="I225">
        <f>B225&amp;"~"&amp;F225&amp;"~"&amp;G225</f>
        <v/>
      </c>
      <c r="J225" t="inlineStr">
        <is>
          <t>15</t>
        </is>
      </c>
      <c r="K225" t="inlineStr">
        <is>
          <t>15</t>
        </is>
      </c>
      <c r="L225" t="inlineStr">
        <is>
          <t>15</t>
        </is>
      </c>
      <c r="M225" t="inlineStr">
        <is>
          <t>MVS Sec.15 p.22</t>
        </is>
      </c>
    </row>
    <row r="226">
      <c r="B226" t="inlineStr">
        <is>
          <t>Medical Office Buildings</t>
        </is>
      </c>
      <c r="C226" t="inlineStr">
        <is>
          <t>341</t>
        </is>
      </c>
      <c r="D226" t="inlineStr">
        <is>
          <t>15</t>
        </is>
      </c>
      <c r="E226" t="inlineStr">
        <is>
          <t>22</t>
        </is>
      </c>
      <c r="F226" t="inlineStr">
        <is>
          <t>B</t>
        </is>
      </c>
      <c r="G226" t="inlineStr">
        <is>
          <t>Good</t>
        </is>
      </c>
      <c r="H226" s="606" t="n">
        <v>322</v>
      </c>
      <c r="I226">
        <f>B226&amp;"~"&amp;F226&amp;"~"&amp;G226</f>
        <v/>
      </c>
      <c r="J226" t="inlineStr">
        <is>
          <t>15</t>
        </is>
      </c>
      <c r="K226" t="inlineStr">
        <is>
          <t>15</t>
        </is>
      </c>
      <c r="L226" t="inlineStr">
        <is>
          <t>15</t>
        </is>
      </c>
      <c r="M226" t="inlineStr">
        <is>
          <t>MVS Sec.15 p.22</t>
        </is>
      </c>
    </row>
    <row r="227">
      <c r="B227" t="inlineStr">
        <is>
          <t>Medical Office Buildings</t>
        </is>
      </c>
      <c r="C227" t="inlineStr">
        <is>
          <t>341</t>
        </is>
      </c>
      <c r="D227" t="inlineStr">
        <is>
          <t>15</t>
        </is>
      </c>
      <c r="E227" t="inlineStr">
        <is>
          <t>22</t>
        </is>
      </c>
      <c r="F227" t="inlineStr">
        <is>
          <t>B</t>
        </is>
      </c>
      <c r="G227" t="inlineStr">
        <is>
          <t>Average</t>
        </is>
      </c>
      <c r="H227" s="606" t="n">
        <v>246</v>
      </c>
      <c r="I227">
        <f>B227&amp;"~"&amp;F227&amp;"~"&amp;G227</f>
        <v/>
      </c>
      <c r="J227" t="inlineStr">
        <is>
          <t>15</t>
        </is>
      </c>
      <c r="K227" t="inlineStr">
        <is>
          <t>15</t>
        </is>
      </c>
      <c r="L227" t="inlineStr">
        <is>
          <t>15</t>
        </is>
      </c>
      <c r="M227" t="inlineStr">
        <is>
          <t>MVS Sec.15 p.22</t>
        </is>
      </c>
    </row>
    <row r="228">
      <c r="B228" t="inlineStr">
        <is>
          <t>Medical Office Buildings</t>
        </is>
      </c>
      <c r="C228" t="inlineStr">
        <is>
          <t>341</t>
        </is>
      </c>
      <c r="D228" t="inlineStr">
        <is>
          <t>15</t>
        </is>
      </c>
      <c r="E228" t="inlineStr">
        <is>
          <t>22</t>
        </is>
      </c>
      <c r="F228" t="inlineStr">
        <is>
          <t>B</t>
        </is>
      </c>
      <c r="G228" t="inlineStr">
        <is>
          <t>Low Cost</t>
        </is>
      </c>
      <c r="H228" s="606" t="n">
        <v>187</v>
      </c>
      <c r="I228">
        <f>B228&amp;"~"&amp;F228&amp;"~"&amp;G228</f>
        <v/>
      </c>
      <c r="J228" t="inlineStr">
        <is>
          <t>15</t>
        </is>
      </c>
      <c r="K228" t="inlineStr">
        <is>
          <t>15</t>
        </is>
      </c>
      <c r="L228" t="inlineStr">
        <is>
          <t>15</t>
        </is>
      </c>
      <c r="M228" t="inlineStr">
        <is>
          <t>MVS Sec.15 p.22</t>
        </is>
      </c>
    </row>
    <row r="229">
      <c r="B229" t="inlineStr">
        <is>
          <t>Medical Office Buildings</t>
        </is>
      </c>
      <c r="C229" t="inlineStr">
        <is>
          <t>341</t>
        </is>
      </c>
      <c r="D229" t="inlineStr">
        <is>
          <t>15</t>
        </is>
      </c>
      <c r="E229" t="inlineStr">
        <is>
          <t>22</t>
        </is>
      </c>
      <c r="F229" t="inlineStr">
        <is>
          <t>C</t>
        </is>
      </c>
      <c r="G229" t="inlineStr">
        <is>
          <t>Excellent</t>
        </is>
      </c>
      <c r="H229" s="606" t="n">
        <v>344</v>
      </c>
      <c r="I229">
        <f>B229&amp;"~"&amp;F229&amp;"~"&amp;G229</f>
        <v/>
      </c>
      <c r="J229" t="inlineStr">
        <is>
          <t>15</t>
        </is>
      </c>
      <c r="K229" t="inlineStr">
        <is>
          <t>15</t>
        </is>
      </c>
      <c r="L229" t="inlineStr">
        <is>
          <t>15</t>
        </is>
      </c>
      <c r="M229" t="inlineStr">
        <is>
          <t>MVS Sec.15 p.22</t>
        </is>
      </c>
    </row>
    <row r="230">
      <c r="B230" t="inlineStr">
        <is>
          <t>Medical Office Buildings</t>
        </is>
      </c>
      <c r="C230" t="inlineStr">
        <is>
          <t>341</t>
        </is>
      </c>
      <c r="D230" t="inlineStr">
        <is>
          <t>15</t>
        </is>
      </c>
      <c r="E230" t="inlineStr">
        <is>
          <t>22</t>
        </is>
      </c>
      <c r="F230" t="inlineStr">
        <is>
          <t>C</t>
        </is>
      </c>
      <c r="G230" t="inlineStr">
        <is>
          <t>Good</t>
        </is>
      </c>
      <c r="H230" s="606" t="n">
        <v>261</v>
      </c>
      <c r="I230">
        <f>B230&amp;"~"&amp;F230&amp;"~"&amp;G230</f>
        <v/>
      </c>
      <c r="J230" t="inlineStr">
        <is>
          <t>15</t>
        </is>
      </c>
      <c r="K230" t="inlineStr">
        <is>
          <t>15</t>
        </is>
      </c>
      <c r="L230" t="inlineStr">
        <is>
          <t>15</t>
        </is>
      </c>
      <c r="M230" t="inlineStr">
        <is>
          <t>MVS Sec.15 p.22</t>
        </is>
      </c>
    </row>
    <row r="231">
      <c r="B231" t="inlineStr">
        <is>
          <t>Medical Office Buildings</t>
        </is>
      </c>
      <c r="C231" t="inlineStr">
        <is>
          <t>341</t>
        </is>
      </c>
      <c r="D231" t="inlineStr">
        <is>
          <t>15</t>
        </is>
      </c>
      <c r="E231" t="inlineStr">
        <is>
          <t>22</t>
        </is>
      </c>
      <c r="F231" t="inlineStr">
        <is>
          <t>C</t>
        </is>
      </c>
      <c r="G231" t="inlineStr">
        <is>
          <t>Average</t>
        </is>
      </c>
      <c r="H231" s="606" t="n">
        <v>198</v>
      </c>
      <c r="I231">
        <f>B231&amp;"~"&amp;F231&amp;"~"&amp;G231</f>
        <v/>
      </c>
      <c r="J231" t="inlineStr">
        <is>
          <t>15</t>
        </is>
      </c>
      <c r="K231" t="inlineStr">
        <is>
          <t>15</t>
        </is>
      </c>
      <c r="L231" t="inlineStr">
        <is>
          <t>15</t>
        </is>
      </c>
      <c r="M231" t="inlineStr">
        <is>
          <t>MVS Sec.15 p.22</t>
        </is>
      </c>
    </row>
    <row r="232">
      <c r="B232" t="inlineStr">
        <is>
          <t>Medical Office Buildings</t>
        </is>
      </c>
      <c r="C232" t="inlineStr">
        <is>
          <t>341</t>
        </is>
      </c>
      <c r="D232" t="inlineStr">
        <is>
          <t>15</t>
        </is>
      </c>
      <c r="E232" t="inlineStr">
        <is>
          <t>22</t>
        </is>
      </c>
      <c r="F232" t="inlineStr">
        <is>
          <t>C</t>
        </is>
      </c>
      <c r="G232" t="inlineStr">
        <is>
          <t>Low Cost</t>
        </is>
      </c>
      <c r="H232" s="606" t="n">
        <v>150</v>
      </c>
      <c r="I232">
        <f>B232&amp;"~"&amp;F232&amp;"~"&amp;G232</f>
        <v/>
      </c>
      <c r="J232" t="inlineStr">
        <is>
          <t>15</t>
        </is>
      </c>
      <c r="K232" t="inlineStr">
        <is>
          <t>15</t>
        </is>
      </c>
      <c r="L232" t="inlineStr">
        <is>
          <t>15</t>
        </is>
      </c>
      <c r="M232" t="inlineStr">
        <is>
          <t>MVS Sec.15 p.22</t>
        </is>
      </c>
    </row>
    <row r="233">
      <c r="B233" t="inlineStr">
        <is>
          <t>Medical Office Buildings</t>
        </is>
      </c>
      <c r="C233" t="inlineStr">
        <is>
          <t>341</t>
        </is>
      </c>
      <c r="D233" t="inlineStr">
        <is>
          <t>15</t>
        </is>
      </c>
      <c r="E233" t="inlineStr">
        <is>
          <t>22</t>
        </is>
      </c>
      <c r="F233" t="inlineStr">
        <is>
          <t>D</t>
        </is>
      </c>
      <c r="G233" t="inlineStr">
        <is>
          <t>Excellent</t>
        </is>
      </c>
      <c r="H233" s="606" t="n">
        <v>314</v>
      </c>
      <c r="I233">
        <f>B233&amp;"~"&amp;F233&amp;"~"&amp;G233</f>
        <v/>
      </c>
      <c r="J233" t="inlineStr">
        <is>
          <t>15</t>
        </is>
      </c>
      <c r="K233" t="inlineStr">
        <is>
          <t>15</t>
        </is>
      </c>
      <c r="L233" t="inlineStr">
        <is>
          <t>15</t>
        </is>
      </c>
      <c r="M233" t="inlineStr">
        <is>
          <t>MVS Sec.15 p.22</t>
        </is>
      </c>
    </row>
    <row r="234">
      <c r="B234" t="inlineStr">
        <is>
          <t>Medical Office Buildings</t>
        </is>
      </c>
      <c r="C234" t="inlineStr">
        <is>
          <t>341</t>
        </is>
      </c>
      <c r="D234" t="inlineStr">
        <is>
          <t>15</t>
        </is>
      </c>
      <c r="E234" t="inlineStr">
        <is>
          <t>22</t>
        </is>
      </c>
      <c r="F234" t="inlineStr">
        <is>
          <t>D</t>
        </is>
      </c>
      <c r="G234" t="inlineStr">
        <is>
          <t>Good</t>
        </is>
      </c>
      <c r="H234" s="606" t="n">
        <v>249</v>
      </c>
      <c r="I234">
        <f>B234&amp;"~"&amp;F234&amp;"~"&amp;G234</f>
        <v/>
      </c>
      <c r="J234" t="inlineStr">
        <is>
          <t>15</t>
        </is>
      </c>
      <c r="K234" t="inlineStr">
        <is>
          <t>15</t>
        </is>
      </c>
      <c r="L234" t="inlineStr">
        <is>
          <t>15</t>
        </is>
      </c>
      <c r="M234" t="inlineStr">
        <is>
          <t>MVS Sec.15 p.22</t>
        </is>
      </c>
    </row>
    <row r="235">
      <c r="B235" t="inlineStr">
        <is>
          <t>Medical Office Buildings</t>
        </is>
      </c>
      <c r="C235" t="inlineStr">
        <is>
          <t>341</t>
        </is>
      </c>
      <c r="D235" t="inlineStr">
        <is>
          <t>15</t>
        </is>
      </c>
      <c r="E235" t="inlineStr">
        <is>
          <t>22</t>
        </is>
      </c>
      <c r="F235" t="inlineStr">
        <is>
          <t>D</t>
        </is>
      </c>
      <c r="G235" t="inlineStr">
        <is>
          <t>Average</t>
        </is>
      </c>
      <c r="H235" s="606" t="n">
        <v>189</v>
      </c>
      <c r="I235">
        <f>B235&amp;"~"&amp;F235&amp;"~"&amp;G235</f>
        <v/>
      </c>
      <c r="J235" t="inlineStr">
        <is>
          <t>15</t>
        </is>
      </c>
      <c r="K235" t="inlineStr">
        <is>
          <t>15</t>
        </is>
      </c>
      <c r="L235" t="inlineStr">
        <is>
          <t>15</t>
        </is>
      </c>
      <c r="M235" t="inlineStr">
        <is>
          <t>MVS Sec.15 p.22</t>
        </is>
      </c>
    </row>
    <row r="236">
      <c r="B236" t="inlineStr">
        <is>
          <t>Medical Office Buildings</t>
        </is>
      </c>
      <c r="C236" t="inlineStr">
        <is>
          <t>341</t>
        </is>
      </c>
      <c r="D236" t="inlineStr">
        <is>
          <t>15</t>
        </is>
      </c>
      <c r="E236" t="inlineStr">
        <is>
          <t>22</t>
        </is>
      </c>
      <c r="F236" t="inlineStr">
        <is>
          <t>D</t>
        </is>
      </c>
      <c r="G236" t="inlineStr">
        <is>
          <t>Low Cost</t>
        </is>
      </c>
      <c r="H236" s="606" t="n">
        <v>144</v>
      </c>
      <c r="I236">
        <f>B236&amp;"~"&amp;F236&amp;"~"&amp;G236</f>
        <v/>
      </c>
      <c r="J236" t="inlineStr">
        <is>
          <t>15</t>
        </is>
      </c>
      <c r="K236" t="inlineStr">
        <is>
          <t>15</t>
        </is>
      </c>
      <c r="L236" t="inlineStr">
        <is>
          <t>15</t>
        </is>
      </c>
      <c r="M236" t="inlineStr">
        <is>
          <t>MVS Sec.15 p.22</t>
        </is>
      </c>
    </row>
    <row r="237">
      <c r="B237" t="inlineStr">
        <is>
          <t>Medical Office Buildings</t>
        </is>
      </c>
      <c r="C237" t="inlineStr">
        <is>
          <t>341</t>
        </is>
      </c>
      <c r="D237" t="inlineStr">
        <is>
          <t>15</t>
        </is>
      </c>
      <c r="E237" t="inlineStr">
        <is>
          <t>22</t>
        </is>
      </c>
      <c r="F237" t="inlineStr">
        <is>
          <t>DPOLE</t>
        </is>
      </c>
      <c r="G237" t="inlineStr">
        <is>
          <t>Low Cost</t>
        </is>
      </c>
      <c r="H237" s="606" t="n">
        <v>132</v>
      </c>
      <c r="I237">
        <f>B237&amp;"~"&amp;F237&amp;"~"&amp;G237</f>
        <v/>
      </c>
      <c r="J237" t="inlineStr">
        <is>
          <t>15</t>
        </is>
      </c>
      <c r="K237" t="inlineStr">
        <is>
          <t>15</t>
        </is>
      </c>
      <c r="L237" t="inlineStr">
        <is>
          <t>15</t>
        </is>
      </c>
      <c r="M237" t="inlineStr">
        <is>
          <t>MVS Sec.15 p.22</t>
        </is>
      </c>
    </row>
    <row r="238">
      <c r="B238" t="inlineStr">
        <is>
          <t>Medical Office Buildings</t>
        </is>
      </c>
      <c r="C238" t="inlineStr">
        <is>
          <t>341</t>
        </is>
      </c>
      <c r="D238" t="inlineStr">
        <is>
          <t>15</t>
        </is>
      </c>
      <c r="E238" t="inlineStr">
        <is>
          <t>22</t>
        </is>
      </c>
      <c r="F238" t="inlineStr">
        <is>
          <t>S</t>
        </is>
      </c>
      <c r="G238" t="inlineStr">
        <is>
          <t>Good</t>
        </is>
      </c>
      <c r="H238" s="606" t="n">
        <v>242</v>
      </c>
      <c r="I238">
        <f>B238&amp;"~"&amp;F238&amp;"~"&amp;G238</f>
        <v/>
      </c>
      <c r="J238" t="inlineStr">
        <is>
          <t>15</t>
        </is>
      </c>
      <c r="K238" t="inlineStr">
        <is>
          <t>15</t>
        </is>
      </c>
      <c r="L238" t="inlineStr">
        <is>
          <t>15</t>
        </is>
      </c>
      <c r="M238" t="inlineStr">
        <is>
          <t>MVS Sec.15 p.22</t>
        </is>
      </c>
    </row>
    <row r="239">
      <c r="B239" t="inlineStr">
        <is>
          <t>Medical Office Buildings</t>
        </is>
      </c>
      <c r="C239" t="inlineStr">
        <is>
          <t>341</t>
        </is>
      </c>
      <c r="D239" t="inlineStr">
        <is>
          <t>15</t>
        </is>
      </c>
      <c r="E239" t="inlineStr">
        <is>
          <t>22</t>
        </is>
      </c>
      <c r="F239" t="inlineStr">
        <is>
          <t>S</t>
        </is>
      </c>
      <c r="G239" t="inlineStr">
        <is>
          <t>Average</t>
        </is>
      </c>
      <c r="H239" s="606" t="n">
        <v>177</v>
      </c>
      <c r="I239">
        <f>B239&amp;"~"&amp;F239&amp;"~"&amp;G239</f>
        <v/>
      </c>
      <c r="J239" t="inlineStr">
        <is>
          <t>15</t>
        </is>
      </c>
      <c r="K239" t="inlineStr">
        <is>
          <t>15</t>
        </is>
      </c>
      <c r="L239" t="inlineStr">
        <is>
          <t>15</t>
        </is>
      </c>
      <c r="M239" t="inlineStr">
        <is>
          <t>MVS Sec.15 p.22</t>
        </is>
      </c>
    </row>
    <row r="240">
      <c r="B240" t="inlineStr">
        <is>
          <t>Medical Office Buildings</t>
        </is>
      </c>
      <c r="C240" t="inlineStr">
        <is>
          <t>341</t>
        </is>
      </c>
      <c r="D240" t="inlineStr">
        <is>
          <t>15</t>
        </is>
      </c>
      <c r="E240" t="inlineStr">
        <is>
          <t>22</t>
        </is>
      </c>
      <c r="F240" t="inlineStr">
        <is>
          <t>S</t>
        </is>
      </c>
      <c r="G240" t="inlineStr">
        <is>
          <t>Low Cost</t>
        </is>
      </c>
      <c r="H240" s="606" t="n">
        <v>135</v>
      </c>
      <c r="I240">
        <f>B240&amp;"~"&amp;F240&amp;"~"&amp;G240</f>
        <v/>
      </c>
      <c r="J240" t="inlineStr">
        <is>
          <t>15</t>
        </is>
      </c>
      <c r="K240" t="inlineStr">
        <is>
          <t>15</t>
        </is>
      </c>
      <c r="L240" t="inlineStr">
        <is>
          <t>15</t>
        </is>
      </c>
      <c r="M240" t="inlineStr">
        <is>
          <t>MVS Sec.15 p.22</t>
        </is>
      </c>
    </row>
    <row r="241">
      <c r="B241" t="inlineStr">
        <is>
          <t>Banks, Branch</t>
        </is>
      </c>
      <c r="C241" t="inlineStr">
        <is>
          <t>304</t>
        </is>
      </c>
      <c r="D241" t="inlineStr">
        <is>
          <t>15</t>
        </is>
      </c>
      <c r="E241" t="inlineStr">
        <is>
          <t>21</t>
        </is>
      </c>
      <c r="F241" t="inlineStr">
        <is>
          <t>A</t>
        </is>
      </c>
      <c r="G241" t="inlineStr">
        <is>
          <t>Good</t>
        </is>
      </c>
      <c r="H241" s="606" t="n">
        <v>416</v>
      </c>
      <c r="I241">
        <f>B241&amp;"~"&amp;F241&amp;"~"&amp;G241</f>
        <v/>
      </c>
      <c r="J241" t="inlineStr">
        <is>
          <t>15</t>
        </is>
      </c>
      <c r="K241" t="inlineStr">
        <is>
          <t>15</t>
        </is>
      </c>
      <c r="L241" t="inlineStr">
        <is>
          <t>15</t>
        </is>
      </c>
      <c r="M241" t="inlineStr">
        <is>
          <t>MVS Sec.15 p.21</t>
        </is>
      </c>
    </row>
    <row r="242">
      <c r="B242" t="inlineStr">
        <is>
          <t>Banks, Branch</t>
        </is>
      </c>
      <c r="C242" t="inlineStr">
        <is>
          <t>304</t>
        </is>
      </c>
      <c r="D242" t="inlineStr">
        <is>
          <t>15</t>
        </is>
      </c>
      <c r="E242" t="inlineStr">
        <is>
          <t>21</t>
        </is>
      </c>
      <c r="F242" t="inlineStr">
        <is>
          <t>A</t>
        </is>
      </c>
      <c r="G242" t="inlineStr">
        <is>
          <t>Average</t>
        </is>
      </c>
      <c r="H242" s="606" t="n">
        <v>327</v>
      </c>
      <c r="I242">
        <f>B242&amp;"~"&amp;F242&amp;"~"&amp;G242</f>
        <v/>
      </c>
      <c r="J242" t="inlineStr">
        <is>
          <t>15</t>
        </is>
      </c>
      <c r="K242" t="inlineStr">
        <is>
          <t>15</t>
        </is>
      </c>
      <c r="L242" t="inlineStr">
        <is>
          <t>15</t>
        </is>
      </c>
      <c r="M242" t="inlineStr">
        <is>
          <t>MVS Sec.15 p.21</t>
        </is>
      </c>
    </row>
    <row r="243">
      <c r="B243" t="inlineStr">
        <is>
          <t>Banks, Branch</t>
        </is>
      </c>
      <c r="C243" t="inlineStr">
        <is>
          <t>304</t>
        </is>
      </c>
      <c r="D243" t="inlineStr">
        <is>
          <t>15</t>
        </is>
      </c>
      <c r="E243" t="inlineStr">
        <is>
          <t>21</t>
        </is>
      </c>
      <c r="F243" t="inlineStr">
        <is>
          <t>A</t>
        </is>
      </c>
      <c r="G243" t="inlineStr">
        <is>
          <t>Low Cost</t>
        </is>
      </c>
      <c r="H243" s="606" t="n">
        <v>260</v>
      </c>
      <c r="I243">
        <f>B243&amp;"~"&amp;F243&amp;"~"&amp;G243</f>
        <v/>
      </c>
      <c r="J243" t="inlineStr">
        <is>
          <t>15</t>
        </is>
      </c>
      <c r="K243" t="inlineStr">
        <is>
          <t>15</t>
        </is>
      </c>
      <c r="L243" t="inlineStr">
        <is>
          <t>15</t>
        </is>
      </c>
      <c r="M243" t="inlineStr">
        <is>
          <t>MVS Sec.15 p.21</t>
        </is>
      </c>
    </row>
    <row r="244">
      <c r="B244" t="inlineStr">
        <is>
          <t>Banks, Branch</t>
        </is>
      </c>
      <c r="C244" t="inlineStr">
        <is>
          <t>304</t>
        </is>
      </c>
      <c r="D244" t="inlineStr">
        <is>
          <t>15</t>
        </is>
      </c>
      <c r="E244" t="inlineStr">
        <is>
          <t>21</t>
        </is>
      </c>
      <c r="F244" t="inlineStr">
        <is>
          <t>B</t>
        </is>
      </c>
      <c r="G244" t="inlineStr">
        <is>
          <t>Good</t>
        </is>
      </c>
      <c r="H244" s="606" t="n">
        <v>378</v>
      </c>
      <c r="I244">
        <f>B244&amp;"~"&amp;F244&amp;"~"&amp;G244</f>
        <v/>
      </c>
      <c r="J244" t="inlineStr">
        <is>
          <t>15</t>
        </is>
      </c>
      <c r="K244" t="inlineStr">
        <is>
          <t>15</t>
        </is>
      </c>
      <c r="L244" t="inlineStr">
        <is>
          <t>15</t>
        </is>
      </c>
      <c r="M244" t="inlineStr">
        <is>
          <t>MVS Sec.15 p.21</t>
        </is>
      </c>
    </row>
    <row r="245">
      <c r="B245" t="inlineStr">
        <is>
          <t>Banks, Branch</t>
        </is>
      </c>
      <c r="C245" t="inlineStr">
        <is>
          <t>304</t>
        </is>
      </c>
      <c r="D245" t="inlineStr">
        <is>
          <t>15</t>
        </is>
      </c>
      <c r="E245" t="inlineStr">
        <is>
          <t>21</t>
        </is>
      </c>
      <c r="F245" t="inlineStr">
        <is>
          <t>B</t>
        </is>
      </c>
      <c r="G245" t="inlineStr">
        <is>
          <t>Average</t>
        </is>
      </c>
      <c r="H245" s="606" t="n">
        <v>296</v>
      </c>
      <c r="I245">
        <f>B245&amp;"~"&amp;F245&amp;"~"&amp;G245</f>
        <v/>
      </c>
      <c r="J245" t="inlineStr">
        <is>
          <t>15</t>
        </is>
      </c>
      <c r="K245" t="inlineStr">
        <is>
          <t>15</t>
        </is>
      </c>
      <c r="L245" t="inlineStr">
        <is>
          <t>15</t>
        </is>
      </c>
      <c r="M245" t="inlineStr">
        <is>
          <t>MVS Sec.15 p.21</t>
        </is>
      </c>
    </row>
    <row r="246">
      <c r="B246" t="inlineStr">
        <is>
          <t>Banks, Branch</t>
        </is>
      </c>
      <c r="C246" t="inlineStr">
        <is>
          <t>304</t>
        </is>
      </c>
      <c r="D246" t="inlineStr">
        <is>
          <t>15</t>
        </is>
      </c>
      <c r="E246" t="inlineStr">
        <is>
          <t>21</t>
        </is>
      </c>
      <c r="F246" t="inlineStr">
        <is>
          <t>B</t>
        </is>
      </c>
      <c r="G246" t="inlineStr">
        <is>
          <t>Low Cost</t>
        </is>
      </c>
      <c r="H246" s="606" t="n">
        <v>234</v>
      </c>
      <c r="I246">
        <f>B246&amp;"~"&amp;F246&amp;"~"&amp;G246</f>
        <v/>
      </c>
      <c r="J246" t="inlineStr">
        <is>
          <t>15</t>
        </is>
      </c>
      <c r="K246" t="inlineStr">
        <is>
          <t>15</t>
        </is>
      </c>
      <c r="L246" t="inlineStr">
        <is>
          <t>15</t>
        </is>
      </c>
      <c r="M246" t="inlineStr">
        <is>
          <t>MVS Sec.15 p.21</t>
        </is>
      </c>
    </row>
    <row r="247">
      <c r="B247" t="inlineStr">
        <is>
          <t>Banks, Branch</t>
        </is>
      </c>
      <c r="C247" t="inlineStr">
        <is>
          <t>304</t>
        </is>
      </c>
      <c r="D247" t="inlineStr">
        <is>
          <t>15</t>
        </is>
      </c>
      <c r="E247" t="inlineStr">
        <is>
          <t>21</t>
        </is>
      </c>
      <c r="F247" t="inlineStr">
        <is>
          <t>C</t>
        </is>
      </c>
      <c r="G247" t="inlineStr">
        <is>
          <t>Excellent</t>
        </is>
      </c>
      <c r="H247" s="606" t="n">
        <v>448</v>
      </c>
      <c r="I247">
        <f>B247&amp;"~"&amp;F247&amp;"~"&amp;G247</f>
        <v/>
      </c>
      <c r="J247" t="inlineStr">
        <is>
          <t>15</t>
        </is>
      </c>
      <c r="K247" t="inlineStr">
        <is>
          <t>15</t>
        </is>
      </c>
      <c r="L247" t="inlineStr">
        <is>
          <t>15</t>
        </is>
      </c>
      <c r="M247" t="inlineStr">
        <is>
          <t>MVS Sec.15 p.21</t>
        </is>
      </c>
    </row>
    <row r="248">
      <c r="B248" t="inlineStr">
        <is>
          <t>Banks, Branch</t>
        </is>
      </c>
      <c r="C248" t="inlineStr">
        <is>
          <t>304</t>
        </is>
      </c>
      <c r="D248" t="inlineStr">
        <is>
          <t>15</t>
        </is>
      </c>
      <c r="E248" t="inlineStr">
        <is>
          <t>21</t>
        </is>
      </c>
      <c r="F248" t="inlineStr">
        <is>
          <t>C</t>
        </is>
      </c>
      <c r="G248" t="inlineStr">
        <is>
          <t>Good</t>
        </is>
      </c>
      <c r="H248" s="606" t="n">
        <v>326</v>
      </c>
      <c r="I248">
        <f>B248&amp;"~"&amp;F248&amp;"~"&amp;G248</f>
        <v/>
      </c>
      <c r="J248" t="inlineStr">
        <is>
          <t>15</t>
        </is>
      </c>
      <c r="K248" t="inlineStr">
        <is>
          <t>15</t>
        </is>
      </c>
      <c r="L248" t="inlineStr">
        <is>
          <t>15</t>
        </is>
      </c>
      <c r="M248" t="inlineStr">
        <is>
          <t>MVS Sec.15 p.21</t>
        </is>
      </c>
    </row>
    <row r="249">
      <c r="B249" t="inlineStr">
        <is>
          <t>Banks, Branch</t>
        </is>
      </c>
      <c r="C249" t="inlineStr">
        <is>
          <t>304</t>
        </is>
      </c>
      <c r="D249" t="inlineStr">
        <is>
          <t>15</t>
        </is>
      </c>
      <c r="E249" t="inlineStr">
        <is>
          <t>21</t>
        </is>
      </c>
      <c r="F249" t="inlineStr">
        <is>
          <t>C</t>
        </is>
      </c>
      <c r="G249" t="inlineStr">
        <is>
          <t>Average</t>
        </is>
      </c>
      <c r="H249" s="606" t="n">
        <v>236</v>
      </c>
      <c r="I249">
        <f>B249&amp;"~"&amp;F249&amp;"~"&amp;G249</f>
        <v/>
      </c>
      <c r="J249" t="inlineStr">
        <is>
          <t>15</t>
        </is>
      </c>
      <c r="K249" t="inlineStr">
        <is>
          <t>15</t>
        </is>
      </c>
      <c r="L249" t="inlineStr">
        <is>
          <t>15</t>
        </is>
      </c>
      <c r="M249" t="inlineStr">
        <is>
          <t>MVS Sec.15 p.21</t>
        </is>
      </c>
    </row>
    <row r="250">
      <c r="B250" t="inlineStr">
        <is>
          <t>Banks, Branch</t>
        </is>
      </c>
      <c r="C250" t="inlineStr">
        <is>
          <t>304</t>
        </is>
      </c>
      <c r="D250" t="inlineStr">
        <is>
          <t>15</t>
        </is>
      </c>
      <c r="E250" t="inlineStr">
        <is>
          <t>21</t>
        </is>
      </c>
      <c r="F250" t="inlineStr">
        <is>
          <t>C</t>
        </is>
      </c>
      <c r="G250" t="inlineStr">
        <is>
          <t>Low Cost</t>
        </is>
      </c>
      <c r="H250" s="606" t="n">
        <v>177</v>
      </c>
      <c r="I250">
        <f>B250&amp;"~"&amp;F250&amp;"~"&amp;G250</f>
        <v/>
      </c>
      <c r="J250" t="inlineStr">
        <is>
          <t>15</t>
        </is>
      </c>
      <c r="K250" t="inlineStr">
        <is>
          <t>15</t>
        </is>
      </c>
      <c r="L250" t="inlineStr">
        <is>
          <t>15</t>
        </is>
      </c>
      <c r="M250" t="inlineStr">
        <is>
          <t>MVS Sec.15 p.21</t>
        </is>
      </c>
    </row>
    <row r="251">
      <c r="B251" t="inlineStr">
        <is>
          <t>Banks, Branch</t>
        </is>
      </c>
      <c r="C251" t="inlineStr">
        <is>
          <t>304</t>
        </is>
      </c>
      <c r="D251" t="inlineStr">
        <is>
          <t>15</t>
        </is>
      </c>
      <c r="E251" t="inlineStr">
        <is>
          <t>21</t>
        </is>
      </c>
      <c r="F251" t="inlineStr">
        <is>
          <t>D</t>
        </is>
      </c>
      <c r="G251" t="inlineStr">
        <is>
          <t>Excellent</t>
        </is>
      </c>
      <c r="H251" s="606" t="n">
        <v>423</v>
      </c>
      <c r="I251">
        <f>B251&amp;"~"&amp;F251&amp;"~"&amp;G251</f>
        <v/>
      </c>
      <c r="J251" t="inlineStr">
        <is>
          <t>15</t>
        </is>
      </c>
      <c r="K251" t="inlineStr">
        <is>
          <t>15</t>
        </is>
      </c>
      <c r="L251" t="inlineStr">
        <is>
          <t>15</t>
        </is>
      </c>
      <c r="M251" t="inlineStr">
        <is>
          <t>MVS Sec.15 p.21</t>
        </is>
      </c>
    </row>
    <row r="252">
      <c r="B252" t="inlineStr">
        <is>
          <t>Banks, Branch</t>
        </is>
      </c>
      <c r="C252" t="inlineStr">
        <is>
          <t>304</t>
        </is>
      </c>
      <c r="D252" t="inlineStr">
        <is>
          <t>15</t>
        </is>
      </c>
      <c r="E252" t="inlineStr">
        <is>
          <t>21</t>
        </is>
      </c>
      <c r="F252" t="inlineStr">
        <is>
          <t>D</t>
        </is>
      </c>
      <c r="G252" t="inlineStr">
        <is>
          <t>Good</t>
        </is>
      </c>
      <c r="H252" s="606" t="n">
        <v>308</v>
      </c>
      <c r="I252">
        <f>B252&amp;"~"&amp;F252&amp;"~"&amp;G252</f>
        <v/>
      </c>
      <c r="J252" t="inlineStr">
        <is>
          <t>15</t>
        </is>
      </c>
      <c r="K252" t="inlineStr">
        <is>
          <t>15</t>
        </is>
      </c>
      <c r="L252" t="inlineStr">
        <is>
          <t>15</t>
        </is>
      </c>
      <c r="M252" t="inlineStr">
        <is>
          <t>MVS Sec.15 p.21</t>
        </is>
      </c>
    </row>
    <row r="253">
      <c r="B253" t="inlineStr">
        <is>
          <t>Banks, Branch</t>
        </is>
      </c>
      <c r="C253" t="inlineStr">
        <is>
          <t>304</t>
        </is>
      </c>
      <c r="D253" t="inlineStr">
        <is>
          <t>15</t>
        </is>
      </c>
      <c r="E253" t="inlineStr">
        <is>
          <t>21</t>
        </is>
      </c>
      <c r="F253" t="inlineStr">
        <is>
          <t>D</t>
        </is>
      </c>
      <c r="G253" t="inlineStr">
        <is>
          <t>Average</t>
        </is>
      </c>
      <c r="H253" s="606" t="n">
        <v>223</v>
      </c>
      <c r="I253">
        <f>B253&amp;"~"&amp;F253&amp;"~"&amp;G253</f>
        <v/>
      </c>
      <c r="J253" t="inlineStr">
        <is>
          <t>15</t>
        </is>
      </c>
      <c r="K253" t="inlineStr">
        <is>
          <t>15</t>
        </is>
      </c>
      <c r="L253" t="inlineStr">
        <is>
          <t>15</t>
        </is>
      </c>
      <c r="M253" t="inlineStr">
        <is>
          <t>MVS Sec.15 p.21</t>
        </is>
      </c>
    </row>
    <row r="254">
      <c r="B254" t="inlineStr">
        <is>
          <t>Banks, Branch</t>
        </is>
      </c>
      <c r="C254" t="inlineStr">
        <is>
          <t>304</t>
        </is>
      </c>
      <c r="D254" t="inlineStr">
        <is>
          <t>15</t>
        </is>
      </c>
      <c r="E254" t="inlineStr">
        <is>
          <t>21</t>
        </is>
      </c>
      <c r="F254" t="inlineStr">
        <is>
          <t>D</t>
        </is>
      </c>
      <c r="G254" t="inlineStr">
        <is>
          <t>Low Cost</t>
        </is>
      </c>
      <c r="H254" s="606" t="n">
        <v>168</v>
      </c>
      <c r="I254">
        <f>B254&amp;"~"&amp;F254&amp;"~"&amp;G254</f>
        <v/>
      </c>
      <c r="J254" t="inlineStr">
        <is>
          <t>15</t>
        </is>
      </c>
      <c r="K254" t="inlineStr">
        <is>
          <t>15</t>
        </is>
      </c>
      <c r="L254" t="inlineStr">
        <is>
          <t>15</t>
        </is>
      </c>
      <c r="M254" t="inlineStr">
        <is>
          <t>MVS Sec.15 p.21</t>
        </is>
      </c>
    </row>
    <row r="255">
      <c r="B255" t="inlineStr">
        <is>
          <t>Banks, Branch</t>
        </is>
      </c>
      <c r="C255" t="inlineStr">
        <is>
          <t>304</t>
        </is>
      </c>
      <c r="D255" t="inlineStr">
        <is>
          <t>15</t>
        </is>
      </c>
      <c r="E255" t="inlineStr">
        <is>
          <t>21</t>
        </is>
      </c>
      <c r="F255" t="inlineStr">
        <is>
          <t>S</t>
        </is>
      </c>
      <c r="G255" t="inlineStr">
        <is>
          <t>Good</t>
        </is>
      </c>
      <c r="H255" s="606" t="n">
        <v>288</v>
      </c>
      <c r="I255">
        <f>B255&amp;"~"&amp;F255&amp;"~"&amp;G255</f>
        <v/>
      </c>
      <c r="J255" t="inlineStr">
        <is>
          <t>15</t>
        </is>
      </c>
      <c r="K255" t="inlineStr">
        <is>
          <t>15</t>
        </is>
      </c>
      <c r="L255" t="inlineStr">
        <is>
          <t>15</t>
        </is>
      </c>
      <c r="M255" t="inlineStr">
        <is>
          <t>MVS Sec.15 p.21</t>
        </is>
      </c>
    </row>
    <row r="256">
      <c r="B256" t="inlineStr">
        <is>
          <t>Banks, Branch</t>
        </is>
      </c>
      <c r="C256" t="inlineStr">
        <is>
          <t>304</t>
        </is>
      </c>
      <c r="D256" t="inlineStr">
        <is>
          <t>15</t>
        </is>
      </c>
      <c r="E256" t="inlineStr">
        <is>
          <t>21</t>
        </is>
      </c>
      <c r="F256" t="inlineStr">
        <is>
          <t>S</t>
        </is>
      </c>
      <c r="G256" t="inlineStr">
        <is>
          <t>Average</t>
        </is>
      </c>
      <c r="H256" s="606" t="n">
        <v>218</v>
      </c>
      <c r="I256">
        <f>B256&amp;"~"&amp;F256&amp;"~"&amp;G256</f>
        <v/>
      </c>
      <c r="J256" t="inlineStr">
        <is>
          <t>15</t>
        </is>
      </c>
      <c r="K256" t="inlineStr">
        <is>
          <t>15</t>
        </is>
      </c>
      <c r="L256" t="inlineStr">
        <is>
          <t>15</t>
        </is>
      </c>
      <c r="M256" t="inlineStr">
        <is>
          <t>MVS Sec.15 p.21</t>
        </is>
      </c>
    </row>
    <row r="257">
      <c r="B257" t="inlineStr">
        <is>
          <t>Banks, Branch</t>
        </is>
      </c>
      <c r="C257" t="inlineStr">
        <is>
          <t>304</t>
        </is>
      </c>
      <c r="D257" t="inlineStr">
        <is>
          <t>15</t>
        </is>
      </c>
      <c r="E257" t="inlineStr">
        <is>
          <t>21</t>
        </is>
      </c>
      <c r="F257" t="inlineStr">
        <is>
          <t>S</t>
        </is>
      </c>
      <c r="G257" t="inlineStr">
        <is>
          <t>Low Cost</t>
        </is>
      </c>
      <c r="H257" s="606" t="n">
        <v>167</v>
      </c>
      <c r="I257">
        <f>B257&amp;"~"&amp;F257&amp;"~"&amp;G257</f>
        <v/>
      </c>
      <c r="J257" t="inlineStr">
        <is>
          <t>15</t>
        </is>
      </c>
      <c r="K257" t="inlineStr">
        <is>
          <t>15</t>
        </is>
      </c>
      <c r="L257" t="inlineStr">
        <is>
          <t>15</t>
        </is>
      </c>
      <c r="M257" t="inlineStr">
        <is>
          <t>MVS Sec.15 p.21</t>
        </is>
      </c>
    </row>
    <row r="258">
      <c r="B258" t="inlineStr">
        <is>
          <t>Hotels, Full Service</t>
        </is>
      </c>
      <c r="C258" t="inlineStr">
        <is>
          <t>594</t>
        </is>
      </c>
      <c r="D258" t="inlineStr">
        <is>
          <t>11</t>
        </is>
      </c>
      <c r="E258" t="inlineStr">
        <is>
          <t>25</t>
        </is>
      </c>
      <c r="F258" t="inlineStr">
        <is>
          <t>A</t>
        </is>
      </c>
      <c r="G258" t="inlineStr">
        <is>
          <t>Excellent</t>
        </is>
      </c>
      <c r="H258" s="606" t="n">
        <v>380</v>
      </c>
      <c r="I258">
        <f>B258&amp;"~"&amp;F258&amp;"~"&amp;G258</f>
        <v/>
      </c>
      <c r="J258" t="inlineStr">
        <is>
          <t>11</t>
        </is>
      </c>
      <c r="K258" t="inlineStr">
        <is>
          <t>11</t>
        </is>
      </c>
      <c r="L258" t="inlineStr">
        <is>
          <t>11</t>
        </is>
      </c>
      <c r="M258" t="inlineStr">
        <is>
          <t>MVS Sec.11 p.25</t>
        </is>
      </c>
    </row>
    <row r="259">
      <c r="B259" t="inlineStr">
        <is>
          <t>Hotels, Full Service</t>
        </is>
      </c>
      <c r="C259" t="inlineStr">
        <is>
          <t>594</t>
        </is>
      </c>
      <c r="D259" t="inlineStr">
        <is>
          <t>11</t>
        </is>
      </c>
      <c r="E259" t="inlineStr">
        <is>
          <t>25</t>
        </is>
      </c>
      <c r="F259" t="inlineStr">
        <is>
          <t>A</t>
        </is>
      </c>
      <c r="G259" t="inlineStr">
        <is>
          <t>Good</t>
        </is>
      </c>
      <c r="H259" s="606" t="n">
        <v>310</v>
      </c>
      <c r="I259">
        <f>B259&amp;"~"&amp;F259&amp;"~"&amp;G259</f>
        <v/>
      </c>
      <c r="J259" t="inlineStr">
        <is>
          <t>11</t>
        </is>
      </c>
      <c r="K259" t="inlineStr">
        <is>
          <t>11</t>
        </is>
      </c>
      <c r="L259" t="inlineStr">
        <is>
          <t>11</t>
        </is>
      </c>
      <c r="M259" t="inlineStr">
        <is>
          <t>MVS Sec.11 p.25</t>
        </is>
      </c>
    </row>
    <row r="260">
      <c r="B260" t="inlineStr">
        <is>
          <t>Hotels, Full Service</t>
        </is>
      </c>
      <c r="C260" t="inlineStr">
        <is>
          <t>594</t>
        </is>
      </c>
      <c r="D260" t="inlineStr">
        <is>
          <t>11</t>
        </is>
      </c>
      <c r="E260" t="inlineStr">
        <is>
          <t>25</t>
        </is>
      </c>
      <c r="F260" t="inlineStr">
        <is>
          <t>A</t>
        </is>
      </c>
      <c r="G260" t="inlineStr">
        <is>
          <t>Average</t>
        </is>
      </c>
      <c r="H260" s="606" t="n">
        <v>244</v>
      </c>
      <c r="I260">
        <f>B260&amp;"~"&amp;F260&amp;"~"&amp;G260</f>
        <v/>
      </c>
      <c r="J260" t="inlineStr">
        <is>
          <t>11</t>
        </is>
      </c>
      <c r="K260" t="inlineStr">
        <is>
          <t>11</t>
        </is>
      </c>
      <c r="L260" t="inlineStr">
        <is>
          <t>11</t>
        </is>
      </c>
      <c r="M260" t="inlineStr">
        <is>
          <t>MVS Sec.11 p.25</t>
        </is>
      </c>
    </row>
    <row r="261">
      <c r="B261" t="inlineStr">
        <is>
          <t>Hotels, Full Service</t>
        </is>
      </c>
      <c r="C261" t="inlineStr">
        <is>
          <t>594</t>
        </is>
      </c>
      <c r="D261" t="inlineStr">
        <is>
          <t>11</t>
        </is>
      </c>
      <c r="E261" t="inlineStr">
        <is>
          <t>25</t>
        </is>
      </c>
      <c r="F261" t="inlineStr">
        <is>
          <t>A</t>
        </is>
      </c>
      <c r="G261" t="inlineStr">
        <is>
          <t>Low Cost</t>
        </is>
      </c>
      <c r="H261" s="606" t="n">
        <v>194</v>
      </c>
      <c r="I261">
        <f>B261&amp;"~"&amp;F261&amp;"~"&amp;G261</f>
        <v/>
      </c>
      <c r="J261" t="inlineStr">
        <is>
          <t>11</t>
        </is>
      </c>
      <c r="K261" t="inlineStr">
        <is>
          <t>11</t>
        </is>
      </c>
      <c r="L261" t="inlineStr">
        <is>
          <t>11</t>
        </is>
      </c>
      <c r="M261" t="inlineStr">
        <is>
          <t>MVS Sec.11 p.25</t>
        </is>
      </c>
    </row>
    <row r="262">
      <c r="B262" t="inlineStr">
        <is>
          <t>Hotels, Full Service</t>
        </is>
      </c>
      <c r="C262" t="inlineStr">
        <is>
          <t>594</t>
        </is>
      </c>
      <c r="D262" t="inlineStr">
        <is>
          <t>11</t>
        </is>
      </c>
      <c r="E262" t="inlineStr">
        <is>
          <t>25</t>
        </is>
      </c>
      <c r="F262" t="inlineStr">
        <is>
          <t>B</t>
        </is>
      </c>
      <c r="G262" t="inlineStr">
        <is>
          <t>Excellent</t>
        </is>
      </c>
      <c r="H262" s="606" t="n">
        <v>343</v>
      </c>
      <c r="I262">
        <f>B262&amp;"~"&amp;F262&amp;"~"&amp;G262</f>
        <v/>
      </c>
      <c r="J262" t="inlineStr">
        <is>
          <t>11</t>
        </is>
      </c>
      <c r="K262" t="inlineStr">
        <is>
          <t>11</t>
        </is>
      </c>
      <c r="L262" t="inlineStr">
        <is>
          <t>11</t>
        </is>
      </c>
      <c r="M262" t="inlineStr">
        <is>
          <t>MVS Sec.11 p.25</t>
        </is>
      </c>
    </row>
    <row r="263">
      <c r="B263" t="inlineStr">
        <is>
          <t>Hotels, Full Service</t>
        </is>
      </c>
      <c r="C263" t="inlineStr">
        <is>
          <t>594</t>
        </is>
      </c>
      <c r="D263" t="inlineStr">
        <is>
          <t>11</t>
        </is>
      </c>
      <c r="E263" t="inlineStr">
        <is>
          <t>25</t>
        </is>
      </c>
      <c r="F263" t="inlineStr">
        <is>
          <t>B</t>
        </is>
      </c>
      <c r="G263" t="inlineStr">
        <is>
          <t>Good</t>
        </is>
      </c>
      <c r="H263" s="606" t="n">
        <v>280</v>
      </c>
      <c r="I263">
        <f>B263&amp;"~"&amp;F263&amp;"~"&amp;G263</f>
        <v/>
      </c>
      <c r="J263" t="inlineStr">
        <is>
          <t>11</t>
        </is>
      </c>
      <c r="K263" t="inlineStr">
        <is>
          <t>11</t>
        </is>
      </c>
      <c r="L263" t="inlineStr">
        <is>
          <t>11</t>
        </is>
      </c>
      <c r="M263" t="inlineStr">
        <is>
          <t>MVS Sec.11 p.25</t>
        </is>
      </c>
    </row>
    <row r="264">
      <c r="B264" t="inlineStr">
        <is>
          <t>Hotels, Full Service</t>
        </is>
      </c>
      <c r="C264" t="inlineStr">
        <is>
          <t>594</t>
        </is>
      </c>
      <c r="D264" t="inlineStr">
        <is>
          <t>11</t>
        </is>
      </c>
      <c r="E264" t="inlineStr">
        <is>
          <t>25</t>
        </is>
      </c>
      <c r="F264" t="inlineStr">
        <is>
          <t>B</t>
        </is>
      </c>
      <c r="G264" t="inlineStr">
        <is>
          <t>Average</t>
        </is>
      </c>
      <c r="H264" s="606" t="n">
        <v>219</v>
      </c>
      <c r="I264">
        <f>B264&amp;"~"&amp;F264&amp;"~"&amp;G264</f>
        <v/>
      </c>
      <c r="J264" t="inlineStr">
        <is>
          <t>11</t>
        </is>
      </c>
      <c r="K264" t="inlineStr">
        <is>
          <t>11</t>
        </is>
      </c>
      <c r="L264" t="inlineStr">
        <is>
          <t>11</t>
        </is>
      </c>
      <c r="M264" t="inlineStr">
        <is>
          <t>MVS Sec.11 p.25</t>
        </is>
      </c>
    </row>
    <row r="265">
      <c r="B265" t="inlineStr">
        <is>
          <t>Hotels, Full Service</t>
        </is>
      </c>
      <c r="C265" t="inlineStr">
        <is>
          <t>594</t>
        </is>
      </c>
      <c r="D265" t="inlineStr">
        <is>
          <t>11</t>
        </is>
      </c>
      <c r="E265" t="inlineStr">
        <is>
          <t>25</t>
        </is>
      </c>
      <c r="F265" t="inlineStr">
        <is>
          <t>B</t>
        </is>
      </c>
      <c r="G265" t="inlineStr">
        <is>
          <t>Low Cost</t>
        </is>
      </c>
      <c r="H265" s="606" t="n">
        <v>173</v>
      </c>
      <c r="I265">
        <f>B265&amp;"~"&amp;F265&amp;"~"&amp;G265</f>
        <v/>
      </c>
      <c r="J265" t="inlineStr">
        <is>
          <t>11</t>
        </is>
      </c>
      <c r="K265" t="inlineStr">
        <is>
          <t>11</t>
        </is>
      </c>
      <c r="L265" t="inlineStr">
        <is>
          <t>11</t>
        </is>
      </c>
      <c r="M265" t="inlineStr">
        <is>
          <t>MVS Sec.11 p.25</t>
        </is>
      </c>
    </row>
    <row r="266">
      <c r="B266" t="inlineStr">
        <is>
          <t>Hotels, Full Service</t>
        </is>
      </c>
      <c r="C266" t="inlineStr">
        <is>
          <t>594</t>
        </is>
      </c>
      <c r="D266" t="inlineStr">
        <is>
          <t>11</t>
        </is>
      </c>
      <c r="E266" t="inlineStr">
        <is>
          <t>25</t>
        </is>
      </c>
      <c r="F266" t="inlineStr">
        <is>
          <t>C</t>
        </is>
      </c>
      <c r="G266" t="inlineStr">
        <is>
          <t>Excellent</t>
        </is>
      </c>
      <c r="H266" s="606" t="n">
        <v>281</v>
      </c>
      <c r="I266">
        <f>B266&amp;"~"&amp;F266&amp;"~"&amp;G266</f>
        <v/>
      </c>
      <c r="J266" t="inlineStr">
        <is>
          <t>11</t>
        </is>
      </c>
      <c r="K266" t="inlineStr">
        <is>
          <t>11</t>
        </is>
      </c>
      <c r="L266" t="inlineStr">
        <is>
          <t>11</t>
        </is>
      </c>
      <c r="M266" t="inlineStr">
        <is>
          <t>MVS Sec.11 p.25</t>
        </is>
      </c>
    </row>
    <row r="267">
      <c r="B267" t="inlineStr">
        <is>
          <t>Hotels, Full Service</t>
        </is>
      </c>
      <c r="C267" t="inlineStr">
        <is>
          <t>594</t>
        </is>
      </c>
      <c r="D267" t="inlineStr">
        <is>
          <t>11</t>
        </is>
      </c>
      <c r="E267" t="inlineStr">
        <is>
          <t>25</t>
        </is>
      </c>
      <c r="F267" t="inlineStr">
        <is>
          <t>C</t>
        </is>
      </c>
      <c r="G267" t="inlineStr">
        <is>
          <t>Good</t>
        </is>
      </c>
      <c r="H267" s="606" t="n">
        <v>228</v>
      </c>
      <c r="I267">
        <f>B267&amp;"~"&amp;F267&amp;"~"&amp;G267</f>
        <v/>
      </c>
      <c r="J267" t="inlineStr">
        <is>
          <t>11</t>
        </is>
      </c>
      <c r="K267" t="inlineStr">
        <is>
          <t>11</t>
        </is>
      </c>
      <c r="L267" t="inlineStr">
        <is>
          <t>11</t>
        </is>
      </c>
      <c r="M267" t="inlineStr">
        <is>
          <t>MVS Sec.11 p.25</t>
        </is>
      </c>
    </row>
    <row r="268">
      <c r="B268" t="inlineStr">
        <is>
          <t>Hotels, Full Service</t>
        </is>
      </c>
      <c r="C268" t="inlineStr">
        <is>
          <t>594</t>
        </is>
      </c>
      <c r="D268" t="inlineStr">
        <is>
          <t>11</t>
        </is>
      </c>
      <c r="E268" t="inlineStr">
        <is>
          <t>25</t>
        </is>
      </c>
      <c r="F268" t="inlineStr">
        <is>
          <t>C</t>
        </is>
      </c>
      <c r="G268" t="inlineStr">
        <is>
          <t>Average</t>
        </is>
      </c>
      <c r="H268" s="606" t="n">
        <v>191</v>
      </c>
      <c r="I268">
        <f>B268&amp;"~"&amp;F268&amp;"~"&amp;G268</f>
        <v/>
      </c>
      <c r="J268" t="inlineStr">
        <is>
          <t>11</t>
        </is>
      </c>
      <c r="K268" t="inlineStr">
        <is>
          <t>11</t>
        </is>
      </c>
      <c r="L268" t="inlineStr">
        <is>
          <t>11</t>
        </is>
      </c>
      <c r="M268" t="inlineStr">
        <is>
          <t>MVS Sec.11 p.25</t>
        </is>
      </c>
    </row>
    <row r="269">
      <c r="B269" t="inlineStr">
        <is>
          <t>Hotels, Full Service</t>
        </is>
      </c>
      <c r="C269" t="inlineStr">
        <is>
          <t>594</t>
        </is>
      </c>
      <c r="D269" t="inlineStr">
        <is>
          <t>11</t>
        </is>
      </c>
      <c r="E269" t="inlineStr">
        <is>
          <t>25</t>
        </is>
      </c>
      <c r="F269" t="inlineStr">
        <is>
          <t>C</t>
        </is>
      </c>
      <c r="G269" t="inlineStr">
        <is>
          <t>Low Cost</t>
        </is>
      </c>
      <c r="H269" s="606" t="n">
        <v>154</v>
      </c>
      <c r="I269">
        <f>B269&amp;"~"&amp;F269&amp;"~"&amp;G269</f>
        <v/>
      </c>
      <c r="J269" t="inlineStr">
        <is>
          <t>11</t>
        </is>
      </c>
      <c r="K269" t="inlineStr">
        <is>
          <t>11</t>
        </is>
      </c>
      <c r="L269" t="inlineStr">
        <is>
          <t>11</t>
        </is>
      </c>
      <c r="M269" t="inlineStr">
        <is>
          <t>MVS Sec.11 p.25</t>
        </is>
      </c>
    </row>
    <row r="270">
      <c r="B270" t="inlineStr">
        <is>
          <t>Hotels, Full Service</t>
        </is>
      </c>
      <c r="C270" t="inlineStr">
        <is>
          <t>594</t>
        </is>
      </c>
      <c r="D270" t="inlineStr">
        <is>
          <t>11</t>
        </is>
      </c>
      <c r="E270" t="inlineStr">
        <is>
          <t>25</t>
        </is>
      </c>
      <c r="F270" t="inlineStr">
        <is>
          <t>D</t>
        </is>
      </c>
      <c r="G270" t="inlineStr">
        <is>
          <t>Excellent</t>
        </is>
      </c>
      <c r="H270" s="606" t="n">
        <v>268</v>
      </c>
      <c r="I270">
        <f>B270&amp;"~"&amp;F270&amp;"~"&amp;G270</f>
        <v/>
      </c>
      <c r="J270" t="inlineStr">
        <is>
          <t>11</t>
        </is>
      </c>
      <c r="K270" t="inlineStr">
        <is>
          <t>11</t>
        </is>
      </c>
      <c r="L270" t="inlineStr">
        <is>
          <t>11</t>
        </is>
      </c>
      <c r="M270" t="inlineStr">
        <is>
          <t>MVS Sec.11 p.25</t>
        </is>
      </c>
    </row>
    <row r="271">
      <c r="B271" t="inlineStr">
        <is>
          <t>Hotels, Full Service</t>
        </is>
      </c>
      <c r="C271" t="inlineStr">
        <is>
          <t>594</t>
        </is>
      </c>
      <c r="D271" t="inlineStr">
        <is>
          <t>11</t>
        </is>
      </c>
      <c r="E271" t="inlineStr">
        <is>
          <t>25</t>
        </is>
      </c>
      <c r="F271" t="inlineStr">
        <is>
          <t>D</t>
        </is>
      </c>
      <c r="G271" t="inlineStr">
        <is>
          <t>Good</t>
        </is>
      </c>
      <c r="H271" s="606" t="n">
        <v>216</v>
      </c>
      <c r="I271">
        <f>B271&amp;"~"&amp;F271&amp;"~"&amp;G271</f>
        <v/>
      </c>
      <c r="J271" t="inlineStr">
        <is>
          <t>11</t>
        </is>
      </c>
      <c r="K271" t="inlineStr">
        <is>
          <t>11</t>
        </is>
      </c>
      <c r="L271" t="inlineStr">
        <is>
          <t>11</t>
        </is>
      </c>
      <c r="M271" t="inlineStr">
        <is>
          <t>MVS Sec.11 p.25</t>
        </is>
      </c>
    </row>
    <row r="272">
      <c r="B272" t="inlineStr">
        <is>
          <t>Hotels, Full Service</t>
        </is>
      </c>
      <c r="C272" t="inlineStr">
        <is>
          <t>594</t>
        </is>
      </c>
      <c r="D272" t="inlineStr">
        <is>
          <t>11</t>
        </is>
      </c>
      <c r="E272" t="inlineStr">
        <is>
          <t>25</t>
        </is>
      </c>
      <c r="F272" t="inlineStr">
        <is>
          <t>D</t>
        </is>
      </c>
      <c r="G272" t="inlineStr">
        <is>
          <t>Average</t>
        </is>
      </c>
      <c r="H272" s="606" t="n">
        <v>180</v>
      </c>
      <c r="I272">
        <f>B272&amp;"~"&amp;F272&amp;"~"&amp;G272</f>
        <v/>
      </c>
      <c r="J272" t="inlineStr">
        <is>
          <t>11</t>
        </is>
      </c>
      <c r="K272" t="inlineStr">
        <is>
          <t>11</t>
        </is>
      </c>
      <c r="L272" t="inlineStr">
        <is>
          <t>11</t>
        </is>
      </c>
      <c r="M272" t="inlineStr">
        <is>
          <t>MVS Sec.11 p.25</t>
        </is>
      </c>
    </row>
    <row r="273">
      <c r="B273" t="inlineStr">
        <is>
          <t>Hotels, Full Service</t>
        </is>
      </c>
      <c r="C273" t="inlineStr">
        <is>
          <t>594</t>
        </is>
      </c>
      <c r="D273" t="inlineStr">
        <is>
          <t>11</t>
        </is>
      </c>
      <c r="E273" t="inlineStr">
        <is>
          <t>25</t>
        </is>
      </c>
      <c r="F273" t="inlineStr">
        <is>
          <t>D</t>
        </is>
      </c>
      <c r="G273" t="inlineStr">
        <is>
          <t>Low Cost</t>
        </is>
      </c>
      <c r="H273" s="606" t="n">
        <v>144</v>
      </c>
      <c r="I273">
        <f>B273&amp;"~"&amp;F273&amp;"~"&amp;G273</f>
        <v/>
      </c>
      <c r="J273" t="inlineStr">
        <is>
          <t>11</t>
        </is>
      </c>
      <c r="K273" t="inlineStr">
        <is>
          <t>11</t>
        </is>
      </c>
      <c r="L273" t="inlineStr">
        <is>
          <t>11</t>
        </is>
      </c>
      <c r="M273" t="inlineStr">
        <is>
          <t>MVS Sec.11 p.25</t>
        </is>
      </c>
    </row>
    <row r="274">
      <c r="B274" t="inlineStr">
        <is>
          <t>Hotels, Limited Service</t>
        </is>
      </c>
      <c r="C274" t="inlineStr">
        <is>
          <t>595</t>
        </is>
      </c>
      <c r="D274" t="inlineStr">
        <is>
          <t>11</t>
        </is>
      </c>
      <c r="E274" t="inlineStr">
        <is>
          <t>22</t>
        </is>
      </c>
      <c r="F274" t="inlineStr">
        <is>
          <t>A</t>
        </is>
      </c>
      <c r="G274" t="inlineStr">
        <is>
          <t>Excellent</t>
        </is>
      </c>
      <c r="H274" s="606" t="n">
        <v>271</v>
      </c>
      <c r="I274">
        <f>B274&amp;"~"&amp;F274&amp;"~"&amp;G274</f>
        <v/>
      </c>
      <c r="J274" t="inlineStr">
        <is>
          <t>11</t>
        </is>
      </c>
      <c r="K274" t="inlineStr">
        <is>
          <t>11</t>
        </is>
      </c>
      <c r="L274" t="inlineStr">
        <is>
          <t>11</t>
        </is>
      </c>
      <c r="M274" t="inlineStr">
        <is>
          <t>MVS Sec.11 p.22</t>
        </is>
      </c>
    </row>
    <row r="275">
      <c r="B275" t="inlineStr">
        <is>
          <t>Hotels, Limited Service</t>
        </is>
      </c>
      <c r="C275" t="inlineStr">
        <is>
          <t>595</t>
        </is>
      </c>
      <c r="D275" t="inlineStr">
        <is>
          <t>11</t>
        </is>
      </c>
      <c r="E275" t="inlineStr">
        <is>
          <t>22</t>
        </is>
      </c>
      <c r="F275" t="inlineStr">
        <is>
          <t>A</t>
        </is>
      </c>
      <c r="G275" t="inlineStr">
        <is>
          <t>Good</t>
        </is>
      </c>
      <c r="H275" s="606" t="n">
        <v>228</v>
      </c>
      <c r="I275">
        <f>B275&amp;"~"&amp;F275&amp;"~"&amp;G275</f>
        <v/>
      </c>
      <c r="J275" t="inlineStr">
        <is>
          <t>11</t>
        </is>
      </c>
      <c r="K275" t="inlineStr">
        <is>
          <t>11</t>
        </is>
      </c>
      <c r="L275" t="inlineStr">
        <is>
          <t>11</t>
        </is>
      </c>
      <c r="M275" t="inlineStr">
        <is>
          <t>MVS Sec.11 p.22</t>
        </is>
      </c>
    </row>
    <row r="276">
      <c r="B276" t="inlineStr">
        <is>
          <t>Hotels, Limited Service</t>
        </is>
      </c>
      <c r="C276" t="inlineStr">
        <is>
          <t>595</t>
        </is>
      </c>
      <c r="D276" t="inlineStr">
        <is>
          <t>11</t>
        </is>
      </c>
      <c r="E276" t="inlineStr">
        <is>
          <t>22</t>
        </is>
      </c>
      <c r="F276" t="inlineStr">
        <is>
          <t>A</t>
        </is>
      </c>
      <c r="G276" t="inlineStr">
        <is>
          <t>Average</t>
        </is>
      </c>
      <c r="H276" s="606" t="n">
        <v>197</v>
      </c>
      <c r="I276">
        <f>B276&amp;"~"&amp;F276&amp;"~"&amp;G276</f>
        <v/>
      </c>
      <c r="J276" t="inlineStr">
        <is>
          <t>11</t>
        </is>
      </c>
      <c r="K276" t="inlineStr">
        <is>
          <t>11</t>
        </is>
      </c>
      <c r="L276" t="inlineStr">
        <is>
          <t>11</t>
        </is>
      </c>
      <c r="M276" t="inlineStr">
        <is>
          <t>MVS Sec.11 p.22</t>
        </is>
      </c>
    </row>
    <row r="277">
      <c r="B277" t="inlineStr">
        <is>
          <t>Hotels, Limited Service</t>
        </is>
      </c>
      <c r="C277" t="inlineStr">
        <is>
          <t>595</t>
        </is>
      </c>
      <c r="D277" t="inlineStr">
        <is>
          <t>11</t>
        </is>
      </c>
      <c r="E277" t="inlineStr">
        <is>
          <t>22</t>
        </is>
      </c>
      <c r="F277" t="inlineStr">
        <is>
          <t>A</t>
        </is>
      </c>
      <c r="G277" t="inlineStr">
        <is>
          <t>Low Cost</t>
        </is>
      </c>
      <c r="H277" s="606" t="n">
        <v>165</v>
      </c>
      <c r="I277">
        <f>B277&amp;"~"&amp;F277&amp;"~"&amp;G277</f>
        <v/>
      </c>
      <c r="J277" t="inlineStr">
        <is>
          <t>11</t>
        </is>
      </c>
      <c r="K277" t="inlineStr">
        <is>
          <t>11</t>
        </is>
      </c>
      <c r="L277" t="inlineStr">
        <is>
          <t>11</t>
        </is>
      </c>
      <c r="M277" t="inlineStr">
        <is>
          <t>MVS Sec.11 p.22</t>
        </is>
      </c>
    </row>
    <row r="278">
      <c r="B278" t="inlineStr">
        <is>
          <t>Hotels, Limited Service</t>
        </is>
      </c>
      <c r="C278" t="inlineStr">
        <is>
          <t>595</t>
        </is>
      </c>
      <c r="D278" t="inlineStr">
        <is>
          <t>11</t>
        </is>
      </c>
      <c r="E278" t="inlineStr">
        <is>
          <t>22</t>
        </is>
      </c>
      <c r="F278" t="inlineStr">
        <is>
          <t>B</t>
        </is>
      </c>
      <c r="G278" t="inlineStr">
        <is>
          <t>Excellent</t>
        </is>
      </c>
      <c r="H278" s="606" t="n">
        <v>245</v>
      </c>
      <c r="I278">
        <f>B278&amp;"~"&amp;F278&amp;"~"&amp;G278</f>
        <v/>
      </c>
      <c r="J278" t="inlineStr">
        <is>
          <t>11</t>
        </is>
      </c>
      <c r="K278" t="inlineStr">
        <is>
          <t>11</t>
        </is>
      </c>
      <c r="L278" t="inlineStr">
        <is>
          <t>11</t>
        </is>
      </c>
      <c r="M278" t="inlineStr">
        <is>
          <t>MVS Sec.11 p.22</t>
        </is>
      </c>
    </row>
    <row r="279">
      <c r="B279" t="inlineStr">
        <is>
          <t>Hotels, Limited Service</t>
        </is>
      </c>
      <c r="C279" t="inlineStr">
        <is>
          <t>595</t>
        </is>
      </c>
      <c r="D279" t="inlineStr">
        <is>
          <t>11</t>
        </is>
      </c>
      <c r="E279" t="inlineStr">
        <is>
          <t>22</t>
        </is>
      </c>
      <c r="F279" t="inlineStr">
        <is>
          <t>B</t>
        </is>
      </c>
      <c r="G279" t="inlineStr">
        <is>
          <t>Good</t>
        </is>
      </c>
      <c r="H279" s="606" t="n">
        <v>205</v>
      </c>
      <c r="I279">
        <f>B279&amp;"~"&amp;F279&amp;"~"&amp;G279</f>
        <v/>
      </c>
      <c r="J279" t="inlineStr">
        <is>
          <t>11</t>
        </is>
      </c>
      <c r="K279" t="inlineStr">
        <is>
          <t>11</t>
        </is>
      </c>
      <c r="L279" t="inlineStr">
        <is>
          <t>11</t>
        </is>
      </c>
      <c r="M279" t="inlineStr">
        <is>
          <t>MVS Sec.11 p.22</t>
        </is>
      </c>
    </row>
    <row r="280">
      <c r="B280" t="inlineStr">
        <is>
          <t>Hotels, Limited Service</t>
        </is>
      </c>
      <c r="C280" t="inlineStr">
        <is>
          <t>595</t>
        </is>
      </c>
      <c r="D280" t="inlineStr">
        <is>
          <t>11</t>
        </is>
      </c>
      <c r="E280" t="inlineStr">
        <is>
          <t>22</t>
        </is>
      </c>
      <c r="F280" t="inlineStr">
        <is>
          <t>B</t>
        </is>
      </c>
      <c r="G280" t="inlineStr">
        <is>
          <t>Average</t>
        </is>
      </c>
      <c r="H280" s="606" t="n">
        <v>177</v>
      </c>
      <c r="I280">
        <f>B280&amp;"~"&amp;F280&amp;"~"&amp;G280</f>
        <v/>
      </c>
      <c r="J280" t="inlineStr">
        <is>
          <t>11</t>
        </is>
      </c>
      <c r="K280" t="inlineStr">
        <is>
          <t>11</t>
        </is>
      </c>
      <c r="L280" t="inlineStr">
        <is>
          <t>11</t>
        </is>
      </c>
      <c r="M280" t="inlineStr">
        <is>
          <t>MVS Sec.11 p.22</t>
        </is>
      </c>
    </row>
    <row r="281">
      <c r="B281" t="inlineStr">
        <is>
          <t>Hotels, Limited Service</t>
        </is>
      </c>
      <c r="C281" t="inlineStr">
        <is>
          <t>595</t>
        </is>
      </c>
      <c r="D281" t="inlineStr">
        <is>
          <t>11</t>
        </is>
      </c>
      <c r="E281" t="inlineStr">
        <is>
          <t>22</t>
        </is>
      </c>
      <c r="F281" t="inlineStr">
        <is>
          <t>B</t>
        </is>
      </c>
      <c r="G281" t="inlineStr">
        <is>
          <t>Low Cost</t>
        </is>
      </c>
      <c r="H281" s="606" t="n">
        <v>147</v>
      </c>
      <c r="I281">
        <f>B281&amp;"~"&amp;F281&amp;"~"&amp;G281</f>
        <v/>
      </c>
      <c r="J281" t="inlineStr">
        <is>
          <t>11</t>
        </is>
      </c>
      <c r="K281" t="inlineStr">
        <is>
          <t>11</t>
        </is>
      </c>
      <c r="L281" t="inlineStr">
        <is>
          <t>11</t>
        </is>
      </c>
      <c r="M281" t="inlineStr">
        <is>
          <t>MVS Sec.11 p.22</t>
        </is>
      </c>
    </row>
    <row r="282">
      <c r="B282" t="inlineStr">
        <is>
          <t>Hotels, Limited Service</t>
        </is>
      </c>
      <c r="C282" t="inlineStr">
        <is>
          <t>595</t>
        </is>
      </c>
      <c r="D282" t="inlineStr">
        <is>
          <t>11</t>
        </is>
      </c>
      <c r="E282" t="inlineStr">
        <is>
          <t>22</t>
        </is>
      </c>
      <c r="F282" t="inlineStr">
        <is>
          <t>C</t>
        </is>
      </c>
      <c r="G282" t="inlineStr">
        <is>
          <t>Excellent</t>
        </is>
      </c>
      <c r="H282" s="606" t="n">
        <v>222</v>
      </c>
      <c r="I282">
        <f>B282&amp;"~"&amp;F282&amp;"~"&amp;G282</f>
        <v/>
      </c>
      <c r="J282" t="inlineStr">
        <is>
          <t>11</t>
        </is>
      </c>
      <c r="K282" t="inlineStr">
        <is>
          <t>11</t>
        </is>
      </c>
      <c r="L282" t="inlineStr">
        <is>
          <t>11</t>
        </is>
      </c>
      <c r="M282" t="inlineStr">
        <is>
          <t>MVS Sec.11 p.22</t>
        </is>
      </c>
    </row>
    <row r="283">
      <c r="B283" t="inlineStr">
        <is>
          <t>Hotels, Limited Service</t>
        </is>
      </c>
      <c r="C283" t="inlineStr">
        <is>
          <t>595</t>
        </is>
      </c>
      <c r="D283" t="inlineStr">
        <is>
          <t>11</t>
        </is>
      </c>
      <c r="E283" t="inlineStr">
        <is>
          <t>22</t>
        </is>
      </c>
      <c r="F283" t="inlineStr">
        <is>
          <t>C</t>
        </is>
      </c>
      <c r="G283" t="inlineStr">
        <is>
          <t>Good</t>
        </is>
      </c>
      <c r="H283" s="606" t="n">
        <v>183</v>
      </c>
      <c r="I283">
        <f>B283&amp;"~"&amp;F283&amp;"~"&amp;G283</f>
        <v/>
      </c>
      <c r="J283" t="inlineStr">
        <is>
          <t>11</t>
        </is>
      </c>
      <c r="K283" t="inlineStr">
        <is>
          <t>11</t>
        </is>
      </c>
      <c r="L283" t="inlineStr">
        <is>
          <t>11</t>
        </is>
      </c>
      <c r="M283" t="inlineStr">
        <is>
          <t>MVS Sec.11 p.22</t>
        </is>
      </c>
    </row>
    <row r="284">
      <c r="B284" t="inlineStr">
        <is>
          <t>Hotels, Limited Service</t>
        </is>
      </c>
      <c r="C284" t="inlineStr">
        <is>
          <t>595</t>
        </is>
      </c>
      <c r="D284" t="inlineStr">
        <is>
          <t>11</t>
        </is>
      </c>
      <c r="E284" t="inlineStr">
        <is>
          <t>22</t>
        </is>
      </c>
      <c r="F284" t="inlineStr">
        <is>
          <t>C</t>
        </is>
      </c>
      <c r="G284" t="inlineStr">
        <is>
          <t>Average</t>
        </is>
      </c>
      <c r="H284" s="606" t="n">
        <v>145</v>
      </c>
      <c r="I284">
        <f>B284&amp;"~"&amp;F284&amp;"~"&amp;G284</f>
        <v/>
      </c>
      <c r="J284" t="inlineStr">
        <is>
          <t>11</t>
        </is>
      </c>
      <c r="K284" t="inlineStr">
        <is>
          <t>11</t>
        </is>
      </c>
      <c r="L284" t="inlineStr">
        <is>
          <t>11</t>
        </is>
      </c>
      <c r="M284" t="inlineStr">
        <is>
          <t>MVS Sec.11 p.22</t>
        </is>
      </c>
    </row>
    <row r="285">
      <c r="B285" t="inlineStr">
        <is>
          <t>Hotels, Limited Service</t>
        </is>
      </c>
      <c r="C285" t="inlineStr">
        <is>
          <t>595</t>
        </is>
      </c>
      <c r="D285" t="inlineStr">
        <is>
          <t>11</t>
        </is>
      </c>
      <c r="E285" t="inlineStr">
        <is>
          <t>22</t>
        </is>
      </c>
      <c r="F285" t="inlineStr">
        <is>
          <t>C</t>
        </is>
      </c>
      <c r="G285" t="inlineStr">
        <is>
          <t>Low Cost</t>
        </is>
      </c>
      <c r="H285" s="606" t="n">
        <v>121</v>
      </c>
      <c r="I285">
        <f>B285&amp;"~"&amp;F285&amp;"~"&amp;G285</f>
        <v/>
      </c>
      <c r="J285" t="inlineStr">
        <is>
          <t>11</t>
        </is>
      </c>
      <c r="K285" t="inlineStr">
        <is>
          <t>11</t>
        </is>
      </c>
      <c r="L285" t="inlineStr">
        <is>
          <t>11</t>
        </is>
      </c>
      <c r="M285" t="inlineStr">
        <is>
          <t>MVS Sec.11 p.22</t>
        </is>
      </c>
    </row>
    <row r="286">
      <c r="B286" t="inlineStr">
        <is>
          <t>Hotels, Limited Service</t>
        </is>
      </c>
      <c r="C286" t="inlineStr">
        <is>
          <t>595</t>
        </is>
      </c>
      <c r="D286" t="inlineStr">
        <is>
          <t>11</t>
        </is>
      </c>
      <c r="E286" t="inlineStr">
        <is>
          <t>22</t>
        </is>
      </c>
      <c r="F286" t="inlineStr">
        <is>
          <t>D</t>
        </is>
      </c>
      <c r="G286" t="inlineStr">
        <is>
          <t>Good</t>
        </is>
      </c>
      <c r="H286" s="606" t="n">
        <v>174</v>
      </c>
      <c r="I286">
        <f>B286&amp;"~"&amp;F286&amp;"~"&amp;G286</f>
        <v/>
      </c>
      <c r="J286" t="inlineStr">
        <is>
          <t>11</t>
        </is>
      </c>
      <c r="K286" t="inlineStr">
        <is>
          <t>11</t>
        </is>
      </c>
      <c r="L286" t="inlineStr">
        <is>
          <t>11</t>
        </is>
      </c>
      <c r="M286" t="inlineStr">
        <is>
          <t>MVS Sec.11 p.22</t>
        </is>
      </c>
    </row>
    <row r="287">
      <c r="B287" t="inlineStr">
        <is>
          <t>Hotels, Limited Service</t>
        </is>
      </c>
      <c r="C287" t="inlineStr">
        <is>
          <t>595</t>
        </is>
      </c>
      <c r="D287" t="inlineStr">
        <is>
          <t>11</t>
        </is>
      </c>
      <c r="E287" t="inlineStr">
        <is>
          <t>22</t>
        </is>
      </c>
      <c r="F287" t="inlineStr">
        <is>
          <t>D</t>
        </is>
      </c>
      <c r="G287" t="inlineStr">
        <is>
          <t>Average</t>
        </is>
      </c>
      <c r="H287" s="606" t="n">
        <v>137</v>
      </c>
      <c r="I287">
        <f>B287&amp;"~"&amp;F287&amp;"~"&amp;G287</f>
        <v/>
      </c>
      <c r="J287" t="inlineStr">
        <is>
          <t>11</t>
        </is>
      </c>
      <c r="K287" t="inlineStr">
        <is>
          <t>11</t>
        </is>
      </c>
      <c r="L287" t="inlineStr">
        <is>
          <t>11</t>
        </is>
      </c>
      <c r="M287" t="inlineStr">
        <is>
          <t>MVS Sec.11 p.22</t>
        </is>
      </c>
    </row>
    <row r="288">
      <c r="B288" t="inlineStr">
        <is>
          <t>Hotels, Limited Service</t>
        </is>
      </c>
      <c r="C288" t="inlineStr">
        <is>
          <t>595</t>
        </is>
      </c>
      <c r="D288" t="inlineStr">
        <is>
          <t>11</t>
        </is>
      </c>
      <c r="E288" t="inlineStr">
        <is>
          <t>22</t>
        </is>
      </c>
      <c r="F288" t="inlineStr">
        <is>
          <t>D</t>
        </is>
      </c>
      <c r="G288" t="inlineStr">
        <is>
          <t>Low Cost</t>
        </is>
      </c>
      <c r="H288" s="606" t="n">
        <v>114</v>
      </c>
      <c r="I288">
        <f>B288&amp;"~"&amp;F288&amp;"~"&amp;G288</f>
        <v/>
      </c>
      <c r="J288" t="inlineStr">
        <is>
          <t>11</t>
        </is>
      </c>
      <c r="K288" t="inlineStr">
        <is>
          <t>11</t>
        </is>
      </c>
      <c r="L288" t="inlineStr">
        <is>
          <t>11</t>
        </is>
      </c>
      <c r="M288" t="inlineStr">
        <is>
          <t>MVS Sec.11 p.22</t>
        </is>
      </c>
    </row>
    <row r="289">
      <c r="B289" t="inlineStr">
        <is>
          <t>Hotels, Limited Service</t>
        </is>
      </c>
      <c r="C289" t="inlineStr">
        <is>
          <t>595</t>
        </is>
      </c>
      <c r="D289" t="inlineStr">
        <is>
          <t>11</t>
        </is>
      </c>
      <c r="E289" t="inlineStr">
        <is>
          <t>22</t>
        </is>
      </c>
      <c r="F289" t="inlineStr">
        <is>
          <t>S</t>
        </is>
      </c>
      <c r="G289" t="inlineStr">
        <is>
          <t>Average</t>
        </is>
      </c>
      <c r="H289" s="606" t="n">
        <v>135</v>
      </c>
      <c r="I289">
        <f>B289&amp;"~"&amp;F289&amp;"~"&amp;G289</f>
        <v/>
      </c>
      <c r="J289" t="inlineStr">
        <is>
          <t>11</t>
        </is>
      </c>
      <c r="K289" t="inlineStr">
        <is>
          <t>11</t>
        </is>
      </c>
      <c r="L289" t="inlineStr">
        <is>
          <t>11</t>
        </is>
      </c>
      <c r="M289" t="inlineStr">
        <is>
          <t>MVS Sec.11 p.22</t>
        </is>
      </c>
    </row>
    <row r="291">
      <c r="B291" s="603" t="inlineStr">
        <is>
          <t>REFERENCE 4 -- Occupancy Master List (dropdown source)</t>
        </is>
      </c>
      <c r="C291" s="603" t="n"/>
      <c r="D291" s="603" t="n"/>
      <c r="E291" s="603" t="n"/>
      <c r="F291" s="603" t="n"/>
      <c r="G291" s="603" t="n"/>
      <c r="H291" s="603" t="n"/>
    </row>
    <row r="292">
      <c r="B292" s="604" t="inlineStr">
        <is>
          <t>Occupancy Name</t>
        </is>
      </c>
      <c r="C292" s="604" t="inlineStr">
        <is>
          <t>Occ. Code</t>
        </is>
      </c>
      <c r="D292" s="604" t="inlineStr">
        <is>
          <t>Section</t>
        </is>
      </c>
      <c r="E292" s="604" t="inlineStr">
        <is>
          <t>Page</t>
        </is>
      </c>
      <c r="F292" s="604" t="inlineStr">
        <is>
          <t>Story Table Section</t>
        </is>
      </c>
    </row>
    <row r="293">
      <c r="B293" t="inlineStr">
        <is>
          <t>Storage Warehouses</t>
        </is>
      </c>
      <c r="C293" t="n">
        <v>406</v>
      </c>
      <c r="D293" t="inlineStr">
        <is>
          <t>14</t>
        </is>
      </c>
      <c r="E293" t="inlineStr">
        <is>
          <t>26</t>
        </is>
      </c>
      <c r="F293" t="inlineStr">
        <is>
          <t>14</t>
        </is>
      </c>
    </row>
    <row r="294">
      <c r="B294" t="inlineStr">
        <is>
          <t>Distribution Warehouses</t>
        </is>
      </c>
      <c r="C294" t="n">
        <v>407</v>
      </c>
      <c r="D294" t="inlineStr">
        <is>
          <t>14</t>
        </is>
      </c>
      <c r="E294" t="inlineStr">
        <is>
          <t>23</t>
        </is>
      </c>
      <c r="F294" t="inlineStr">
        <is>
          <t>14</t>
        </is>
      </c>
    </row>
    <row r="295">
      <c r="B295" t="inlineStr">
        <is>
          <t>Mini-Warehouses / Self-Storage</t>
        </is>
      </c>
      <c r="C295" t="n">
        <v>386</v>
      </c>
      <c r="D295" t="inlineStr">
        <is>
          <t>14</t>
        </is>
      </c>
      <c r="E295" t="inlineStr">
        <is>
          <t>28</t>
        </is>
      </c>
      <c r="F295" t="inlineStr">
        <is>
          <t>14</t>
        </is>
      </c>
    </row>
    <row r="296">
      <c r="B296" t="inlineStr">
        <is>
          <t>Mini-Warehouses, High-Rise</t>
        </is>
      </c>
      <c r="C296" t="n">
        <v>525</v>
      </c>
      <c r="D296" t="inlineStr">
        <is>
          <t>14</t>
        </is>
      </c>
      <c r="E296" t="inlineStr">
        <is>
          <t>28</t>
        </is>
      </c>
      <c r="F296" t="inlineStr">
        <is>
          <t>14</t>
        </is>
      </c>
    </row>
    <row r="297">
      <c r="B297" t="inlineStr">
        <is>
          <t>Industrials, Light Manufacturing</t>
        </is>
      </c>
      <c r="C297" t="n">
        <v>334</v>
      </c>
      <c r="D297" t="inlineStr">
        <is>
          <t>14</t>
        </is>
      </c>
      <c r="E297" t="inlineStr">
        <is>
          <t>14</t>
        </is>
      </c>
      <c r="F297" t="inlineStr">
        <is>
          <t>14</t>
        </is>
      </c>
    </row>
    <row r="298">
      <c r="B298" t="inlineStr">
        <is>
          <t>Industrials, Heavy (Process) Manufacturing</t>
        </is>
      </c>
      <c r="C298" t="n">
        <v>333</v>
      </c>
      <c r="D298" t="inlineStr">
        <is>
          <t>14</t>
        </is>
      </c>
      <c r="E298" t="inlineStr">
        <is>
          <t>15</t>
        </is>
      </c>
      <c r="F298" t="inlineStr">
        <is>
          <t>14</t>
        </is>
      </c>
    </row>
    <row r="299">
      <c r="B299" t="inlineStr">
        <is>
          <t>Service Garages (Commercial/Repair)</t>
        </is>
      </c>
      <c r="C299" t="n">
        <v>325</v>
      </c>
      <c r="D299" t="inlineStr">
        <is>
          <t>14</t>
        </is>
      </c>
      <c r="E299" t="inlineStr">
        <is>
          <t>32</t>
        </is>
      </c>
      <c r="F299" t="inlineStr">
        <is>
          <t>14</t>
        </is>
      </c>
    </row>
    <row r="300">
      <c r="B300" t="inlineStr">
        <is>
          <t>Retail Stores</t>
        </is>
      </c>
      <c r="C300" t="n">
        <v>353</v>
      </c>
      <c r="D300" t="inlineStr">
        <is>
          <t>13</t>
        </is>
      </c>
      <c r="E300" t="inlineStr">
        <is>
          <t>26</t>
        </is>
      </c>
      <c r="F300" t="inlineStr">
        <is>
          <t>13</t>
        </is>
      </c>
    </row>
    <row r="301">
      <c r="B301" t="inlineStr">
        <is>
          <t>Neighborhood Shopping Centers</t>
        </is>
      </c>
      <c r="C301" t="n">
        <v>412</v>
      </c>
      <c r="D301" t="inlineStr">
        <is>
          <t>13</t>
        </is>
      </c>
      <c r="E301" t="inlineStr">
        <is>
          <t>33</t>
        </is>
      </c>
      <c r="F301" t="inlineStr">
        <is>
          <t>13</t>
        </is>
      </c>
    </row>
    <row r="302">
      <c r="B302" t="inlineStr">
        <is>
          <t>Community Shopping Centers</t>
        </is>
      </c>
      <c r="C302" t="n">
        <v>413</v>
      </c>
      <c r="D302" t="inlineStr">
        <is>
          <t>13</t>
        </is>
      </c>
      <c r="E302" t="inlineStr">
        <is>
          <t>34</t>
        </is>
      </c>
      <c r="F302" t="inlineStr">
        <is>
          <t>13</t>
        </is>
      </c>
    </row>
    <row r="303">
      <c r="B303" t="inlineStr">
        <is>
          <t>Regional Shopping Centers</t>
        </is>
      </c>
      <c r="C303" t="n">
        <v>414</v>
      </c>
      <c r="D303" t="inlineStr">
        <is>
          <t>13</t>
        </is>
      </c>
      <c r="E303" t="inlineStr">
        <is>
          <t>35</t>
        </is>
      </c>
      <c r="F303" t="inlineStr">
        <is>
          <t>13</t>
        </is>
      </c>
    </row>
    <row r="304">
      <c r="B304" t="inlineStr">
        <is>
          <t>Department Stores</t>
        </is>
      </c>
      <c r="C304" t="n">
        <v>318</v>
      </c>
      <c r="D304" t="inlineStr">
        <is>
          <t>13</t>
        </is>
      </c>
      <c r="E304" t="inlineStr">
        <is>
          <t>27</t>
        </is>
      </c>
      <c r="F304" t="inlineStr">
        <is>
          <t>13</t>
        </is>
      </c>
    </row>
    <row r="305">
      <c r="B305" t="inlineStr">
        <is>
          <t>Discount Stores</t>
        </is>
      </c>
      <c r="C305" t="n">
        <v>319</v>
      </c>
      <c r="D305" t="inlineStr">
        <is>
          <t>13</t>
        </is>
      </c>
      <c r="E305" t="inlineStr">
        <is>
          <t>28</t>
        </is>
      </c>
      <c r="F305" t="inlineStr">
        <is>
          <t>13</t>
        </is>
      </c>
    </row>
    <row r="306">
      <c r="B306" t="inlineStr">
        <is>
          <t>Office Buildings</t>
        </is>
      </c>
      <c r="C306" t="n">
        <v>344</v>
      </c>
      <c r="D306" t="inlineStr">
        <is>
          <t>15</t>
        </is>
      </c>
      <c r="E306" t="inlineStr">
        <is>
          <t>17</t>
        </is>
      </c>
      <c r="F306" t="inlineStr">
        <is>
          <t>15</t>
        </is>
      </c>
    </row>
    <row r="307">
      <c r="B307" t="inlineStr">
        <is>
          <t>Medical Office Buildings</t>
        </is>
      </c>
      <c r="C307" t="n">
        <v>341</v>
      </c>
      <c r="D307" t="inlineStr">
        <is>
          <t>15</t>
        </is>
      </c>
      <c r="E307" t="inlineStr">
        <is>
          <t>22</t>
        </is>
      </c>
      <c r="F307" t="inlineStr">
        <is>
          <t>15</t>
        </is>
      </c>
    </row>
    <row r="308">
      <c r="B308" t="inlineStr">
        <is>
          <t>Banks, Branch</t>
        </is>
      </c>
      <c r="C308" t="n">
        <v>304</v>
      </c>
      <c r="D308" t="inlineStr">
        <is>
          <t>15</t>
        </is>
      </c>
      <c r="E308" t="inlineStr">
        <is>
          <t>21</t>
        </is>
      </c>
      <c r="F308" t="inlineStr">
        <is>
          <t>15</t>
        </is>
      </c>
    </row>
    <row r="309">
      <c r="B309" t="inlineStr">
        <is>
          <t>Hotels, Full Service</t>
        </is>
      </c>
      <c r="C309" t="n">
        <v>332</v>
      </c>
      <c r="D309" t="inlineStr">
        <is>
          <t>11</t>
        </is>
      </c>
      <c r="E309" t="inlineStr">
        <is>
          <t>25</t>
        </is>
      </c>
      <c r="F309" t="inlineStr">
        <is>
          <t>11</t>
        </is>
      </c>
    </row>
    <row r="310">
      <c r="B310" t="inlineStr">
        <is>
          <t>Hotels, Limited Service</t>
        </is>
      </c>
      <c r="C310" t="n">
        <v>1332</v>
      </c>
      <c r="D310" t="inlineStr">
        <is>
          <t>11</t>
        </is>
      </c>
      <c r="E310" t="inlineStr">
        <is>
          <t>22</t>
        </is>
      </c>
      <c r="F310" t="inlineStr">
        <is>
          <t>11</t>
        </is>
      </c>
    </row>
    <row r="312">
      <c r="B312" s="603" t="inlineStr">
        <is>
          <t>REFERENCE 5 -- Story Height Multiplier Tables (per MVS section, single-column for lookup)</t>
        </is>
      </c>
      <c r="C312" s="603" t="n"/>
      <c r="D312" s="603" t="n"/>
      <c r="E312" s="603" t="n"/>
      <c r="F312" s="603" t="n"/>
      <c r="G312" s="603" t="n"/>
      <c r="H312" s="603" t="n"/>
    </row>
    <row r="313">
      <c r="B313" s="604" t="inlineStr">
        <is>
          <t>Section 14 (base = 14 ft)</t>
        </is>
      </c>
      <c r="C313" s="604" t="inlineStr">
        <is>
          <t>Height (ft)</t>
        </is>
      </c>
      <c r="D313" s="604" t="inlineStr">
        <is>
          <t>Multiplier</t>
        </is>
      </c>
    </row>
    <row r="314">
      <c r="C314" t="n">
        <v>8</v>
      </c>
      <c r="D314" s="607" t="n">
        <v>0.885</v>
      </c>
    </row>
    <row r="315">
      <c r="C315" t="n">
        <v>10</v>
      </c>
      <c r="D315" s="607" t="n">
        <v>0.921</v>
      </c>
    </row>
    <row r="316">
      <c r="C316" t="n">
        <v>12</v>
      </c>
      <c r="D316" s="607" t="n">
        <v>0.96</v>
      </c>
    </row>
    <row r="317">
      <c r="C317" t="n">
        <v>14</v>
      </c>
      <c r="D317" s="607" t="n">
        <v>1</v>
      </c>
    </row>
    <row r="318">
      <c r="C318" t="n">
        <v>16</v>
      </c>
      <c r="D318" s="607" t="n">
        <v>1.041</v>
      </c>
    </row>
    <row r="319">
      <c r="C319" t="n">
        <v>18</v>
      </c>
      <c r="D319" s="607" t="n">
        <v>1.086</v>
      </c>
    </row>
    <row r="320">
      <c r="C320" t="n">
        <v>20</v>
      </c>
      <c r="D320" s="607" t="n">
        <v>1.133</v>
      </c>
    </row>
    <row r="321">
      <c r="C321" t="n">
        <v>22</v>
      </c>
      <c r="D321" s="607" t="n">
        <v>1.181</v>
      </c>
    </row>
    <row r="322">
      <c r="C322" t="n">
        <v>24</v>
      </c>
      <c r="D322" s="607" t="n">
        <v>1.231</v>
      </c>
    </row>
    <row r="323">
      <c r="C323" t="n">
        <v>26</v>
      </c>
      <c r="D323" s="607" t="n">
        <v>1.281</v>
      </c>
    </row>
    <row r="324">
      <c r="C324" t="n">
        <v>28</v>
      </c>
      <c r="D324" s="607" t="n">
        <v>1.331</v>
      </c>
    </row>
    <row r="325">
      <c r="C325" t="n">
        <v>30</v>
      </c>
      <c r="D325" s="607" t="n">
        <v>1.382</v>
      </c>
    </row>
    <row r="326">
      <c r="C326" t="n">
        <v>35</v>
      </c>
      <c r="D326" s="607" t="n">
        <v>1.515</v>
      </c>
    </row>
    <row r="327">
      <c r="C327" t="n">
        <v>40</v>
      </c>
      <c r="D327" s="607" t="n">
        <v>1.65</v>
      </c>
    </row>
    <row r="328">
      <c r="C328" t="n">
        <v>45</v>
      </c>
      <c r="D328" s="607" t="n">
        <v>1.788</v>
      </c>
    </row>
    <row r="329">
      <c r="C329" t="n">
        <v>50</v>
      </c>
      <c r="D329" s="607" t="n">
        <v>1.93</v>
      </c>
    </row>
    <row r="330">
      <c r="C330" t="n">
        <v>55</v>
      </c>
      <c r="D330" s="607" t="n">
        <v>2.075</v>
      </c>
    </row>
    <row r="331">
      <c r="C331" t="n">
        <v>60</v>
      </c>
      <c r="D331" s="607" t="n">
        <v>2.225</v>
      </c>
    </row>
    <row r="332">
      <c r="C332" t="n">
        <v>70</v>
      </c>
      <c r="D332" s="607" t="n">
        <v>2.53</v>
      </c>
    </row>
    <row r="333">
      <c r="C333" t="n">
        <v>80</v>
      </c>
      <c r="D333" s="607" t="n">
        <v>2.845</v>
      </c>
    </row>
    <row r="334">
      <c r="C334" t="n">
        <v>90</v>
      </c>
      <c r="D334" s="607" t="n">
        <v>3.161</v>
      </c>
    </row>
    <row r="335">
      <c r="C335" t="n">
        <v>100</v>
      </c>
      <c r="D335" s="607" t="n">
        <v>3.461</v>
      </c>
    </row>
    <row r="336">
      <c r="C336" t="n">
        <v>110</v>
      </c>
      <c r="D336" s="607" t="n">
        <v>3.738</v>
      </c>
    </row>
    <row r="337">
      <c r="C337" t="n">
        <v>120</v>
      </c>
      <c r="D337" s="607" t="n">
        <v>3.977</v>
      </c>
    </row>
    <row r="339">
      <c r="B339" s="604" t="inlineStr">
        <is>
          <t>Section 13 (base = 12 ft)</t>
        </is>
      </c>
      <c r="C339" s="604" t="inlineStr">
        <is>
          <t>Height (ft)</t>
        </is>
      </c>
      <c r="D339" s="604" t="inlineStr">
        <is>
          <t>Multiplier</t>
        </is>
      </c>
    </row>
    <row r="340">
      <c r="C340" t="n">
        <v>8</v>
      </c>
      <c r="D340" s="607" t="n">
        <v>0.915</v>
      </c>
    </row>
    <row r="341">
      <c r="C341" t="n">
        <v>9</v>
      </c>
      <c r="D341" s="607" t="n">
        <v>0.9360000000000001</v>
      </c>
    </row>
    <row r="342">
      <c r="C342" t="n">
        <v>10</v>
      </c>
      <c r="D342" s="607" t="n">
        <v>0.957</v>
      </c>
    </row>
    <row r="343">
      <c r="C343" t="n">
        <v>11</v>
      </c>
      <c r="D343" s="607" t="n">
        <v>0.979</v>
      </c>
    </row>
    <row r="344">
      <c r="C344" t="n">
        <v>12</v>
      </c>
      <c r="D344" s="607" t="n">
        <v>1</v>
      </c>
    </row>
    <row r="345">
      <c r="C345" t="n">
        <v>13</v>
      </c>
      <c r="D345" s="607" t="n">
        <v>1.021</v>
      </c>
    </row>
    <row r="346">
      <c r="C346" t="n">
        <v>14</v>
      </c>
      <c r="D346" s="607" t="n">
        <v>1.042</v>
      </c>
    </row>
    <row r="347">
      <c r="C347" t="n">
        <v>15</v>
      </c>
      <c r="D347" s="607" t="n">
        <v>1.064</v>
      </c>
    </row>
    <row r="348">
      <c r="C348" t="n">
        <v>16</v>
      </c>
      <c r="D348" s="607" t="n">
        <v>1.085</v>
      </c>
    </row>
    <row r="349">
      <c r="C349" t="n">
        <v>18</v>
      </c>
      <c r="D349" s="607" t="n">
        <v>1.127</v>
      </c>
    </row>
    <row r="350">
      <c r="C350" t="n">
        <v>20</v>
      </c>
      <c r="D350" s="607" t="n">
        <v>1.17</v>
      </c>
    </row>
    <row r="351">
      <c r="C351" t="n">
        <v>22</v>
      </c>
      <c r="D351" s="607" t="n">
        <v>1.213</v>
      </c>
    </row>
    <row r="352">
      <c r="C352" t="n">
        <v>24</v>
      </c>
      <c r="D352" s="607" t="n">
        <v>1.255</v>
      </c>
    </row>
    <row r="353">
      <c r="C353" t="n">
        <v>26</v>
      </c>
      <c r="D353" s="607" t="n">
        <v>1.298</v>
      </c>
    </row>
    <row r="354">
      <c r="C354" t="n">
        <v>28</v>
      </c>
      <c r="D354" s="607" t="n">
        <v>1.34</v>
      </c>
    </row>
    <row r="355">
      <c r="C355" t="n">
        <v>30</v>
      </c>
      <c r="D355" s="607" t="n">
        <v>1.383</v>
      </c>
    </row>
    <row r="356">
      <c r="C356" t="n">
        <v>32</v>
      </c>
      <c r="D356" s="607" t="n">
        <v>1.425</v>
      </c>
    </row>
    <row r="357">
      <c r="C357" t="n">
        <v>34</v>
      </c>
      <c r="D357" s="607" t="n">
        <v>1.468</v>
      </c>
    </row>
    <row r="359">
      <c r="B359" s="604" t="inlineStr">
        <is>
          <t>Section 15 (base = 12 ft)</t>
        </is>
      </c>
      <c r="C359" s="604" t="inlineStr">
        <is>
          <t>Height (ft)</t>
        </is>
      </c>
      <c r="D359" s="604" t="inlineStr">
        <is>
          <t>Multiplier</t>
        </is>
      </c>
    </row>
    <row r="360">
      <c r="C360" t="n">
        <v>8</v>
      </c>
      <c r="D360" s="607" t="n">
        <v>0.9</v>
      </c>
    </row>
    <row r="361">
      <c r="C361" t="n">
        <v>9</v>
      </c>
      <c r="D361" s="607" t="n">
        <v>0.928</v>
      </c>
    </row>
    <row r="362">
      <c r="C362" t="n">
        <v>10</v>
      </c>
      <c r="D362" s="607" t="n">
        <v>0.953</v>
      </c>
    </row>
    <row r="363">
      <c r="C363" t="n">
        <v>11</v>
      </c>
      <c r="D363" s="607" t="n">
        <v>0.977</v>
      </c>
    </row>
    <row r="364">
      <c r="C364" t="n">
        <v>12</v>
      </c>
      <c r="D364" s="607" t="n">
        <v>1</v>
      </c>
    </row>
    <row r="365">
      <c r="C365" t="n">
        <v>13</v>
      </c>
      <c r="D365" s="607" t="n">
        <v>1.023</v>
      </c>
    </row>
    <row r="366">
      <c r="C366" t="n">
        <v>14</v>
      </c>
      <c r="D366" s="607" t="n">
        <v>1.046</v>
      </c>
    </row>
    <row r="367">
      <c r="C367" t="n">
        <v>15</v>
      </c>
      <c r="D367" s="607" t="n">
        <v>1.069</v>
      </c>
    </row>
    <row r="368">
      <c r="C368" t="n">
        <v>16</v>
      </c>
      <c r="D368" s="607" t="n">
        <v>1.092</v>
      </c>
    </row>
    <row r="369">
      <c r="C369" t="n">
        <v>18</v>
      </c>
      <c r="D369" s="607" t="n">
        <v>1.138</v>
      </c>
    </row>
    <row r="370">
      <c r="C370" t="n">
        <v>20</v>
      </c>
      <c r="D370" s="607" t="n">
        <v>1.184</v>
      </c>
    </row>
    <row r="371">
      <c r="C371" t="n">
        <v>24</v>
      </c>
      <c r="D371" s="607" t="n">
        <v>1.276</v>
      </c>
    </row>
    <row r="372">
      <c r="C372" t="n">
        <v>28</v>
      </c>
      <c r="D372" s="607" t="n">
        <v>1.367</v>
      </c>
    </row>
    <row r="373">
      <c r="C373" t="n">
        <v>32</v>
      </c>
      <c r="D373" s="607" t="n">
        <v>1.459</v>
      </c>
    </row>
    <row r="374">
      <c r="C374" t="n">
        <v>36</v>
      </c>
      <c r="D374" s="607" t="n">
        <v>1.552</v>
      </c>
    </row>
    <row r="376">
      <c r="B376" s="604" t="inlineStr">
        <is>
          <t>Section 11 (base = 10 ft)</t>
        </is>
      </c>
      <c r="C376" s="604" t="inlineStr">
        <is>
          <t>Height (ft)</t>
        </is>
      </c>
      <c r="D376" s="604" t="inlineStr">
        <is>
          <t>Multiplier</t>
        </is>
      </c>
    </row>
    <row r="377">
      <c r="C377" t="n">
        <v>7</v>
      </c>
      <c r="D377" s="607" t="n">
        <v>0.922</v>
      </c>
    </row>
    <row r="378">
      <c r="C378" t="n">
        <v>8</v>
      </c>
      <c r="D378" s="607" t="n">
        <v>0.947</v>
      </c>
    </row>
    <row r="379">
      <c r="C379" t="n">
        <v>9</v>
      </c>
      <c r="D379" s="607" t="n">
        <v>0.973</v>
      </c>
    </row>
    <row r="380">
      <c r="C380" t="n">
        <v>10</v>
      </c>
      <c r="D380" s="607" t="n">
        <v>1</v>
      </c>
    </row>
    <row r="381">
      <c r="C381" t="n">
        <v>11</v>
      </c>
      <c r="D381" s="607" t="n">
        <v>1.027</v>
      </c>
    </row>
    <row r="382">
      <c r="C382" t="n">
        <v>12</v>
      </c>
      <c r="D382" s="607" t="n">
        <v>1.055</v>
      </c>
    </row>
    <row r="383">
      <c r="C383" t="n">
        <v>13</v>
      </c>
      <c r="D383" s="607" t="n">
        <v>1.084</v>
      </c>
    </row>
    <row r="384">
      <c r="C384" t="n">
        <v>14</v>
      </c>
      <c r="D384" s="607" t="n">
        <v>1.114</v>
      </c>
    </row>
    <row r="385">
      <c r="C385" t="n">
        <v>15</v>
      </c>
      <c r="D385" s="607" t="n">
        <v>1.144</v>
      </c>
    </row>
    <row r="386">
      <c r="C386" t="n">
        <v>16</v>
      </c>
      <c r="D386" s="607" t="n">
        <v>1.175</v>
      </c>
    </row>
    <row r="387">
      <c r="C387" t="n">
        <v>17</v>
      </c>
      <c r="D387" s="607" t="n">
        <v>1.207</v>
      </c>
    </row>
    <row r="388">
      <c r="C388" t="n">
        <v>18</v>
      </c>
      <c r="D388" s="607" t="n">
        <v>1.24</v>
      </c>
    </row>
    <row r="389">
      <c r="C389" t="n">
        <v>19</v>
      </c>
      <c r="D389" s="607" t="n">
        <v>1.274</v>
      </c>
    </row>
    <row r="390">
      <c r="C390" t="n">
        <v>20</v>
      </c>
      <c r="D390" s="607" t="n">
        <v>1.309</v>
      </c>
    </row>
    <row r="391">
      <c r="C391" t="n">
        <v>22</v>
      </c>
      <c r="D391" s="607" t="n">
        <v>1.381</v>
      </c>
    </row>
    <row r="392">
      <c r="C392" t="n">
        <v>24</v>
      </c>
      <c r="D392" s="607" t="n">
        <v>1.458</v>
      </c>
    </row>
    <row r="395">
      <c r="B395" s="603" t="inlineStr">
        <is>
          <t>REFERENCE 6 -- Sprinkler Add-On Cost Tables ($/SF, per MVS section)</t>
        </is>
      </c>
      <c r="C395" s="603" t="n"/>
      <c r="D395" s="603" t="n"/>
      <c r="E395" s="603" t="n"/>
      <c r="F395" s="603" t="n"/>
      <c r="G395" s="603" t="n"/>
      <c r="H395" s="603" t="n"/>
    </row>
    <row r="396">
      <c r="B396" t="inlineStr">
        <is>
          <t>(quality header row, used by lookup formulas)</t>
        </is>
      </c>
      <c r="C396" t="inlineStr">
        <is>
          <t>Low Cost</t>
        </is>
      </c>
      <c r="D396" t="inlineStr">
        <is>
          <t>Average</t>
        </is>
      </c>
      <c r="E396" t="inlineStr">
        <is>
          <t>Good</t>
        </is>
      </c>
      <c r="F396" t="inlineStr">
        <is>
          <t>Excellent</t>
        </is>
      </c>
    </row>
    <row r="397">
      <c r="B397" s="604" t="inlineStr">
        <is>
          <t>Section 14</t>
        </is>
      </c>
      <c r="C397" s="604" t="inlineStr">
        <is>
          <t>Coverage (SF)</t>
        </is>
      </c>
      <c r="D397" s="604" t="inlineStr">
        <is>
          <t>Wet-Low</t>
        </is>
      </c>
      <c r="E397" s="604" t="inlineStr">
        <is>
          <t>Wet-Avg</t>
        </is>
      </c>
      <c r="F397" s="604" t="inlineStr">
        <is>
          <t>Wet-Good</t>
        </is>
      </c>
      <c r="G397" s="604" t="inlineStr">
        <is>
          <t>Wet-Excl</t>
        </is>
      </c>
      <c r="H397" s="604" t="inlineStr">
        <is>
          <t>Dry-Low</t>
        </is>
      </c>
      <c r="I397" s="604" t="inlineStr">
        <is>
          <t>Dry-Avg</t>
        </is>
      </c>
      <c r="J397" s="604" t="inlineStr">
        <is>
          <t>Dry-Good</t>
        </is>
      </c>
      <c r="K397" s="604" t="inlineStr">
        <is>
          <t>Dry-Excl</t>
        </is>
      </c>
    </row>
    <row r="398">
      <c r="C398" t="n">
        <v>2500</v>
      </c>
      <c r="D398" s="606" t="n">
        <v>4.64</v>
      </c>
      <c r="E398" s="606" t="n">
        <v>5.62</v>
      </c>
      <c r="F398" s="606" t="n">
        <v>6.8</v>
      </c>
      <c r="G398" s="606" t="n">
        <v>8.24</v>
      </c>
      <c r="H398" s="606" t="n">
        <v>6.17</v>
      </c>
      <c r="I398" s="606" t="n">
        <v>7.47</v>
      </c>
      <c r="J398" s="606" t="n">
        <v>9.039999999999999</v>
      </c>
      <c r="K398" s="606" t="n">
        <v>10.95</v>
      </c>
    </row>
    <row r="399">
      <c r="C399" t="n">
        <v>5000</v>
      </c>
      <c r="D399" s="606" t="n">
        <v>4.17</v>
      </c>
      <c r="E399" s="606" t="n">
        <v>5.02</v>
      </c>
      <c r="F399" s="606" t="n">
        <v>6.05</v>
      </c>
      <c r="G399" s="606" t="n">
        <v>7.28</v>
      </c>
      <c r="H399" s="606" t="n">
        <v>5.51</v>
      </c>
      <c r="I399" s="606" t="n">
        <v>6.64</v>
      </c>
      <c r="J399" s="606" t="n">
        <v>7.99</v>
      </c>
      <c r="K399" s="606" t="n">
        <v>9.630000000000001</v>
      </c>
    </row>
    <row r="400">
      <c r="C400" t="n">
        <v>10000</v>
      </c>
      <c r="D400" s="606" t="n">
        <v>3.77</v>
      </c>
      <c r="E400" s="606" t="n">
        <v>4.52</v>
      </c>
      <c r="F400" s="606" t="n">
        <v>5.41</v>
      </c>
      <c r="G400" s="606" t="n">
        <v>6.48</v>
      </c>
      <c r="H400" s="606" t="n">
        <v>4.95</v>
      </c>
      <c r="I400" s="606" t="n">
        <v>5.93</v>
      </c>
      <c r="J400" s="606" t="n">
        <v>7.09</v>
      </c>
      <c r="K400" s="606" t="n">
        <v>8.49</v>
      </c>
    </row>
    <row r="401">
      <c r="C401" t="n">
        <v>15000</v>
      </c>
      <c r="D401" s="606" t="n">
        <v>3.54</v>
      </c>
      <c r="E401" s="606" t="n">
        <v>4.23</v>
      </c>
      <c r="F401" s="606" t="n">
        <v>5.05</v>
      </c>
      <c r="G401" s="606" t="n">
        <v>6.03</v>
      </c>
      <c r="H401" s="606" t="n">
        <v>4.62</v>
      </c>
      <c r="I401" s="606" t="n">
        <v>5.52</v>
      </c>
      <c r="J401" s="606" t="n">
        <v>6.6</v>
      </c>
      <c r="K401" s="606" t="n">
        <v>7.88</v>
      </c>
    </row>
    <row r="402">
      <c r="C402" t="n">
        <v>20000</v>
      </c>
      <c r="D402" s="606" t="n">
        <v>3.37</v>
      </c>
      <c r="E402" s="606" t="n">
        <v>4.02</v>
      </c>
      <c r="F402" s="606" t="n">
        <v>4.78</v>
      </c>
      <c r="G402" s="606" t="n">
        <v>5.7</v>
      </c>
      <c r="H402" s="606" t="n">
        <v>4.37</v>
      </c>
      <c r="I402" s="606" t="n">
        <v>5.21</v>
      </c>
      <c r="J402" s="606" t="n">
        <v>6.22</v>
      </c>
      <c r="K402" s="606" t="n">
        <v>7.42</v>
      </c>
    </row>
    <row r="403">
      <c r="C403" t="n">
        <v>30000</v>
      </c>
      <c r="D403" s="606" t="n">
        <v>3.18</v>
      </c>
      <c r="E403" s="606" t="n">
        <v>3.78</v>
      </c>
      <c r="F403" s="606" t="n">
        <v>4.49</v>
      </c>
      <c r="G403" s="606" t="n">
        <v>5.34</v>
      </c>
      <c r="H403" s="606" t="n">
        <v>4.12</v>
      </c>
      <c r="I403" s="606" t="n">
        <v>4.89</v>
      </c>
      <c r="J403" s="606" t="n">
        <v>5.8</v>
      </c>
      <c r="K403" s="606" t="n">
        <v>6.89</v>
      </c>
    </row>
    <row r="404">
      <c r="C404" t="n">
        <v>40000</v>
      </c>
      <c r="D404" s="606" t="n">
        <v>3.04</v>
      </c>
      <c r="E404" s="606" t="n">
        <v>3.6</v>
      </c>
      <c r="F404" s="606" t="n">
        <v>4.27</v>
      </c>
      <c r="G404" s="606" t="n">
        <v>5.06</v>
      </c>
      <c r="H404" s="606" t="n">
        <v>3.93</v>
      </c>
      <c r="I404" s="606" t="n">
        <v>4.65</v>
      </c>
      <c r="J404" s="606" t="n">
        <v>5.51</v>
      </c>
      <c r="K404" s="606" t="n">
        <v>6.53</v>
      </c>
    </row>
    <row r="405">
      <c r="C405" t="n">
        <v>50000</v>
      </c>
      <c r="D405" s="606" t="n">
        <v>2.96</v>
      </c>
      <c r="E405" s="606" t="n">
        <v>3.5</v>
      </c>
      <c r="F405" s="606" t="n">
        <v>4.14</v>
      </c>
      <c r="G405" s="606" t="n">
        <v>4.89</v>
      </c>
      <c r="H405" s="606" t="n">
        <v>3.79</v>
      </c>
      <c r="I405" s="606" t="n">
        <v>4.48</v>
      </c>
      <c r="J405" s="606" t="n">
        <v>5.3</v>
      </c>
      <c r="K405" s="606" t="n">
        <v>6.27</v>
      </c>
    </row>
    <row r="406">
      <c r="C406" t="n">
        <v>60000</v>
      </c>
      <c r="D406" s="606" t="n">
        <v>2.87</v>
      </c>
      <c r="E406" s="606" t="n">
        <v>3.39</v>
      </c>
      <c r="F406" s="606" t="n">
        <v>3.99</v>
      </c>
      <c r="G406" s="606" t="n">
        <v>4.71</v>
      </c>
      <c r="H406" s="606" t="n">
        <v>3.67</v>
      </c>
      <c r="I406" s="606" t="n">
        <v>4.33</v>
      </c>
      <c r="J406" s="606" t="n">
        <v>5.11</v>
      </c>
      <c r="K406" s="606" t="n">
        <v>6.03</v>
      </c>
    </row>
    <row r="407">
      <c r="C407" t="n">
        <v>80000</v>
      </c>
      <c r="D407" s="606" t="n">
        <v>2.74</v>
      </c>
      <c r="E407" s="606" t="n">
        <v>3.22</v>
      </c>
      <c r="F407" s="606" t="n">
        <v>3.79</v>
      </c>
      <c r="G407" s="606" t="n">
        <v>4.46</v>
      </c>
      <c r="H407" s="606" t="n">
        <v>3.49</v>
      </c>
      <c r="I407" s="606" t="n">
        <v>4.11</v>
      </c>
      <c r="J407" s="606" t="n">
        <v>4.85</v>
      </c>
      <c r="K407" s="606" t="n">
        <v>5.72</v>
      </c>
    </row>
    <row r="408">
      <c r="C408" t="n">
        <v>100000</v>
      </c>
      <c r="D408" s="606" t="n">
        <v>2.66</v>
      </c>
      <c r="E408" s="606" t="n">
        <v>3.13</v>
      </c>
      <c r="F408" s="606" t="n">
        <v>3.68</v>
      </c>
      <c r="G408" s="606" t="n">
        <v>4.32</v>
      </c>
      <c r="H408" s="606" t="n">
        <v>3.4</v>
      </c>
      <c r="I408" s="606" t="n">
        <v>3.99</v>
      </c>
      <c r="J408" s="606" t="n">
        <v>4.69</v>
      </c>
      <c r="K408" s="606" t="n">
        <v>5.51</v>
      </c>
    </row>
    <row r="409">
      <c r="C409" t="n">
        <v>125000</v>
      </c>
      <c r="D409" s="606" t="n">
        <v>2.57</v>
      </c>
      <c r="E409" s="606" t="n">
        <v>3.02</v>
      </c>
      <c r="F409" s="606" t="n">
        <v>3.54</v>
      </c>
      <c r="G409" s="606" t="n">
        <v>4.15</v>
      </c>
      <c r="H409" s="606" t="n">
        <v>3.26</v>
      </c>
      <c r="I409" s="606" t="n">
        <v>3.83</v>
      </c>
      <c r="J409" s="606" t="n">
        <v>4.5</v>
      </c>
      <c r="K409" s="606" t="n">
        <v>5.28</v>
      </c>
    </row>
    <row r="410">
      <c r="C410" t="n">
        <v>150000</v>
      </c>
      <c r="D410" s="606" t="n">
        <v>2.49</v>
      </c>
      <c r="E410" s="606" t="n">
        <v>2.92</v>
      </c>
      <c r="F410" s="606" t="n">
        <v>3.43</v>
      </c>
      <c r="G410" s="606" t="n">
        <v>4.03</v>
      </c>
      <c r="H410" s="606" t="n">
        <v>3.16</v>
      </c>
      <c r="I410" s="606" t="n">
        <v>3.71</v>
      </c>
      <c r="J410" s="606" t="n">
        <v>4.35</v>
      </c>
      <c r="K410" s="606" t="n">
        <v>5.11</v>
      </c>
    </row>
    <row r="411">
      <c r="C411" t="n">
        <v>200000</v>
      </c>
      <c r="D411" s="606" t="n">
        <v>2.4</v>
      </c>
      <c r="E411" s="606" t="n">
        <v>2.81</v>
      </c>
      <c r="F411" s="606" t="n">
        <v>3.28</v>
      </c>
      <c r="G411" s="606" t="n">
        <v>3.84</v>
      </c>
      <c r="H411" s="606" t="n">
        <v>3.04</v>
      </c>
      <c r="I411" s="606" t="n">
        <v>3.55</v>
      </c>
      <c r="J411" s="606" t="n">
        <v>4.16</v>
      </c>
      <c r="K411" s="606" t="n">
        <v>4.86</v>
      </c>
    </row>
    <row r="412">
      <c r="C412" t="n">
        <v>250000</v>
      </c>
      <c r="D412" s="606" t="n">
        <v>2.32</v>
      </c>
      <c r="E412" s="606" t="n">
        <v>2.71</v>
      </c>
      <c r="F412" s="606" t="n">
        <v>3.16</v>
      </c>
      <c r="G412" s="606" t="n">
        <v>3.68</v>
      </c>
      <c r="H412" s="606" t="n">
        <v>2.91</v>
      </c>
      <c r="I412" s="606" t="n">
        <v>3.4</v>
      </c>
      <c r="J412" s="606" t="n">
        <v>3.97</v>
      </c>
      <c r="K412" s="606" t="n">
        <v>4.64</v>
      </c>
    </row>
    <row r="413">
      <c r="C413" t="n">
        <v>300000</v>
      </c>
      <c r="D413" s="606" t="n">
        <v>2.26</v>
      </c>
      <c r="E413" s="606" t="n">
        <v>2.63</v>
      </c>
      <c r="F413" s="606" t="n">
        <v>3.06</v>
      </c>
      <c r="G413" s="606" t="n">
        <v>3.56</v>
      </c>
      <c r="H413" s="606" t="n">
        <v>2.83</v>
      </c>
      <c r="I413" s="606" t="n">
        <v>3.29</v>
      </c>
      <c r="J413" s="606" t="n">
        <v>3.83</v>
      </c>
      <c r="K413" s="606" t="n">
        <v>4.45</v>
      </c>
    </row>
    <row r="414">
      <c r="C414" t="n">
        <v>400000</v>
      </c>
      <c r="D414" s="606" t="n">
        <v>2.18</v>
      </c>
      <c r="E414" s="606" t="n">
        <v>2.53</v>
      </c>
      <c r="F414" s="606" t="n">
        <v>2.93</v>
      </c>
      <c r="G414" s="606" t="n">
        <v>3.4</v>
      </c>
      <c r="H414" s="606" t="n">
        <v>2.73</v>
      </c>
      <c r="I414" s="606" t="n">
        <v>3.16</v>
      </c>
      <c r="J414" s="606" t="n">
        <v>3.66</v>
      </c>
      <c r="K414" s="606" t="n">
        <v>4.23</v>
      </c>
    </row>
    <row r="415">
      <c r="C415" t="n">
        <v>600000</v>
      </c>
      <c r="D415" s="606" t="n">
        <v>2.02</v>
      </c>
      <c r="E415" s="606" t="n">
        <v>2.34</v>
      </c>
      <c r="F415" s="606" t="n">
        <v>2.72</v>
      </c>
      <c r="G415" s="606" t="n">
        <v>3.15</v>
      </c>
      <c r="H415" s="606" t="n">
        <v>2.52</v>
      </c>
      <c r="I415" s="606" t="n">
        <v>2.93</v>
      </c>
      <c r="J415" s="606" t="n">
        <v>3.4</v>
      </c>
      <c r="K415" s="606" t="n">
        <v>3.95</v>
      </c>
    </row>
    <row r="416">
      <c r="C416" t="n">
        <v>800000</v>
      </c>
      <c r="D416" s="606" t="n">
        <v>1.94</v>
      </c>
      <c r="E416" s="606" t="n">
        <v>2.25</v>
      </c>
      <c r="F416" s="606" t="n">
        <v>2.61</v>
      </c>
      <c r="G416" s="606" t="n">
        <v>3.02</v>
      </c>
      <c r="H416" s="606" t="n">
        <v>2.43</v>
      </c>
      <c r="I416" s="606" t="n">
        <v>2.81</v>
      </c>
      <c r="J416" s="606" t="n">
        <v>3.25</v>
      </c>
      <c r="K416" s="606" t="n">
        <v>3.76</v>
      </c>
    </row>
    <row r="417">
      <c r="C417" t="n">
        <v>1000000</v>
      </c>
      <c r="D417" s="606" t="n">
        <v>1.86</v>
      </c>
      <c r="E417" s="606" t="n">
        <v>2.15</v>
      </c>
      <c r="F417" s="606" t="n">
        <v>2.49</v>
      </c>
      <c r="G417" s="606" t="n">
        <v>2.88</v>
      </c>
      <c r="H417" s="606" t="n">
        <v>2.32</v>
      </c>
      <c r="I417" s="606" t="n">
        <v>2.68</v>
      </c>
      <c r="J417" s="606" t="n">
        <v>3.1</v>
      </c>
      <c r="K417" s="606" t="n">
        <v>3.59</v>
      </c>
    </row>
    <row r="419">
      <c r="B419" s="604" t="inlineStr">
        <is>
          <t>Section 13</t>
        </is>
      </c>
      <c r="C419" s="604" t="inlineStr">
        <is>
          <t>Coverage (SF)</t>
        </is>
      </c>
      <c r="D419" s="604" t="inlineStr">
        <is>
          <t>Wet-Low</t>
        </is>
      </c>
      <c r="E419" s="604" t="inlineStr">
        <is>
          <t>Wet-Avg</t>
        </is>
      </c>
      <c r="F419" s="604" t="inlineStr">
        <is>
          <t>Wet-Good</t>
        </is>
      </c>
      <c r="G419" s="604" t="inlineStr">
        <is>
          <t>Wet-Excl</t>
        </is>
      </c>
      <c r="H419" s="604" t="inlineStr">
        <is>
          <t>Dry-Low</t>
        </is>
      </c>
      <c r="I419" s="604" t="inlineStr">
        <is>
          <t>Dry-Avg</t>
        </is>
      </c>
      <c r="J419" s="604" t="inlineStr">
        <is>
          <t>Dry-Good</t>
        </is>
      </c>
      <c r="K419" s="604" t="inlineStr">
        <is>
          <t>Dry-Excl</t>
        </is>
      </c>
    </row>
    <row r="420">
      <c r="C420" t="n">
        <v>1000</v>
      </c>
      <c r="D420" s="606" t="n">
        <v>6.05</v>
      </c>
      <c r="E420" s="606" t="n">
        <v>7.18</v>
      </c>
      <c r="F420" s="606" t="n">
        <v>8.51</v>
      </c>
      <c r="G420" s="606" t="n">
        <v>10.1</v>
      </c>
      <c r="H420" s="606" t="n">
        <v>7.83</v>
      </c>
      <c r="I420" s="606" t="n">
        <v>9.300000000000001</v>
      </c>
      <c r="J420" s="606" t="n">
        <v>11.05</v>
      </c>
      <c r="K420" s="606" t="n">
        <v>13.1</v>
      </c>
    </row>
    <row r="421">
      <c r="C421" t="n">
        <v>2000</v>
      </c>
      <c r="D421" s="606" t="n">
        <v>5.46</v>
      </c>
      <c r="E421" s="606" t="n">
        <v>6.43</v>
      </c>
      <c r="F421" s="606" t="n">
        <v>7.57</v>
      </c>
      <c r="G421" s="606" t="n">
        <v>8.92</v>
      </c>
      <c r="H421" s="606" t="n">
        <v>6.99</v>
      </c>
      <c r="I421" s="606" t="n">
        <v>8.24</v>
      </c>
      <c r="J421" s="606" t="n">
        <v>9.710000000000001</v>
      </c>
      <c r="K421" s="606" t="n">
        <v>11.45</v>
      </c>
    </row>
    <row r="422">
      <c r="C422" t="n">
        <v>3000</v>
      </c>
      <c r="D422" s="606" t="n">
        <v>5.13</v>
      </c>
      <c r="E422" s="606" t="n">
        <v>6.03</v>
      </c>
      <c r="F422" s="606" t="n">
        <v>7.08</v>
      </c>
      <c r="G422" s="606" t="n">
        <v>8.32</v>
      </c>
      <c r="H422" s="606" t="n">
        <v>6.53</v>
      </c>
      <c r="I422" s="606" t="n">
        <v>7.67</v>
      </c>
      <c r="J422" s="606" t="n">
        <v>9.02</v>
      </c>
      <c r="K422" s="606" t="n">
        <v>10.6</v>
      </c>
    </row>
    <row r="423">
      <c r="C423" t="n">
        <v>5000</v>
      </c>
      <c r="D423" s="606" t="n">
        <v>4.73</v>
      </c>
      <c r="E423" s="606" t="n">
        <v>5.54</v>
      </c>
      <c r="F423" s="606" t="n">
        <v>6.5</v>
      </c>
      <c r="G423" s="606" t="n">
        <v>7.62</v>
      </c>
      <c r="H423" s="606" t="n">
        <v>6.02</v>
      </c>
      <c r="I423" s="606" t="n">
        <v>7.05</v>
      </c>
      <c r="J423" s="606" t="n">
        <v>8.26</v>
      </c>
      <c r="K423" s="606" t="n">
        <v>9.67</v>
      </c>
    </row>
    <row r="424">
      <c r="C424" t="n">
        <v>10000</v>
      </c>
      <c r="D424" s="606" t="n">
        <v>4.26</v>
      </c>
      <c r="E424" s="606" t="n">
        <v>4.96</v>
      </c>
      <c r="F424" s="606" t="n">
        <v>5.77</v>
      </c>
      <c r="G424" s="606" t="n">
        <v>6.72</v>
      </c>
      <c r="H424" s="606" t="n">
        <v>5.35</v>
      </c>
      <c r="I424" s="606" t="n">
        <v>6.23</v>
      </c>
      <c r="J424" s="606" t="n">
        <v>7.26</v>
      </c>
      <c r="K424" s="606" t="n">
        <v>8.449999999999999</v>
      </c>
    </row>
    <row r="425">
      <c r="C425" t="n">
        <v>15000</v>
      </c>
      <c r="D425" s="606" t="n">
        <v>3.99</v>
      </c>
      <c r="E425" s="606" t="n">
        <v>4.64</v>
      </c>
      <c r="F425" s="606" t="n">
        <v>5.39</v>
      </c>
      <c r="G425" s="606" t="n">
        <v>6.26</v>
      </c>
      <c r="H425" s="606" t="n">
        <v>5</v>
      </c>
      <c r="I425" s="606" t="n">
        <v>5.81</v>
      </c>
      <c r="J425" s="606" t="n">
        <v>6.74</v>
      </c>
      <c r="K425" s="606" t="n">
        <v>7.83</v>
      </c>
    </row>
    <row r="426">
      <c r="C426" t="n">
        <v>20000</v>
      </c>
      <c r="D426" s="606" t="n">
        <v>3.83</v>
      </c>
      <c r="E426" s="606" t="n">
        <v>4.44</v>
      </c>
      <c r="F426" s="606" t="n">
        <v>5.15</v>
      </c>
      <c r="G426" s="606" t="n">
        <v>5.97</v>
      </c>
      <c r="H426" s="606" t="n">
        <v>4.78</v>
      </c>
      <c r="I426" s="606" t="n">
        <v>5.54</v>
      </c>
      <c r="J426" s="606" t="n">
        <v>6.41</v>
      </c>
      <c r="K426" s="606" t="n">
        <v>7.43</v>
      </c>
    </row>
    <row r="427">
      <c r="C427" t="n">
        <v>30000</v>
      </c>
      <c r="D427" s="606" t="n">
        <v>3.6</v>
      </c>
      <c r="E427" s="606" t="n">
        <v>4.16</v>
      </c>
      <c r="F427" s="606" t="n">
        <v>4.8</v>
      </c>
      <c r="G427" s="606" t="n">
        <v>5.54</v>
      </c>
      <c r="H427" s="606" t="n">
        <v>4.48</v>
      </c>
      <c r="I427" s="606" t="n">
        <v>5.17</v>
      </c>
      <c r="J427" s="606" t="n">
        <v>5.97</v>
      </c>
      <c r="K427" s="606" t="n">
        <v>6.89</v>
      </c>
    </row>
    <row r="428">
      <c r="C428" t="n">
        <v>50000</v>
      </c>
      <c r="D428" s="606" t="n">
        <v>3.35</v>
      </c>
      <c r="E428" s="606" t="n">
        <v>3.85</v>
      </c>
      <c r="F428" s="606" t="n">
        <v>4.42</v>
      </c>
      <c r="G428" s="606" t="n">
        <v>5.07</v>
      </c>
      <c r="H428" s="606" t="n">
        <v>4.13</v>
      </c>
      <c r="I428" s="606" t="n">
        <v>4.73</v>
      </c>
      <c r="J428" s="606" t="n">
        <v>5.43</v>
      </c>
      <c r="K428" s="606" t="n">
        <v>6.22</v>
      </c>
    </row>
    <row r="429">
      <c r="C429" t="n">
        <v>75000</v>
      </c>
      <c r="D429" s="606" t="n">
        <v>3.11</v>
      </c>
      <c r="E429" s="606" t="n">
        <v>3.57</v>
      </c>
      <c r="F429" s="606" t="n">
        <v>4.1</v>
      </c>
      <c r="G429" s="606" t="n">
        <v>4.7</v>
      </c>
      <c r="H429" s="606" t="n">
        <v>3.83</v>
      </c>
      <c r="I429" s="606" t="n">
        <v>4.39</v>
      </c>
      <c r="J429" s="606" t="n">
        <v>5.03</v>
      </c>
      <c r="K429" s="606" t="n">
        <v>5.76</v>
      </c>
    </row>
    <row r="430">
      <c r="C430" t="n">
        <v>100000</v>
      </c>
      <c r="D430" s="606" t="n">
        <v>2.97</v>
      </c>
      <c r="E430" s="606" t="n">
        <v>3.41</v>
      </c>
      <c r="F430" s="606" t="n">
        <v>3.91</v>
      </c>
      <c r="G430" s="606" t="n">
        <v>4.48</v>
      </c>
      <c r="H430" s="606" t="n">
        <v>3.65</v>
      </c>
      <c r="I430" s="606" t="n">
        <v>4.18</v>
      </c>
      <c r="J430" s="606" t="n">
        <v>4.79</v>
      </c>
      <c r="K430" s="606" t="n">
        <v>5.49</v>
      </c>
    </row>
    <row r="431">
      <c r="C431" t="n">
        <v>150000</v>
      </c>
      <c r="D431" s="606" t="n">
        <v>2.79</v>
      </c>
      <c r="E431" s="606" t="n">
        <v>3.2</v>
      </c>
      <c r="F431" s="606" t="n">
        <v>3.66</v>
      </c>
      <c r="G431" s="606" t="n">
        <v>4.19</v>
      </c>
      <c r="H431" s="606" t="n">
        <v>3.43</v>
      </c>
      <c r="I431" s="606" t="n">
        <v>3.92</v>
      </c>
      <c r="J431" s="606" t="n">
        <v>4.49</v>
      </c>
      <c r="K431" s="606" t="n">
        <v>5.13</v>
      </c>
    </row>
    <row r="432">
      <c r="C432" t="n">
        <v>200000</v>
      </c>
      <c r="D432" s="606" t="n">
        <v>2.7</v>
      </c>
      <c r="E432" s="606" t="n">
        <v>3.07</v>
      </c>
      <c r="F432" s="606" t="n">
        <v>3.49</v>
      </c>
      <c r="G432" s="606" t="n">
        <v>3.97</v>
      </c>
      <c r="H432" s="606" t="n">
        <v>3.29</v>
      </c>
      <c r="I432" s="606" t="n">
        <v>3.73</v>
      </c>
      <c r="J432" s="606" t="n">
        <v>4.24</v>
      </c>
      <c r="K432" s="606" t="n">
        <v>4.81</v>
      </c>
    </row>
    <row r="433">
      <c r="C433" t="n">
        <v>300000</v>
      </c>
      <c r="D433" s="606" t="n">
        <v>2.52</v>
      </c>
      <c r="E433" s="606" t="n">
        <v>2.86</v>
      </c>
      <c r="F433" s="606" t="n">
        <v>3.24</v>
      </c>
      <c r="G433" s="606" t="n">
        <v>3.68</v>
      </c>
      <c r="H433" s="606" t="n">
        <v>3.05</v>
      </c>
      <c r="I433" s="606" t="n">
        <v>3.46</v>
      </c>
      <c r="J433" s="606" t="n">
        <v>3.93</v>
      </c>
      <c r="K433" s="606" t="n">
        <v>4.46</v>
      </c>
    </row>
    <row r="434">
      <c r="C434" t="n">
        <v>400000</v>
      </c>
      <c r="D434" s="606" t="n">
        <v>2.43</v>
      </c>
      <c r="E434" s="606" t="n">
        <v>2.74</v>
      </c>
      <c r="F434" s="606" t="n">
        <v>3.09</v>
      </c>
      <c r="G434" s="606" t="n">
        <v>3.49</v>
      </c>
      <c r="H434" s="606" t="n">
        <v>2.91</v>
      </c>
      <c r="I434" s="606" t="n">
        <v>3.29</v>
      </c>
      <c r="J434" s="606" t="n">
        <v>3.71</v>
      </c>
      <c r="K434" s="606" t="n">
        <v>4.19</v>
      </c>
    </row>
    <row r="435">
      <c r="C435" t="n">
        <v>600000</v>
      </c>
      <c r="D435" s="606" t="n">
        <v>2.27</v>
      </c>
      <c r="E435" s="606" t="n">
        <v>2.56</v>
      </c>
      <c r="F435" s="606" t="n">
        <v>2.9</v>
      </c>
      <c r="G435" s="606" t="n">
        <v>3.27</v>
      </c>
      <c r="H435" s="606" t="n">
        <v>2.72</v>
      </c>
      <c r="I435" s="606" t="n">
        <v>3.07</v>
      </c>
      <c r="J435" s="606" t="n">
        <v>3.46</v>
      </c>
      <c r="K435" s="606" t="n">
        <v>3.91</v>
      </c>
    </row>
    <row r="436">
      <c r="C436" t="n">
        <v>800000</v>
      </c>
      <c r="D436" s="606" t="n">
        <v>2.19</v>
      </c>
      <c r="E436" s="606" t="n">
        <v>2.46</v>
      </c>
      <c r="F436" s="606" t="n">
        <v>2.77</v>
      </c>
      <c r="G436" s="606" t="n">
        <v>3.11</v>
      </c>
      <c r="H436" s="606" t="n">
        <v>2.62</v>
      </c>
      <c r="I436" s="606" t="n">
        <v>2.94</v>
      </c>
      <c r="J436" s="606" t="n">
        <v>3.31</v>
      </c>
      <c r="K436" s="606" t="n">
        <v>3.72</v>
      </c>
    </row>
    <row r="437">
      <c r="C437" t="n">
        <v>1000000</v>
      </c>
      <c r="D437" s="606" t="n">
        <v>2.11</v>
      </c>
      <c r="E437" s="606" t="n">
        <v>2.37</v>
      </c>
      <c r="F437" s="606" t="n">
        <v>2.66</v>
      </c>
      <c r="G437" s="606" t="n">
        <v>2.99</v>
      </c>
      <c r="H437" s="606" t="n">
        <v>2.52</v>
      </c>
      <c r="I437" s="606" t="n">
        <v>2.83</v>
      </c>
      <c r="J437" s="606" t="n">
        <v>3.17</v>
      </c>
      <c r="K437" s="606" t="n">
        <v>3.56</v>
      </c>
    </row>
    <row r="439">
      <c r="B439" s="604" t="inlineStr">
        <is>
          <t>Section 15</t>
        </is>
      </c>
      <c r="C439" s="604" t="inlineStr">
        <is>
          <t>Coverage (SF)</t>
        </is>
      </c>
      <c r="D439" s="604" t="inlineStr">
        <is>
          <t>Wet-Low</t>
        </is>
      </c>
      <c r="E439" s="604" t="inlineStr">
        <is>
          <t>Wet-Avg</t>
        </is>
      </c>
      <c r="F439" s="604" t="inlineStr">
        <is>
          <t>Wet-Good</t>
        </is>
      </c>
      <c r="G439" s="604" t="inlineStr">
        <is>
          <t>Wet-Excl</t>
        </is>
      </c>
      <c r="H439" s="604" t="inlineStr">
        <is>
          <t>Dry-Low</t>
        </is>
      </c>
      <c r="I439" s="604" t="inlineStr">
        <is>
          <t>Dry-Avg</t>
        </is>
      </c>
      <c r="J439" s="604" t="inlineStr">
        <is>
          <t>Dry-Good</t>
        </is>
      </c>
      <c r="K439" s="604" t="inlineStr">
        <is>
          <t>Dry-Excl</t>
        </is>
      </c>
    </row>
    <row r="440">
      <c r="C440" t="n">
        <v>1500</v>
      </c>
      <c r="D440" s="606" t="n">
        <v>6.24</v>
      </c>
      <c r="E440" s="606" t="n">
        <v>7.41</v>
      </c>
      <c r="F440" s="606" t="n">
        <v>8.800000000000001</v>
      </c>
      <c r="G440" s="606" t="n">
        <v>10.45</v>
      </c>
      <c r="H440" s="606" t="n">
        <v>8.08</v>
      </c>
      <c r="I440" s="606" t="n">
        <v>9.6</v>
      </c>
      <c r="J440" s="606" t="n">
        <v>11.4</v>
      </c>
      <c r="K440" s="606" t="n">
        <v>13.55</v>
      </c>
    </row>
    <row r="441">
      <c r="C441" t="n">
        <v>5000</v>
      </c>
      <c r="D441" s="606" t="n">
        <v>5.17</v>
      </c>
      <c r="E441" s="606" t="n">
        <v>6.09</v>
      </c>
      <c r="F441" s="606" t="n">
        <v>7.16</v>
      </c>
      <c r="G441" s="606" t="n">
        <v>8.43</v>
      </c>
      <c r="H441" s="606" t="n">
        <v>6.58</v>
      </c>
      <c r="I441" s="606" t="n">
        <v>7.75</v>
      </c>
      <c r="J441" s="606" t="n">
        <v>9.130000000000001</v>
      </c>
      <c r="K441" s="606" t="n">
        <v>10.75</v>
      </c>
    </row>
    <row r="442">
      <c r="C442" t="n">
        <v>10000</v>
      </c>
      <c r="D442" s="606" t="n">
        <v>4.65</v>
      </c>
      <c r="E442" s="606" t="n">
        <v>5.45</v>
      </c>
      <c r="F442" s="606" t="n">
        <v>6.38</v>
      </c>
      <c r="G442" s="606" t="n">
        <v>7.47</v>
      </c>
      <c r="H442" s="606" t="n">
        <v>5.89</v>
      </c>
      <c r="I442" s="606" t="n">
        <v>6.9</v>
      </c>
      <c r="J442" s="606" t="n">
        <v>8.07</v>
      </c>
      <c r="K442" s="606" t="n">
        <v>9.449999999999999</v>
      </c>
    </row>
    <row r="443">
      <c r="C443" t="n">
        <v>20000</v>
      </c>
      <c r="D443" s="606" t="n">
        <v>4.14</v>
      </c>
      <c r="E443" s="606" t="n">
        <v>4.83</v>
      </c>
      <c r="F443" s="606" t="n">
        <v>5.64</v>
      </c>
      <c r="G443" s="606" t="n">
        <v>6.58</v>
      </c>
      <c r="H443" s="606" t="n">
        <v>5.23</v>
      </c>
      <c r="I443" s="606" t="n">
        <v>6.1</v>
      </c>
      <c r="J443" s="606" t="n">
        <v>7.12</v>
      </c>
      <c r="K443" s="606" t="n">
        <v>8.300000000000001</v>
      </c>
    </row>
    <row r="444">
      <c r="C444" t="n">
        <v>50000</v>
      </c>
      <c r="D444" s="606" t="n">
        <v>3.61</v>
      </c>
      <c r="E444" s="606" t="n">
        <v>4.17</v>
      </c>
      <c r="F444" s="606" t="n">
        <v>4.83</v>
      </c>
      <c r="G444" s="606" t="n">
        <v>5.58</v>
      </c>
      <c r="H444" s="606" t="n">
        <v>4.47</v>
      </c>
      <c r="I444" s="606" t="n">
        <v>5.18</v>
      </c>
      <c r="J444" s="606" t="n">
        <v>6</v>
      </c>
      <c r="K444" s="606" t="n">
        <v>6.96</v>
      </c>
    </row>
    <row r="445">
      <c r="C445" t="n">
        <v>100000</v>
      </c>
      <c r="D445" s="606" t="n">
        <v>3.26</v>
      </c>
      <c r="E445" s="606" t="n">
        <v>3.75</v>
      </c>
      <c r="F445" s="606" t="n">
        <v>4.31</v>
      </c>
      <c r="G445" s="606" t="n">
        <v>4.95</v>
      </c>
      <c r="H445" s="606" t="n">
        <v>4</v>
      </c>
      <c r="I445" s="606" t="n">
        <v>4.61</v>
      </c>
      <c r="J445" s="606" t="n">
        <v>5.31</v>
      </c>
      <c r="K445" s="606" t="n">
        <v>6.11</v>
      </c>
    </row>
    <row r="446">
      <c r="C446" t="n">
        <v>250000</v>
      </c>
      <c r="D446" s="606" t="n">
        <v>2.8</v>
      </c>
      <c r="E446" s="606" t="n">
        <v>3.21</v>
      </c>
      <c r="F446" s="606" t="n">
        <v>3.67</v>
      </c>
      <c r="G446" s="606" t="n">
        <v>4.21</v>
      </c>
      <c r="H446" s="606" t="n">
        <v>3.43</v>
      </c>
      <c r="I446" s="606" t="n">
        <v>3.93</v>
      </c>
      <c r="J446" s="606" t="n">
        <v>4.5</v>
      </c>
      <c r="K446" s="606" t="n">
        <v>5.15</v>
      </c>
    </row>
    <row r="447">
      <c r="C447" t="n">
        <v>500000</v>
      </c>
      <c r="D447" s="606" t="n">
        <v>2.52</v>
      </c>
      <c r="E447" s="606" t="n">
        <v>2.87</v>
      </c>
      <c r="F447" s="606" t="n">
        <v>3.27</v>
      </c>
      <c r="G447" s="606" t="n">
        <v>3.72</v>
      </c>
      <c r="H447" s="606" t="n">
        <v>3.06</v>
      </c>
      <c r="I447" s="606" t="n">
        <v>3.48</v>
      </c>
      <c r="J447" s="606" t="n">
        <v>3.95</v>
      </c>
      <c r="K447" s="606" t="n">
        <v>4.49</v>
      </c>
    </row>
    <row r="450">
      <c r="B450" s="603" t="inlineStr">
        <is>
          <t>REFERENCE 7 -- Elevator Lump-Sum + Per-Stop Cost Tables (per MVS section) -- for manual add/deduct</t>
        </is>
      </c>
      <c r="C450" s="603" t="n"/>
      <c r="D450" s="603" t="n"/>
      <c r="E450" s="603" t="n"/>
      <c r="F450" s="603" t="n"/>
      <c r="G450" s="603" t="n"/>
      <c r="H450" s="603" t="n"/>
    </row>
    <row r="451">
      <c r="B451" s="604" t="inlineStr">
        <is>
          <t>Section 14</t>
        </is>
      </c>
      <c r="C451" s="604" t="inlineStr">
        <is>
          <t>Type</t>
        </is>
      </c>
      <c r="D451" s="604" t="inlineStr">
        <is>
          <t>Low</t>
        </is>
      </c>
      <c r="E451" s="604" t="inlineStr">
        <is>
          <t>Average</t>
        </is>
      </c>
      <c r="F451" s="604" t="inlineStr">
        <is>
          <t>Good</t>
        </is>
      </c>
      <c r="G451" s="604" t="inlineStr">
        <is>
          <t>Excellent</t>
        </is>
      </c>
    </row>
    <row r="452">
      <c r="C452" t="inlineStr">
        <is>
          <t>Passenger, 2-3 story (base)</t>
        </is>
      </c>
      <c r="D452" t="n">
        <v>66250</v>
      </c>
      <c r="E452" t="n">
        <v>78000</v>
      </c>
      <c r="F452" t="n">
        <v>92000</v>
      </c>
      <c r="G452" t="n">
        <v>108000</v>
      </c>
    </row>
    <row r="453">
      <c r="C453" t="inlineStr">
        <is>
          <t>Passenger, 4-story+ (base)</t>
        </is>
      </c>
      <c r="D453" t="n">
        <v>116000</v>
      </c>
      <c r="E453" t="n">
        <v>133000</v>
      </c>
      <c r="F453" t="n">
        <v>152000</v>
      </c>
      <c r="G453" t="n">
        <v>175000</v>
      </c>
    </row>
    <row r="454">
      <c r="C454" t="inlineStr">
        <is>
          <t>Passenger, per stop</t>
        </is>
      </c>
      <c r="D454" t="n">
        <v>9650</v>
      </c>
      <c r="E454" t="n">
        <v>11100</v>
      </c>
      <c r="F454" t="n">
        <v>12700</v>
      </c>
      <c r="G454" t="n">
        <v>14600</v>
      </c>
    </row>
    <row r="455">
      <c r="C455" t="inlineStr">
        <is>
          <t>Freight, 2-3 story (base)</t>
        </is>
      </c>
      <c r="D455" t="n">
        <v>51250</v>
      </c>
      <c r="E455" t="n">
        <v>67750</v>
      </c>
      <c r="F455" t="n">
        <v>89500</v>
      </c>
      <c r="G455" t="n">
        <v>118000</v>
      </c>
    </row>
    <row r="456">
      <c r="C456" t="inlineStr">
        <is>
          <t>Freight, 4-story+ (base)</t>
        </is>
      </c>
      <c r="D456" t="n">
        <v>101000</v>
      </c>
      <c r="E456" t="n">
        <v>127000</v>
      </c>
      <c r="F456" t="n">
        <v>160000</v>
      </c>
      <c r="G456" t="n">
        <v>203000</v>
      </c>
    </row>
    <row r="457">
      <c r="C457" t="inlineStr">
        <is>
          <t>Freight, per stop (manual doors)</t>
        </is>
      </c>
      <c r="D457" t="n">
        <v>13000</v>
      </c>
      <c r="E457" t="n">
        <v>14100</v>
      </c>
      <c r="F457" t="n">
        <v>15400</v>
      </c>
      <c r="G457" t="n">
        <v>16700</v>
      </c>
    </row>
    <row r="458">
      <c r="C458" t="inlineStr">
        <is>
          <t>Freight, per stop (power doors)</t>
        </is>
      </c>
      <c r="D458" t="n">
        <v>22600</v>
      </c>
      <c r="E458" t="n">
        <v>24600</v>
      </c>
      <c r="F458" t="n">
        <v>26900</v>
      </c>
      <c r="G458" t="n">
        <v>29300</v>
      </c>
    </row>
    <row r="459">
      <c r="C459" t="inlineStr">
        <is>
          <t>Escalator, per stairway</t>
        </is>
      </c>
      <c r="D459" t="n">
        <v>270000</v>
      </c>
      <c r="E459" t="n">
        <v>289000</v>
      </c>
      <c r="F459" t="n">
        <v>309000</v>
      </c>
      <c r="G459" t="n">
        <v>330000</v>
      </c>
    </row>
    <row r="460">
      <c r="C460" t="inlineStr">
        <is>
          <t>Vertical wheelchair lift, each</t>
        </is>
      </c>
      <c r="D460" t="n">
        <v>17500</v>
      </c>
      <c r="E460" t="n">
        <v>22200</v>
      </c>
      <c r="F460" t="n">
        <v>28300</v>
      </c>
      <c r="G460" t="n">
        <v>36000</v>
      </c>
    </row>
    <row r="462">
      <c r="B462" s="604" t="inlineStr">
        <is>
          <t>Section 15</t>
        </is>
      </c>
      <c r="C462" s="604" t="inlineStr">
        <is>
          <t>Type</t>
        </is>
      </c>
      <c r="D462" s="604" t="inlineStr">
        <is>
          <t>Low</t>
        </is>
      </c>
      <c r="E462" s="604" t="inlineStr">
        <is>
          <t>Average</t>
        </is>
      </c>
      <c r="F462" s="604" t="inlineStr">
        <is>
          <t>Good</t>
        </is>
      </c>
      <c r="G462" s="604" t="inlineStr">
        <is>
          <t>Excellent</t>
        </is>
      </c>
    </row>
    <row r="463">
      <c r="C463" t="inlineStr">
        <is>
          <t>Passenger, 2-3 story (base)</t>
        </is>
      </c>
      <c r="D463" t="n">
        <v>67500</v>
      </c>
      <c r="E463" t="n">
        <v>80000</v>
      </c>
      <c r="F463" t="n">
        <v>94250</v>
      </c>
      <c r="G463" t="n">
        <v>111000</v>
      </c>
    </row>
    <row r="464">
      <c r="C464" t="inlineStr">
        <is>
          <t>Passenger, 4-7 story (base)</t>
        </is>
      </c>
      <c r="D464" t="n">
        <v>117000</v>
      </c>
      <c r="E464" t="n">
        <v>134000</v>
      </c>
      <c r="F464" t="n">
        <v>154000</v>
      </c>
      <c r="G464" t="n">
        <v>176000</v>
      </c>
    </row>
    <row r="465">
      <c r="C465" t="inlineStr">
        <is>
          <t>Passenger, 8-story+ (base)</t>
        </is>
      </c>
      <c r="D465" t="n">
        <v>179000</v>
      </c>
      <c r="E465" t="n">
        <v>227000</v>
      </c>
      <c r="F465" t="n">
        <v>285000</v>
      </c>
      <c r="G465" t="n">
        <v>362000</v>
      </c>
    </row>
    <row r="466">
      <c r="C466" t="inlineStr">
        <is>
          <t>Passenger, per stop</t>
        </is>
      </c>
      <c r="D466" t="n">
        <v>9350</v>
      </c>
      <c r="E466" t="n">
        <v>10800</v>
      </c>
      <c r="F466" t="n">
        <v>12500</v>
      </c>
      <c r="G466" t="n">
        <v>14300</v>
      </c>
    </row>
    <row r="467">
      <c r="C467" t="inlineStr">
        <is>
          <t>Freight, 2-3 story (base)</t>
        </is>
      </c>
      <c r="D467" t="n">
        <v>49800</v>
      </c>
      <c r="E467" t="n">
        <v>66000</v>
      </c>
      <c r="F467" t="n">
        <v>87500</v>
      </c>
      <c r="G467" t="n">
        <v>115000</v>
      </c>
    </row>
    <row r="468">
      <c r="C468" t="inlineStr">
        <is>
          <t>Freight, 4-story+ (base)</t>
        </is>
      </c>
      <c r="D468" t="n">
        <v>97500</v>
      </c>
      <c r="E468" t="n">
        <v>123000</v>
      </c>
      <c r="F468" t="n">
        <v>157000</v>
      </c>
      <c r="G468" t="n">
        <v>199000</v>
      </c>
    </row>
    <row r="469">
      <c r="C469" t="inlineStr">
        <is>
          <t>Freight, per stop (manual doors)</t>
        </is>
      </c>
      <c r="D469" t="n">
        <v>12600</v>
      </c>
      <c r="E469" t="n">
        <v>13700</v>
      </c>
      <c r="F469" t="n">
        <v>15100</v>
      </c>
      <c r="G469" t="n">
        <v>16400</v>
      </c>
    </row>
    <row r="470">
      <c r="C470" t="inlineStr">
        <is>
          <t>Freight, per stop (power doors)</t>
        </is>
      </c>
      <c r="D470" t="n">
        <v>22000</v>
      </c>
      <c r="E470" t="n">
        <v>23900</v>
      </c>
      <c r="F470" t="n">
        <v>26200</v>
      </c>
      <c r="G470" t="n">
        <v>28400</v>
      </c>
    </row>
    <row r="471">
      <c r="C471" t="inlineStr">
        <is>
          <t>Escalator, per stairway</t>
        </is>
      </c>
      <c r="D471" t="n">
        <v>262000</v>
      </c>
      <c r="E471" t="n">
        <v>278000</v>
      </c>
      <c r="F471" t="n">
        <v>296000</v>
      </c>
      <c r="G471" t="n">
        <v>315000</v>
      </c>
    </row>
    <row r="472">
      <c r="C472" t="inlineStr">
        <is>
          <t>Vertical wheelchair lift, each</t>
        </is>
      </c>
      <c r="D472" t="n">
        <v>18100</v>
      </c>
      <c r="E472" t="n">
        <v>23300</v>
      </c>
      <c r="F472" t="n">
        <v>30300</v>
      </c>
      <c r="G472" t="n">
        <v>39000</v>
      </c>
    </row>
    <row r="474">
      <c r="B474" s="604" t="inlineStr">
        <is>
          <t>Section 11</t>
        </is>
      </c>
      <c r="C474" s="604" t="inlineStr">
        <is>
          <t>Type</t>
        </is>
      </c>
      <c r="D474" s="604" t="inlineStr">
        <is>
          <t>Low</t>
        </is>
      </c>
      <c r="E474" s="604" t="inlineStr">
        <is>
          <t>Average</t>
        </is>
      </c>
      <c r="F474" s="604" t="inlineStr">
        <is>
          <t>Good</t>
        </is>
      </c>
      <c r="G474" s="604" t="inlineStr">
        <is>
          <t>Excellent</t>
        </is>
      </c>
    </row>
    <row r="475">
      <c r="C475" t="inlineStr">
        <is>
          <t>Passenger, 2-3 story (base)</t>
        </is>
      </c>
      <c r="D475" t="n">
        <v>67500</v>
      </c>
      <c r="E475" t="n">
        <v>79500</v>
      </c>
      <c r="F475" t="n">
        <v>93750</v>
      </c>
      <c r="G475" t="n">
        <v>110000</v>
      </c>
    </row>
    <row r="476">
      <c r="C476" t="inlineStr">
        <is>
          <t>Passenger, 4-7 story (base)</t>
        </is>
      </c>
      <c r="D476" t="n">
        <v>117000</v>
      </c>
      <c r="E476" t="n">
        <v>135000</v>
      </c>
      <c r="F476" t="n">
        <v>154000</v>
      </c>
      <c r="G476" t="n">
        <v>177000</v>
      </c>
    </row>
    <row r="477">
      <c r="C477" t="inlineStr">
        <is>
          <t>Passenger, 8-story+ (base)</t>
        </is>
      </c>
      <c r="D477" t="n">
        <v>180000</v>
      </c>
      <c r="E477" t="n">
        <v>228000</v>
      </c>
      <c r="F477" t="n">
        <v>287000</v>
      </c>
      <c r="G477" t="n">
        <v>363000</v>
      </c>
    </row>
    <row r="478">
      <c r="C478" t="inlineStr">
        <is>
          <t>Passenger, per stop</t>
        </is>
      </c>
      <c r="D478" t="n">
        <v>9700</v>
      </c>
      <c r="E478" t="n">
        <v>11100</v>
      </c>
      <c r="F478" t="n">
        <v>12800</v>
      </c>
      <c r="G478" t="n">
        <v>14700</v>
      </c>
    </row>
    <row r="479">
      <c r="C479" t="inlineStr">
        <is>
          <t>Freight, 2-3 story (base)</t>
        </is>
      </c>
      <c r="D479" t="n">
        <v>51000</v>
      </c>
      <c r="E479" t="n">
        <v>67500</v>
      </c>
      <c r="F479" t="n">
        <v>89000</v>
      </c>
      <c r="G479" t="n">
        <v>118000</v>
      </c>
    </row>
    <row r="480">
      <c r="C480" t="inlineStr">
        <is>
          <t>Freight, 4-story+ (base)</t>
        </is>
      </c>
      <c r="D480" t="n">
        <v>100000</v>
      </c>
      <c r="E480" t="n">
        <v>126000</v>
      </c>
      <c r="F480" t="n">
        <v>160000</v>
      </c>
      <c r="G480" t="n">
        <v>202000</v>
      </c>
    </row>
    <row r="481">
      <c r="C481" t="inlineStr">
        <is>
          <t>Freight, per stop (manual doors)</t>
        </is>
      </c>
      <c r="D481" t="n">
        <v>12900</v>
      </c>
      <c r="E481" t="n">
        <v>14100</v>
      </c>
      <c r="F481" t="n">
        <v>15300</v>
      </c>
      <c r="G481" t="n">
        <v>16700</v>
      </c>
    </row>
    <row r="482">
      <c r="C482" t="inlineStr">
        <is>
          <t>Freight, per stop (power doors)</t>
        </is>
      </c>
      <c r="D482" t="n">
        <v>22400</v>
      </c>
      <c r="E482" t="n">
        <v>24400</v>
      </c>
      <c r="F482" t="n">
        <v>26600</v>
      </c>
      <c r="G482" t="n">
        <v>29000</v>
      </c>
    </row>
    <row r="483">
      <c r="C483" t="inlineStr">
        <is>
          <t>Escalator, per stairway</t>
        </is>
      </c>
      <c r="D483" t="n">
        <v>260000</v>
      </c>
      <c r="E483" t="n">
        <v>276000</v>
      </c>
      <c r="F483" t="n">
        <v>294000</v>
      </c>
      <c r="G483" t="n">
        <v>312000</v>
      </c>
    </row>
    <row r="484">
      <c r="C484" t="inlineStr">
        <is>
          <t>Vertical wheelchair lift, each</t>
        </is>
      </c>
      <c r="D484" t="n">
        <v>17200</v>
      </c>
      <c r="E484" t="n">
        <v>22300</v>
      </c>
      <c r="F484" t="n">
        <v>29000</v>
      </c>
      <c r="G484" t="n">
        <v>37600</v>
      </c>
    </row>
    <row r="486">
      <c r="B486" s="604" t="inlineStr">
        <is>
          <t>Section 13</t>
        </is>
      </c>
      <c r="C486" s="604" t="inlineStr">
        <is>
          <t>Type</t>
        </is>
      </c>
      <c r="D486" s="604" t="inlineStr">
        <is>
          <t>Low</t>
        </is>
      </c>
      <c r="E486" s="604" t="inlineStr">
        <is>
          <t>Average</t>
        </is>
      </c>
      <c r="F486" s="604" t="inlineStr">
        <is>
          <t>Good</t>
        </is>
      </c>
      <c r="G486" s="604" t="inlineStr">
        <is>
          <t>Excellent</t>
        </is>
      </c>
    </row>
    <row r="487">
      <c r="C487" t="inlineStr">
        <is>
          <t>Passenger, 2-3 story (base) [see Sec.14 sched.]</t>
        </is>
      </c>
      <c r="D487" t="n">
        <v>66250</v>
      </c>
      <c r="E487" t="n">
        <v>78000</v>
      </c>
      <c r="F487" t="n">
        <v>92000</v>
      </c>
      <c r="G487" t="n">
        <v>108000</v>
      </c>
    </row>
    <row r="488">
      <c r="C488" t="inlineStr">
        <is>
          <t>Passenger, per stop [see Sec.14 sched.]</t>
        </is>
      </c>
      <c r="D488" t="n">
        <v>9650</v>
      </c>
      <c r="E488" t="n">
        <v>11100</v>
      </c>
      <c r="F488" t="n">
        <v>12700</v>
      </c>
      <c r="G488" t="n">
        <v>14600</v>
      </c>
    </row>
    <row r="491">
      <c r="B491" s="603" t="inlineStr">
        <is>
          <t>REFERENCE 8 -- Current Cost Multipliers, by Region x Class x Calculator Section (MVS Sec.99 p.3, Jan 2025 insert). Colorado assumed WESTERN region.</t>
        </is>
      </c>
      <c r="C491" s="603" t="n"/>
      <c r="D491" s="603" t="n"/>
      <c r="E491" s="603" t="n"/>
      <c r="F491" s="603" t="n"/>
      <c r="G491" s="603" t="n"/>
      <c r="H491" s="603" t="n"/>
    </row>
    <row r="492">
      <c r="B492" s="604" t="inlineStr">
        <is>
          <t>Region</t>
        </is>
      </c>
      <c r="C492" s="604" t="inlineStr">
        <is>
          <t>Class</t>
        </is>
      </c>
      <c r="D492" s="604" t="inlineStr">
        <is>
          <t>Sec.11</t>
        </is>
      </c>
      <c r="E492" s="604" t="inlineStr">
        <is>
          <t>Sec.12</t>
        </is>
      </c>
      <c r="F492" s="604" t="inlineStr">
        <is>
          <t>Sec.13</t>
        </is>
      </c>
      <c r="G492" s="604" t="inlineStr">
        <is>
          <t>Sec.14</t>
        </is>
      </c>
      <c r="H492" s="604" t="inlineStr">
        <is>
          <t>Sec.15</t>
        </is>
      </c>
      <c r="I492" s="604" t="inlineStr">
        <is>
          <t>Sec.16</t>
        </is>
      </c>
      <c r="J492" s="604" t="inlineStr">
        <is>
          <t>Sec.17</t>
        </is>
      </c>
      <c r="K492" s="604" t="inlineStr">
        <is>
          <t>Sec.18</t>
        </is>
      </c>
    </row>
    <row r="493">
      <c r="B493" t="inlineStr">
        <is>
          <t>EASTERN</t>
        </is>
      </c>
      <c r="C493" t="inlineStr">
        <is>
          <t>A</t>
        </is>
      </c>
      <c r="D493" s="606" t="n">
        <v>1.04</v>
      </c>
      <c r="E493" s="606" t="n">
        <v>1.04</v>
      </c>
      <c r="F493" s="606" t="n">
        <v>1.04</v>
      </c>
      <c r="G493" s="606" t="n">
        <v>1.02</v>
      </c>
      <c r="H493" s="606" t="n">
        <v>1.04</v>
      </c>
      <c r="I493" s="606" t="n">
        <v>1.06</v>
      </c>
      <c r="J493" s="606" t="n">
        <v>1.08</v>
      </c>
      <c r="K493" s="606" t="n">
        <v>1.1</v>
      </c>
    </row>
    <row r="494">
      <c r="B494" t="inlineStr">
        <is>
          <t>EASTERN</t>
        </is>
      </c>
      <c r="C494" t="inlineStr">
        <is>
          <t>B</t>
        </is>
      </c>
      <c r="D494" s="606" t="n">
        <v>1.04</v>
      </c>
      <c r="E494" s="606" t="n">
        <v>1.05</v>
      </c>
      <c r="F494" s="606" t="n">
        <v>1.02</v>
      </c>
      <c r="G494" s="606" t="n">
        <v>1.04</v>
      </c>
      <c r="H494" s="606" t="n">
        <v>1.01</v>
      </c>
      <c r="I494" s="606" t="n">
        <v>1.02</v>
      </c>
      <c r="J494" s="606" t="n">
        <v>1.05</v>
      </c>
      <c r="K494" s="606" t="n">
        <v>1.07</v>
      </c>
    </row>
    <row r="495">
      <c r="B495" t="inlineStr">
        <is>
          <t>EASTERN</t>
        </is>
      </c>
      <c r="C495" t="inlineStr">
        <is>
          <t>C</t>
        </is>
      </c>
      <c r="D495" s="606" t="n">
        <v>1.02</v>
      </c>
      <c r="E495" s="606" t="n">
        <v>1.01</v>
      </c>
      <c r="F495" s="606" t="n">
        <v>1.03</v>
      </c>
      <c r="G495" s="606" t="n">
        <v>1.03</v>
      </c>
      <c r="H495" s="606" t="n">
        <v>1.04</v>
      </c>
      <c r="I495" s="606" t="n">
        <v>1.05</v>
      </c>
      <c r="J495" s="606" t="n">
        <v>1.06</v>
      </c>
      <c r="K495" s="606" t="n">
        <v>1.01</v>
      </c>
    </row>
    <row r="496">
      <c r="B496" t="inlineStr">
        <is>
          <t>EASTERN</t>
        </is>
      </c>
      <c r="C496" t="inlineStr">
        <is>
          <t>D</t>
        </is>
      </c>
      <c r="D496" s="606" t="n">
        <v>1.01</v>
      </c>
      <c r="E496" s="606" t="n">
        <v>1.02</v>
      </c>
      <c r="F496" s="606" t="n">
        <v>1.02</v>
      </c>
      <c r="G496" s="606" t="n">
        <v>1.01</v>
      </c>
      <c r="H496" s="606" t="n">
        <v>1.01</v>
      </c>
      <c r="I496" s="606" t="n">
        <v>1.02</v>
      </c>
      <c r="J496" s="606" t="n">
        <v>1</v>
      </c>
      <c r="K496" s="606" t="n">
        <v>0.99</v>
      </c>
    </row>
    <row r="497">
      <c r="B497" t="inlineStr">
        <is>
          <t>EASTERN</t>
        </is>
      </c>
      <c r="C497" t="inlineStr">
        <is>
          <t>S</t>
        </is>
      </c>
      <c r="D497" s="606" t="n">
        <v>1.07</v>
      </c>
      <c r="E497" s="606" t="n">
        <v>1.06</v>
      </c>
      <c r="F497" s="606" t="n">
        <v>1.04</v>
      </c>
      <c r="G497" s="606" t="n">
        <v>1.03</v>
      </c>
      <c r="H497" s="606" t="n">
        <v>1.05</v>
      </c>
      <c r="I497" s="606" t="n">
        <v>1.02</v>
      </c>
      <c r="J497" s="606" t="n">
        <v>1.01</v>
      </c>
      <c r="K497" s="606" t="n">
        <v>1.05</v>
      </c>
    </row>
    <row r="498">
      <c r="B498" t="inlineStr">
        <is>
          <t>CENTRAL</t>
        </is>
      </c>
      <c r="C498" t="inlineStr">
        <is>
          <t>A</t>
        </is>
      </c>
      <c r="D498" s="606" t="n">
        <v>0.99</v>
      </c>
      <c r="E498" s="606" t="n">
        <v>0.98</v>
      </c>
      <c r="F498" s="606" t="n">
        <v>0.98</v>
      </c>
      <c r="G498" s="606" t="n">
        <v>1</v>
      </c>
      <c r="H498" s="606" t="n">
        <v>1</v>
      </c>
      <c r="I498" s="606" t="n">
        <v>1.02</v>
      </c>
      <c r="J498" s="606" t="n">
        <v>1.02</v>
      </c>
      <c r="K498" s="606" t="n">
        <v>1.02</v>
      </c>
    </row>
    <row r="499">
      <c r="B499" t="inlineStr">
        <is>
          <t>CENTRAL</t>
        </is>
      </c>
      <c r="C499" t="inlineStr">
        <is>
          <t>B</t>
        </is>
      </c>
      <c r="D499" s="606" t="n">
        <v>0.98</v>
      </c>
      <c r="E499" s="606" t="n">
        <v>0.99</v>
      </c>
      <c r="F499" s="606" t="n">
        <v>0.98</v>
      </c>
      <c r="G499" s="606" t="n">
        <v>0.99</v>
      </c>
      <c r="H499" s="606" t="n">
        <v>1.01</v>
      </c>
      <c r="I499" s="606" t="n">
        <v>0.99</v>
      </c>
      <c r="J499" s="606" t="n">
        <v>0.98</v>
      </c>
      <c r="K499" s="606" t="n">
        <v>0.99</v>
      </c>
    </row>
    <row r="500">
      <c r="B500" t="inlineStr">
        <is>
          <t>CENTRAL</t>
        </is>
      </c>
      <c r="C500" t="inlineStr">
        <is>
          <t>C</t>
        </is>
      </c>
      <c r="D500" s="606" t="n">
        <v>0.99</v>
      </c>
      <c r="E500" s="606" t="n">
        <v>0.99</v>
      </c>
      <c r="F500" s="606" t="n">
        <v>1</v>
      </c>
      <c r="G500" s="606" t="n">
        <v>0.99</v>
      </c>
      <c r="H500" s="606" t="n">
        <v>1</v>
      </c>
      <c r="I500" s="606" t="n">
        <v>0.98</v>
      </c>
      <c r="J500" s="606" t="n">
        <v>0.99</v>
      </c>
      <c r="K500" s="606" t="n">
        <v>0.98</v>
      </c>
    </row>
    <row r="501">
      <c r="B501" t="inlineStr">
        <is>
          <t>CENTRAL</t>
        </is>
      </c>
      <c r="C501" t="inlineStr">
        <is>
          <t>D</t>
        </is>
      </c>
      <c r="D501" s="606" t="n">
        <v>0.97</v>
      </c>
      <c r="E501" s="606" t="n">
        <v>0.99</v>
      </c>
      <c r="F501" s="606" t="n">
        <v>0.99</v>
      </c>
      <c r="G501" s="606" t="n">
        <v>0.99</v>
      </c>
      <c r="H501" s="606" t="n">
        <v>1.02</v>
      </c>
      <c r="I501" s="606" t="n">
        <v>1.02</v>
      </c>
      <c r="J501" s="606" t="n">
        <v>0.97</v>
      </c>
      <c r="K501" s="606" t="n">
        <v>0.97</v>
      </c>
    </row>
    <row r="502">
      <c r="B502" t="inlineStr">
        <is>
          <t>CENTRAL</t>
        </is>
      </c>
      <c r="C502" t="inlineStr">
        <is>
          <t>S</t>
        </is>
      </c>
      <c r="D502" s="606" t="n">
        <v>0.95</v>
      </c>
      <c r="E502" s="606" t="n">
        <v>0.98</v>
      </c>
      <c r="F502" s="606" t="n">
        <v>0.95</v>
      </c>
      <c r="G502" s="606" t="n">
        <v>0.99</v>
      </c>
      <c r="H502" s="606" t="n">
        <v>0.99</v>
      </c>
      <c r="I502" s="606" t="n">
        <v>0.97</v>
      </c>
      <c r="J502" s="606" t="n">
        <v>1</v>
      </c>
      <c r="K502" s="606" t="n">
        <v>0.97</v>
      </c>
    </row>
    <row r="503">
      <c r="B503" t="inlineStr">
        <is>
          <t>WESTERN</t>
        </is>
      </c>
      <c r="C503" t="inlineStr">
        <is>
          <t>A</t>
        </is>
      </c>
      <c r="D503" s="606" t="n">
        <v>0.99</v>
      </c>
      <c r="E503" s="606" t="n">
        <v>1.03</v>
      </c>
      <c r="F503" s="606" t="n">
        <v>1.05</v>
      </c>
      <c r="G503" s="606" t="n">
        <v>1.07</v>
      </c>
      <c r="H503" s="606" t="n">
        <v>1.06</v>
      </c>
      <c r="I503" s="606" t="n">
        <v>1.05</v>
      </c>
      <c r="J503" s="606" t="n">
        <v>1.05</v>
      </c>
      <c r="K503" s="606" t="n">
        <v>1.01</v>
      </c>
    </row>
    <row r="504">
      <c r="B504" t="inlineStr">
        <is>
          <t>WESTERN</t>
        </is>
      </c>
      <c r="C504" t="inlineStr">
        <is>
          <t>B</t>
        </is>
      </c>
      <c r="D504" s="606" t="n">
        <v>0.99</v>
      </c>
      <c r="E504" s="606" t="n">
        <v>1</v>
      </c>
      <c r="F504" s="606" t="n">
        <v>1.06</v>
      </c>
      <c r="G504" s="606" t="n">
        <v>1.04</v>
      </c>
      <c r="H504" s="606" t="n">
        <v>1.05</v>
      </c>
      <c r="I504" s="606" t="n">
        <v>1.06</v>
      </c>
      <c r="J504" s="606" t="n">
        <v>1.05</v>
      </c>
      <c r="K504" s="606" t="n">
        <v>1.02</v>
      </c>
    </row>
    <row r="505">
      <c r="B505" t="inlineStr">
        <is>
          <t>WESTERN</t>
        </is>
      </c>
      <c r="C505" t="inlineStr">
        <is>
          <t>C</t>
        </is>
      </c>
      <c r="D505" s="606" t="n">
        <v>1</v>
      </c>
      <c r="E505" s="606" t="n">
        <v>1.03</v>
      </c>
      <c r="F505" s="606" t="n">
        <v>1.02</v>
      </c>
      <c r="G505" s="606" t="n">
        <v>1.06</v>
      </c>
      <c r="H505" s="606" t="n">
        <v>1.04</v>
      </c>
      <c r="I505" s="606" t="n">
        <v>1.05</v>
      </c>
      <c r="J505" s="606" t="n">
        <v>1.03</v>
      </c>
      <c r="K505" s="606" t="n">
        <v>1.04</v>
      </c>
    </row>
    <row r="506">
      <c r="B506" t="inlineStr">
        <is>
          <t>WESTERN</t>
        </is>
      </c>
      <c r="C506" t="inlineStr">
        <is>
          <t>D</t>
        </is>
      </c>
      <c r="D506" s="606" t="n">
        <v>1.03</v>
      </c>
      <c r="E506" s="606" t="n">
        <v>1.02</v>
      </c>
      <c r="F506" s="606" t="n">
        <v>1.03</v>
      </c>
      <c r="G506" s="606" t="n">
        <v>1.05</v>
      </c>
      <c r="H506" s="606" t="n">
        <v>1.02</v>
      </c>
      <c r="I506" s="606" t="n">
        <v>1.01</v>
      </c>
      <c r="J506" s="606" t="n">
        <v>1.05</v>
      </c>
      <c r="K506" s="606" t="n">
        <v>1.01</v>
      </c>
    </row>
    <row r="507">
      <c r="B507" t="inlineStr">
        <is>
          <t>WESTERN</t>
        </is>
      </c>
      <c r="C507" t="inlineStr">
        <is>
          <t>S</t>
        </is>
      </c>
      <c r="D507" s="606" t="n">
        <v>1</v>
      </c>
      <c r="E507" s="606" t="n">
        <v>1</v>
      </c>
      <c r="F507" s="606" t="n">
        <v>1.05</v>
      </c>
      <c r="G507" s="606" t="n">
        <v>1.04</v>
      </c>
      <c r="H507" s="606" t="n">
        <v>1.02</v>
      </c>
      <c r="I507" s="606" t="n">
        <v>1.07</v>
      </c>
      <c r="J507" s="606" t="n">
        <v>1.04</v>
      </c>
      <c r="K507" s="606" t="n">
        <v>0.98</v>
      </c>
    </row>
    <row r="509">
      <c r="B509" s="603" t="inlineStr">
        <is>
          <t>REFERENCE 9 -- Local Area Multipliers, Colorado (MVS Sec.99 p.7, Jan 2025 insert)</t>
        </is>
      </c>
      <c r="C509" s="603" t="n"/>
      <c r="D509" s="603" t="n"/>
      <c r="E509" s="603" t="n"/>
      <c r="F509" s="603" t="n"/>
      <c r="G509" s="603" t="n"/>
      <c r="H509" s="603" t="n"/>
    </row>
    <row r="510">
      <c r="B510" s="604" t="inlineStr">
        <is>
          <t>City / Area</t>
        </is>
      </c>
      <c r="C510" s="604" t="inlineStr">
        <is>
          <t>Class A</t>
        </is>
      </c>
      <c r="D510" s="604" t="inlineStr">
        <is>
          <t>Class B</t>
        </is>
      </c>
      <c r="E510" s="604" t="inlineStr">
        <is>
          <t>Class C</t>
        </is>
      </c>
      <c r="F510" s="604" t="inlineStr">
        <is>
          <t>Class D</t>
        </is>
      </c>
      <c r="G510" s="604" t="inlineStr">
        <is>
          <t>Class S</t>
        </is>
      </c>
    </row>
    <row r="511">
      <c r="B511" t="inlineStr">
        <is>
          <t>Colorado (statewide average)</t>
        </is>
      </c>
      <c r="C511" s="606" t="n">
        <v>1</v>
      </c>
      <c r="D511" s="606" t="n">
        <v>1.02</v>
      </c>
      <c r="E511" s="606" t="n">
        <v>1.02</v>
      </c>
      <c r="F511" s="606" t="n">
        <v>1.01</v>
      </c>
      <c r="G511" s="606" t="n">
        <v>1.02</v>
      </c>
    </row>
    <row r="512">
      <c r="B512" t="inlineStr">
        <is>
          <t>Aspen</t>
        </is>
      </c>
      <c r="C512" s="606" t="n">
        <v>1.08</v>
      </c>
      <c r="D512" s="606" t="n">
        <v>1.13</v>
      </c>
      <c r="E512" s="606" t="n">
        <v>1.11</v>
      </c>
      <c r="F512" s="606" t="n">
        <v>1.11</v>
      </c>
      <c r="G512" s="606" t="n">
        <v>1.1</v>
      </c>
    </row>
    <row r="513">
      <c r="B513" t="inlineStr">
        <is>
          <t>Boulder</t>
        </is>
      </c>
      <c r="C513" s="606" t="n">
        <v>0.98</v>
      </c>
      <c r="D513" s="606" t="n">
        <v>0.98</v>
      </c>
      <c r="E513" s="606" t="n">
        <v>0.98</v>
      </c>
      <c r="F513" s="606" t="n">
        <v>0.97</v>
      </c>
      <c r="G513" s="606" t="n">
        <v>0.99</v>
      </c>
    </row>
    <row r="514">
      <c r="B514" t="inlineStr">
        <is>
          <t>Colorado Springs</t>
        </is>
      </c>
      <c r="C514" s="606" t="n">
        <v>0.98</v>
      </c>
      <c r="D514" s="606" t="n">
        <v>0.99</v>
      </c>
      <c r="E514" s="606" t="n">
        <v>0.96</v>
      </c>
      <c r="F514" s="606" t="n">
        <v>0.98</v>
      </c>
      <c r="G514" s="606" t="n">
        <v>1</v>
      </c>
    </row>
    <row r="515">
      <c r="B515" t="inlineStr">
        <is>
          <t>Costilla County</t>
        </is>
      </c>
      <c r="C515" s="606" t="n">
        <v>0.86</v>
      </c>
      <c r="D515" s="606" t="n">
        <v>0.88</v>
      </c>
      <c r="E515" s="606" t="n">
        <v>0.88</v>
      </c>
      <c r="F515" s="606" t="n">
        <v>0.87</v>
      </c>
      <c r="G515" s="606" t="n">
        <v>0.89</v>
      </c>
    </row>
    <row r="516">
      <c r="B516" t="inlineStr">
        <is>
          <t>Denver</t>
        </is>
      </c>
      <c r="C516" s="606" t="n">
        <v>1.01</v>
      </c>
      <c r="D516" s="606" t="n">
        <v>1</v>
      </c>
      <c r="E516" s="606" t="n">
        <v>1</v>
      </c>
      <c r="F516" s="606" t="n">
        <v>1</v>
      </c>
      <c r="G516" s="606" t="n">
        <v>1.03</v>
      </c>
    </row>
    <row r="517">
      <c r="B517" t="inlineStr">
        <is>
          <t>Durango</t>
        </is>
      </c>
      <c r="C517" s="606" t="n">
        <v>0.9</v>
      </c>
      <c r="D517" s="606" t="n">
        <v>0.92</v>
      </c>
      <c r="E517" s="606" t="n">
        <v>0.93</v>
      </c>
      <c r="F517" s="606" t="n">
        <v>0.91</v>
      </c>
      <c r="G517" s="606" t="n">
        <v>0.9399999999999999</v>
      </c>
    </row>
    <row r="518">
      <c r="B518" t="inlineStr">
        <is>
          <t>Eagle County (excl. resort areas)</t>
        </is>
      </c>
      <c r="C518" s="606" t="n">
        <v>0.9399999999999999</v>
      </c>
      <c r="D518" s="606" t="n">
        <v>0.95</v>
      </c>
      <c r="E518" s="606" t="n">
        <v>0.9399999999999999</v>
      </c>
      <c r="F518" s="606" t="n">
        <v>0.9399999999999999</v>
      </c>
      <c r="G518" s="606" t="n">
        <v>0.95</v>
      </c>
    </row>
    <row r="519">
      <c r="B519" t="inlineStr">
        <is>
          <t>Fort Collins</t>
        </is>
      </c>
      <c r="C519" s="606" t="n">
        <v>0.98</v>
      </c>
      <c r="D519" s="606" t="n">
        <v>1</v>
      </c>
      <c r="E519" s="606" t="n">
        <v>1.01</v>
      </c>
      <c r="F519" s="606" t="n">
        <v>0.99</v>
      </c>
      <c r="G519" s="606" t="n">
        <v>1.01</v>
      </c>
    </row>
    <row r="520">
      <c r="B520" t="inlineStr">
        <is>
          <t>Grand Junction</t>
        </is>
      </c>
      <c r="C520" s="606" t="n">
        <v>0.98</v>
      </c>
      <c r="D520" s="606" t="n">
        <v>0.99</v>
      </c>
      <c r="E520" s="606" t="n">
        <v>1</v>
      </c>
      <c r="F520" s="606" t="n">
        <v>1</v>
      </c>
      <c r="G520" s="606" t="n">
        <v>1.02</v>
      </c>
    </row>
    <row r="521">
      <c r="B521" t="inlineStr">
        <is>
          <t>Greeley</t>
        </is>
      </c>
      <c r="C521" s="606" t="n">
        <v>0.98</v>
      </c>
      <c r="D521" s="606" t="n">
        <v>1</v>
      </c>
      <c r="E521" s="606" t="n">
        <v>1.01</v>
      </c>
      <c r="F521" s="606" t="n">
        <v>0.99</v>
      </c>
      <c r="G521" s="606" t="n">
        <v>0.99</v>
      </c>
    </row>
    <row r="522">
      <c r="B522" t="inlineStr">
        <is>
          <t>Gunnison County</t>
        </is>
      </c>
      <c r="C522" s="606" t="n">
        <v>0.93</v>
      </c>
      <c r="D522" s="606" t="n">
        <v>0.99</v>
      </c>
      <c r="E522" s="606" t="n">
        <v>0.97</v>
      </c>
      <c r="F522" s="606" t="n">
        <v>0.96</v>
      </c>
      <c r="G522" s="606" t="n">
        <v>0.97</v>
      </c>
    </row>
    <row r="523">
      <c r="B523" t="inlineStr">
        <is>
          <t>Kit Carson County</t>
        </is>
      </c>
      <c r="C523" s="606" t="n">
        <v>0.89</v>
      </c>
      <c r="D523" s="606" t="n">
        <v>0.89</v>
      </c>
      <c r="E523" s="606" t="n">
        <v>0.9</v>
      </c>
      <c r="F523" s="606" t="n">
        <v>0.89</v>
      </c>
      <c r="G523" s="606" t="n">
        <v>0.91</v>
      </c>
    </row>
    <row r="524">
      <c r="B524" t="inlineStr">
        <is>
          <t>Logan County</t>
        </is>
      </c>
      <c r="C524" s="606" t="n">
        <v>0.91</v>
      </c>
      <c r="D524" s="606" t="n">
        <v>0.91</v>
      </c>
      <c r="E524" s="606" t="n">
        <v>0.92</v>
      </c>
      <c r="F524" s="606" t="n">
        <v>0.9</v>
      </c>
      <c r="G524" s="606" t="n">
        <v>0.92</v>
      </c>
    </row>
    <row r="525">
      <c r="B525" t="inlineStr">
        <is>
          <t>Longmont</t>
        </is>
      </c>
      <c r="C525" s="606" t="n">
        <v>0.97</v>
      </c>
      <c r="D525" s="606" t="n">
        <v>0.97</v>
      </c>
      <c r="E525" s="606" t="n">
        <v>1</v>
      </c>
      <c r="F525" s="606" t="n">
        <v>0.98</v>
      </c>
      <c r="G525" s="606" t="n">
        <v>1</v>
      </c>
    </row>
    <row r="526">
      <c r="B526" t="inlineStr">
        <is>
          <t>Loveland</t>
        </is>
      </c>
      <c r="C526" s="606" t="n">
        <v>0.96</v>
      </c>
      <c r="D526" s="606" t="n">
        <v>0.98</v>
      </c>
      <c r="E526" s="606" t="n">
        <v>1.01</v>
      </c>
      <c r="F526" s="606" t="n">
        <v>0.99</v>
      </c>
      <c r="G526" s="606" t="n">
        <v>0.99</v>
      </c>
    </row>
    <row r="527">
      <c r="B527" t="inlineStr">
        <is>
          <t>Moffat County</t>
        </is>
      </c>
      <c r="C527" s="606" t="n">
        <v>0.9</v>
      </c>
      <c r="D527" s="606" t="n">
        <v>0.93</v>
      </c>
      <c r="E527" s="606" t="n">
        <v>0.91</v>
      </c>
      <c r="F527" s="606" t="n">
        <v>0.92</v>
      </c>
      <c r="G527" s="606" t="n">
        <v>0.93</v>
      </c>
    </row>
    <row r="528">
      <c r="B528" t="inlineStr">
        <is>
          <t>Montrose County</t>
        </is>
      </c>
      <c r="C528" s="606" t="n">
        <v>0.9</v>
      </c>
      <c r="D528" s="606" t="n">
        <v>0.92</v>
      </c>
      <c r="E528" s="606" t="n">
        <v>0.93</v>
      </c>
      <c r="F528" s="606" t="n">
        <v>0.9</v>
      </c>
      <c r="G528" s="606" t="n">
        <v>0.92</v>
      </c>
    </row>
    <row r="529">
      <c r="B529" t="inlineStr">
        <is>
          <t>Prowers County</t>
        </is>
      </c>
      <c r="C529" s="606" t="n">
        <v>0.9</v>
      </c>
      <c r="D529" s="606" t="n">
        <v>0.92</v>
      </c>
      <c r="E529" s="606" t="n">
        <v>0.91</v>
      </c>
      <c r="F529" s="606" t="n">
        <v>0.91</v>
      </c>
      <c r="G529" s="606" t="n">
        <v>0.91</v>
      </c>
    </row>
    <row r="530">
      <c r="B530" t="inlineStr">
        <is>
          <t>Pueblo</t>
        </is>
      </c>
      <c r="C530" s="606" t="n">
        <v>0.95</v>
      </c>
      <c r="D530" s="606" t="n">
        <v>0.95</v>
      </c>
      <c r="E530" s="606" t="n">
        <v>0.95</v>
      </c>
      <c r="F530" s="606" t="n">
        <v>0.95</v>
      </c>
      <c r="G530" s="606" t="n">
        <v>0.95</v>
      </c>
    </row>
    <row r="531">
      <c r="B531" t="inlineStr">
        <is>
          <t>Steamboat Springs</t>
        </is>
      </c>
      <c r="C531" s="606" t="n">
        <v>1.15</v>
      </c>
      <c r="D531" s="606" t="n">
        <v>1.17</v>
      </c>
      <c r="E531" s="606" t="n">
        <v>1.16</v>
      </c>
      <c r="F531" s="606" t="n">
        <v>1.14</v>
      </c>
      <c r="G531" s="606" t="n">
        <v>1.14</v>
      </c>
    </row>
    <row r="532">
      <c r="B532" t="inlineStr">
        <is>
          <t>Vail</t>
        </is>
      </c>
      <c r="C532" s="606" t="n">
        <v>1.13</v>
      </c>
      <c r="D532" s="606" t="n">
        <v>1.16</v>
      </c>
      <c r="E532" s="606" t="n">
        <v>1.14</v>
      </c>
      <c r="F532" s="606" t="n">
        <v>1.13</v>
      </c>
      <c r="G532" s="606" t="n">
        <v>1.13</v>
      </c>
    </row>
    <row r="534">
      <c r="B534" s="603" t="inlineStr">
        <is>
          <t>REFERENCE 10 -- Section 98 Denver-Specific Quarterly Cost Index (for De-Trend to Appraisal Date; Jan 2025 = 1.000)</t>
        </is>
      </c>
      <c r="C534" s="603" t="n"/>
      <c r="D534" s="603" t="n"/>
      <c r="E534" s="603" t="n"/>
      <c r="F534" s="603" t="n"/>
      <c r="G534" s="603" t="n"/>
      <c r="H534" s="603" t="n"/>
    </row>
    <row r="535">
      <c r="B535" s="608" t="inlineStr">
        <is>
          <t>Do NOT combine with the Local Area Multiplier above -- Sec.98's district/city index is already geographically resolved to Denver (MVS explicit warning, Sec.98 p.1/p.5).</t>
        </is>
      </c>
    </row>
    <row r="536">
      <c r="B536" s="604" t="inlineStr">
        <is>
          <t>Quarter</t>
        </is>
      </c>
      <c r="C536" s="604" t="inlineStr">
        <is>
          <t>Class A</t>
        </is>
      </c>
      <c r="D536" s="604" t="inlineStr">
        <is>
          <t>Class B</t>
        </is>
      </c>
      <c r="E536" s="604" t="inlineStr">
        <is>
          <t>Class C</t>
        </is>
      </c>
      <c r="F536" s="604" t="inlineStr">
        <is>
          <t>Class D</t>
        </is>
      </c>
      <c r="G536" s="604" t="inlineStr">
        <is>
          <t>Class S</t>
        </is>
      </c>
    </row>
    <row r="537">
      <c r="B537" t="inlineStr">
        <is>
          <t>Jan 2025</t>
        </is>
      </c>
      <c r="C537" s="607" t="n">
        <v>1</v>
      </c>
      <c r="D537" s="607" t="n">
        <v>1</v>
      </c>
      <c r="E537" s="607" t="n">
        <v>1</v>
      </c>
      <c r="F537" s="607" t="n">
        <v>1</v>
      </c>
      <c r="G537" s="607" t="n">
        <v>1</v>
      </c>
    </row>
    <row r="538">
      <c r="B538" t="inlineStr">
        <is>
          <t>Oct 2024</t>
        </is>
      </c>
      <c r="C538" s="607" t="n">
        <v>1.016</v>
      </c>
      <c r="D538" s="607" t="n">
        <v>1.008</v>
      </c>
      <c r="E538" s="607" t="n">
        <v>0.999</v>
      </c>
      <c r="F538" s="607" t="n">
        <v>1.006</v>
      </c>
      <c r="G538" s="607" t="n">
        <v>1.01</v>
      </c>
    </row>
    <row r="539">
      <c r="B539" t="inlineStr">
        <is>
          <t>Jul 2024</t>
        </is>
      </c>
      <c r="C539" s="607" t="n">
        <v>1.017</v>
      </c>
      <c r="D539" s="607" t="n">
        <v>1.014</v>
      </c>
      <c r="E539" s="607" t="n">
        <v>1.004</v>
      </c>
      <c r="F539" s="607" t="n">
        <v>1.008</v>
      </c>
      <c r="G539" s="607" t="n">
        <v>1.014</v>
      </c>
    </row>
    <row r="540">
      <c r="B540" t="inlineStr">
        <is>
          <t>Apr 2024</t>
        </is>
      </c>
      <c r="C540" s="607" t="n">
        <v>1.034</v>
      </c>
      <c r="D540" s="607" t="n">
        <v>1.027</v>
      </c>
      <c r="E540" s="607" t="n">
        <v>1.012</v>
      </c>
      <c r="F540" s="607" t="n">
        <v>1.016</v>
      </c>
      <c r="G540" s="607" t="n">
        <v>1.024</v>
      </c>
    </row>
    <row r="541">
      <c r="B541" t="inlineStr">
        <is>
          <t>Jan 2024</t>
        </is>
      </c>
      <c r="C541" s="607" t="n">
        <v>1.037</v>
      </c>
      <c r="D541" s="607" t="n">
        <v>1.027</v>
      </c>
      <c r="E541" s="607" t="n">
        <v>1.02</v>
      </c>
      <c r="F541" s="607" t="n">
        <v>1.015</v>
      </c>
      <c r="G541" s="607" t="n">
        <v>1.026</v>
      </c>
    </row>
    <row r="542">
      <c r="B542" t="inlineStr">
        <is>
          <t>Oct 2023</t>
        </is>
      </c>
      <c r="C542" s="607" t="n">
        <v>1.046</v>
      </c>
      <c r="D542" s="607" t="n">
        <v>1.025</v>
      </c>
      <c r="E542" s="607" t="n">
        <v>1.021</v>
      </c>
      <c r="F542" s="607" t="n">
        <v>1.015</v>
      </c>
      <c r="G542" s="607" t="n">
        <v>1.029</v>
      </c>
    </row>
    <row r="543">
      <c r="B543" t="inlineStr">
        <is>
          <t>Jul 2023</t>
        </is>
      </c>
      <c r="C543" s="607" t="n">
        <v>1.064</v>
      </c>
      <c r="D543" s="607" t="n">
        <v>1.029</v>
      </c>
      <c r="E543" s="607" t="n">
        <v>1.022</v>
      </c>
      <c r="F543" s="607" t="n">
        <v>1.014</v>
      </c>
      <c r="G543" s="607" t="n">
        <v>1.034</v>
      </c>
    </row>
    <row r="544">
      <c r="B544" t="inlineStr">
        <is>
          <t>Apr 2023</t>
        </is>
      </c>
      <c r="C544" s="607" t="n">
        <v>1.078</v>
      </c>
      <c r="D544" s="607" t="n">
        <v>1.034</v>
      </c>
      <c r="E544" s="607" t="n">
        <v>1.017</v>
      </c>
      <c r="F544" s="607" t="n">
        <v>1.007</v>
      </c>
      <c r="G544" s="607" t="n">
        <v>1.03</v>
      </c>
    </row>
    <row r="545">
      <c r="B545" t="inlineStr">
        <is>
          <t>Jan 2023</t>
        </is>
      </c>
      <c r="C545" s="607" t="n">
        <v>1.076</v>
      </c>
      <c r="D545" s="607" t="n">
        <v>1.033</v>
      </c>
      <c r="E545" s="607" t="n">
        <v>1.011</v>
      </c>
      <c r="F545" s="607" t="n">
        <v>0.998</v>
      </c>
      <c r="G545" s="607" t="n">
        <v>1.023</v>
      </c>
    </row>
    <row r="546">
      <c r="B546" t="inlineStr">
        <is>
          <t>Oct 2022</t>
        </is>
      </c>
      <c r="C546" s="607" t="n">
        <v>1.077</v>
      </c>
      <c r="D546" s="607" t="n">
        <v>1.032</v>
      </c>
      <c r="E546" s="607" t="n">
        <v>1.005</v>
      </c>
      <c r="F546" s="607" t="n">
        <v>0.987</v>
      </c>
      <c r="G546" s="607" t="n">
        <v>1.005</v>
      </c>
    </row>
    <row r="547">
      <c r="B547" t="inlineStr">
        <is>
          <t>Jul 2022</t>
        </is>
      </c>
      <c r="C547" s="607" t="n">
        <v>1.091</v>
      </c>
      <c r="D547" s="607" t="n">
        <v>1.046</v>
      </c>
      <c r="E547" s="607" t="n">
        <v>1.011</v>
      </c>
      <c r="F547" s="607" t="n">
        <v>0.985</v>
      </c>
      <c r="G547" s="607" t="n">
        <v>1.006</v>
      </c>
    </row>
    <row r="548">
      <c r="B548" t="inlineStr">
        <is>
          <t>Apr 2022</t>
        </is>
      </c>
      <c r="C548" s="607" t="n">
        <v>1.156</v>
      </c>
      <c r="D548" s="607" t="n">
        <v>1.134</v>
      </c>
      <c r="E548" s="607" t="n">
        <v>1.103</v>
      </c>
      <c r="F548" s="607" t="n">
        <v>1.089</v>
      </c>
      <c r="G548" s="607" t="n">
        <v>1.108</v>
      </c>
    </row>
    <row r="549">
      <c r="B549" t="inlineStr">
        <is>
          <t>Jan 2022</t>
        </is>
      </c>
      <c r="C549" s="607" t="n">
        <v>1.229</v>
      </c>
      <c r="D549" s="607" t="n">
        <v>1.179</v>
      </c>
      <c r="E549" s="607" t="n">
        <v>1.148</v>
      </c>
      <c r="F549" s="607" t="n">
        <v>1.123</v>
      </c>
      <c r="G549" s="607" t="n">
        <v>1.158</v>
      </c>
    </row>
    <row r="551">
      <c r="B551" s="603" t="inlineStr">
        <is>
          <t>REFERENCE 11 -- Typical Building Life Expectancy, Years (MVS Sec.97 pp.10-13, verified exact transcription)</t>
        </is>
      </c>
      <c r="C551" s="603" t="n"/>
      <c r="D551" s="603" t="n"/>
      <c r="E551" s="603" t="n"/>
      <c r="F551" s="603" t="n"/>
      <c r="G551" s="603" t="n"/>
      <c r="H551" s="603" t="n"/>
    </row>
    <row r="552">
      <c r="B552" s="609" t="inlineStr">
        <is>
          <t>Some tiers are printed jointly in the manual (e.g. 'Good and Excellent') -- expanded below into one row per selectable Quality for lookup purposes; values are identical across the tiers the manual grouped together.</t>
        </is>
      </c>
    </row>
    <row r="553">
      <c r="B553" s="604" t="inlineStr">
        <is>
          <t>Occupancy Name</t>
        </is>
      </c>
      <c r="C553" s="604" t="inlineStr">
        <is>
          <t>Quality</t>
        </is>
      </c>
      <c r="D553" s="604" t="inlineStr">
        <is>
          <t>Class A</t>
        </is>
      </c>
      <c r="E553" s="604" t="inlineStr">
        <is>
          <t>Class B</t>
        </is>
      </c>
      <c r="F553" s="604" t="inlineStr">
        <is>
          <t>Class C</t>
        </is>
      </c>
      <c r="G553" s="604" t="inlineStr">
        <is>
          <t>Class D</t>
        </is>
      </c>
      <c r="H553" s="604" t="inlineStr">
        <is>
          <t>Class S</t>
        </is>
      </c>
      <c r="I553" s="604" t="inlineStr">
        <is>
          <t>Key</t>
        </is>
      </c>
    </row>
    <row r="554">
      <c r="B554" t="inlineStr">
        <is>
          <t>Storage Warehouses</t>
        </is>
      </c>
      <c r="C554" t="inlineStr">
        <is>
          <t>Excellent</t>
        </is>
      </c>
      <c r="F554" t="n">
        <v>50</v>
      </c>
      <c r="H554" t="n">
        <v>45</v>
      </c>
      <c r="I554">
        <f>B554&amp;"~"&amp;C554</f>
        <v/>
      </c>
    </row>
    <row r="555">
      <c r="B555" t="inlineStr">
        <is>
          <t>Storage Warehouses</t>
        </is>
      </c>
      <c r="C555" t="inlineStr">
        <is>
          <t>Average</t>
        </is>
      </c>
      <c r="D555" t="n">
        <v>50</v>
      </c>
      <c r="E555" t="n">
        <v>50</v>
      </c>
      <c r="F555" t="n">
        <v>45</v>
      </c>
      <c r="G555" t="n">
        <v>40</v>
      </c>
      <c r="H555" t="n">
        <v>40</v>
      </c>
      <c r="I555">
        <f>B555&amp;"~"&amp;C555</f>
        <v/>
      </c>
    </row>
    <row r="556">
      <c r="B556" t="inlineStr">
        <is>
          <t>Storage Warehouses</t>
        </is>
      </c>
      <c r="C556" t="inlineStr">
        <is>
          <t>Good</t>
        </is>
      </c>
      <c r="D556" t="n">
        <v>50</v>
      </c>
      <c r="E556" t="n">
        <v>50</v>
      </c>
      <c r="F556" t="n">
        <v>45</v>
      </c>
      <c r="G556" t="n">
        <v>40</v>
      </c>
      <c r="H556" t="n">
        <v>40</v>
      </c>
      <c r="I556">
        <f>B556&amp;"~"&amp;C556</f>
        <v/>
      </c>
    </row>
    <row r="557">
      <c r="B557" t="inlineStr">
        <is>
          <t>Storage Warehouses</t>
        </is>
      </c>
      <c r="C557" t="inlineStr">
        <is>
          <t>Cheap</t>
        </is>
      </c>
      <c r="D557" t="n">
        <v>45</v>
      </c>
      <c r="E557" t="n">
        <v>45</v>
      </c>
      <c r="F557" t="n">
        <v>40</v>
      </c>
      <c r="G557" t="n">
        <v>35</v>
      </c>
      <c r="H557" t="n">
        <v>35</v>
      </c>
      <c r="I557">
        <f>B557&amp;"~"&amp;C557</f>
        <v/>
      </c>
    </row>
    <row r="558">
      <c r="B558" t="inlineStr">
        <is>
          <t>Storage Warehouses</t>
        </is>
      </c>
      <c r="C558" t="inlineStr">
        <is>
          <t>Low Cost</t>
        </is>
      </c>
      <c r="D558" t="n">
        <v>45</v>
      </c>
      <c r="E558" t="n">
        <v>45</v>
      </c>
      <c r="F558" t="n">
        <v>40</v>
      </c>
      <c r="G558" t="n">
        <v>35</v>
      </c>
      <c r="H558" t="n">
        <v>35</v>
      </c>
      <c r="I558">
        <f>B558&amp;"~"&amp;C558</f>
        <v/>
      </c>
    </row>
    <row r="559">
      <c r="B559" t="inlineStr">
        <is>
          <t>Distribution Warehouses</t>
        </is>
      </c>
      <c r="C559" t="inlineStr">
        <is>
          <t>Good</t>
        </is>
      </c>
      <c r="D559" t="n">
        <v>55</v>
      </c>
      <c r="E559" t="n">
        <v>55</v>
      </c>
      <c r="F559" t="n">
        <v>50</v>
      </c>
      <c r="G559" t="n">
        <v>45</v>
      </c>
      <c r="H559" t="n">
        <v>45</v>
      </c>
      <c r="I559">
        <f>B559&amp;"~"&amp;C559</f>
        <v/>
      </c>
    </row>
    <row r="560">
      <c r="B560" t="inlineStr">
        <is>
          <t>Distribution Warehouses</t>
        </is>
      </c>
      <c r="C560" t="inlineStr">
        <is>
          <t>Excellent</t>
        </is>
      </c>
      <c r="D560" t="n">
        <v>55</v>
      </c>
      <c r="E560" t="n">
        <v>55</v>
      </c>
      <c r="F560" t="n">
        <v>50</v>
      </c>
      <c r="G560" t="n">
        <v>45</v>
      </c>
      <c r="H560" t="n">
        <v>45</v>
      </c>
      <c r="I560">
        <f>B560&amp;"~"&amp;C560</f>
        <v/>
      </c>
    </row>
    <row r="561">
      <c r="B561" t="inlineStr">
        <is>
          <t>Distribution Warehouses</t>
        </is>
      </c>
      <c r="C561" t="inlineStr">
        <is>
          <t>Average</t>
        </is>
      </c>
      <c r="D561" t="n">
        <v>50</v>
      </c>
      <c r="E561" t="n">
        <v>50</v>
      </c>
      <c r="F561" t="n">
        <v>45</v>
      </c>
      <c r="G561" t="n">
        <v>40</v>
      </c>
      <c r="H561" t="n">
        <v>40</v>
      </c>
      <c r="I561">
        <f>B561&amp;"~"&amp;C561</f>
        <v/>
      </c>
    </row>
    <row r="562">
      <c r="B562" t="inlineStr">
        <is>
          <t>Distribution Warehouses</t>
        </is>
      </c>
      <c r="C562" t="inlineStr">
        <is>
          <t>Low Cost</t>
        </is>
      </c>
      <c r="F562" t="n">
        <v>40</v>
      </c>
      <c r="G562" t="n">
        <v>35</v>
      </c>
      <c r="H562" t="n">
        <v>35</v>
      </c>
      <c r="I562">
        <f>B562&amp;"~"&amp;C562</f>
        <v/>
      </c>
    </row>
    <row r="563">
      <c r="B563" t="inlineStr">
        <is>
          <t>Mini-Warehouses / Self-Storage</t>
        </is>
      </c>
      <c r="C563" t="inlineStr">
        <is>
          <t>Good</t>
        </is>
      </c>
      <c r="F563" t="n">
        <v>45</v>
      </c>
      <c r="G563" t="n">
        <v>40</v>
      </c>
      <c r="H563" t="n">
        <v>40</v>
      </c>
      <c r="I563">
        <f>B563&amp;"~"&amp;C563</f>
        <v/>
      </c>
    </row>
    <row r="564">
      <c r="B564" t="inlineStr">
        <is>
          <t>Mini-Warehouses / Self-Storage</t>
        </is>
      </c>
      <c r="C564" t="inlineStr">
        <is>
          <t>Average</t>
        </is>
      </c>
      <c r="D564" t="n">
        <v>45</v>
      </c>
      <c r="E564" t="n">
        <v>45</v>
      </c>
      <c r="F564" t="n">
        <v>40</v>
      </c>
      <c r="G564" t="n">
        <v>35</v>
      </c>
      <c r="H564" t="n">
        <v>35</v>
      </c>
      <c r="I564">
        <f>B564&amp;"~"&amp;C564</f>
        <v/>
      </c>
    </row>
    <row r="565">
      <c r="B565" t="inlineStr">
        <is>
          <t>Mini-Warehouses / Self-Storage</t>
        </is>
      </c>
      <c r="C565" t="inlineStr">
        <is>
          <t>Low Cost</t>
        </is>
      </c>
      <c r="F565" t="n">
        <v>35</v>
      </c>
      <c r="G565" t="n">
        <v>30</v>
      </c>
      <c r="H565" t="n">
        <v>30</v>
      </c>
      <c r="I565">
        <f>B565&amp;"~"&amp;C565</f>
        <v/>
      </c>
    </row>
    <row r="566">
      <c r="B566" t="inlineStr">
        <is>
          <t>Mini-Warehouses / Self-Storage</t>
        </is>
      </c>
      <c r="C566" t="inlineStr">
        <is>
          <t>Cheap</t>
        </is>
      </c>
      <c r="F566" t="n">
        <v>35</v>
      </c>
      <c r="G566" t="n">
        <v>30</v>
      </c>
      <c r="H566" t="n">
        <v>30</v>
      </c>
      <c r="I566">
        <f>B566&amp;"~"&amp;C566</f>
        <v/>
      </c>
    </row>
    <row r="567">
      <c r="B567" t="inlineStr">
        <is>
          <t>Mini-Warehouses, High-Rise</t>
        </is>
      </c>
      <c r="C567" t="inlineStr">
        <is>
          <t>Good</t>
        </is>
      </c>
      <c r="F567" t="n">
        <v>45</v>
      </c>
      <c r="G567" t="n">
        <v>40</v>
      </c>
      <c r="H567" t="n">
        <v>40</v>
      </c>
      <c r="I567">
        <f>B567&amp;"~"&amp;C567</f>
        <v/>
      </c>
    </row>
    <row r="568">
      <c r="B568" t="inlineStr">
        <is>
          <t>Mini-Warehouses, High-Rise</t>
        </is>
      </c>
      <c r="C568" t="inlineStr">
        <is>
          <t>Average</t>
        </is>
      </c>
      <c r="D568" t="n">
        <v>45</v>
      </c>
      <c r="E568" t="n">
        <v>45</v>
      </c>
      <c r="F568" t="n">
        <v>40</v>
      </c>
      <c r="G568" t="n">
        <v>35</v>
      </c>
      <c r="H568" t="n">
        <v>35</v>
      </c>
      <c r="I568">
        <f>B568&amp;"~"&amp;C568</f>
        <v/>
      </c>
    </row>
    <row r="569">
      <c r="B569" t="inlineStr">
        <is>
          <t>Mini-Warehouses, High-Rise</t>
        </is>
      </c>
      <c r="C569" t="inlineStr">
        <is>
          <t>Low Cost</t>
        </is>
      </c>
      <c r="F569" t="n">
        <v>35</v>
      </c>
      <c r="G569" t="n">
        <v>30</v>
      </c>
      <c r="H569" t="n">
        <v>30</v>
      </c>
      <c r="I569">
        <f>B569&amp;"~"&amp;C569</f>
        <v/>
      </c>
    </row>
    <row r="570">
      <c r="B570" t="inlineStr">
        <is>
          <t>Industrials, Light Manufacturing</t>
        </is>
      </c>
      <c r="C570" t="inlineStr">
        <is>
          <t>Good</t>
        </is>
      </c>
      <c r="D570" t="n">
        <v>50</v>
      </c>
      <c r="E570" t="n">
        <v>50</v>
      </c>
      <c r="F570" t="n">
        <v>45</v>
      </c>
      <c r="G570" t="n">
        <v>40</v>
      </c>
      <c r="H570" t="n">
        <v>40</v>
      </c>
      <c r="I570">
        <f>B570&amp;"~"&amp;C570</f>
        <v/>
      </c>
    </row>
    <row r="571">
      <c r="B571" t="inlineStr">
        <is>
          <t>Industrials, Light Manufacturing</t>
        </is>
      </c>
      <c r="C571" t="inlineStr">
        <is>
          <t>Average</t>
        </is>
      </c>
      <c r="D571" t="n">
        <v>50</v>
      </c>
      <c r="E571" t="n">
        <v>50</v>
      </c>
      <c r="F571" t="n">
        <v>40</v>
      </c>
      <c r="G571" t="n">
        <v>35</v>
      </c>
      <c r="H571" t="n">
        <v>35</v>
      </c>
      <c r="I571">
        <f>B571&amp;"~"&amp;C571</f>
        <v/>
      </c>
    </row>
    <row r="572">
      <c r="B572" t="inlineStr">
        <is>
          <t>Industrials, Light Manufacturing</t>
        </is>
      </c>
      <c r="C572" t="inlineStr">
        <is>
          <t>Low Cost</t>
        </is>
      </c>
      <c r="D572" t="n">
        <v>45</v>
      </c>
      <c r="E572" t="n">
        <v>45</v>
      </c>
      <c r="F572" t="n">
        <v>40</v>
      </c>
      <c r="G572" t="n">
        <v>35</v>
      </c>
      <c r="H572" t="n">
        <v>35</v>
      </c>
      <c r="I572">
        <f>B572&amp;"~"&amp;C572</f>
        <v/>
      </c>
    </row>
    <row r="573">
      <c r="B573" t="inlineStr">
        <is>
          <t>Industrials, Heavy (Process) Manufacturing</t>
        </is>
      </c>
      <c r="C573" t="inlineStr">
        <is>
          <t>Good</t>
        </is>
      </c>
      <c r="D573" t="n">
        <v>60</v>
      </c>
      <c r="E573" t="n">
        <v>60</v>
      </c>
      <c r="F573" t="n">
        <v>55</v>
      </c>
      <c r="H573" t="n">
        <v>50</v>
      </c>
      <c r="I573">
        <f>B573&amp;"~"&amp;C573</f>
        <v/>
      </c>
    </row>
    <row r="574">
      <c r="B574" t="inlineStr">
        <is>
          <t>Industrials, Heavy (Process) Manufacturing</t>
        </is>
      </c>
      <c r="C574" t="inlineStr">
        <is>
          <t>Excellent</t>
        </is>
      </c>
      <c r="D574" t="n">
        <v>60</v>
      </c>
      <c r="E574" t="n">
        <v>60</v>
      </c>
      <c r="F574" t="n">
        <v>55</v>
      </c>
      <c r="H574" t="n">
        <v>50</v>
      </c>
      <c r="I574">
        <f>B574&amp;"~"&amp;C574</f>
        <v/>
      </c>
    </row>
    <row r="575">
      <c r="B575" t="inlineStr">
        <is>
          <t>Industrials, Heavy (Process) Manufacturing</t>
        </is>
      </c>
      <c r="C575" t="inlineStr">
        <is>
          <t>Low Cost</t>
        </is>
      </c>
      <c r="D575" t="n">
        <v>55</v>
      </c>
      <c r="E575" t="n">
        <v>55</v>
      </c>
      <c r="F575" t="n">
        <v>50</v>
      </c>
      <c r="G575" t="n">
        <v>45</v>
      </c>
      <c r="H575" t="n">
        <v>45</v>
      </c>
      <c r="I575">
        <f>B575&amp;"~"&amp;C575</f>
        <v/>
      </c>
    </row>
    <row r="576">
      <c r="B576" t="inlineStr">
        <is>
          <t>Industrials, Heavy (Process) Manufacturing</t>
        </is>
      </c>
      <c r="C576" t="inlineStr">
        <is>
          <t>Average</t>
        </is>
      </c>
      <c r="D576" t="n">
        <v>55</v>
      </c>
      <c r="E576" t="n">
        <v>55</v>
      </c>
      <c r="F576" t="n">
        <v>50</v>
      </c>
      <c r="G576" t="n">
        <v>45</v>
      </c>
      <c r="H576" t="n">
        <v>45</v>
      </c>
      <c r="I576">
        <f>B576&amp;"~"&amp;C576</f>
        <v/>
      </c>
    </row>
    <row r="577">
      <c r="B577" t="inlineStr">
        <is>
          <t>Service Garages (Commercial/Repair)</t>
        </is>
      </c>
      <c r="C577" t="inlineStr">
        <is>
          <t>Good</t>
        </is>
      </c>
      <c r="F577" t="n">
        <v>40</v>
      </c>
      <c r="G577" t="n">
        <v>35</v>
      </c>
      <c r="H577" t="n">
        <v>35</v>
      </c>
      <c r="I577">
        <f>B577&amp;"~"&amp;C577</f>
        <v/>
      </c>
    </row>
    <row r="578">
      <c r="B578" t="inlineStr">
        <is>
          <t>Service Garages (Commercial/Repair)</t>
        </is>
      </c>
      <c r="C578" t="inlineStr">
        <is>
          <t>Excellent</t>
        </is>
      </c>
      <c r="F578" t="n">
        <v>40</v>
      </c>
      <c r="G578" t="n">
        <v>35</v>
      </c>
      <c r="H578" t="n">
        <v>35</v>
      </c>
      <c r="I578">
        <f>B578&amp;"~"&amp;C578</f>
        <v/>
      </c>
    </row>
    <row r="579">
      <c r="B579" t="inlineStr">
        <is>
          <t>Service Garages (Commercial/Repair)</t>
        </is>
      </c>
      <c r="C579" t="inlineStr">
        <is>
          <t>Low Cost</t>
        </is>
      </c>
      <c r="D579" t="n">
        <v>40</v>
      </c>
      <c r="E579" t="n">
        <v>40</v>
      </c>
      <c r="F579" t="n">
        <v>35</v>
      </c>
      <c r="G579" t="n">
        <v>30</v>
      </c>
      <c r="H579" t="n">
        <v>30</v>
      </c>
      <c r="I579">
        <f>B579&amp;"~"&amp;C579</f>
        <v/>
      </c>
    </row>
    <row r="580">
      <c r="B580" t="inlineStr">
        <is>
          <t>Service Garages (Commercial/Repair)</t>
        </is>
      </c>
      <c r="C580" t="inlineStr">
        <is>
          <t>Average</t>
        </is>
      </c>
      <c r="D580" t="n">
        <v>40</v>
      </c>
      <c r="E580" t="n">
        <v>40</v>
      </c>
      <c r="F580" t="n">
        <v>35</v>
      </c>
      <c r="G580" t="n">
        <v>30</v>
      </c>
      <c r="H580" t="n">
        <v>30</v>
      </c>
      <c r="I580">
        <f>B580&amp;"~"&amp;C580</f>
        <v/>
      </c>
    </row>
    <row r="581">
      <c r="B581" t="inlineStr">
        <is>
          <t>Retail Stores</t>
        </is>
      </c>
      <c r="C581" t="inlineStr">
        <is>
          <t>Good</t>
        </is>
      </c>
      <c r="D581" t="n">
        <v>55</v>
      </c>
      <c r="E581" t="n">
        <v>55</v>
      </c>
      <c r="F581" t="n">
        <v>50</v>
      </c>
      <c r="G581" t="n">
        <v>45</v>
      </c>
      <c r="H581" t="n">
        <v>45</v>
      </c>
      <c r="I581">
        <f>B581&amp;"~"&amp;C581</f>
        <v/>
      </c>
    </row>
    <row r="582">
      <c r="B582" t="inlineStr">
        <is>
          <t>Retail Stores</t>
        </is>
      </c>
      <c r="C582" t="inlineStr">
        <is>
          <t>Excellent</t>
        </is>
      </c>
      <c r="D582" t="n">
        <v>55</v>
      </c>
      <c r="E582" t="n">
        <v>55</v>
      </c>
      <c r="F582" t="n">
        <v>50</v>
      </c>
      <c r="G582" t="n">
        <v>45</v>
      </c>
      <c r="H582" t="n">
        <v>45</v>
      </c>
      <c r="I582">
        <f>B582&amp;"~"&amp;C582</f>
        <v/>
      </c>
    </row>
    <row r="583">
      <c r="B583" t="inlineStr">
        <is>
          <t>Retail Stores</t>
        </is>
      </c>
      <c r="C583" t="inlineStr">
        <is>
          <t>Average</t>
        </is>
      </c>
      <c r="D583" t="n">
        <v>50</v>
      </c>
      <c r="E583" t="n">
        <v>50</v>
      </c>
      <c r="F583" t="n">
        <v>45</v>
      </c>
      <c r="G583" t="n">
        <v>40</v>
      </c>
      <c r="H583" t="n">
        <v>40</v>
      </c>
      <c r="I583">
        <f>B583&amp;"~"&amp;C583</f>
        <v/>
      </c>
    </row>
    <row r="584">
      <c r="B584" t="inlineStr">
        <is>
          <t>Retail Stores</t>
        </is>
      </c>
      <c r="C584" t="inlineStr">
        <is>
          <t>Low Cost</t>
        </is>
      </c>
      <c r="D584" t="n">
        <v>45</v>
      </c>
      <c r="E584" t="n">
        <v>45</v>
      </c>
      <c r="F584" t="n">
        <v>40</v>
      </c>
      <c r="G584" t="n">
        <v>40</v>
      </c>
      <c r="H584" t="n">
        <v>40</v>
      </c>
      <c r="I584">
        <f>B584&amp;"~"&amp;C584</f>
        <v/>
      </c>
    </row>
    <row r="585">
      <c r="B585" t="inlineStr">
        <is>
          <t>Neighborhood Shopping Centers</t>
        </is>
      </c>
      <c r="C585" t="inlineStr">
        <is>
          <t>Good</t>
        </is>
      </c>
      <c r="F585" t="n">
        <v>45</v>
      </c>
      <c r="G585" t="n">
        <v>40</v>
      </c>
      <c r="I585">
        <f>B585&amp;"~"&amp;C585</f>
        <v/>
      </c>
    </row>
    <row r="586">
      <c r="B586" t="inlineStr">
        <is>
          <t>Neighborhood Shopping Centers</t>
        </is>
      </c>
      <c r="C586" t="inlineStr">
        <is>
          <t>Average</t>
        </is>
      </c>
      <c r="F586" t="n">
        <v>40</v>
      </c>
      <c r="G586" t="n">
        <v>35</v>
      </c>
      <c r="H586" t="n">
        <v>35</v>
      </c>
      <c r="I586">
        <f>B586&amp;"~"&amp;C586</f>
        <v/>
      </c>
    </row>
    <row r="587">
      <c r="B587" t="inlineStr">
        <is>
          <t>Neighborhood Shopping Centers</t>
        </is>
      </c>
      <c r="C587" t="inlineStr">
        <is>
          <t>Low Cost</t>
        </is>
      </c>
      <c r="F587" t="n">
        <v>35</v>
      </c>
      <c r="G587" t="n">
        <v>30</v>
      </c>
      <c r="H587" t="n">
        <v>30</v>
      </c>
      <c r="I587">
        <f>B587&amp;"~"&amp;C587</f>
        <v/>
      </c>
    </row>
    <row r="588">
      <c r="B588" t="inlineStr">
        <is>
          <t>Community Shopping Centers</t>
        </is>
      </c>
      <c r="C588" t="inlineStr">
        <is>
          <t>Good</t>
        </is>
      </c>
      <c r="F588" t="n">
        <v>50</v>
      </c>
      <c r="G588" t="n">
        <v>45</v>
      </c>
      <c r="H588" t="n">
        <v>45</v>
      </c>
      <c r="I588">
        <f>B588&amp;"~"&amp;C588</f>
        <v/>
      </c>
    </row>
    <row r="589">
      <c r="B589" t="inlineStr">
        <is>
          <t>Community Shopping Centers</t>
        </is>
      </c>
      <c r="C589" t="inlineStr">
        <is>
          <t>Excellent</t>
        </is>
      </c>
      <c r="F589" t="n">
        <v>50</v>
      </c>
      <c r="G589" t="n">
        <v>45</v>
      </c>
      <c r="H589" t="n">
        <v>45</v>
      </c>
      <c r="I589">
        <f>B589&amp;"~"&amp;C589</f>
        <v/>
      </c>
    </row>
    <row r="590">
      <c r="B590" t="inlineStr">
        <is>
          <t>Community Shopping Centers</t>
        </is>
      </c>
      <c r="C590" t="inlineStr">
        <is>
          <t>Average</t>
        </is>
      </c>
      <c r="F590" t="n">
        <v>45</v>
      </c>
      <c r="G590" t="n">
        <v>40</v>
      </c>
      <c r="H590" t="n">
        <v>40</v>
      </c>
      <c r="I590">
        <f>B590&amp;"~"&amp;C590</f>
        <v/>
      </c>
    </row>
    <row r="591">
      <c r="B591" t="inlineStr">
        <is>
          <t>Community Shopping Centers</t>
        </is>
      </c>
      <c r="C591" t="inlineStr">
        <is>
          <t>Low Cost</t>
        </is>
      </c>
      <c r="F591" t="n">
        <v>45</v>
      </c>
      <c r="G591" t="n">
        <v>40</v>
      </c>
      <c r="H591" t="n">
        <v>40</v>
      </c>
      <c r="I591">
        <f>B591&amp;"~"&amp;C591</f>
        <v/>
      </c>
    </row>
    <row r="592">
      <c r="B592" t="inlineStr">
        <is>
          <t>Regional Shopping Centers</t>
        </is>
      </c>
      <c r="C592" t="inlineStr">
        <is>
          <t>Good</t>
        </is>
      </c>
      <c r="D592" t="n">
        <v>55</v>
      </c>
      <c r="E592" t="n">
        <v>55</v>
      </c>
      <c r="F592" t="n">
        <v>55</v>
      </c>
      <c r="G592" t="n">
        <v>50</v>
      </c>
      <c r="I592">
        <f>B592&amp;"~"&amp;C592</f>
        <v/>
      </c>
    </row>
    <row r="593">
      <c r="B593" t="inlineStr">
        <is>
          <t>Regional Shopping Centers</t>
        </is>
      </c>
      <c r="C593" t="inlineStr">
        <is>
          <t>Excellent</t>
        </is>
      </c>
      <c r="D593" t="n">
        <v>55</v>
      </c>
      <c r="E593" t="n">
        <v>55</v>
      </c>
      <c r="F593" t="n">
        <v>55</v>
      </c>
      <c r="G593" t="n">
        <v>50</v>
      </c>
      <c r="I593">
        <f>B593&amp;"~"&amp;C593</f>
        <v/>
      </c>
    </row>
    <row r="594">
      <c r="B594" t="inlineStr">
        <is>
          <t>Regional Shopping Centers</t>
        </is>
      </c>
      <c r="C594" t="inlineStr">
        <is>
          <t>Average</t>
        </is>
      </c>
      <c r="F594" t="n">
        <v>50</v>
      </c>
      <c r="G594" t="n">
        <v>45</v>
      </c>
      <c r="H594" t="n">
        <v>45</v>
      </c>
      <c r="I594">
        <f>B594&amp;"~"&amp;C594</f>
        <v/>
      </c>
    </row>
    <row r="595">
      <c r="B595" t="inlineStr">
        <is>
          <t>Regional Shopping Centers</t>
        </is>
      </c>
      <c r="C595" t="inlineStr">
        <is>
          <t>Good*</t>
        </is>
      </c>
      <c r="D595" t="n">
        <v>55</v>
      </c>
      <c r="E595" t="n">
        <v>55</v>
      </c>
      <c r="F595" t="n">
        <v>55</v>
      </c>
      <c r="G595" t="n">
        <v>50</v>
      </c>
      <c r="I595">
        <f>B595&amp;"~"&amp;C595</f>
        <v/>
      </c>
    </row>
    <row r="596">
      <c r="B596" t="inlineStr">
        <is>
          <t>Regional Shopping Centers</t>
        </is>
      </c>
      <c r="C596" t="inlineStr">
        <is>
          <t>Excellent*</t>
        </is>
      </c>
      <c r="D596" t="n">
        <v>55</v>
      </c>
      <c r="E596" t="n">
        <v>55</v>
      </c>
      <c r="F596" t="n">
        <v>55</v>
      </c>
      <c r="G596" t="n">
        <v>50</v>
      </c>
      <c r="I596">
        <f>B596&amp;"~"&amp;C596</f>
        <v/>
      </c>
    </row>
    <row r="597">
      <c r="B597" t="inlineStr">
        <is>
          <t>Department Stores</t>
        </is>
      </c>
      <c r="C597" t="inlineStr">
        <is>
          <t>Good</t>
        </is>
      </c>
      <c r="D597" t="n">
        <v>55</v>
      </c>
      <c r="E597" t="n">
        <v>55</v>
      </c>
      <c r="F597" t="n">
        <v>50</v>
      </c>
      <c r="I597">
        <f>B597&amp;"~"&amp;C597</f>
        <v/>
      </c>
    </row>
    <row r="598">
      <c r="B598" t="inlineStr">
        <is>
          <t>Department Stores</t>
        </is>
      </c>
      <c r="C598" t="inlineStr">
        <is>
          <t>Excellent</t>
        </is>
      </c>
      <c r="D598" t="n">
        <v>55</v>
      </c>
      <c r="E598" t="n">
        <v>55</v>
      </c>
      <c r="F598" t="n">
        <v>50</v>
      </c>
      <c r="I598">
        <f>B598&amp;"~"&amp;C598</f>
        <v/>
      </c>
    </row>
    <row r="599">
      <c r="B599" t="inlineStr">
        <is>
          <t>Department Stores</t>
        </is>
      </c>
      <c r="C599" t="inlineStr">
        <is>
          <t>Low Cost</t>
        </is>
      </c>
      <c r="D599" t="n">
        <v>50</v>
      </c>
      <c r="E599" t="n">
        <v>50</v>
      </c>
      <c r="F599" t="n">
        <v>45</v>
      </c>
      <c r="I599">
        <f>B599&amp;"~"&amp;C599</f>
        <v/>
      </c>
    </row>
    <row r="600">
      <c r="B600" t="inlineStr">
        <is>
          <t>Department Stores</t>
        </is>
      </c>
      <c r="C600" t="inlineStr">
        <is>
          <t>Average</t>
        </is>
      </c>
      <c r="D600" t="n">
        <v>50</v>
      </c>
      <c r="E600" t="n">
        <v>50</v>
      </c>
      <c r="F600" t="n">
        <v>45</v>
      </c>
      <c r="I600">
        <f>B600&amp;"~"&amp;C600</f>
        <v/>
      </c>
    </row>
    <row r="601">
      <c r="B601" t="inlineStr">
        <is>
          <t>Discount Stores</t>
        </is>
      </c>
      <c r="C601" t="inlineStr">
        <is>
          <t>Good</t>
        </is>
      </c>
      <c r="F601" t="n">
        <v>40</v>
      </c>
      <c r="G601" t="n">
        <v>35</v>
      </c>
      <c r="H601" t="n">
        <v>35</v>
      </c>
      <c r="I601">
        <f>B601&amp;"~"&amp;C601</f>
        <v/>
      </c>
    </row>
    <row r="602">
      <c r="B602" t="inlineStr">
        <is>
          <t>Discount Stores</t>
        </is>
      </c>
      <c r="C602" t="inlineStr">
        <is>
          <t>Low Cost</t>
        </is>
      </c>
      <c r="D602" t="n">
        <v>40</v>
      </c>
      <c r="E602" t="n">
        <v>40</v>
      </c>
      <c r="F602" t="n">
        <v>35</v>
      </c>
      <c r="G602" t="n">
        <v>30</v>
      </c>
      <c r="H602" t="n">
        <v>30</v>
      </c>
      <c r="I602">
        <f>B602&amp;"~"&amp;C602</f>
        <v/>
      </c>
    </row>
    <row r="603">
      <c r="B603" t="inlineStr">
        <is>
          <t>Discount Stores</t>
        </is>
      </c>
      <c r="C603" t="inlineStr">
        <is>
          <t>Average</t>
        </is>
      </c>
      <c r="D603" t="n">
        <v>40</v>
      </c>
      <c r="E603" t="n">
        <v>40</v>
      </c>
      <c r="F603" t="n">
        <v>35</v>
      </c>
      <c r="G603" t="n">
        <v>30</v>
      </c>
      <c r="H603" t="n">
        <v>30</v>
      </c>
      <c r="I603">
        <f>B603&amp;"~"&amp;C603</f>
        <v/>
      </c>
    </row>
    <row r="604">
      <c r="B604" t="inlineStr">
        <is>
          <t>Office Buildings</t>
        </is>
      </c>
      <c r="C604" t="inlineStr">
        <is>
          <t>Good</t>
        </is>
      </c>
      <c r="D604" t="n">
        <v>60</v>
      </c>
      <c r="E604" t="n">
        <v>60</v>
      </c>
      <c r="F604" t="n">
        <v>55</v>
      </c>
      <c r="G604" t="n">
        <v>50</v>
      </c>
      <c r="H604" t="n">
        <v>50</v>
      </c>
      <c r="I604">
        <f>B604&amp;"~"&amp;C604</f>
        <v/>
      </c>
    </row>
    <row r="605">
      <c r="B605" t="inlineStr">
        <is>
          <t>Office Buildings</t>
        </is>
      </c>
      <c r="C605" t="inlineStr">
        <is>
          <t>Excellent</t>
        </is>
      </c>
      <c r="D605" t="n">
        <v>60</v>
      </c>
      <c r="E605" t="n">
        <v>60</v>
      </c>
      <c r="F605" t="n">
        <v>55</v>
      </c>
      <c r="G605" t="n">
        <v>50</v>
      </c>
      <c r="H605" t="n">
        <v>50</v>
      </c>
      <c r="I605">
        <f>B605&amp;"~"&amp;C605</f>
        <v/>
      </c>
    </row>
    <row r="606">
      <c r="B606" t="inlineStr">
        <is>
          <t>Office Buildings</t>
        </is>
      </c>
      <c r="C606" t="inlineStr">
        <is>
          <t>Average</t>
        </is>
      </c>
      <c r="D606" t="n">
        <v>55</v>
      </c>
      <c r="E606" t="n">
        <v>55</v>
      </c>
      <c r="F606" t="n">
        <v>50</v>
      </c>
      <c r="G606" t="n">
        <v>45</v>
      </c>
      <c r="H606" t="n">
        <v>45</v>
      </c>
      <c r="I606">
        <f>B606&amp;"~"&amp;C606</f>
        <v/>
      </c>
    </row>
    <row r="607">
      <c r="B607" t="inlineStr">
        <is>
          <t>Office Buildings</t>
        </is>
      </c>
      <c r="C607" t="inlineStr">
        <is>
          <t>Low Cost</t>
        </is>
      </c>
      <c r="D607" t="n">
        <v>50</v>
      </c>
      <c r="E607" t="n">
        <v>50</v>
      </c>
      <c r="F607" t="n">
        <v>45</v>
      </c>
      <c r="G607" t="n">
        <v>40</v>
      </c>
      <c r="H607" t="n">
        <v>40</v>
      </c>
      <c r="I607">
        <f>B607&amp;"~"&amp;C607</f>
        <v/>
      </c>
    </row>
    <row r="608">
      <c r="B608" t="inlineStr">
        <is>
          <t>Medical Office Buildings</t>
        </is>
      </c>
      <c r="C608" t="inlineStr">
        <is>
          <t>Good</t>
        </is>
      </c>
      <c r="D608" t="n">
        <v>50</v>
      </c>
      <c r="E608" t="n">
        <v>50</v>
      </c>
      <c r="F608" t="n">
        <v>45</v>
      </c>
      <c r="G608" t="n">
        <v>40</v>
      </c>
      <c r="H608" t="n">
        <v>40</v>
      </c>
      <c r="I608">
        <f>B608&amp;"~"&amp;C608</f>
        <v/>
      </c>
    </row>
    <row r="609">
      <c r="B609" t="inlineStr">
        <is>
          <t>Medical Office Buildings</t>
        </is>
      </c>
      <c r="C609" t="inlineStr">
        <is>
          <t>Excellent</t>
        </is>
      </c>
      <c r="D609" t="n">
        <v>50</v>
      </c>
      <c r="E609" t="n">
        <v>50</v>
      </c>
      <c r="F609" t="n">
        <v>45</v>
      </c>
      <c r="G609" t="n">
        <v>40</v>
      </c>
      <c r="H609" t="n">
        <v>40</v>
      </c>
      <c r="I609">
        <f>B609&amp;"~"&amp;C609</f>
        <v/>
      </c>
    </row>
    <row r="610">
      <c r="B610" t="inlineStr">
        <is>
          <t>Medical Office Buildings</t>
        </is>
      </c>
      <c r="C610" t="inlineStr">
        <is>
          <t>Low Cost</t>
        </is>
      </c>
      <c r="D610" t="n">
        <v>45</v>
      </c>
      <c r="E610" t="n">
        <v>45</v>
      </c>
      <c r="F610" t="n">
        <v>40</v>
      </c>
      <c r="G610" t="n">
        <v>35</v>
      </c>
      <c r="H610" t="n">
        <v>35</v>
      </c>
      <c r="I610">
        <f>B610&amp;"~"&amp;C610</f>
        <v/>
      </c>
    </row>
    <row r="611">
      <c r="B611" t="inlineStr">
        <is>
          <t>Medical Office Buildings</t>
        </is>
      </c>
      <c r="C611" t="inlineStr">
        <is>
          <t>Average</t>
        </is>
      </c>
      <c r="D611" t="n">
        <v>45</v>
      </c>
      <c r="E611" t="n">
        <v>45</v>
      </c>
      <c r="F611" t="n">
        <v>40</v>
      </c>
      <c r="G611" t="n">
        <v>35</v>
      </c>
      <c r="H611" t="n">
        <v>35</v>
      </c>
      <c r="I611">
        <f>B611&amp;"~"&amp;C611</f>
        <v/>
      </c>
    </row>
    <row r="612">
      <c r="B612" t="inlineStr">
        <is>
          <t>Banks, Branch</t>
        </is>
      </c>
      <c r="C612" t="inlineStr">
        <is>
          <t>Good</t>
        </is>
      </c>
      <c r="D612" t="n">
        <v>60</v>
      </c>
      <c r="E612" t="n">
        <v>60</v>
      </c>
      <c r="F612" t="n">
        <v>55</v>
      </c>
      <c r="G612" t="n">
        <v>50</v>
      </c>
      <c r="H612" t="n">
        <v>50</v>
      </c>
      <c r="I612">
        <f>B612&amp;"~"&amp;C612</f>
        <v/>
      </c>
    </row>
    <row r="613">
      <c r="B613" t="inlineStr">
        <is>
          <t>Banks, Branch</t>
        </is>
      </c>
      <c r="C613" t="inlineStr">
        <is>
          <t>Excellent</t>
        </is>
      </c>
      <c r="D613" t="n">
        <v>60</v>
      </c>
      <c r="E613" t="n">
        <v>60</v>
      </c>
      <c r="F613" t="n">
        <v>55</v>
      </c>
      <c r="G613" t="n">
        <v>50</v>
      </c>
      <c r="H613" t="n">
        <v>50</v>
      </c>
      <c r="I613">
        <f>B613&amp;"~"&amp;C613</f>
        <v/>
      </c>
    </row>
    <row r="614">
      <c r="B614" t="inlineStr">
        <is>
          <t>Banks, Branch</t>
        </is>
      </c>
      <c r="C614" t="inlineStr">
        <is>
          <t>Average</t>
        </is>
      </c>
      <c r="D614" t="n">
        <v>55</v>
      </c>
      <c r="E614" t="n">
        <v>55</v>
      </c>
      <c r="F614" t="n">
        <v>50</v>
      </c>
      <c r="G614" t="n">
        <v>45</v>
      </c>
      <c r="H614" t="n">
        <v>45</v>
      </c>
      <c r="I614">
        <f>B614&amp;"~"&amp;C614</f>
        <v/>
      </c>
    </row>
    <row r="615">
      <c r="B615" t="inlineStr">
        <is>
          <t>Banks, Branch</t>
        </is>
      </c>
      <c r="C615" t="inlineStr">
        <is>
          <t>Low Cost</t>
        </is>
      </c>
      <c r="D615" t="n">
        <v>50</v>
      </c>
      <c r="E615" t="n">
        <v>50</v>
      </c>
      <c r="F615" t="n">
        <v>45</v>
      </c>
      <c r="G615" t="n">
        <v>40</v>
      </c>
      <c r="H615" t="n">
        <v>40</v>
      </c>
      <c r="I615">
        <f>B615&amp;"~"&amp;C615</f>
        <v/>
      </c>
    </row>
    <row r="616">
      <c r="B616" t="inlineStr">
        <is>
          <t>Hotels, Full Service</t>
        </is>
      </c>
      <c r="C616" t="inlineStr">
        <is>
          <t>Good</t>
        </is>
      </c>
      <c r="D616" t="n">
        <v>60</v>
      </c>
      <c r="E616" t="n">
        <v>60</v>
      </c>
      <c r="F616" t="n">
        <v>50</v>
      </c>
      <c r="G616" t="n">
        <v>45</v>
      </c>
      <c r="I616">
        <f>B616&amp;"~"&amp;C616</f>
        <v/>
      </c>
    </row>
    <row r="617">
      <c r="B617" t="inlineStr">
        <is>
          <t>Hotels, Full Service</t>
        </is>
      </c>
      <c r="C617" t="inlineStr">
        <is>
          <t>Excellent</t>
        </is>
      </c>
      <c r="D617" t="n">
        <v>60</v>
      </c>
      <c r="E617" t="n">
        <v>60</v>
      </c>
      <c r="F617" t="n">
        <v>50</v>
      </c>
      <c r="G617" t="n">
        <v>45</v>
      </c>
      <c r="I617">
        <f>B617&amp;"~"&amp;C617</f>
        <v/>
      </c>
    </row>
    <row r="618">
      <c r="B618" t="inlineStr">
        <is>
          <t>Hotels, Full Service</t>
        </is>
      </c>
      <c r="C618" t="inlineStr">
        <is>
          <t>Average</t>
        </is>
      </c>
      <c r="D618" t="n">
        <v>55</v>
      </c>
      <c r="E618" t="n">
        <v>55</v>
      </c>
      <c r="F618" t="n">
        <v>50</v>
      </c>
      <c r="G618" t="n">
        <v>45</v>
      </c>
      <c r="I618">
        <f>B618&amp;"~"&amp;C618</f>
        <v/>
      </c>
    </row>
    <row r="619">
      <c r="B619" t="inlineStr">
        <is>
          <t>Hotels, Full Service</t>
        </is>
      </c>
      <c r="C619" t="inlineStr">
        <is>
          <t>Low Cost</t>
        </is>
      </c>
      <c r="D619" t="n">
        <v>50</v>
      </c>
      <c r="E619" t="n">
        <v>50</v>
      </c>
      <c r="F619" t="n">
        <v>45</v>
      </c>
      <c r="G619" t="n">
        <v>40</v>
      </c>
      <c r="I619">
        <f>B619&amp;"~"&amp;C619</f>
        <v/>
      </c>
    </row>
    <row r="620">
      <c r="B620" t="inlineStr">
        <is>
          <t>Hotels, Limited Service</t>
        </is>
      </c>
      <c r="C620" t="inlineStr">
        <is>
          <t>Excellent</t>
        </is>
      </c>
      <c r="D620" t="n">
        <v>60</v>
      </c>
      <c r="E620" t="n">
        <v>60</v>
      </c>
      <c r="F620" t="n">
        <v>50</v>
      </c>
      <c r="I620">
        <f>B620&amp;"~"&amp;C620</f>
        <v/>
      </c>
    </row>
    <row r="621">
      <c r="B621" t="inlineStr">
        <is>
          <t>Hotels, Limited Service</t>
        </is>
      </c>
      <c r="C621" t="inlineStr">
        <is>
          <t>Good</t>
        </is>
      </c>
      <c r="D621" t="n">
        <v>55</v>
      </c>
      <c r="E621" t="n">
        <v>55</v>
      </c>
      <c r="F621" t="n">
        <v>50</v>
      </c>
      <c r="G621" t="n">
        <v>45</v>
      </c>
      <c r="I621">
        <f>B621&amp;"~"&amp;C621</f>
        <v/>
      </c>
    </row>
    <row r="622">
      <c r="B622" t="inlineStr">
        <is>
          <t>Hotels, Limited Service</t>
        </is>
      </c>
      <c r="C622" t="inlineStr">
        <is>
          <t>Low Cost</t>
        </is>
      </c>
      <c r="D622" t="n">
        <v>50</v>
      </c>
      <c r="E622" t="n">
        <v>50</v>
      </c>
      <c r="F622" t="n">
        <v>45</v>
      </c>
      <c r="G622" t="n">
        <v>40</v>
      </c>
      <c r="H622" t="n">
        <v>40</v>
      </c>
      <c r="I622">
        <f>B622&amp;"~"&amp;C622</f>
        <v/>
      </c>
    </row>
    <row r="623">
      <c r="B623" t="inlineStr">
        <is>
          <t>Hotels, Limited Service</t>
        </is>
      </c>
      <c r="C623" t="inlineStr">
        <is>
          <t>Average</t>
        </is>
      </c>
      <c r="D623" t="n">
        <v>50</v>
      </c>
      <c r="E623" t="n">
        <v>50</v>
      </c>
      <c r="F623" t="n">
        <v>45</v>
      </c>
      <c r="G623" t="n">
        <v>40</v>
      </c>
      <c r="H623" t="n">
        <v>40</v>
      </c>
      <c r="I623">
        <f>B623&amp;"~"&amp;C623</f>
        <v/>
      </c>
    </row>
    <row r="625">
      <c r="B625" s="603" t="inlineStr">
        <is>
          <t>REFERENCE 12 -- Depreciation Percent-Good Table, Commercial Properties (MVS Sec.97 p.24). Applies to Sections 11/13/14/15 per MVS's own 'Properties Included' key.</t>
        </is>
      </c>
      <c r="C625" s="603" t="n"/>
      <c r="D625" s="603" t="n"/>
      <c r="E625" s="603" t="n"/>
      <c r="F625" s="603" t="n"/>
      <c r="G625" s="603" t="n"/>
      <c r="H625" s="603" t="n"/>
    </row>
    <row r="626">
      <c r="B626" s="609" t="inlineStr">
        <is>
          <t>Blank cells = combination not tabulated in the manual (effective age exceeds what's charted for that life expectancy) -- treat as fully/near-fully depreciated; see Sec.97 salvage-value guidance.</t>
        </is>
      </c>
    </row>
    <row r="627">
      <c r="B627" s="604" t="inlineStr">
        <is>
          <t>Effective Age (yrs) \ Typical Life (yrs) -&gt;</t>
        </is>
      </c>
      <c r="C627" s="604" t="n">
        <v>70</v>
      </c>
      <c r="D627" s="604" t="n">
        <v>60</v>
      </c>
      <c r="E627" s="604" t="n">
        <v>55</v>
      </c>
      <c r="F627" s="604" t="n">
        <v>50</v>
      </c>
      <c r="G627" s="604" t="n">
        <v>45</v>
      </c>
      <c r="H627" s="604" t="n">
        <v>40</v>
      </c>
      <c r="I627" s="604" t="n">
        <v>35</v>
      </c>
      <c r="J627" s="604" t="n">
        <v>30</v>
      </c>
      <c r="K627" s="604" t="n">
        <v>25</v>
      </c>
      <c r="L627" s="604" t="n">
        <v>20</v>
      </c>
    </row>
    <row r="628">
      <c r="B628" t="n">
        <v>1</v>
      </c>
      <c r="C628" t="n">
        <v>0</v>
      </c>
      <c r="D628" t="n">
        <v>0</v>
      </c>
      <c r="E628" t="n">
        <v>0</v>
      </c>
      <c r="F628" t="n">
        <v>0</v>
      </c>
      <c r="G628" t="n">
        <v>1</v>
      </c>
      <c r="H628" t="n">
        <v>1</v>
      </c>
      <c r="I628" t="n">
        <v>1</v>
      </c>
      <c r="J628" t="n">
        <v>2</v>
      </c>
      <c r="K628" t="n">
        <v>2</v>
      </c>
      <c r="L628" t="n">
        <v>3</v>
      </c>
    </row>
    <row r="629">
      <c r="B629" t="n">
        <v>2</v>
      </c>
      <c r="C629" t="n">
        <v>0</v>
      </c>
      <c r="D629" t="n">
        <v>1</v>
      </c>
      <c r="E629" t="n">
        <v>1</v>
      </c>
      <c r="F629" t="n">
        <v>1</v>
      </c>
      <c r="G629" t="n">
        <v>1</v>
      </c>
      <c r="H629" t="n">
        <v>2</v>
      </c>
      <c r="I629" t="n">
        <v>2</v>
      </c>
      <c r="J629" t="n">
        <v>3</v>
      </c>
      <c r="K629" t="n">
        <v>5</v>
      </c>
      <c r="L629" t="n">
        <v>7</v>
      </c>
    </row>
    <row r="630">
      <c r="B630" t="n">
        <v>3</v>
      </c>
      <c r="C630" t="n">
        <v>0</v>
      </c>
      <c r="D630" t="n">
        <v>1</v>
      </c>
      <c r="E630" t="n">
        <v>1</v>
      </c>
      <c r="F630" t="n">
        <v>1</v>
      </c>
      <c r="G630" t="n">
        <v>2</v>
      </c>
      <c r="H630" t="n">
        <v>3</v>
      </c>
      <c r="I630" t="n">
        <v>4</v>
      </c>
      <c r="J630" t="n">
        <v>5</v>
      </c>
      <c r="K630" t="n">
        <v>7</v>
      </c>
      <c r="L630" t="n">
        <v>10</v>
      </c>
    </row>
    <row r="631">
      <c r="B631" t="n">
        <v>4</v>
      </c>
      <c r="C631" t="n">
        <v>1</v>
      </c>
      <c r="D631" t="n">
        <v>1</v>
      </c>
      <c r="E631" t="n">
        <v>1</v>
      </c>
      <c r="F631" t="n">
        <v>2</v>
      </c>
      <c r="G631" t="n">
        <v>3</v>
      </c>
      <c r="H631" t="n">
        <v>4</v>
      </c>
      <c r="I631" t="n">
        <v>5</v>
      </c>
      <c r="J631" t="n">
        <v>7</v>
      </c>
      <c r="K631" t="n">
        <v>10</v>
      </c>
      <c r="L631" t="n">
        <v>14</v>
      </c>
    </row>
    <row r="632">
      <c r="B632" t="n">
        <v>5</v>
      </c>
      <c r="C632" t="n">
        <v>1</v>
      </c>
      <c r="D632" t="n">
        <v>1</v>
      </c>
      <c r="E632" t="n">
        <v>2</v>
      </c>
      <c r="F632" t="n">
        <v>3</v>
      </c>
      <c r="G632" t="n">
        <v>4</v>
      </c>
      <c r="H632" t="n">
        <v>5</v>
      </c>
      <c r="I632" t="n">
        <v>6</v>
      </c>
      <c r="J632" t="n">
        <v>9</v>
      </c>
      <c r="K632" t="n">
        <v>13</v>
      </c>
      <c r="L632" t="n">
        <v>18</v>
      </c>
    </row>
    <row r="633">
      <c r="B633" t="n">
        <v>6</v>
      </c>
      <c r="C633" t="n">
        <v>1</v>
      </c>
      <c r="D633" t="n">
        <v>2</v>
      </c>
      <c r="E633" t="n">
        <v>2</v>
      </c>
      <c r="F633" t="n">
        <v>3</v>
      </c>
      <c r="G633" t="n">
        <v>4</v>
      </c>
      <c r="H633" t="n">
        <v>6</v>
      </c>
      <c r="I633" t="n">
        <v>8</v>
      </c>
      <c r="J633" t="n">
        <v>11</v>
      </c>
      <c r="K633" t="n">
        <v>16</v>
      </c>
      <c r="L633" t="n">
        <v>22</v>
      </c>
    </row>
    <row r="634">
      <c r="B634" t="n">
        <v>7</v>
      </c>
      <c r="C634" t="n">
        <v>1</v>
      </c>
      <c r="D634" t="n">
        <v>2</v>
      </c>
      <c r="E634" t="n">
        <v>3</v>
      </c>
      <c r="F634" t="n">
        <v>4</v>
      </c>
      <c r="G634" t="n">
        <v>5</v>
      </c>
      <c r="H634" t="n">
        <v>7</v>
      </c>
      <c r="I634" t="n">
        <v>10</v>
      </c>
      <c r="J634" t="n">
        <v>14</v>
      </c>
      <c r="K634" t="n">
        <v>19</v>
      </c>
      <c r="L634" t="n">
        <v>26</v>
      </c>
    </row>
    <row r="635">
      <c r="B635" t="n">
        <v>8</v>
      </c>
      <c r="C635" t="n">
        <v>1</v>
      </c>
      <c r="D635" t="n">
        <v>2</v>
      </c>
      <c r="E635" t="n">
        <v>3</v>
      </c>
      <c r="F635" t="n">
        <v>5</v>
      </c>
      <c r="G635" t="n">
        <v>6</v>
      </c>
      <c r="H635" t="n">
        <v>8</v>
      </c>
      <c r="I635" t="n">
        <v>11</v>
      </c>
      <c r="J635" t="n">
        <v>16</v>
      </c>
      <c r="K635" t="n">
        <v>22</v>
      </c>
      <c r="L635" t="n">
        <v>30</v>
      </c>
    </row>
    <row r="636">
      <c r="B636" t="n">
        <v>9</v>
      </c>
      <c r="C636" t="n">
        <v>2</v>
      </c>
      <c r="D636" t="n">
        <v>3</v>
      </c>
      <c r="E636" t="n">
        <v>4</v>
      </c>
      <c r="F636" t="n">
        <v>5</v>
      </c>
      <c r="G636" t="n">
        <v>7</v>
      </c>
      <c r="H636" t="n">
        <v>10</v>
      </c>
      <c r="I636" t="n">
        <v>13</v>
      </c>
      <c r="J636" t="n">
        <v>18</v>
      </c>
      <c r="K636" t="n">
        <v>25</v>
      </c>
      <c r="L636" t="n">
        <v>35</v>
      </c>
    </row>
    <row r="637">
      <c r="B637" t="n">
        <v>10</v>
      </c>
      <c r="C637" t="n">
        <v>2</v>
      </c>
      <c r="D637" t="n">
        <v>3</v>
      </c>
      <c r="E637" t="n">
        <v>4</v>
      </c>
      <c r="F637" t="n">
        <v>6</v>
      </c>
      <c r="G637" t="n">
        <v>8</v>
      </c>
      <c r="H637" t="n">
        <v>11</v>
      </c>
      <c r="I637" t="n">
        <v>15</v>
      </c>
      <c r="J637" t="n">
        <v>21</v>
      </c>
      <c r="K637" t="n">
        <v>29</v>
      </c>
      <c r="L637" t="n">
        <v>40</v>
      </c>
    </row>
    <row r="638">
      <c r="B638" t="n">
        <v>11</v>
      </c>
      <c r="C638" t="n">
        <v>2</v>
      </c>
      <c r="D638" t="n">
        <v>4</v>
      </c>
      <c r="E638" t="n">
        <v>5</v>
      </c>
      <c r="F638" t="n">
        <v>7</v>
      </c>
      <c r="G638" t="n">
        <v>9</v>
      </c>
      <c r="H638" t="n">
        <v>13</v>
      </c>
      <c r="I638" t="n">
        <v>17</v>
      </c>
      <c r="J638" t="n">
        <v>24</v>
      </c>
      <c r="K638" t="n">
        <v>32</v>
      </c>
      <c r="L638" t="n">
        <v>45</v>
      </c>
    </row>
    <row r="639">
      <c r="B639" t="n">
        <v>12</v>
      </c>
      <c r="C639" t="n">
        <v>2</v>
      </c>
      <c r="D639" t="n">
        <v>4</v>
      </c>
      <c r="E639" t="n">
        <v>6</v>
      </c>
      <c r="F639" t="n">
        <v>8</v>
      </c>
      <c r="G639" t="n">
        <v>10</v>
      </c>
      <c r="H639" t="n">
        <v>14</v>
      </c>
      <c r="I639" t="n">
        <v>19</v>
      </c>
      <c r="J639" t="n">
        <v>26</v>
      </c>
      <c r="K639" t="n">
        <v>36</v>
      </c>
      <c r="L639" t="n">
        <v>50</v>
      </c>
    </row>
    <row r="640">
      <c r="B640" t="n">
        <v>13</v>
      </c>
      <c r="C640" t="n">
        <v>2</v>
      </c>
      <c r="D640" t="n">
        <v>5</v>
      </c>
      <c r="E640" t="n">
        <v>6</v>
      </c>
      <c r="F640" t="n">
        <v>9</v>
      </c>
      <c r="G640" t="n">
        <v>12</v>
      </c>
      <c r="H640" t="n">
        <v>16</v>
      </c>
      <c r="I640" t="n">
        <v>22</v>
      </c>
      <c r="J640" t="n">
        <v>29</v>
      </c>
      <c r="K640" t="n">
        <v>40</v>
      </c>
      <c r="L640" t="n">
        <v>55</v>
      </c>
    </row>
    <row r="641">
      <c r="B641" t="n">
        <v>14</v>
      </c>
      <c r="C641" t="n">
        <v>3</v>
      </c>
      <c r="D641" t="n">
        <v>5</v>
      </c>
      <c r="E641" t="n">
        <v>7</v>
      </c>
      <c r="F641" t="n">
        <v>10</v>
      </c>
      <c r="G641" t="n">
        <v>13</v>
      </c>
      <c r="H641" t="n">
        <v>18</v>
      </c>
      <c r="I641" t="n">
        <v>24</v>
      </c>
      <c r="J641" t="n">
        <v>32</v>
      </c>
      <c r="K641" t="n">
        <v>44</v>
      </c>
      <c r="L641" t="n">
        <v>60</v>
      </c>
    </row>
    <row r="642">
      <c r="B642" t="n">
        <v>15</v>
      </c>
      <c r="C642" t="n">
        <v>3</v>
      </c>
      <c r="D642" t="n">
        <v>6</v>
      </c>
      <c r="E642" t="n">
        <v>8</v>
      </c>
      <c r="F642" t="n">
        <v>11</v>
      </c>
      <c r="G642" t="n">
        <v>14</v>
      </c>
      <c r="H642" t="n">
        <v>20</v>
      </c>
      <c r="I642" t="n">
        <v>26</v>
      </c>
      <c r="J642" t="n">
        <v>35</v>
      </c>
      <c r="K642" t="n">
        <v>48</v>
      </c>
      <c r="L642" t="n">
        <v>65</v>
      </c>
    </row>
    <row r="643">
      <c r="B643" t="n">
        <v>16</v>
      </c>
      <c r="C643" t="n">
        <v>3</v>
      </c>
      <c r="D643" t="n">
        <v>7</v>
      </c>
      <c r="E643" t="n">
        <v>9</v>
      </c>
      <c r="F643" t="n">
        <v>12</v>
      </c>
      <c r="G643" t="n">
        <v>16</v>
      </c>
      <c r="H643" t="n">
        <v>22</v>
      </c>
      <c r="I643" t="n">
        <v>28</v>
      </c>
      <c r="J643" t="n">
        <v>39</v>
      </c>
      <c r="K643" t="n">
        <v>52</v>
      </c>
      <c r="L643" t="n">
        <v>69</v>
      </c>
    </row>
    <row r="644">
      <c r="B644" t="n">
        <v>17</v>
      </c>
      <c r="C644" t="n">
        <v>4</v>
      </c>
      <c r="D644" t="n">
        <v>7</v>
      </c>
      <c r="E644" t="n">
        <v>10</v>
      </c>
      <c r="F644" t="n">
        <v>13</v>
      </c>
      <c r="G644" t="n">
        <v>18</v>
      </c>
      <c r="H644" t="n">
        <v>24</v>
      </c>
      <c r="I644" t="n">
        <v>31</v>
      </c>
      <c r="J644" t="n">
        <v>42</v>
      </c>
      <c r="K644" t="n">
        <v>56</v>
      </c>
      <c r="L644" t="n">
        <v>73</v>
      </c>
    </row>
    <row r="645">
      <c r="B645" t="n">
        <v>18</v>
      </c>
      <c r="C645" t="n">
        <v>4</v>
      </c>
      <c r="D645" t="n">
        <v>8</v>
      </c>
      <c r="E645" t="n">
        <v>11</v>
      </c>
      <c r="F645" t="n">
        <v>14</v>
      </c>
      <c r="G645" t="n">
        <v>19</v>
      </c>
      <c r="H645" t="n">
        <v>26</v>
      </c>
      <c r="I645" t="n">
        <v>34</v>
      </c>
      <c r="J645" t="n">
        <v>46</v>
      </c>
      <c r="K645" t="n">
        <v>60</v>
      </c>
      <c r="L645" t="n">
        <v>76</v>
      </c>
    </row>
    <row r="646">
      <c r="B646" t="n">
        <v>19</v>
      </c>
      <c r="C646" t="n">
        <v>4</v>
      </c>
      <c r="D646" t="n">
        <v>9</v>
      </c>
      <c r="E646" t="n">
        <v>12</v>
      </c>
      <c r="F646" t="n">
        <v>16</v>
      </c>
      <c r="G646" t="n">
        <v>21</v>
      </c>
      <c r="H646" t="n">
        <v>28</v>
      </c>
      <c r="I646" t="n">
        <v>36</v>
      </c>
      <c r="J646" t="n">
        <v>49</v>
      </c>
      <c r="K646" t="n">
        <v>64</v>
      </c>
      <c r="L646" t="n">
        <v>78</v>
      </c>
    </row>
    <row r="647">
      <c r="B647" t="n">
        <v>20</v>
      </c>
      <c r="C647" t="n">
        <v>5</v>
      </c>
      <c r="D647" t="n">
        <v>9</v>
      </c>
      <c r="E647" t="n">
        <v>13</v>
      </c>
      <c r="F647" t="n">
        <v>17</v>
      </c>
      <c r="G647" t="n">
        <v>23</v>
      </c>
      <c r="H647" t="n">
        <v>30</v>
      </c>
      <c r="I647" t="n">
        <v>39</v>
      </c>
      <c r="J647" t="n">
        <v>53</v>
      </c>
      <c r="K647" t="n">
        <v>68</v>
      </c>
      <c r="L647" t="n">
        <v>79</v>
      </c>
    </row>
    <row r="648">
      <c r="B648" t="n">
        <v>21</v>
      </c>
      <c r="C648" t="n">
        <v>5</v>
      </c>
      <c r="D648" t="n">
        <v>10</v>
      </c>
      <c r="E648" t="n">
        <v>14</v>
      </c>
      <c r="F648" t="n">
        <v>18</v>
      </c>
      <c r="G648" t="n">
        <v>25</v>
      </c>
      <c r="H648" t="n">
        <v>32</v>
      </c>
      <c r="I648" t="n">
        <v>42</v>
      </c>
      <c r="J648" t="n">
        <v>57</v>
      </c>
      <c r="K648" t="n">
        <v>71</v>
      </c>
      <c r="L648" t="n">
        <v>80</v>
      </c>
    </row>
    <row r="649">
      <c r="B649" t="n">
        <v>22</v>
      </c>
      <c r="C649" t="n">
        <v>6</v>
      </c>
      <c r="D649" t="n">
        <v>11</v>
      </c>
      <c r="E649" t="n">
        <v>15</v>
      </c>
      <c r="F649" t="n">
        <v>20</v>
      </c>
      <c r="G649" t="n">
        <v>27</v>
      </c>
      <c r="H649" t="n">
        <v>35</v>
      </c>
      <c r="I649" t="n">
        <v>45</v>
      </c>
      <c r="J649" t="n">
        <v>60</v>
      </c>
      <c r="K649" t="n">
        <v>73</v>
      </c>
    </row>
    <row r="650">
      <c r="B650" t="n">
        <v>23</v>
      </c>
      <c r="C650" t="n">
        <v>6</v>
      </c>
      <c r="D650" t="n">
        <v>12</v>
      </c>
      <c r="E650" t="n">
        <v>16</v>
      </c>
      <c r="F650" t="n">
        <v>21</v>
      </c>
      <c r="G650" t="n">
        <v>29</v>
      </c>
      <c r="H650" t="n">
        <v>37</v>
      </c>
      <c r="I650" t="n">
        <v>48</v>
      </c>
      <c r="J650" t="n">
        <v>63</v>
      </c>
      <c r="K650" t="n">
        <v>75</v>
      </c>
    </row>
    <row r="651">
      <c r="B651" t="n">
        <v>24</v>
      </c>
      <c r="C651" t="n">
        <v>7</v>
      </c>
      <c r="D651" t="n">
        <v>13</v>
      </c>
      <c r="E651" t="n">
        <v>17</v>
      </c>
      <c r="F651" t="n">
        <v>23</v>
      </c>
      <c r="G651" t="n">
        <v>31</v>
      </c>
      <c r="H651" t="n">
        <v>40</v>
      </c>
      <c r="I651" t="n">
        <v>52</v>
      </c>
      <c r="J651" t="n">
        <v>66</v>
      </c>
      <c r="K651" t="n">
        <v>77</v>
      </c>
    </row>
    <row r="652">
      <c r="B652" t="n">
        <v>25</v>
      </c>
      <c r="C652" t="n">
        <v>7</v>
      </c>
      <c r="D652" t="n">
        <v>14</v>
      </c>
      <c r="E652" t="n">
        <v>19</v>
      </c>
      <c r="F652" t="n">
        <v>25</v>
      </c>
      <c r="G652" t="n">
        <v>33</v>
      </c>
      <c r="H652" t="n">
        <v>43</v>
      </c>
      <c r="I652" t="n">
        <v>55</v>
      </c>
      <c r="J652" t="n">
        <v>69</v>
      </c>
      <c r="K652" t="n">
        <v>79</v>
      </c>
    </row>
    <row r="653">
      <c r="B653" t="n">
        <v>26</v>
      </c>
      <c r="C653" t="n">
        <v>8</v>
      </c>
      <c r="D653" t="n">
        <v>15</v>
      </c>
      <c r="E653" t="n">
        <v>20</v>
      </c>
      <c r="F653" t="n">
        <v>27</v>
      </c>
      <c r="G653" t="n">
        <v>35</v>
      </c>
      <c r="H653" t="n">
        <v>46</v>
      </c>
      <c r="I653" t="n">
        <v>58</v>
      </c>
      <c r="J653" t="n">
        <v>72</v>
      </c>
      <c r="K653" t="n">
        <v>80</v>
      </c>
    </row>
    <row r="654">
      <c r="B654" t="n">
        <v>27</v>
      </c>
      <c r="C654" t="n">
        <v>9</v>
      </c>
      <c r="D654" t="n">
        <v>16</v>
      </c>
      <c r="E654" t="n">
        <v>21</v>
      </c>
      <c r="F654" t="n">
        <v>28</v>
      </c>
      <c r="G654" t="n">
        <v>37</v>
      </c>
      <c r="H654" t="n">
        <v>49</v>
      </c>
      <c r="I654" t="n">
        <v>61</v>
      </c>
      <c r="J654" t="n">
        <v>75</v>
      </c>
    </row>
    <row r="655">
      <c r="B655" t="n">
        <v>28</v>
      </c>
      <c r="C655" t="n">
        <v>9</v>
      </c>
      <c r="D655" t="n">
        <v>17</v>
      </c>
      <c r="E655" t="n">
        <v>23</v>
      </c>
      <c r="F655" t="n">
        <v>30</v>
      </c>
      <c r="G655" t="n">
        <v>40</v>
      </c>
      <c r="H655" t="n">
        <v>52</v>
      </c>
      <c r="I655" t="n">
        <v>64</v>
      </c>
      <c r="J655" t="n">
        <v>77</v>
      </c>
    </row>
    <row r="656">
      <c r="B656" t="n">
        <v>29</v>
      </c>
      <c r="C656" t="n">
        <v>10</v>
      </c>
      <c r="D656" t="n">
        <v>18</v>
      </c>
      <c r="E656" t="n">
        <v>24</v>
      </c>
      <c r="F656" t="n">
        <v>32</v>
      </c>
      <c r="G656" t="n">
        <v>42</v>
      </c>
      <c r="H656" t="n">
        <v>54</v>
      </c>
      <c r="I656" t="n">
        <v>68</v>
      </c>
      <c r="J656" t="n">
        <v>78</v>
      </c>
    </row>
    <row r="657">
      <c r="B657" t="n">
        <v>30</v>
      </c>
      <c r="C657" t="n">
        <v>11</v>
      </c>
      <c r="D657" t="n">
        <v>20</v>
      </c>
      <c r="E657" t="n">
        <v>26</v>
      </c>
      <c r="F657" t="n">
        <v>34</v>
      </c>
      <c r="G657" t="n">
        <v>45</v>
      </c>
      <c r="H657" t="n">
        <v>57</v>
      </c>
      <c r="I657" t="n">
        <v>72</v>
      </c>
      <c r="J657" t="n">
        <v>79</v>
      </c>
    </row>
    <row r="658">
      <c r="B658" t="n">
        <v>32</v>
      </c>
      <c r="C658" t="n">
        <v>13</v>
      </c>
      <c r="D658" t="n">
        <v>22</v>
      </c>
      <c r="E658" t="n">
        <v>30</v>
      </c>
      <c r="F658" t="n">
        <v>38</v>
      </c>
      <c r="G658" t="n">
        <v>50</v>
      </c>
      <c r="H658" t="n">
        <v>62</v>
      </c>
      <c r="I658" t="n">
        <v>75</v>
      </c>
      <c r="J658" t="n">
        <v>80</v>
      </c>
    </row>
    <row r="659">
      <c r="B659" t="n">
        <v>34</v>
      </c>
      <c r="C659" t="n">
        <v>15</v>
      </c>
      <c r="D659" t="n">
        <v>25</v>
      </c>
      <c r="E659" t="n">
        <v>34</v>
      </c>
      <c r="F659" t="n">
        <v>43</v>
      </c>
      <c r="G659" t="n">
        <v>55</v>
      </c>
      <c r="H659" t="n">
        <v>68</v>
      </c>
      <c r="I659" t="n">
        <v>77</v>
      </c>
    </row>
    <row r="660">
      <c r="B660" t="n">
        <v>36</v>
      </c>
      <c r="C660" t="n">
        <v>17</v>
      </c>
      <c r="D660" t="n">
        <v>28</v>
      </c>
      <c r="E660" t="n">
        <v>38</v>
      </c>
      <c r="F660" t="n">
        <v>48</v>
      </c>
      <c r="G660" t="n">
        <v>61</v>
      </c>
      <c r="H660" t="n">
        <v>73</v>
      </c>
      <c r="I660" t="n">
        <v>79</v>
      </c>
    </row>
    <row r="661">
      <c r="B661" t="n">
        <v>38</v>
      </c>
      <c r="C661" t="n">
        <v>19</v>
      </c>
      <c r="D661" t="n">
        <v>32</v>
      </c>
      <c r="E661" t="n">
        <v>42</v>
      </c>
      <c r="F661" t="n">
        <v>53</v>
      </c>
      <c r="G661" t="n">
        <v>67</v>
      </c>
      <c r="H661" t="n">
        <v>77</v>
      </c>
      <c r="I661" t="n">
        <v>80</v>
      </c>
    </row>
    <row r="662">
      <c r="B662" t="n">
        <v>40</v>
      </c>
      <c r="C662" t="n">
        <v>21</v>
      </c>
      <c r="D662" t="n">
        <v>35</v>
      </c>
      <c r="E662" t="n">
        <v>46</v>
      </c>
      <c r="F662" t="n">
        <v>59</v>
      </c>
      <c r="G662" t="n">
        <v>72</v>
      </c>
      <c r="H662" t="n">
        <v>79</v>
      </c>
    </row>
    <row r="663">
      <c r="B663" t="n">
        <v>42</v>
      </c>
      <c r="C663" t="n">
        <v>25</v>
      </c>
      <c r="D663" t="n">
        <v>39</v>
      </c>
      <c r="E663" t="n">
        <v>51</v>
      </c>
      <c r="F663" t="n">
        <v>65</v>
      </c>
      <c r="G663" t="n">
        <v>75</v>
      </c>
      <c r="H663" t="n">
        <v>80</v>
      </c>
    </row>
    <row r="664">
      <c r="B664" t="n">
        <v>44</v>
      </c>
      <c r="C664" t="n">
        <v>28</v>
      </c>
      <c r="D664" t="n">
        <v>43</v>
      </c>
      <c r="E664" t="n">
        <v>56</v>
      </c>
      <c r="F664" t="n">
        <v>70</v>
      </c>
      <c r="G664" t="n">
        <v>77</v>
      </c>
    </row>
    <row r="665">
      <c r="B665" t="n">
        <v>46</v>
      </c>
      <c r="C665" t="n">
        <v>31</v>
      </c>
      <c r="D665" t="n">
        <v>48</v>
      </c>
      <c r="E665" t="n">
        <v>60</v>
      </c>
      <c r="F665" t="n">
        <v>74</v>
      </c>
      <c r="G665" t="n">
        <v>78</v>
      </c>
    </row>
    <row r="666">
      <c r="B666" t="n">
        <v>48</v>
      </c>
      <c r="C666" t="n">
        <v>34</v>
      </c>
      <c r="D666" t="n">
        <v>53</v>
      </c>
      <c r="E666" t="n">
        <v>64</v>
      </c>
      <c r="F666" t="n">
        <v>77</v>
      </c>
      <c r="G666" t="n">
        <v>79</v>
      </c>
    </row>
    <row r="667">
      <c r="B667" t="n">
        <v>50</v>
      </c>
      <c r="C667" t="n">
        <v>38</v>
      </c>
      <c r="D667" t="n">
        <v>58</v>
      </c>
      <c r="E667" t="n">
        <v>68</v>
      </c>
      <c r="F667" t="n">
        <v>79</v>
      </c>
      <c r="G667" t="n">
        <v>80</v>
      </c>
    </row>
    <row r="668">
      <c r="B668" t="n">
        <v>55</v>
      </c>
      <c r="C668" t="n">
        <v>48</v>
      </c>
      <c r="D668" t="n">
        <v>67</v>
      </c>
      <c r="E668" t="n">
        <v>75</v>
      </c>
      <c r="F668" t="n">
        <v>80</v>
      </c>
    </row>
    <row r="669">
      <c r="B669" t="n">
        <v>60</v>
      </c>
      <c r="C669" t="n">
        <v>57</v>
      </c>
      <c r="D669" t="n">
        <v>74</v>
      </c>
      <c r="E669" t="n">
        <v>78</v>
      </c>
    </row>
    <row r="670">
      <c r="B670" t="n">
        <v>65</v>
      </c>
      <c r="C670" t="n">
        <v>65</v>
      </c>
      <c r="D670" t="n">
        <v>78</v>
      </c>
      <c r="E670" t="n">
        <v>80</v>
      </c>
    </row>
    <row r="671">
      <c r="B671" t="n">
        <v>70</v>
      </c>
      <c r="C671" t="n">
        <v>71</v>
      </c>
      <c r="D671" t="n">
        <v>80</v>
      </c>
    </row>
    <row r="672">
      <c r="B672" t="n">
        <v>75</v>
      </c>
      <c r="C672" t="n">
        <v>75</v>
      </c>
    </row>
    <row r="673">
      <c r="B673" t="n">
        <v>80</v>
      </c>
      <c r="C673" t="n">
        <v>78</v>
      </c>
    </row>
    <row r="675">
      <c r="B675" s="603" t="inlineStr">
        <is>
          <t>Notes</t>
        </is>
      </c>
      <c r="C675" s="603" t="n"/>
      <c r="D675" s="603" t="n"/>
      <c r="E675" s="603" t="n"/>
      <c r="F675" s="603" t="n"/>
      <c r="G675" s="603" t="n"/>
      <c r="H675" s="603" t="n"/>
    </row>
    <row r="676" ht="28" customHeight="1">
      <c r="B676" s="605" t="inlineStr">
        <is>
          <t>- Current Cost Multiplier / Local Area Multiplier / Sec.98 Denver Index are all from inserts dated January 2025 as bound into this copy of the MVS June 2024 edition -- Sec.99/98 are refreshed quarterly/monthly independent of the annual book edition.</t>
        </is>
      </c>
    </row>
    <row r="677" ht="28" customHeight="1">
      <c r="B677" s="605" t="inlineStr">
        <is>
          <t>- Colorado's biennial reassessment fixes the appraisal/level-of-value date; the De-Trend block above rolls the Jan-2025-vintage cost level back to that date using MVS's own Sec.98 methodology.</t>
        </is>
      </c>
    </row>
    <row r="678" ht="28" customHeight="1">
      <c r="B678" s="605" t="inlineStr">
        <is>
          <t>- No Adams County or Denver-metro-specific Local Multiplier line exists in MVS -- 'Denver' is used as the county's proxy per MVS's own suburb-uses-nearest-larger-city guidance (Sec.99 p.1).</t>
        </is>
      </c>
    </row>
    <row r="679" ht="28" customHeight="1">
      <c r="B679" s="605" t="inlineStr">
        <is>
          <t>- Region for the Current Cost Multiplier (Eastern/Central/Western) is presumed WESTERN for Colorado; MVS does not print a state-to-region key on Sec.99 p.3 itself -- verify against the manual's region map if precision is material to a contested appeal.</t>
        </is>
      </c>
    </row>
    <row r="680" ht="28" customHeight="1">
      <c r="B680" s="605" t="inlineStr">
        <is>
          <t>- Typical Life Expectancy figures (Reference 11) were extracted from a condensed table read and should be spot-checked against MVS Sec.97 pp.10-13 directly for any high-value/contested appeal before relying on the resulting depreciation % in a hearing.</t>
        </is>
      </c>
    </row>
    <row r="681" ht="28" customHeight="1">
      <c r="B681" s="605" t="inlineStr">
        <is>
          <t>- Next reassessment cycle (level of value 6/30/2025): update the Appraisal Date input, and either paste in a freshly-pulled MVS Sec.98 Denver quarterly table for the new bracket quarters, or a new MVS book edition's Section 14/13/15/11 base cost tables if a newer edition is purchased.</t>
        </is>
      </c>
    </row>
  </sheetData>
  <mergeCells count="7">
    <mergeCell ref="B677:H677"/>
    <mergeCell ref="B2:F2"/>
    <mergeCell ref="B679:H679"/>
    <mergeCell ref="B680:H680"/>
    <mergeCell ref="B676:H676"/>
    <mergeCell ref="B678:H678"/>
    <mergeCell ref="B681:H681"/>
  </mergeCells>
  <pageMargins left="0.75" right="0.75" top="1" bottom="1" header="0.5" footer="0.5"/>
</worksheet>
</file>

<file path=xl/worksheets/sheet9.xml><?xml version="1.0" encoding="utf-8"?>
<worksheet xmlns="http://schemas.openxmlformats.org/spreadsheetml/2006/main">
  <sheetPr>
    <tabColor rgb="00548235"/>
    <outlinePr summaryBelow="1" summaryRight="1"/>
    <pageSetUpPr/>
  </sheetPr>
  <dimension ref="A1:U542"/>
  <sheetViews>
    <sheetView showGridLines="0" workbookViewId="0">
      <pane xSplit="2" ySplit="2" topLeftCell="C3"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40" customWidth="1" min="2" max="2"/>
    <col width="16" customWidth="1" min="3" max="3"/>
    <col width="14" customWidth="1" min="4" max="4"/>
    <col width="4" customWidth="1" min="5" max="5"/>
    <col width="14" customWidth="1" min="6" max="6"/>
    <col width="16" customWidth="1" min="7" max="7"/>
    <col width="3" customWidth="1" min="8" max="8"/>
    <col width="70" customWidth="1" min="9" max="9"/>
    <col width="9.140625" customWidth="1" min="10" max="10"/>
    <col width="18.28515625" customWidth="1" min="11" max="11"/>
    <col width="15.7109375" customWidth="1" min="12" max="12"/>
    <col width="8.5703125" customWidth="1" min="13" max="13"/>
    <col width="15.7109375" customWidth="1" min="14" max="14"/>
    <col width="15.7109375" customWidth="1" min="15" max="15"/>
    <col width="3.85546875" customWidth="1" min="16" max="16"/>
    <col width="40.42578125" customWidth="1" min="17" max="17"/>
    <col width="13.28515625" customWidth="1" min="18" max="18"/>
    <col width="7.5703125" customWidth="1" min="19" max="19"/>
    <col width="15.7109375" customWidth="1" min="20" max="20"/>
    <col width="9.140625" customWidth="1" min="22" max="22"/>
    <col width="9.140625" customWidth="1" min="24" max="24"/>
  </cols>
  <sheetData>
    <row r="1">
      <c r="A1" s="610" t="n"/>
      <c r="B1" s="611" t="inlineStr">
        <is>
          <t>COST APPROACH -- MVS Calculator</t>
        </is>
      </c>
      <c r="C1" s="612" t="n"/>
      <c r="D1" s="612" t="n"/>
      <c r="E1" s="612" t="n"/>
      <c r="F1" s="612" t="n"/>
      <c r="G1" s="612" t="n"/>
      <c r="H1" s="612" t="n"/>
      <c r="I1" s="613" t="n"/>
      <c r="J1" s="612" t="n"/>
      <c r="K1" s="612" t="n"/>
      <c r="L1" s="612" t="n"/>
      <c r="M1" s="612" t="n"/>
      <c r="N1" s="612" t="n"/>
      <c r="O1" s="612" t="n"/>
      <c r="P1" s="612" t="n"/>
      <c r="Q1" s="612" t="n"/>
      <c r="R1" s="612" t="n"/>
      <c r="S1" s="612" t="n"/>
      <c r="T1" s="612" t="n"/>
      <c r="U1" s="612" t="n"/>
    </row>
    <row r="2" ht="28" customHeight="1">
      <c r="A2" s="612" t="n"/>
      <c r="B2" s="614" t="inlineStr">
        <is>
          <t>Fill in the yellow cells only (Steps 1-3 below, plus the site-improvement/depreciation line items further down). Everything else calculates automatically from the MVS reference tables on the 'M&amp;S Inputs' tab. Your final indicated value appears at the bottom of this sheet.</t>
        </is>
      </c>
      <c r="H2" s="612" t="n"/>
      <c r="I2" s="612" t="n"/>
      <c r="J2" s="612" t="n"/>
      <c r="K2" s="612" t="n"/>
      <c r="L2" s="612" t="n"/>
      <c r="M2" s="612" t="n"/>
      <c r="N2" s="612" t="n"/>
      <c r="O2" s="612" t="n"/>
      <c r="P2" s="612" t="n"/>
      <c r="Q2" s="615" t="n"/>
      <c r="R2" s="615" t="n"/>
      <c r="S2" s="612" t="n"/>
      <c r="T2" s="612" t="n"/>
      <c r="U2" s="612" t="n"/>
    </row>
    <row r="3">
      <c r="A3" s="612" t="n"/>
      <c r="B3" s="616" t="inlineStr">
        <is>
          <t>STEP 1 -- BUILDING IDENTIFICATION</t>
        </is>
      </c>
      <c r="C3" s="617" t="n"/>
      <c r="D3" s="617" t="n"/>
      <c r="E3" s="617" t="n"/>
      <c r="F3" s="617" t="n"/>
      <c r="G3" s="617" t="n"/>
      <c r="H3" s="612" t="n"/>
      <c r="I3" s="612" t="n"/>
      <c r="J3" s="612" t="n"/>
      <c r="K3" s="612" t="n"/>
      <c r="L3" s="612" t="n"/>
      <c r="M3" s="612" t="n"/>
      <c r="N3" s="612" t="n"/>
      <c r="O3" s="612" t="n"/>
      <c r="P3" s="612" t="n"/>
      <c r="Q3" s="615" t="n"/>
      <c r="R3" s="612" t="n"/>
      <c r="S3" s="612" t="n"/>
      <c r="T3" s="612" t="n"/>
      <c r="U3" s="612" t="n"/>
    </row>
    <row r="4">
      <c r="A4" s="612" t="n"/>
      <c r="B4" s="612" t="inlineStr">
        <is>
          <t>Occupancy Type</t>
        </is>
      </c>
      <c r="C4" s="618">
        <f>IF(Subj_OccCode="","Storage Warehouses",IFERROR(INDEX(OCC_NAME,MATCH(Subj_OccCode,'M&amp;S Inputs'!$C$293:$C$310,0)),"No MVS cost data for OCC "&amp;Subj_OccCode&amp;" -- select manually"))</f>
        <v/>
      </c>
      <c r="D4" s="619" t="n"/>
      <c r="E4" s="619" t="n"/>
      <c r="F4" s="619" t="n"/>
      <c r="G4" s="619" t="n"/>
      <c r="H4" s="612" t="n"/>
      <c r="I4" s="620" t="inlineStr">
        <is>
          <t>Choose the occupancy that best matches the subject improvement.</t>
        </is>
      </c>
      <c r="J4" s="612" t="n"/>
      <c r="K4" s="612" t="n"/>
      <c r="L4" s="612" t="n"/>
      <c r="M4" s="612" t="n"/>
      <c r="N4" s="612" t="n"/>
      <c r="O4" s="612" t="n"/>
      <c r="P4" s="612" t="n"/>
      <c r="Q4" s="612" t="n"/>
      <c r="R4" s="612" t="n"/>
      <c r="S4" s="612" t="n"/>
      <c r="T4" s="612" t="n"/>
      <c r="U4" s="612" t="n"/>
    </row>
    <row r="5">
      <c r="A5" s="612" t="n"/>
      <c r="B5" s="621" t="inlineStr">
        <is>
          <t>Occupancy Code / Section / Page (auto)</t>
        </is>
      </c>
      <c r="C5" s="622">
        <f>IFERROR(INDEX(OCC_CODE,MATCH($C$4,OCC_NAME,0))&amp;"  |  MVS Sec. "&amp;INDEX(OCC_SECTION,MATCH($C$4,OCC_NAME,0))&amp;" p."&amp;INDEX(OCC_PAGE,MATCH($C$4,OCC_NAME,0)),"")</f>
        <v/>
      </c>
      <c r="D5" s="615" t="n"/>
      <c r="E5" s="615" t="n"/>
      <c r="F5" s="615" t="n"/>
      <c r="G5" s="615" t="n"/>
      <c r="H5" s="612" t="n"/>
      <c r="I5" s="612" t="n"/>
      <c r="J5" s="615" t="n"/>
      <c r="K5" s="615" t="n"/>
      <c r="L5" s="615" t="n"/>
      <c r="M5" s="615" t="n"/>
      <c r="N5" s="612" t="n"/>
      <c r="O5" s="612" t="n"/>
      <c r="P5" s="612" t="n"/>
      <c r="Q5" s="612" t="n"/>
      <c r="R5" s="612" t="n"/>
      <c r="S5" s="612" t="n"/>
      <c r="T5" s="612" t="n"/>
      <c r="U5" s="612" t="n"/>
    </row>
    <row r="6">
      <c r="A6" s="612" t="n"/>
      <c r="B6" s="623" t="inlineStr">
        <is>
          <t>Building Class</t>
        </is>
      </c>
      <c r="C6" s="624" t="inlineStr">
        <is>
          <t>C</t>
        </is>
      </c>
      <c r="D6" s="615" t="n"/>
      <c r="E6" s="615" t="n"/>
      <c r="F6" s="615" t="n"/>
      <c r="G6" s="615" t="n"/>
      <c r="H6" s="612" t="n"/>
      <c r="I6" s="620" t="inlineStr">
        <is>
          <t>A=Fireproofed steel. B=Reinf. concrete. C=Masonry/steel-or-wood frame. D=Wood/combustible (DPOLE=pole-frame). S=Pre-engineered metal. See Class Reference on M&amp;S Inputs.</t>
        </is>
      </c>
      <c r="J6" s="615" t="n"/>
      <c r="K6" s="615" t="n"/>
      <c r="L6" s="615" t="n"/>
      <c r="M6" s="615" t="n"/>
      <c r="N6" s="612" t="n"/>
      <c r="O6" s="612" t="n"/>
      <c r="P6" s="612" t="n"/>
      <c r="Q6" s="612" t="n"/>
      <c r="R6" s="612" t="n"/>
      <c r="S6" s="612" t="n"/>
      <c r="T6" s="612" t="n"/>
      <c r="U6" s="612" t="n"/>
    </row>
    <row r="7">
      <c r="A7" s="612" t="n"/>
      <c r="B7" s="623" t="inlineStr">
        <is>
          <t>Quality</t>
        </is>
      </c>
      <c r="C7" s="625">
        <f>Subj_Quality</f>
        <v/>
      </c>
      <c r="D7" s="615" t="n"/>
      <c r="E7" s="615" t="n"/>
      <c r="F7" s="615" t="n"/>
      <c r="G7" s="615" t="n"/>
      <c r="H7" s="612" t="n"/>
      <c r="I7" s="620" t="inlineStr">
        <is>
          <t>Low Cost | Average | Good | Excellent (some occupancies also use Cheap). See Quality Reference on M&amp;S Inputs.</t>
        </is>
      </c>
      <c r="J7" s="615" t="n"/>
      <c r="K7" s="612" t="n"/>
      <c r="L7" s="612" t="n"/>
      <c r="M7" s="612" t="n"/>
      <c r="N7" s="612" t="n"/>
      <c r="O7" s="612" t="n"/>
      <c r="P7" s="612" t="n"/>
      <c r="Q7" s="612" t="n"/>
      <c r="R7" s="612" t="n"/>
      <c r="S7" s="612" t="n"/>
      <c r="T7" s="612" t="n"/>
      <c r="U7" s="612" t="n"/>
    </row>
    <row r="8">
      <c r="A8" s="612" t="n"/>
      <c r="B8" s="623" t="inlineStr">
        <is>
          <t>City / Local Area (for Local Multiplier)</t>
        </is>
      </c>
      <c r="C8" s="625" t="inlineStr">
        <is>
          <t>Denver</t>
        </is>
      </c>
      <c r="D8" s="615" t="n"/>
      <c r="E8" s="615" t="n"/>
      <c r="F8" s="615" t="n"/>
      <c r="G8" s="615" t="n"/>
      <c r="H8" s="612" t="n"/>
      <c r="I8" s="620" t="inlineStr">
        <is>
          <t>Adams County has no dedicated MVS line -- 'Denver' is the recommended proxy (nearest larger city, per MVS's own guidance); 'Colorado (statewide average)' is the fallback.</t>
        </is>
      </c>
      <c r="J8" s="612" t="n"/>
      <c r="K8" s="612" t="n"/>
      <c r="L8" s="612" t="n"/>
      <c r="M8" s="612" t="n"/>
      <c r="N8" s="612" t="n"/>
      <c r="O8" s="612" t="n"/>
      <c r="P8" s="612" t="n"/>
      <c r="Q8" s="612" t="n"/>
      <c r="R8" s="612" t="n"/>
      <c r="S8" s="612" t="n"/>
      <c r="T8" s="612" t="n"/>
      <c r="U8" s="612" t="n"/>
    </row>
    <row r="9">
      <c r="A9" s="612" t="n"/>
      <c r="B9" s="623" t="n"/>
      <c r="C9" s="612" t="n"/>
      <c r="D9" s="615" t="n"/>
      <c r="E9" s="615" t="n"/>
      <c r="F9" s="615" t="n"/>
      <c r="G9" s="615" t="n"/>
      <c r="H9" s="612" t="n"/>
      <c r="I9" s="612" t="n"/>
      <c r="J9" s="612" t="n"/>
      <c r="K9" s="612" t="n"/>
      <c r="L9" s="612" t="n"/>
      <c r="M9" s="612" t="n"/>
      <c r="N9" s="612" t="n"/>
      <c r="O9" s="612" t="n"/>
      <c r="P9" s="612" t="n"/>
      <c r="Q9" s="612" t="n"/>
      <c r="R9" s="612" t="n"/>
      <c r="S9" s="612" t="n"/>
      <c r="T9" s="612" t="n"/>
      <c r="U9" s="612" t="n"/>
    </row>
    <row r="10">
      <c r="A10" s="612" t="n"/>
      <c r="B10" s="626" t="inlineStr">
        <is>
          <t>STEP 2 -- SIZE, SHAPE &amp; SPRINKLER</t>
        </is>
      </c>
      <c r="C10" s="617" t="n"/>
      <c r="D10" s="627" t="n"/>
      <c r="E10" s="627" t="n"/>
      <c r="F10" s="627" t="n"/>
      <c r="G10" s="627" t="n"/>
      <c r="H10" s="612" t="n"/>
      <c r="I10" s="612" t="n"/>
      <c r="J10" s="612" t="n"/>
      <c r="K10" s="612" t="n"/>
      <c r="L10" s="612" t="n"/>
      <c r="M10" s="612" t="n"/>
      <c r="N10" s="612" t="n"/>
      <c r="O10" s="612" t="n"/>
      <c r="P10" s="612" t="n"/>
      <c r="Q10" s="612" t="n"/>
      <c r="R10" s="612" t="n"/>
      <c r="S10" s="612" t="n"/>
      <c r="T10" s="612" t="n"/>
      <c r="U10" s="612" t="n"/>
    </row>
    <row r="11">
      <c r="A11" s="612" t="n"/>
      <c r="B11" s="623" t="inlineStr">
        <is>
          <t>Avg Eave / Wall Height (ft)</t>
        </is>
      </c>
      <c r="C11" s="625" t="n">
        <v>18</v>
      </c>
      <c r="D11" s="615" t="n"/>
      <c r="E11" s="615" t="n"/>
      <c r="F11" s="615" t="n"/>
      <c r="G11" s="615" t="n"/>
      <c r="H11" s="612" t="n"/>
      <c r="I11" s="612" t="n"/>
      <c r="J11" s="612" t="n"/>
      <c r="K11" s="612" t="n"/>
      <c r="L11" s="612" t="n"/>
      <c r="M11" s="612" t="n"/>
      <c r="N11" s="612" t="n"/>
      <c r="O11" s="612" t="n"/>
      <c r="P11" s="612" t="n"/>
      <c r="Q11" s="612" t="n"/>
      <c r="R11" s="612" t="n"/>
      <c r="S11" s="612" t="n"/>
      <c r="T11" s="612" t="n"/>
      <c r="U11" s="612" t="n"/>
    </row>
    <row r="12">
      <c r="A12" s="612" t="n"/>
      <c r="B12" s="623" t="inlineStr">
        <is>
          <t>Area/Perimeter Multiplier Factor 1</t>
        </is>
      </c>
      <c r="C12" s="625" t="n">
        <v>1</v>
      </c>
      <c r="D12" s="615" t="n"/>
      <c r="E12" s="615" t="n"/>
      <c r="F12" s="615" t="n"/>
      <c r="G12" s="615" t="n"/>
      <c r="H12" s="612" t="n"/>
      <c r="I12" s="620" t="inlineStr">
        <is>
          <t>Look up your building's SF vs. average perimeter in the MVS Floor Area-Perimeter grid for this occupancy's section; enter the two bracketing values here to average.</t>
        </is>
      </c>
      <c r="J12" s="612" t="n"/>
      <c r="K12" s="612" t="n"/>
      <c r="L12" s="612" t="n"/>
      <c r="M12" s="612" t="n"/>
      <c r="N12" s="612" t="n"/>
      <c r="O12" s="612" t="n"/>
      <c r="P12" s="612" t="n"/>
      <c r="Q12" s="612" t="n"/>
      <c r="R12" s="612" t="n"/>
      <c r="S12" s="612" t="n"/>
      <c r="T12" s="612" t="n"/>
      <c r="U12" s="612" t="n"/>
    </row>
    <row r="13">
      <c r="A13" s="612" t="n"/>
      <c r="B13" s="623" t="inlineStr">
        <is>
          <t>Area/Perimeter Multiplier Factor 2</t>
        </is>
      </c>
      <c r="C13" s="628" t="n">
        <v>1</v>
      </c>
      <c r="D13" s="615" t="n"/>
      <c r="E13" s="615" t="n"/>
      <c r="F13" s="615" t="n"/>
      <c r="G13" s="615" t="n"/>
      <c r="H13" s="612" t="n"/>
      <c r="I13" s="612" t="n"/>
      <c r="J13" s="612" t="n"/>
      <c r="K13" s="612" t="n"/>
      <c r="L13" s="612" t="n"/>
      <c r="M13" s="612" t="n"/>
      <c r="N13" s="612" t="n"/>
      <c r="O13" s="612" t="n"/>
      <c r="P13" s="612" t="n"/>
      <c r="Q13" s="612" t="n"/>
      <c r="R13" s="612" t="n"/>
      <c r="S13" s="612" t="n"/>
      <c r="T13" s="612" t="n"/>
      <c r="U13" s="612" t="n"/>
    </row>
    <row r="14">
      <c r="A14" s="612" t="n"/>
      <c r="B14" s="621" t="inlineStr">
        <is>
          <t>Sprinkler Quality Tier</t>
        </is>
      </c>
      <c r="C14" s="629" t="inlineStr">
        <is>
          <t>Average</t>
        </is>
      </c>
      <c r="D14" s="615" t="n"/>
      <c r="E14" s="615" t="n"/>
      <c r="F14" s="615" t="n"/>
      <c r="G14" s="615" t="n"/>
      <c r="H14" s="612" t="n"/>
      <c r="I14" s="620" t="inlineStr">
        <is>
          <t>Independent of building quality -- set to match the actual sprinkler system grade. Section 11 (hotels) has no verified sprinkler table; price manually if needed.</t>
        </is>
      </c>
      <c r="J14" s="612" t="n"/>
      <c r="K14" s="612" t="n"/>
      <c r="L14" s="612" t="n"/>
      <c r="M14" s="612" t="n"/>
      <c r="N14" s="612" t="n"/>
      <c r="O14" s="612" t="n"/>
      <c r="P14" s="612" t="n"/>
      <c r="Q14" s="612" t="n"/>
      <c r="R14" s="612" t="n"/>
      <c r="S14" s="612" t="n"/>
      <c r="T14" s="612" t="n"/>
      <c r="U14" s="612" t="n"/>
    </row>
    <row r="15">
      <c r="A15" s="612" t="n"/>
      <c r="B15" s="623" t="n"/>
      <c r="C15" s="615" t="n"/>
      <c r="D15" s="615" t="n"/>
      <c r="E15" s="615" t="n"/>
      <c r="F15" s="615" t="n"/>
      <c r="G15" s="615" t="n"/>
      <c r="H15" s="612" t="n"/>
      <c r="I15" s="612" t="n"/>
      <c r="J15" s="612" t="n"/>
      <c r="K15" s="612" t="n"/>
      <c r="L15" s="612" t="n"/>
      <c r="M15" s="612" t="n"/>
      <c r="N15" s="612" t="n"/>
      <c r="O15" s="612" t="n"/>
      <c r="P15" s="612" t="n"/>
      <c r="Q15" s="612" t="n"/>
      <c r="R15" s="612" t="n"/>
      <c r="S15" s="612" t="n"/>
      <c r="T15" s="612" t="n"/>
      <c r="U15" s="612" t="n"/>
    </row>
    <row r="16">
      <c r="A16" s="612" t="n"/>
      <c r="B16" s="626" t="inlineStr">
        <is>
          <t>STEP 3 -- APPRAISAL DATE &amp; DE-TREND</t>
        </is>
      </c>
      <c r="C16" s="627" t="n"/>
      <c r="D16" s="627" t="n"/>
      <c r="E16" s="627" t="n"/>
      <c r="F16" s="627" t="n"/>
      <c r="G16" s="627" t="n"/>
      <c r="H16" s="612" t="n"/>
      <c r="I16" s="612" t="n"/>
      <c r="J16" s="612" t="n"/>
      <c r="K16" s="612" t="n"/>
      <c r="L16" s="612" t="n"/>
      <c r="M16" s="612" t="n"/>
      <c r="N16" s="612" t="n"/>
      <c r="O16" s="612" t="n"/>
      <c r="P16" s="612" t="n"/>
      <c r="Q16" s="612" t="n"/>
      <c r="R16" s="612" t="n"/>
      <c r="S16" s="612" t="n"/>
      <c r="T16" s="612" t="n"/>
      <c r="U16" s="612" t="n"/>
    </row>
    <row r="17">
      <c r="A17" s="612" t="n"/>
      <c r="B17" s="623" t="inlineStr">
        <is>
          <t>Appraisal / Level-of-Value Date</t>
        </is>
      </c>
      <c r="C17" s="629">
        <f>DATE(2024,6,30)</f>
        <v/>
      </c>
      <c r="D17" s="615" t="n"/>
      <c r="E17" s="615" t="n"/>
      <c r="F17" s="615" t="n"/>
      <c r="G17" s="615" t="n"/>
      <c r="H17" s="612" t="n"/>
      <c r="I17" s="620" t="inlineStr">
        <is>
          <t>Colorado's biennial reassessment fixes this at the end of the statutory base period. Current cycle: 7/1/2022-6/30/2024, level of value = 6/30/2024. Update to 6/30/2025 next cycle.</t>
        </is>
      </c>
      <c r="J17" s="612" t="n"/>
      <c r="K17" s="612" t="n"/>
      <c r="L17" s="612" t="n"/>
      <c r="M17" s="612" t="n"/>
      <c r="N17" s="612" t="n"/>
      <c r="O17" s="612" t="n"/>
      <c r="P17" s="612" t="n"/>
      <c r="Q17" s="612" t="n"/>
      <c r="R17" s="612" t="n"/>
      <c r="S17" s="612" t="n"/>
      <c r="T17" s="612" t="n"/>
      <c r="U17" s="612" t="n"/>
    </row>
    <row r="18">
      <c r="A18" s="612" t="n"/>
      <c r="B18" s="623" t="inlineStr">
        <is>
          <t>Bracket Quarter - Earlier</t>
        </is>
      </c>
      <c r="C18" s="629" t="inlineStr">
        <is>
          <t>Apr 2024</t>
        </is>
      </c>
      <c r="D18" s="615" t="n"/>
      <c r="E18" s="615" t="n"/>
      <c r="F18" s="615" t="n"/>
      <c r="G18" s="615" t="n"/>
      <c r="H18" s="612" t="n"/>
      <c r="I18" s="620" t="inlineStr">
        <is>
          <t>Pick the two MVS Sec.98 Denver index quarters that straddle the Appraisal Date above (see Denver Index table on M&amp;S Inputs). Rolls the Jan-2025-vintage multipliers below back to your actual valuation date.</t>
        </is>
      </c>
      <c r="J18" s="612" t="n"/>
      <c r="K18" s="612" t="n"/>
      <c r="L18" s="612" t="n"/>
      <c r="M18" s="612" t="n"/>
      <c r="N18" s="612" t="n"/>
      <c r="O18" s="612" t="n"/>
      <c r="P18" s="612" t="n"/>
      <c r="Q18" s="612" t="n"/>
      <c r="R18" s="612" t="n"/>
      <c r="S18" s="612" t="n"/>
      <c r="T18" s="612" t="n"/>
      <c r="U18" s="612" t="n"/>
    </row>
    <row r="19">
      <c r="A19" s="612" t="n"/>
      <c r="B19" s="623" t="inlineStr">
        <is>
          <t>Bracket Quarter - Later</t>
        </is>
      </c>
      <c r="C19" s="629" t="inlineStr">
        <is>
          <t>Jul 2024</t>
        </is>
      </c>
      <c r="D19" s="615" t="n"/>
      <c r="E19" s="615" t="n"/>
      <c r="F19" s="615" t="n"/>
      <c r="G19" s="615" t="n"/>
      <c r="H19" s="612" t="n"/>
      <c r="I19" s="612" t="n"/>
      <c r="J19" s="612" t="n"/>
      <c r="K19" s="612" t="n"/>
      <c r="L19" s="612" t="n"/>
      <c r="M19" s="612" t="n"/>
      <c r="N19" s="612" t="n"/>
      <c r="O19" s="612" t="n"/>
      <c r="P19" s="612" t="n"/>
      <c r="Q19" s="612" t="n"/>
      <c r="R19" s="612" t="n"/>
      <c r="S19" s="612" t="n"/>
      <c r="T19" s="612" t="n"/>
      <c r="U19" s="612" t="n"/>
    </row>
    <row r="20">
      <c r="A20" s="612" t="n"/>
      <c r="B20" s="621" t="n"/>
      <c r="C20" s="615" t="n"/>
      <c r="D20" s="615" t="n"/>
      <c r="E20" s="615" t="n"/>
      <c r="F20" s="615" t="n"/>
      <c r="G20" s="615" t="n"/>
      <c r="H20" s="612" t="n"/>
      <c r="I20" s="612" t="n"/>
      <c r="J20" s="612" t="n"/>
      <c r="K20" s="612" t="n"/>
      <c r="L20" s="612" t="n"/>
      <c r="M20" s="612" t="n"/>
      <c r="N20" s="612" t="n"/>
      <c r="O20" s="612" t="n"/>
      <c r="P20" s="612" t="n"/>
      <c r="Q20" s="612" t="n"/>
      <c r="R20" s="612" t="n"/>
      <c r="S20" s="612" t="n"/>
      <c r="T20" s="612" t="n"/>
      <c r="U20" s="612" t="n"/>
    </row>
    <row r="21">
      <c r="A21" s="612" t="n"/>
      <c r="B21" s="630" t="inlineStr">
        <is>
          <t>COST APPROACH SUMMARY</t>
        </is>
      </c>
      <c r="C21" s="631" t="n"/>
      <c r="D21" s="631" t="n"/>
      <c r="E21" s="631" t="n"/>
      <c r="F21" s="631" t="n"/>
      <c r="G21" s="631" t="n"/>
      <c r="H21" s="612" t="n"/>
      <c r="I21" s="612" t="n"/>
      <c r="J21" s="612" t="n"/>
      <c r="K21" s="612" t="n"/>
      <c r="L21" s="612" t="n"/>
      <c r="M21" s="612" t="n"/>
      <c r="N21" s="612" t="n"/>
      <c r="O21" s="612" t="n"/>
      <c r="P21" s="612" t="n"/>
      <c r="Q21" s="612" t="n"/>
      <c r="R21" s="612" t="n"/>
      <c r="S21" s="612" t="n"/>
      <c r="T21" s="612" t="n"/>
      <c r="U21" s="612" t="n"/>
    </row>
    <row r="22">
      <c r="A22" s="612" t="n"/>
      <c r="B22" s="632" t="inlineStr">
        <is>
          <t>Replacement Cost New (RCN)</t>
        </is>
      </c>
      <c r="C22" s="633" t="inlineStr">
        <is>
          <t>Area (SF)</t>
        </is>
      </c>
      <c r="D22" s="634" t="inlineStr">
        <is>
          <t>$/SF</t>
        </is>
      </c>
      <c r="E22" s="615" t="n"/>
      <c r="F22" s="634" t="inlineStr">
        <is>
          <t>Subtotal</t>
        </is>
      </c>
      <c r="G22" s="634" t="inlineStr">
        <is>
          <t>Total Cost</t>
        </is>
      </c>
      <c r="H22" s="612" t="n"/>
      <c r="I22" s="612" t="n"/>
      <c r="J22" s="612" t="n"/>
      <c r="K22" s="612" t="n"/>
      <c r="L22" s="612" t="n"/>
      <c r="M22" s="612" t="n"/>
      <c r="N22" s="612" t="n"/>
      <c r="O22" s="612" t="n"/>
      <c r="P22" s="612" t="n"/>
      <c r="Q22" s="612" t="n"/>
      <c r="R22" s="612" t="n"/>
      <c r="S22" s="612" t="n"/>
      <c r="T22" s="612" t="n"/>
      <c r="U22" s="612" t="n"/>
    </row>
    <row r="23">
      <c r="A23" s="612" t="n"/>
      <c r="B23" s="635" t="inlineStr">
        <is>
          <t>Building Improvements</t>
        </is>
      </c>
      <c r="C23" s="612" t="n"/>
      <c r="D23" s="615" t="n"/>
      <c r="E23" s="615" t="n"/>
      <c r="F23" s="615" t="n"/>
      <c r="G23" s="615" t="n"/>
      <c r="H23" s="612" t="n"/>
      <c r="I23" s="612" t="n"/>
      <c r="J23" s="612" t="n"/>
      <c r="K23" s="612" t="n"/>
      <c r="L23" s="612" t="n"/>
      <c r="M23" s="612" t="n"/>
      <c r="N23" s="612" t="n"/>
      <c r="O23" s="612" t="n"/>
      <c r="P23" s="612" t="n"/>
      <c r="Q23" s="612" t="n"/>
      <c r="R23" s="612" t="n"/>
      <c r="S23" s="612" t="n"/>
      <c r="T23" s="612" t="n"/>
      <c r="U23" s="612" t="n"/>
    </row>
    <row r="24">
      <c r="A24" s="612" t="n"/>
      <c r="B24" s="623" t="inlineStr">
        <is>
          <t>Base Cost</t>
        </is>
      </c>
      <c r="C24" s="636">
        <f>WO!D13</f>
        <v/>
      </c>
      <c r="D24" s="615">
        <f>IFERROR(INDEX(BC_VALUE,MATCH($C$4&amp;"~"&amp;$C$6&amp;"~"&amp;$C$7,BC_KEY,0)),"NOT FOUND")</f>
        <v/>
      </c>
      <c r="E24" s="615" t="n"/>
      <c r="F24" s="615">
        <f>C24*D24</f>
        <v/>
      </c>
      <c r="G24" s="615" t="n"/>
      <c r="H24" s="612" t="n"/>
      <c r="I24" s="620">
        <f>IFERROR("Verified MVS base cost -- "&amp;INDEX(BC_CITE,MATCH($C$4&amp;"~"&amp;$C$6&amp;"~"&amp;$C$7,BC_KEY,0)),"")&amp;" | Area auto-linked to Property Info!B5 (GBA)."</f>
        <v/>
      </c>
      <c r="J24" s="612" t="n"/>
      <c r="K24" s="612" t="n"/>
      <c r="L24" s="612" t="n"/>
      <c r="M24" s="612" t="n"/>
      <c r="N24" s="612" t="n"/>
      <c r="O24" s="612" t="n"/>
      <c r="P24" s="612" t="n"/>
      <c r="Q24" s="612" t="n"/>
      <c r="R24" s="612" t="n"/>
      <c r="S24" s="612" t="n"/>
      <c r="T24" s="612" t="n"/>
      <c r="U24" s="612" t="n"/>
    </row>
    <row r="25">
      <c r="A25" s="612" t="n"/>
      <c r="B25" s="623" t="inlineStr">
        <is>
          <t>Sprinklers</t>
        </is>
      </c>
      <c r="C25" s="636">
        <f>C24</f>
        <v/>
      </c>
      <c r="D25" s="615">
        <f>IFERROR(IF(INDEX(OCC_STORY,MATCH($C$4,OCC_NAME,0))="14",INDEX(SPR14_VALS,MATCH($C$24,SPR14_SF,1),MATCH($C$14,SPR_HDR,0)),IF(INDEX(OCC_STORY,MATCH($C$4,OCC_NAME,0))="13",INDEX(SPR13_VALS,MATCH($C$24,SPR13_SF,1),MATCH($C$14,SPR_HDR,0)),IF(INDEX(OCC_STORY,MATCH($C$4,OCC_NAME,0))="15",INDEX(SPR15_VALS,MATCH($C$24,SPR15_SF,1),MATCH($C$14,SPR_HDR,0)),0))),0)</f>
        <v/>
      </c>
      <c r="E25" s="615" t="n"/>
      <c r="F25" s="615">
        <f>C25*D25</f>
        <v/>
      </c>
      <c r="G25" s="615" t="n"/>
      <c r="H25" s="612" t="n"/>
      <c r="I25" s="620" t="inlineStr">
        <is>
          <t>Wet-system cost, by building SF (nearest coverage bracket &lt;= actual SF). Enter 0 manually below if unsprinklered.</t>
        </is>
      </c>
      <c r="J25" s="612" t="n"/>
      <c r="K25" s="612" t="n"/>
      <c r="L25" s="612" t="n"/>
      <c r="M25" s="612" t="n"/>
      <c r="N25" s="612" t="n"/>
      <c r="O25" s="612" t="n"/>
      <c r="P25" s="612" t="n"/>
      <c r="Q25" s="612" t="n"/>
      <c r="R25" s="612" t="n"/>
      <c r="S25" s="612" t="n"/>
      <c r="T25" s="612" t="n"/>
      <c r="U25" s="612" t="n"/>
    </row>
    <row r="26">
      <c r="A26" s="612" t="n"/>
      <c r="B26" s="623" t="n"/>
      <c r="C26" s="615" t="n"/>
      <c r="D26" s="615" t="n"/>
      <c r="E26" s="615" t="n"/>
      <c r="F26" s="615" t="n"/>
      <c r="G26" s="615" t="n"/>
      <c r="H26" s="612" t="n"/>
      <c r="I26" s="612" t="n"/>
      <c r="J26" s="612" t="n"/>
      <c r="K26" s="612" t="n"/>
      <c r="L26" s="612" t="n"/>
      <c r="M26" s="612" t="n"/>
      <c r="N26" s="612" t="n"/>
      <c r="O26" s="612" t="n"/>
      <c r="P26" s="612" t="n"/>
      <c r="Q26" s="612" t="n"/>
      <c r="R26" s="612" t="n"/>
      <c r="S26" s="612" t="n"/>
      <c r="T26" s="612" t="n"/>
      <c r="U26" s="612" t="n"/>
    </row>
    <row r="27">
      <c r="A27" s="612" t="n"/>
      <c r="B27" s="623" t="n"/>
      <c r="C27" s="615" t="n"/>
      <c r="D27" s="615" t="n"/>
      <c r="E27" s="612" t="n"/>
      <c r="F27" s="615" t="n"/>
      <c r="G27" s="615" t="n"/>
      <c r="H27" s="612" t="n"/>
      <c r="I27" s="612" t="n"/>
      <c r="J27" s="612" t="n"/>
      <c r="K27" s="612" t="n"/>
      <c r="L27" s="612" t="n"/>
      <c r="M27" s="612" t="n"/>
      <c r="N27" s="612" t="n"/>
      <c r="O27" s="612" t="n"/>
      <c r="P27" s="612" t="n"/>
      <c r="Q27" s="612" t="n"/>
      <c r="R27" s="612" t="n"/>
      <c r="S27" s="612" t="n"/>
      <c r="T27" s="612" t="n"/>
      <c r="U27" s="612" t="n"/>
    </row>
    <row r="28">
      <c r="A28" s="612" t="n"/>
      <c r="B28" s="621" t="n"/>
      <c r="C28" s="615" t="n"/>
      <c r="D28" s="612" t="n"/>
      <c r="E28" s="612" t="n"/>
      <c r="F28" s="615" t="n"/>
      <c r="G28" s="615" t="n"/>
      <c r="H28" s="612" t="n"/>
      <c r="I28" s="612" t="n"/>
      <c r="J28" s="612" t="n"/>
      <c r="K28" s="612" t="n"/>
      <c r="L28" s="612" t="n"/>
      <c r="M28" s="612" t="n"/>
      <c r="N28" s="612" t="n"/>
      <c r="O28" s="612" t="n"/>
      <c r="P28" s="612" t="n"/>
      <c r="Q28" s="612" t="n"/>
      <c r="R28" s="612" t="n"/>
      <c r="S28" s="612" t="n"/>
      <c r="T28" s="612" t="n"/>
      <c r="U28" s="612" t="n"/>
    </row>
    <row r="29">
      <c r="A29" s="612" t="n"/>
      <c r="B29" s="621" t="n"/>
      <c r="C29" s="615" t="n"/>
      <c r="D29" s="612" t="n"/>
      <c r="E29" s="612" t="n"/>
      <c r="F29" s="615" t="n"/>
      <c r="G29" s="615" t="n"/>
      <c r="H29" s="612" t="n"/>
      <c r="I29" s="615" t="n"/>
      <c r="J29" s="612" t="n"/>
      <c r="K29" s="612" t="n"/>
      <c r="L29" s="612" t="n"/>
      <c r="M29" s="612" t="n"/>
      <c r="N29" s="612" t="n"/>
      <c r="O29" s="612" t="n"/>
      <c r="P29" s="612" t="n"/>
      <c r="Q29" s="612" t="n"/>
      <c r="R29" s="612" t="n"/>
      <c r="S29" s="612" t="n"/>
      <c r="T29" s="612" t="n"/>
      <c r="U29" s="612" t="n"/>
    </row>
    <row r="30">
      <c r="A30" s="612" t="n"/>
      <c r="B30" s="623" t="n"/>
      <c r="C30" s="615" t="n"/>
      <c r="D30" s="637" t="n"/>
      <c r="E30" s="637" t="n"/>
      <c r="F30" s="615" t="n"/>
      <c r="G30" s="615" t="n"/>
      <c r="H30" s="612" t="n"/>
      <c r="I30" s="612" t="n"/>
      <c r="J30" s="612" t="n"/>
      <c r="K30" s="612" t="n"/>
      <c r="L30" s="612" t="n"/>
      <c r="M30" s="612" t="n"/>
      <c r="N30" s="612" t="n"/>
      <c r="O30" s="612" t="n"/>
      <c r="P30" s="612" t="n"/>
      <c r="Q30" s="612" t="n"/>
      <c r="R30" s="612" t="n"/>
      <c r="S30" s="612" t="n"/>
      <c r="T30" s="612" t="n"/>
      <c r="U30" s="612" t="n"/>
    </row>
    <row r="31">
      <c r="A31" s="612" t="n"/>
      <c r="B31" s="638" t="inlineStr">
        <is>
          <t>Subtotal</t>
        </is>
      </c>
      <c r="C31" s="615" t="n"/>
      <c r="D31" s="615" t="n"/>
      <c r="E31" s="615" t="n"/>
      <c r="F31" s="639">
        <f>SUM(F24:F30)</f>
        <v/>
      </c>
      <c r="G31" s="615" t="n"/>
      <c r="H31" s="612" t="n"/>
      <c r="I31" s="612" t="n"/>
      <c r="J31" s="612" t="n"/>
      <c r="K31" s="612" t="n"/>
      <c r="L31" s="612" t="n"/>
      <c r="M31" s="612" t="n"/>
      <c r="N31" s="612" t="n"/>
      <c r="O31" s="612" t="n"/>
      <c r="P31" s="612" t="n"/>
      <c r="Q31" s="612" t="n"/>
      <c r="R31" s="612" t="n"/>
      <c r="S31" s="612" t="n"/>
      <c r="T31" s="612" t="n"/>
      <c r="U31" s="612" t="n"/>
    </row>
    <row r="32">
      <c r="A32" s="612" t="n"/>
      <c r="B32" s="640" t="inlineStr">
        <is>
          <t>Multipliers</t>
        </is>
      </c>
      <c r="C32" s="641" t="n"/>
      <c r="D32" s="642" t="n"/>
      <c r="E32" s="642" t="n"/>
      <c r="F32" s="643" t="n"/>
      <c r="G32" s="641" t="n"/>
      <c r="H32" s="612" t="n"/>
      <c r="I32" s="612" t="n"/>
      <c r="J32" s="612" t="n"/>
      <c r="K32" s="612" t="n"/>
      <c r="L32" s="612" t="n"/>
      <c r="M32" s="612" t="n"/>
      <c r="N32" s="612" t="n"/>
      <c r="O32" s="612" t="n"/>
      <c r="P32" s="612" t="n"/>
      <c r="Q32" s="612" t="n"/>
      <c r="R32" s="612" t="n"/>
      <c r="S32" s="612" t="n"/>
      <c r="T32" s="612" t="n"/>
      <c r="U32" s="612" t="n"/>
    </row>
    <row r="33">
      <c r="A33" s="612" t="n"/>
      <c r="B33" s="621" t="inlineStr">
        <is>
          <t>Current Cost (de-trended to Appraisal Date)</t>
        </is>
      </c>
      <c r="C33" s="615" t="n"/>
      <c r="D33" s="615">
        <f>IFERROR(INDEX(CCM_VALUES,MATCH(IF($C$6="CMILL","C",IF($C$6="DPOLE","D",IF($C$6="A-B","B",$C$6))),CCM_CLASS,0),MATCH("Sec."&amp;INDEX(OCC_SECTION,MATCH($C$4,OCC_NAME,0)),CCM_SECTIONHDR,0)),"")/IFERROR(INDEX(DEN_VALUES,MATCH($C$18,DEN_LABEL,0),MATCH("Class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615" t="n"/>
      <c r="F33" s="615" t="n"/>
      <c r="G33" s="615" t="n"/>
      <c r="H33" s="612" t="n"/>
      <c r="I33" s="644" t="inlineStr">
        <is>
          <t>MVS Sec.99 p.3 Current Cost Multiplier (WESTERN region assumed for Colorado) divided by the Sec.98 Denver de-trend factor for the Appraisal Date -- see Step 3.</t>
        </is>
      </c>
      <c r="J33" s="612" t="n"/>
      <c r="K33" s="612" t="n"/>
      <c r="L33" s="612" t="n"/>
      <c r="M33" s="612" t="n"/>
      <c r="N33" s="612" t="n"/>
      <c r="O33" s="612" t="n"/>
      <c r="P33" s="612" t="n"/>
      <c r="Q33" s="612" t="n"/>
      <c r="R33" s="612" t="n"/>
      <c r="S33" s="612" t="n"/>
      <c r="T33" s="612" t="n"/>
      <c r="U33" s="612" t="n"/>
    </row>
    <row r="34">
      <c r="A34" s="612" t="n"/>
      <c r="B34" s="623" t="inlineStr">
        <is>
          <t>Local Area</t>
        </is>
      </c>
      <c r="C34" s="615" t="n"/>
      <c r="D34" s="615">
        <f>IFERROR(INDEX(LAM_VALUES,MATCH($C$8,LAM_CITY,0),MATCH("Class "&amp;IF($C$6="CMILL","C",IF($C$6="DPOLE","D",IF($C$6="A-B","B",$C$6))),LAM_CLASSHDR,0)),"")</f>
        <v/>
      </c>
      <c r="E34" s="615" t="n"/>
      <c r="F34" s="615" t="n"/>
      <c r="G34" s="615" t="n"/>
      <c r="H34" s="612" t="n"/>
      <c r="I34" s="620" t="inlineStr">
        <is>
          <t>MVS Sec.99 p.7 Local Area Multiplier.</t>
        </is>
      </c>
      <c r="J34" s="612" t="n"/>
      <c r="K34" s="612" t="n"/>
      <c r="L34" s="612" t="n"/>
      <c r="M34" s="612" t="n"/>
      <c r="N34" s="612" t="n"/>
      <c r="O34" s="612" t="n"/>
      <c r="P34" s="612" t="n"/>
      <c r="Q34" s="612" t="n"/>
      <c r="R34" s="612" t="n"/>
      <c r="S34" s="612" t="n"/>
      <c r="T34" s="612" t="n"/>
      <c r="U34" s="612" t="n"/>
    </row>
    <row r="35">
      <c r="A35" s="612" t="n"/>
      <c r="B35" s="615" t="inlineStr">
        <is>
          <t>Area/Perimeter Multiplier</t>
        </is>
      </c>
      <c r="C35" s="615" t="n"/>
      <c r="D35" s="615">
        <f>AVERAGE(C12:C13)</f>
        <v/>
      </c>
      <c r="E35" s="615" t="n"/>
      <c r="F35" s="615" t="n"/>
      <c r="G35" s="615" t="n"/>
      <c r="H35" s="612" t="n"/>
      <c r="I35" s="612" t="n"/>
      <c r="J35" s="612" t="n"/>
      <c r="K35" s="612" t="n"/>
      <c r="L35" s="612" t="n"/>
      <c r="M35" s="612" t="n"/>
      <c r="N35" s="612" t="n"/>
      <c r="O35" s="612" t="n"/>
      <c r="P35" s="612" t="n"/>
      <c r="Q35" s="612" t="n"/>
      <c r="R35" s="612" t="n"/>
      <c r="S35" s="612" t="n"/>
      <c r="T35" s="612" t="n"/>
      <c r="U35" s="612" t="n"/>
    </row>
    <row r="36">
      <c r="A36" s="612" t="n"/>
      <c r="B36" s="615" t="inlineStr">
        <is>
          <t>Story Height (Height entered in Step 2)</t>
        </is>
      </c>
      <c r="C36" s="615" t="n"/>
      <c r="D36" s="615">
        <f>IFERROR(IF(INDEX(OCC_STORY,MATCH($C$4,OCC_NAME,0))="14",INDEX(SH14_M,MATCH($C$11,SH14_H,1)),IF(INDEX(OCC_STORY,MATCH($C$4,OCC_NAME,0))="13",INDEX(SH13_M,MATCH($C$11,SH13_H,1)),IF(INDEX(OCC_STORY,MATCH($C$4,OCC_NAME,0))="15",INDEX(SH15_M,MATCH($C$11,SH15_H,1)),IF(INDEX(OCC_STORY,MATCH($C$4,OCC_NAME,0))="11",INDEX(SH11_M,MATCH($C$11,SH11_H,1)),1)))),1)</f>
        <v/>
      </c>
      <c r="E36" s="615" t="n"/>
      <c r="F36" s="615" t="n"/>
      <c r="G36" s="615" t="n"/>
      <c r="H36" s="612" t="n"/>
      <c r="I36" s="612" t="n"/>
      <c r="J36" s="612" t="n"/>
      <c r="K36" s="612" t="n"/>
      <c r="L36" s="612" t="n"/>
      <c r="M36" s="612" t="n"/>
      <c r="N36" s="612" t="n"/>
      <c r="O36" s="612" t="n"/>
      <c r="P36" s="612" t="n"/>
      <c r="Q36" s="612" t="n"/>
      <c r="R36" s="612" t="n"/>
      <c r="S36" s="612" t="n"/>
      <c r="T36" s="612" t="n"/>
      <c r="U36" s="612" t="n"/>
    </row>
    <row r="37">
      <c r="A37" s="612" t="n"/>
      <c r="B37" s="638" t="inlineStr">
        <is>
          <t>Product of Multipliers</t>
        </is>
      </c>
      <c r="C37" s="615" t="n"/>
      <c r="D37" s="615" t="n"/>
      <c r="E37" s="615" t="n"/>
      <c r="F37" s="639">
        <f>ROUND(PRODUCT(D33:D36),3)</f>
        <v/>
      </c>
      <c r="G37" s="615" t="n"/>
      <c r="H37" s="612" t="n"/>
      <c r="I37" s="612" t="n"/>
      <c r="J37" s="612" t="n"/>
      <c r="K37" s="612" t="n"/>
      <c r="L37" s="612" t="n"/>
      <c r="M37" s="612" t="n"/>
      <c r="N37" s="612" t="n"/>
      <c r="O37" s="612" t="n"/>
      <c r="P37" s="612" t="n"/>
      <c r="Q37" s="612" t="n"/>
      <c r="R37" s="612" t="n"/>
      <c r="S37" s="612" t="n"/>
      <c r="T37" s="612" t="n"/>
      <c r="U37" s="612" t="n"/>
    </row>
    <row r="38">
      <c r="A38" s="612" t="n"/>
      <c r="B38" s="635" t="inlineStr">
        <is>
          <t>Adjusted Base Building Cost</t>
        </is>
      </c>
      <c r="C38" s="615" t="n"/>
      <c r="D38" s="615" t="n"/>
      <c r="E38" s="615" t="n"/>
      <c r="F38" s="615" t="n"/>
      <c r="G38" s="639">
        <f>F37*F31</f>
        <v/>
      </c>
      <c r="H38" s="612" t="n"/>
      <c r="I38" s="612" t="n"/>
      <c r="J38" s="612" t="n"/>
      <c r="K38" s="612" t="n"/>
      <c r="L38" s="612" t="n"/>
      <c r="M38" s="612" t="n"/>
      <c r="N38" s="612" t="n"/>
      <c r="O38" s="612" t="n"/>
      <c r="P38" s="612" t="n"/>
      <c r="Q38" s="615" t="n"/>
      <c r="R38" s="615" t="n"/>
      <c r="S38" s="612" t="n"/>
      <c r="T38" s="612" t="n"/>
      <c r="U38" s="612" t="n"/>
    </row>
    <row r="39">
      <c r="A39" s="612" t="n"/>
      <c r="B39" s="640" t="inlineStr">
        <is>
          <t>Site Improvements (enter your own measured quantities in the Area column)</t>
        </is>
      </c>
      <c r="C39" s="641" t="n"/>
      <c r="D39" s="641" t="n"/>
      <c r="E39" s="641" t="n"/>
      <c r="F39" s="641" t="n"/>
      <c r="G39" s="641" t="n"/>
      <c r="H39" s="612" t="n"/>
      <c r="I39" s="612" t="n"/>
      <c r="J39" s="612" t="n"/>
      <c r="K39" s="612" t="n"/>
      <c r="L39" s="612" t="n"/>
      <c r="M39" s="612" t="n"/>
      <c r="N39" s="612" t="n"/>
      <c r="O39" s="612" t="n"/>
      <c r="P39" s="612" t="n"/>
      <c r="Q39" s="612" t="n"/>
      <c r="R39" s="612" t="n"/>
      <c r="S39" s="612" t="n"/>
      <c r="T39" s="612" t="n"/>
      <c r="U39" s="615" t="n"/>
    </row>
    <row r="40">
      <c r="A40" s="612" t="n"/>
      <c r="B40" s="645" t="inlineStr">
        <is>
          <t>Parking/Loading Areas (asphalt)</t>
        </is>
      </c>
      <c r="C40" s="629" t="n"/>
      <c r="D40" s="629" t="n">
        <v>3.1</v>
      </c>
      <c r="E40" s="615" t="n"/>
      <c r="F40" s="615">
        <f>D40*C40</f>
        <v/>
      </c>
      <c r="G40" s="615" t="n"/>
      <c r="H40" s="612" t="n"/>
      <c r="I40" s="620" t="inlineStr">
        <is>
          <t>MVS Sec.66 p.1, 4-inch asphalt (large areas &gt;3,000 SF), average of low-high range. Enter your own measured SF in the Area column.</t>
        </is>
      </c>
      <c r="J40" s="612" t="n"/>
      <c r="K40" s="612" t="n"/>
      <c r="L40" s="612" t="n"/>
      <c r="M40" s="612" t="n"/>
      <c r="N40" s="612" t="n"/>
      <c r="O40" s="612" t="n"/>
      <c r="P40" s="612" t="n"/>
      <c r="Q40" s="612" t="n"/>
      <c r="R40" s="612" t="n"/>
      <c r="S40" s="612" t="n"/>
      <c r="T40" s="612" t="n"/>
      <c r="U40" s="615" t="n"/>
    </row>
    <row r="41">
      <c r="A41" s="612" t="n"/>
      <c r="B41" s="645" t="inlineStr">
        <is>
          <t>Striping (Per Space)</t>
        </is>
      </c>
      <c r="C41" s="629" t="n"/>
      <c r="D41" s="629" t="n">
        <v>20</v>
      </c>
      <c r="E41" s="615" t="n"/>
      <c r="F41" s="615">
        <f>D41*C41</f>
        <v/>
      </c>
      <c r="G41" s="615" t="n"/>
      <c r="H41" s="612" t="n"/>
      <c r="I41" s="620" t="inlineStr">
        <is>
          <t>Market-derived; no dedicated MVS table. Enter number of striped spaces in the Area column.</t>
        </is>
      </c>
      <c r="J41" s="612" t="n"/>
      <c r="K41" s="612" t="n"/>
      <c r="L41" s="612" t="n"/>
      <c r="M41" s="612" t="n"/>
      <c r="N41" s="612" t="n"/>
      <c r="O41" s="612" t="n"/>
      <c r="P41" s="612" t="n"/>
      <c r="Q41" s="612" t="n"/>
      <c r="R41" s="612" t="n"/>
      <c r="S41" s="612" t="n"/>
      <c r="T41" s="612" t="n"/>
      <c r="U41" s="615" t="n"/>
    </row>
    <row r="42">
      <c r="A42" s="612" t="n"/>
      <c r="B42" s="645" t="inlineStr">
        <is>
          <t>Paving (concrete)</t>
        </is>
      </c>
      <c r="C42" s="629" t="n"/>
      <c r="D42" s="629" t="n">
        <v>5.51</v>
      </c>
      <c r="E42" s="615" t="n"/>
      <c r="F42" s="615">
        <f>D42*C42</f>
        <v/>
      </c>
      <c r="G42" s="615" t="n"/>
      <c r="H42" s="612" t="n"/>
      <c r="I42" s="620" t="inlineStr">
        <is>
          <t>MVS Sec.66 p.1, 6-inch concrete (large areas &gt;3,000 SF), average of low-high range.</t>
        </is>
      </c>
      <c r="J42" s="612" t="n"/>
      <c r="K42" s="612" t="n"/>
      <c r="L42" s="612" t="n"/>
      <c r="M42" s="612" t="n"/>
      <c r="N42" s="612" t="n"/>
      <c r="O42" s="612" t="n"/>
      <c r="P42" s="612" t="n"/>
      <c r="Q42" s="612" t="n"/>
      <c r="R42" s="612" t="n"/>
      <c r="S42" s="612" t="n"/>
      <c r="T42" s="612" t="n"/>
      <c r="U42" s="615" t="n"/>
    </row>
    <row r="43">
      <c r="A43" s="612" t="n"/>
      <c r="B43" s="621" t="inlineStr">
        <is>
          <t>Other1</t>
        </is>
      </c>
      <c r="C43" s="629" t="n"/>
      <c r="D43" s="629" t="n"/>
      <c r="E43" s="615" t="n"/>
      <c r="F43" s="615">
        <f>D43*C43</f>
        <v/>
      </c>
      <c r="G43" s="615" t="n"/>
      <c r="H43" s="612" t="n"/>
      <c r="I43" s="612" t="n"/>
      <c r="J43" s="612" t="n"/>
      <c r="K43" s="612" t="n"/>
      <c r="L43" s="612" t="n"/>
      <c r="M43" s="612" t="n"/>
      <c r="N43" s="612" t="n"/>
      <c r="O43" s="612" t="n"/>
      <c r="P43" s="612" t="n"/>
      <c r="Q43" s="612" t="n"/>
      <c r="R43" s="612" t="n"/>
      <c r="S43" s="612" t="n"/>
      <c r="T43" s="612" t="n"/>
      <c r="U43" s="615" t="n"/>
    </row>
    <row r="44">
      <c r="A44" s="612" t="n"/>
      <c r="B44" s="621" t="inlineStr">
        <is>
          <t>Other2</t>
        </is>
      </c>
      <c r="C44" s="629" t="n"/>
      <c r="D44" s="629" t="n"/>
      <c r="E44" s="615" t="n"/>
      <c r="F44" s="615">
        <f>D44*C44</f>
        <v/>
      </c>
      <c r="G44" s="615" t="n"/>
      <c r="H44" s="612" t="n"/>
      <c r="I44" s="612" t="n"/>
      <c r="J44" s="612" t="n"/>
      <c r="K44" s="612" t="n"/>
      <c r="L44" s="612" t="n"/>
      <c r="M44" s="612" t="n"/>
      <c r="N44" s="612" t="n"/>
      <c r="O44" s="612" t="n"/>
      <c r="P44" s="612" t="n"/>
      <c r="Q44" s="612" t="n"/>
      <c r="R44" s="612" t="n"/>
      <c r="S44" s="612" t="n"/>
      <c r="T44" s="612" t="n"/>
      <c r="U44" s="612" t="n"/>
    </row>
    <row r="45">
      <c r="A45" s="612" t="n"/>
      <c r="B45" s="621" t="inlineStr">
        <is>
          <t>Landscaping, Lighting, Other Site Improvements</t>
        </is>
      </c>
      <c r="C45" s="629" t="n"/>
      <c r="D45" s="629" t="n">
        <v>5.5</v>
      </c>
      <c r="E45" s="615" t="n"/>
      <c r="F45" s="615">
        <f>D45*C45</f>
        <v/>
      </c>
      <c r="G45" s="615" t="n"/>
      <c r="H45" s="612" t="n"/>
      <c r="I45" s="620" t="inlineStr">
        <is>
          <t>MVS Sec.66 landscaping / market estimate. Enter your own measured lot SF in the Area column.</t>
        </is>
      </c>
      <c r="J45" s="612" t="n"/>
      <c r="K45" s="612" t="n"/>
      <c r="L45" s="612" t="n"/>
      <c r="M45" s="612" t="n"/>
      <c r="N45" s="612" t="n"/>
      <c r="O45" s="612" t="n"/>
      <c r="P45" s="612" t="n"/>
      <c r="Q45" s="612" t="n"/>
      <c r="R45" s="612" t="n"/>
      <c r="S45" s="612" t="n"/>
      <c r="T45" s="612" t="n"/>
      <c r="U45" s="612" t="n"/>
    </row>
    <row r="46">
      <c r="A46" s="612" t="n"/>
      <c r="B46" s="639" t="inlineStr">
        <is>
          <t>Total Site Improvements</t>
        </is>
      </c>
      <c r="C46" s="615" t="n"/>
      <c r="D46" s="615" t="n"/>
      <c r="E46" s="615" t="n"/>
      <c r="F46" s="615" t="n"/>
      <c r="G46" s="639">
        <f>SUM(F40:F45)</f>
        <v/>
      </c>
      <c r="H46" s="612" t="n"/>
      <c r="I46" s="612" t="n"/>
      <c r="J46" s="612" t="n"/>
      <c r="K46" s="612" t="n"/>
      <c r="L46" s="612" t="n"/>
      <c r="M46" s="612" t="n"/>
      <c r="N46" s="612" t="n"/>
      <c r="O46" s="612" t="n"/>
      <c r="P46" s="612" t="n"/>
      <c r="Q46" s="612" t="n"/>
      <c r="R46" s="612" t="n"/>
      <c r="S46" s="612" t="n"/>
      <c r="T46" s="612" t="n"/>
      <c r="U46" s="612" t="n"/>
    </row>
    <row r="47">
      <c r="A47" s="612" t="n"/>
      <c r="B47" s="635" t="inlineStr">
        <is>
          <t>Total Construction Costs</t>
        </is>
      </c>
      <c r="C47" s="615" t="n"/>
      <c r="D47" s="615" t="n"/>
      <c r="E47" s="615" t="n"/>
      <c r="F47" s="615" t="n"/>
      <c r="G47" s="639">
        <f>SUM(G38:G46)</f>
        <v/>
      </c>
      <c r="H47" s="612" t="n"/>
      <c r="I47" s="612" t="n"/>
      <c r="J47" s="612" t="n"/>
      <c r="K47" s="612" t="n"/>
      <c r="L47" s="612" t="n"/>
      <c r="M47" s="612" t="n"/>
      <c r="N47" s="612" t="n"/>
      <c r="O47" s="612" t="n"/>
      <c r="P47" s="612" t="n"/>
      <c r="Q47" s="612" t="n"/>
      <c r="R47" s="612" t="n"/>
      <c r="S47" s="612" t="n"/>
      <c r="T47" s="612" t="n"/>
      <c r="U47" s="612" t="n"/>
    </row>
    <row r="48">
      <c r="A48" s="612" t="n"/>
      <c r="B48" s="621" t="inlineStr">
        <is>
          <t>Plus Other Indirect Costs (% of Direct Costs)</t>
        </is>
      </c>
      <c r="C48" s="629" t="n">
        <v>0.1</v>
      </c>
      <c r="D48" s="615" t="n"/>
      <c r="E48" s="615" t="n"/>
      <c r="F48" s="615" t="n"/>
      <c r="G48" s="615">
        <f>G47*(C48)</f>
        <v/>
      </c>
      <c r="H48" s="612" t="n"/>
      <c r="I48" s="620" t="inlineStr">
        <is>
          <t>Financing, permits, professional fees, insurance during construction. Typical 8-15%.</t>
        </is>
      </c>
      <c r="J48" s="612" t="n"/>
      <c r="K48" s="612" t="n"/>
      <c r="L48" s="612" t="n"/>
      <c r="M48" s="612" t="n"/>
      <c r="N48" s="612" t="n"/>
      <c r="O48" s="612" t="n"/>
      <c r="P48" s="612" t="n"/>
      <c r="Q48" s="612" t="n"/>
      <c r="R48" s="612" t="n"/>
      <c r="S48" s="612" t="n"/>
      <c r="T48" s="612" t="n"/>
      <c r="U48" s="612" t="n"/>
    </row>
    <row r="49">
      <c r="A49" s="612" t="n"/>
      <c r="B49" s="639" t="inlineStr">
        <is>
          <t>Subtotal Replacement Cost New (RCN)</t>
        </is>
      </c>
      <c r="C49" s="615" t="n"/>
      <c r="D49" s="615" t="n"/>
      <c r="E49" s="615" t="n"/>
      <c r="F49" s="615" t="n"/>
      <c r="G49" s="639">
        <f>SUM(G47:G48)</f>
        <v/>
      </c>
      <c r="H49" s="612" t="n"/>
      <c r="I49" s="612" t="n"/>
      <c r="J49" s="612" t="n"/>
      <c r="K49" s="612" t="n"/>
      <c r="L49" s="612" t="n"/>
      <c r="M49" s="612" t="n"/>
      <c r="N49" s="612" t="n"/>
      <c r="O49" s="612" t="n"/>
      <c r="P49" s="612" t="n"/>
      <c r="Q49" s="612" t="n"/>
      <c r="R49" s="612" t="n"/>
      <c r="S49" s="612" t="n"/>
      <c r="T49" s="612" t="n"/>
      <c r="U49" s="612" t="n"/>
    </row>
    <row r="50">
      <c r="A50" s="612" t="n"/>
      <c r="B50" s="615" t="inlineStr">
        <is>
          <t>Plus Entrepreneurial Profit (% of RCN)</t>
        </is>
      </c>
      <c r="C50" s="629" t="n">
        <v>0.15</v>
      </c>
      <c r="D50" s="615" t="n"/>
      <c r="E50" s="615" t="n"/>
      <c r="F50" s="615" t="n"/>
      <c r="G50" s="615">
        <f>G49*C50</f>
        <v/>
      </c>
      <c r="H50" s="612" t="n"/>
      <c r="I50" s="620" t="inlineStr">
        <is>
          <t>Developer expected return above cost. Typical 10-20%.</t>
        </is>
      </c>
      <c r="J50" s="612" t="n"/>
      <c r="K50" s="612" t="n"/>
      <c r="L50" s="612" t="n"/>
      <c r="M50" s="612" t="n"/>
      <c r="N50" s="612" t="n"/>
      <c r="O50" s="612" t="n"/>
      <c r="P50" s="612" t="n"/>
      <c r="Q50" s="612" t="n"/>
      <c r="R50" s="612" t="n"/>
      <c r="S50" s="612" t="n"/>
      <c r="T50" s="612" t="n"/>
      <c r="U50" s="612" t="n"/>
    </row>
    <row r="51">
      <c r="A51" s="612" t="n"/>
      <c r="B51" s="646" t="inlineStr">
        <is>
          <t>Total Replacement Cost New (RCN)</t>
        </is>
      </c>
      <c r="C51" s="615" t="n"/>
      <c r="D51" s="615" t="n"/>
      <c r="E51" s="615" t="n"/>
      <c r="F51" s="615" t="n"/>
      <c r="G51" s="646">
        <f>SUM(G49:G50)</f>
        <v/>
      </c>
      <c r="H51" s="612" t="n"/>
      <c r="I51" s="612" t="n"/>
      <c r="J51" s="612" t="n"/>
      <c r="K51" s="612" t="n"/>
      <c r="L51" s="612" t="n"/>
      <c r="M51" s="612" t="n"/>
      <c r="N51" s="612" t="n"/>
      <c r="O51" s="612" t="n"/>
      <c r="P51" s="612" t="n"/>
      <c r="Q51" s="612" t="n"/>
      <c r="R51" s="612" t="n"/>
      <c r="S51" s="612" t="n"/>
      <c r="T51" s="612" t="n"/>
      <c r="U51" s="612" t="n"/>
    </row>
    <row r="52">
      <c r="A52" s="612" t="n"/>
      <c r="B52" s="647" t="inlineStr">
        <is>
          <t>per square foot of gross building area</t>
        </is>
      </c>
      <c r="C52" s="648" t="n"/>
      <c r="D52" s="615" t="n"/>
      <c r="E52" s="615" t="n"/>
      <c r="F52" s="615" t="n"/>
      <c r="G52" s="612">
        <f>caRCN/C24</f>
        <v/>
      </c>
      <c r="H52" s="612" t="n"/>
      <c r="I52" s="612" t="n"/>
      <c r="J52" s="612" t="n"/>
      <c r="K52" s="612" t="n"/>
      <c r="L52" s="612" t="n"/>
      <c r="M52" s="612" t="n"/>
      <c r="N52" s="612" t="n"/>
      <c r="O52" s="612" t="n"/>
      <c r="P52" s="612" t="n"/>
      <c r="Q52" s="612" t="n"/>
      <c r="R52" s="612" t="n"/>
      <c r="S52" s="612" t="n"/>
      <c r="T52" s="612" t="n"/>
      <c r="U52" s="612" t="n"/>
    </row>
    <row r="53">
      <c r="A53" s="612" t="n"/>
      <c r="B53" s="621" t="n"/>
      <c r="C53" s="615" t="n"/>
      <c r="D53" s="615" t="n"/>
      <c r="E53" s="615" t="n"/>
      <c r="F53" s="615" t="n"/>
      <c r="G53" s="615" t="n"/>
      <c r="H53" s="612" t="n"/>
      <c r="I53" s="612" t="n"/>
      <c r="J53" s="612" t="n"/>
      <c r="K53" s="612" t="n"/>
      <c r="L53" s="612" t="n"/>
      <c r="M53" s="612" t="n"/>
      <c r="N53" s="612" t="n"/>
      <c r="O53" s="612" t="n"/>
      <c r="P53" s="612" t="n"/>
      <c r="Q53" s="612" t="n"/>
      <c r="R53" s="612" t="n"/>
      <c r="S53" s="612" t="n"/>
      <c r="T53" s="612" t="n"/>
      <c r="U53" s="612" t="n"/>
    </row>
    <row r="54">
      <c r="A54" s="612" t="n"/>
      <c r="B54" s="649" t="inlineStr">
        <is>
          <t>Less Accrued Depreciation</t>
        </is>
      </c>
      <c r="C54" s="641" t="n"/>
      <c r="D54" s="641" t="n"/>
      <c r="E54" s="641" t="n"/>
      <c r="F54" s="641" t="n"/>
      <c r="G54" s="641" t="n"/>
      <c r="H54" s="612" t="n"/>
      <c r="I54" s="612" t="n"/>
      <c r="J54" s="612" t="n"/>
      <c r="K54" s="612" t="n"/>
      <c r="L54" s="612" t="n"/>
      <c r="M54" s="612" t="n"/>
      <c r="N54" s="612" t="n"/>
      <c r="O54" s="612" t="n"/>
      <c r="P54" s="612" t="n"/>
      <c r="Q54" s="612" t="n"/>
      <c r="R54" s="612" t="n"/>
      <c r="S54" s="612" t="n"/>
      <c r="T54" s="612" t="n"/>
      <c r="U54" s="612" t="n"/>
    </row>
    <row r="55">
      <c r="A55" s="612" t="n"/>
      <c r="B55" s="639" t="inlineStr">
        <is>
          <t>Physical</t>
        </is>
      </c>
      <c r="C55" s="650" t="n"/>
      <c r="D55" s="650" t="n"/>
      <c r="E55" s="619" t="n"/>
      <c r="F55" s="619" t="n"/>
      <c r="G55" s="619" t="n"/>
      <c r="H55" s="612" t="n"/>
      <c r="I55" s="612" t="n"/>
      <c r="J55" s="612" t="n"/>
      <c r="K55" s="612" t="n"/>
      <c r="L55" s="612" t="n"/>
      <c r="M55" s="612" t="n"/>
      <c r="N55" s="612" t="n"/>
      <c r="O55" s="612" t="n"/>
      <c r="P55" s="612" t="n"/>
      <c r="Q55" s="637" t="n"/>
      <c r="R55" s="612" t="n"/>
      <c r="S55" s="612" t="n"/>
      <c r="T55" s="612" t="n"/>
      <c r="U55" s="612" t="n"/>
    </row>
    <row r="56">
      <c r="A56" s="612" t="n"/>
      <c r="B56" s="615" t="inlineStr">
        <is>
          <t>Curable (Deferred Maintenance)</t>
        </is>
      </c>
      <c r="C56" s="650" t="n"/>
      <c r="D56" s="613" t="n"/>
      <c r="E56" s="619" t="n"/>
      <c r="F56" s="618" t="n">
        <v>0</v>
      </c>
      <c r="G56" s="615" t="n"/>
      <c r="H56" s="612" t="n"/>
      <c r="I56" s="620" t="inlineStr">
        <is>
          <t>Dollar cost to cure deferred items (roof, HVAC, etc). 0 = none.</t>
        </is>
      </c>
      <c r="J56" s="612" t="n"/>
      <c r="K56" s="612" t="n"/>
      <c r="L56" s="612" t="n"/>
      <c r="M56" s="612" t="n"/>
      <c r="N56" s="612" t="n"/>
      <c r="O56" s="612" t="n"/>
      <c r="P56" s="612" t="n"/>
      <c r="Q56" s="619" t="n"/>
      <c r="R56" s="619" t="n"/>
      <c r="S56" s="619" t="n"/>
      <c r="T56" s="612" t="n"/>
      <c r="U56" s="612" t="n"/>
    </row>
    <row r="57">
      <c r="A57" s="612" t="n"/>
      <c r="B57" s="651" t="inlineStr">
        <is>
          <t>Incurable</t>
        </is>
      </c>
      <c r="C57" s="650" t="n"/>
      <c r="D57" s="650" t="n"/>
      <c r="E57" s="619" t="n"/>
      <c r="F57" s="612" t="n"/>
      <c r="G57" s="612" t="n"/>
      <c r="H57" s="612" t="n"/>
      <c r="I57" s="612" t="n"/>
      <c r="J57" s="612" t="n"/>
      <c r="K57" s="612" t="n"/>
      <c r="L57" s="612" t="n"/>
      <c r="M57" s="612" t="n"/>
      <c r="N57" s="612" t="n"/>
      <c r="O57" s="612" t="n"/>
      <c r="P57" s="612" t="n"/>
      <c r="Q57" s="612" t="n"/>
      <c r="R57" s="612" t="n"/>
      <c r="S57" s="612" t="n"/>
      <c r="T57" s="612" t="n"/>
      <c r="U57" s="612" t="n"/>
    </row>
    <row r="58">
      <c r="A58" s="612" t="n"/>
      <c r="B58" s="612" t="inlineStr">
        <is>
          <t>Effective Age (Years)</t>
        </is>
      </c>
      <c r="C58" s="625" t="n">
        <v>0</v>
      </c>
      <c r="D58" s="612" t="n"/>
      <c r="E58" s="612" t="n"/>
      <c r="F58" s="612" t="n"/>
      <c r="G58" s="612" t="n"/>
      <c r="H58" s="612" t="n"/>
      <c r="I58" s="620" t="inlineStr">
        <is>
          <t>Per MVS Sec.97: true age adjusted for modernization/condition, not necessarily chronological age. Judgment call from inspection.</t>
        </is>
      </c>
      <c r="J58" s="612" t="n"/>
      <c r="K58" s="612" t="n"/>
      <c r="L58" s="612" t="n"/>
      <c r="M58" s="612" t="n"/>
      <c r="N58" s="612" t="n"/>
      <c r="O58" s="612" t="n"/>
      <c r="P58" s="612" t="n"/>
      <c r="Q58" s="612" t="n"/>
      <c r="R58" s="612" t="n"/>
      <c r="S58" s="612" t="n"/>
      <c r="T58" s="612" t="n"/>
      <c r="U58" s="612" t="n"/>
    </row>
    <row r="59">
      <c r="A59" s="612" t="n"/>
      <c r="B59" s="612" t="inlineStr">
        <is>
          <t>Typical Life Expectancy (MVS Sec.97, auto)</t>
        </is>
      </c>
      <c r="C59" s="636">
        <f>IFERROR(INDEX(LIFE_VALUES,MATCH($C$4&amp;"~"&amp;$C$7,LIFE_KEY,0),MATCH("Class "&amp;IF($C$6="CMILL","C",IF($C$6="DPOLE","D",IF($C$6="A-B","B",$C$6))),LIFE_CLASSHDR,0)),"n/a for this Class/Quality -- see Life Expectancy table on M&amp;S Inputs")</f>
        <v/>
      </c>
      <c r="D59" s="612" t="n"/>
      <c r="E59" s="612" t="n"/>
      <c r="F59" s="612" t="n"/>
      <c r="G59" s="612" t="n"/>
      <c r="H59" s="612" t="n"/>
      <c r="I59" s="620" t="inlineStr">
        <is>
          <t>MVS Sec.97 pp.10-13, by occupancy/quality/class.</t>
        </is>
      </c>
      <c r="J59" s="612" t="n"/>
      <c r="K59" s="637" t="n"/>
      <c r="L59" s="612" t="n"/>
      <c r="M59" s="612" t="n"/>
      <c r="N59" s="612" t="n"/>
      <c r="O59" s="612" t="n"/>
      <c r="P59" s="637" t="n"/>
      <c r="Q59" s="612" t="n"/>
      <c r="R59" s="612" t="n"/>
      <c r="S59" s="612" t="n"/>
      <c r="T59" s="612" t="n"/>
      <c r="U59" s="612" t="n"/>
    </row>
    <row r="60">
      <c r="A60" s="612" t="n"/>
      <c r="B60" s="612" t="inlineStr">
        <is>
          <t>Total Incurable Physical Depreciation (MVS Sec.97 percent-good curve)</t>
        </is>
      </c>
      <c r="C60" s="622">
        <f>IFERROR(INDEX(DEPR_VALUES,MATCH($C$58,DEPR_AGE,1),MATCH($C$59,DEPR_LIFEHDR,0))/100,"n/a -- age exceeds tabulated range; treat as fully depreciated per Sec.97 salvage guidance")</f>
        <v/>
      </c>
      <c r="D60" s="612" t="n"/>
      <c r="E60" s="612" t="n"/>
      <c r="F60" s="612">
        <f>G51*C60</f>
        <v/>
      </c>
      <c r="G60" s="612" t="n"/>
      <c r="H60" s="612" t="n"/>
      <c r="I60" s="620" t="inlineStr">
        <is>
          <t>MVS Sec.97 p.24, Commercial Properties percent-good table -- replaces a naive straight-line age/life ratio.</t>
        </is>
      </c>
      <c r="J60" s="612" t="n"/>
      <c r="K60" s="612" t="n"/>
      <c r="L60" s="619" t="n"/>
      <c r="M60" s="619" t="n"/>
      <c r="N60" s="619" t="n"/>
      <c r="O60" s="619" t="n"/>
      <c r="P60" s="619" t="n"/>
      <c r="Q60" s="612" t="n"/>
      <c r="R60" s="612" t="n"/>
      <c r="S60" s="612" t="n"/>
      <c r="T60" s="612" t="n"/>
      <c r="U60" s="612" t="n"/>
    </row>
    <row r="61">
      <c r="A61" s="612" t="n"/>
      <c r="B61" s="612" t="inlineStr">
        <is>
          <t>Functional Obsolescence</t>
        </is>
      </c>
      <c r="C61" s="625" t="n">
        <v>0</v>
      </c>
      <c r="D61" s="612" t="n"/>
      <c r="E61" s="612" t="n"/>
      <c r="F61" s="612">
        <f>C61*caRCN</f>
        <v/>
      </c>
      <c r="G61" s="612" t="n"/>
      <c r="H61" s="612" t="n"/>
      <c r="I61" s="620" t="inlineStr">
        <is>
          <t>Loss from design deficiencies (excess bays, substandard ceiling height, etc). 0 = none.</t>
        </is>
      </c>
      <c r="J61" s="612" t="n"/>
      <c r="K61" s="612" t="n"/>
      <c r="L61" s="619" t="n"/>
      <c r="M61" s="619" t="n"/>
      <c r="N61" s="619" t="n"/>
      <c r="O61" s="619" t="n"/>
      <c r="P61" s="619" t="n"/>
      <c r="Q61" s="612" t="n"/>
      <c r="R61" s="612" t="n"/>
      <c r="S61" s="612" t="n"/>
      <c r="T61" s="612" t="n"/>
      <c r="U61" s="612" t="n"/>
    </row>
    <row r="62">
      <c r="A62" s="612" t="n"/>
      <c r="B62" s="612" t="inlineStr">
        <is>
          <t>External Obsolescence</t>
        </is>
      </c>
      <c r="C62" s="625" t="n">
        <v>0</v>
      </c>
      <c r="D62" s="612" t="n"/>
      <c r="E62" s="612" t="n"/>
      <c r="F62" s="612">
        <f>C62*caRCN</f>
        <v/>
      </c>
      <c r="G62" s="612" t="n"/>
      <c r="H62" s="612" t="n"/>
      <c r="I62" s="620" t="inlineStr">
        <is>
          <t>Loss from external/locational/market factors. 0 = none.</t>
        </is>
      </c>
      <c r="J62" s="612" t="n"/>
      <c r="K62" s="612" t="n"/>
      <c r="L62" s="619" t="n"/>
      <c r="M62" s="619" t="n"/>
      <c r="N62" s="619" t="n"/>
      <c r="O62" s="619" t="n"/>
      <c r="P62" s="619" t="n"/>
      <c r="Q62" s="612" t="n"/>
      <c r="R62" s="612" t="n"/>
      <c r="S62" s="612" t="n"/>
      <c r="T62" s="612" t="n"/>
      <c r="U62" s="612" t="n"/>
    </row>
    <row r="63">
      <c r="A63" s="612" t="n"/>
      <c r="B63" s="651" t="inlineStr">
        <is>
          <t>Total</t>
        </is>
      </c>
      <c r="C63" s="612">
        <f>G63/caRCN</f>
        <v/>
      </c>
      <c r="D63" s="612" t="n"/>
      <c r="E63" s="612" t="n"/>
      <c r="F63" s="612" t="n"/>
      <c r="G63" s="651">
        <f>SUM(F56:F62)</f>
        <v/>
      </c>
      <c r="H63" s="612" t="n"/>
      <c r="I63" s="612" t="n"/>
      <c r="J63" s="612" t="n"/>
      <c r="K63" s="615" t="n"/>
      <c r="L63" s="619" t="n"/>
      <c r="M63" s="619" t="n"/>
      <c r="N63" s="619" t="n"/>
      <c r="O63" s="619" t="n"/>
      <c r="P63" s="619" t="n"/>
      <c r="Q63" s="612" t="n"/>
      <c r="R63" s="612" t="n"/>
      <c r="S63" s="612" t="n"/>
      <c r="T63" s="612" t="n"/>
      <c r="U63" s="612" t="n"/>
    </row>
    <row r="64">
      <c r="A64" s="612" t="n"/>
      <c r="B64" s="652" t="inlineStr">
        <is>
          <t>Depreciated Value of the Improvements</t>
        </is>
      </c>
      <c r="C64" s="612" t="n"/>
      <c r="D64" s="612" t="n"/>
      <c r="E64" s="612" t="n"/>
      <c r="F64" s="612" t="n"/>
      <c r="G64" s="652">
        <f>caRCN-G63</f>
        <v/>
      </c>
      <c r="H64" s="612" t="n"/>
      <c r="I64" s="612" t="n"/>
      <c r="J64" s="612" t="n"/>
      <c r="K64" s="615" t="n"/>
      <c r="L64" s="619" t="n"/>
      <c r="M64" s="619" t="n"/>
      <c r="N64" s="619" t="n"/>
      <c r="O64" s="619" t="n"/>
      <c r="P64" s="619" t="n"/>
      <c r="Q64" s="612" t="n"/>
      <c r="R64" s="612" t="n"/>
      <c r="S64" s="612" t="n"/>
      <c r="T64" s="612" t="n"/>
      <c r="U64" s="612" t="n"/>
    </row>
    <row r="65">
      <c r="A65" s="612" t="n"/>
      <c r="B65" s="612" t="inlineStr">
        <is>
          <t>per square foot of gross building area</t>
        </is>
      </c>
      <c r="C65" s="612" t="n"/>
      <c r="D65" s="612" t="n"/>
      <c r="E65" s="612" t="n"/>
      <c r="F65" s="612" t="n"/>
      <c r="G65" s="612">
        <f>caRCNDeprec/C24</f>
        <v/>
      </c>
      <c r="H65" s="612" t="n"/>
      <c r="I65" s="612" t="n"/>
      <c r="J65" s="612" t="n"/>
      <c r="K65" s="612" t="n"/>
      <c r="L65" s="612" t="n"/>
      <c r="M65" s="612" t="n"/>
      <c r="N65" s="612" t="n"/>
      <c r="O65" s="612" t="n"/>
      <c r="P65" s="612" t="n"/>
      <c r="Q65" s="612" t="n"/>
      <c r="R65" s="612" t="n"/>
      <c r="S65" s="612" t="n"/>
      <c r="T65" s="612" t="n"/>
      <c r="U65" s="612" t="n"/>
    </row>
    <row r="66">
      <c r="A66" s="612" t="n"/>
      <c r="B66" s="637" t="n"/>
      <c r="C66" s="612" t="n"/>
      <c r="D66" s="612" t="n"/>
      <c r="E66" s="612" t="n"/>
      <c r="F66" s="612" t="n"/>
      <c r="G66" s="612" t="n"/>
      <c r="H66" s="612" t="n"/>
      <c r="I66" s="612" t="n"/>
      <c r="J66" s="612" t="n"/>
      <c r="K66" s="612" t="n"/>
      <c r="L66" s="612" t="n"/>
      <c r="M66" s="612" t="n"/>
      <c r="N66" s="612" t="n"/>
      <c r="O66" s="612" t="n"/>
      <c r="P66" s="612" t="n"/>
      <c r="Q66" s="612" t="n"/>
      <c r="R66" s="612" t="n"/>
      <c r="S66" s="612" t="n"/>
      <c r="T66" s="612" t="n"/>
      <c r="U66" s="612" t="n"/>
    </row>
    <row r="67">
      <c r="A67" s="612" t="n"/>
      <c r="B67" s="612" t="inlineStr">
        <is>
          <t>Plus Land Value</t>
        </is>
      </c>
      <c r="C67" s="619" t="n"/>
      <c r="D67" s="619" t="n"/>
      <c r="E67" s="619" t="n"/>
      <c r="F67" s="619" t="n"/>
      <c r="G67" s="653" t="n">
        <v>0</v>
      </c>
      <c r="H67" s="612" t="n"/>
      <c r="I67" s="620" t="inlineStr">
        <is>
          <t>Enter the concluded land value directly (e.g. from a land sales comp on the Sales tab). No Land Sales analysis tab exists in this workbook.</t>
        </is>
      </c>
      <c r="J67" s="612" t="n"/>
      <c r="K67" s="612" t="n"/>
      <c r="L67" s="612" t="n"/>
      <c r="M67" s="612" t="n"/>
      <c r="N67" s="612" t="n"/>
      <c r="O67" s="612" t="n"/>
      <c r="P67" s="612" t="n"/>
      <c r="Q67" s="612" t="n"/>
      <c r="R67" s="612" t="n"/>
      <c r="S67" s="612" t="n"/>
      <c r="T67" s="612" t="n"/>
      <c r="U67" s="612" t="n"/>
    </row>
    <row r="68">
      <c r="A68" s="612" t="n"/>
      <c r="B68" s="621" t="n"/>
      <c r="C68" s="615" t="n"/>
      <c r="D68" s="615" t="n"/>
      <c r="E68" s="615" t="n"/>
      <c r="F68" s="615" t="n"/>
      <c r="G68" s="615" t="n"/>
      <c r="H68" s="612" t="n"/>
      <c r="I68" s="612" t="n"/>
      <c r="J68" s="612" t="n"/>
      <c r="K68" s="612" t="n"/>
      <c r="L68" s="612" t="n"/>
      <c r="M68" s="612" t="n"/>
      <c r="N68" s="612" t="n"/>
      <c r="O68" s="612" t="n"/>
      <c r="P68" s="612" t="n"/>
      <c r="Q68" s="612" t="n"/>
      <c r="R68" s="612" t="n"/>
      <c r="S68" s="612" t="n"/>
      <c r="T68" s="612" t="n"/>
      <c r="U68" s="612" t="n"/>
    </row>
    <row r="69">
      <c r="A69" s="612" t="n"/>
      <c r="B69" s="654" t="inlineStr">
        <is>
          <t>Indicated Value by Cost Approach</t>
        </is>
      </c>
      <c r="C69" s="655" t="n"/>
      <c r="D69" s="615" t="n"/>
      <c r="E69" s="615" t="n"/>
      <c r="F69" s="615" t="n"/>
      <c r="G69" s="656">
        <f>G64+G67</f>
        <v/>
      </c>
      <c r="H69" s="612" t="n"/>
      <c r="I69" s="612" t="n"/>
      <c r="J69" s="612" t="n"/>
      <c r="K69" s="612" t="n"/>
      <c r="L69" s="612" t="n"/>
      <c r="M69" s="612" t="n"/>
      <c r="N69" s="612" t="n"/>
      <c r="O69" s="612" t="n"/>
      <c r="P69" s="612" t="n"/>
      <c r="Q69" s="612" t="n"/>
      <c r="R69" s="612" t="n"/>
      <c r="S69" s="612" t="n"/>
      <c r="T69" s="612" t="n"/>
      <c r="U69" s="612" t="n"/>
    </row>
    <row r="70">
      <c r="A70" s="612" t="n"/>
      <c r="B70" s="623" t="n">
        <v>5000</v>
      </c>
      <c r="C70" s="612" t="n"/>
      <c r="D70" s="615" t="n"/>
      <c r="E70" s="615" t="n"/>
      <c r="F70" s="615" t="n"/>
      <c r="G70" s="656">
        <f>ROUND((G69/B70),0)*B70</f>
        <v/>
      </c>
      <c r="H70" s="612" t="n"/>
      <c r="I70" s="620" t="inlineStr">
        <is>
          <t>Rounded to the nearest $5,000 (change the value in column B to round to a different increment).</t>
        </is>
      </c>
      <c r="J70" s="612" t="n"/>
      <c r="K70" s="612" t="n"/>
      <c r="L70" s="612" t="n"/>
      <c r="M70" s="612" t="n"/>
      <c r="N70" s="612" t="n"/>
      <c r="O70" s="612" t="n"/>
      <c r="P70" s="612" t="n"/>
      <c r="Q70" s="612" t="n"/>
      <c r="R70" s="612" t="n"/>
      <c r="S70" s="612" t="n"/>
      <c r="T70" s="612" t="n"/>
      <c r="U70" s="612" t="n"/>
    </row>
    <row r="71">
      <c r="A71" s="612" t="n"/>
      <c r="B71" s="623" t="inlineStr">
        <is>
          <t>per square foot of gross building area</t>
        </is>
      </c>
      <c r="C71" s="612" t="n"/>
      <c r="D71" s="615" t="n"/>
      <c r="E71" s="615" t="n"/>
      <c r="F71" s="615" t="n"/>
      <c r="G71" s="615">
        <f>G70/C24</f>
        <v/>
      </c>
      <c r="H71" s="612" t="n"/>
      <c r="I71" s="612" t="n"/>
      <c r="J71" s="612" t="n"/>
      <c r="K71" s="612" t="n"/>
      <c r="L71" s="612" t="n"/>
      <c r="M71" s="612" t="n"/>
      <c r="N71" s="612" t="n"/>
      <c r="O71" s="612" t="n"/>
      <c r="P71" s="612" t="n"/>
      <c r="Q71" s="612" t="n"/>
      <c r="R71" s="612" t="n"/>
      <c r="S71" s="612" t="n"/>
      <c r="T71" s="612" t="n"/>
      <c r="U71" s="612" t="n"/>
    </row>
    <row r="72">
      <c r="A72" s="612" t="n"/>
      <c r="B72" s="623" t="n"/>
      <c r="C72" s="612" t="n"/>
      <c r="D72" s="615" t="n"/>
      <c r="E72" s="615" t="n"/>
      <c r="F72" s="615" t="n"/>
      <c r="G72" s="615" t="n"/>
      <c r="H72" s="612" t="n"/>
      <c r="I72" s="612" t="n"/>
      <c r="J72" s="612" t="n"/>
      <c r="K72" s="612" t="n"/>
      <c r="L72" s="612" t="n"/>
      <c r="M72" s="612" t="n"/>
      <c r="N72" s="612" t="n"/>
      <c r="O72" s="612" t="n"/>
      <c r="P72" s="612" t="n"/>
      <c r="Q72" s="612" t="n"/>
      <c r="R72" s="612" t="n"/>
      <c r="S72" s="612" t="n"/>
      <c r="T72" s="612" t="n"/>
      <c r="U72" s="612" t="n"/>
    </row>
    <row r="73">
      <c r="A73" s="612" t="n"/>
      <c r="B73" s="623" t="inlineStr">
        <is>
          <t>MVS June 2024 Ed.</t>
        </is>
      </c>
      <c r="C73" s="612">
        <f>IFERROR(INDEX(BC_OCC,MATCH($C$4&amp;"~"&amp;$C$6&amp;"~"&amp;$C$7,BC_KEY,0)),"")&amp;" | "&amp;$C$4</f>
        <v/>
      </c>
      <c r="D73" s="615">
        <f>"Class: "&amp;$C$6&amp;" / "&amp;$C$7</f>
        <v/>
      </c>
      <c r="E73" s="615" t="n"/>
      <c r="F73" s="615" t="n"/>
      <c r="G73" s="615" t="n"/>
      <c r="H73" s="612" t="n"/>
      <c r="I73" s="612" t="n"/>
      <c r="J73" s="612" t="n"/>
      <c r="K73" s="612" t="n"/>
      <c r="L73" s="612" t="n"/>
      <c r="M73" s="612" t="n"/>
      <c r="N73" s="612" t="n"/>
      <c r="O73" s="612" t="n"/>
      <c r="P73" s="612" t="n"/>
      <c r="Q73" s="612" t="n"/>
      <c r="R73" s="612" t="n"/>
      <c r="S73" s="612" t="n"/>
      <c r="T73" s="612" t="n"/>
      <c r="U73" s="612" t="n"/>
    </row>
    <row r="74">
      <c r="A74" s="612" t="n"/>
      <c r="B74" s="623" t="inlineStr">
        <is>
          <t>Colorado -- WESTERN region (assumed)</t>
        </is>
      </c>
      <c r="C74" s="612">
        <f>"CCM/De-trend: "&amp;TEXT(D33,"0.000")&amp;" | LAM: "&amp;TEXT(D34,"0.000")</f>
        <v/>
      </c>
      <c r="D74" s="615">
        <f>"Sec.99 p.3/p.7 (Jan 2025 insert) + Sec.98 Denver de-trend"</f>
        <v/>
      </c>
      <c r="E74" s="615" t="n"/>
      <c r="F74" s="615" t="n"/>
      <c r="G74" s="615" t="n"/>
      <c r="H74" s="612" t="n"/>
      <c r="I74" s="612" t="n"/>
      <c r="J74" s="612" t="n"/>
      <c r="K74" s="612" t="n"/>
      <c r="L74" s="612" t="n"/>
      <c r="M74" s="612" t="n"/>
      <c r="N74" s="612" t="n"/>
      <c r="O74" s="612" t="n"/>
      <c r="P74" s="612" t="n"/>
      <c r="Q74" s="612" t="n"/>
      <c r="R74" s="612" t="n"/>
      <c r="S74" s="612" t="n"/>
      <c r="T74" s="612" t="n"/>
      <c r="U74" s="612" t="n"/>
    </row>
    <row r="75">
      <c r="A75" s="612" t="n"/>
      <c r="B75" s="623" t="n"/>
      <c r="C75" s="612">
        <f>"Story Ht Mult: "&amp;TEXT(D36,"0.000")&amp;" | Area Mult: "&amp;TEXT(D35,"0.000")</f>
        <v/>
      </c>
      <c r="D75" s="615" t="n"/>
      <c r="E75" s="615" t="n"/>
      <c r="F75" s="615" t="n"/>
      <c r="G75" s="615" t="n"/>
      <c r="H75" s="612" t="n"/>
      <c r="I75" s="612" t="n"/>
      <c r="J75" s="612" t="n"/>
      <c r="K75" s="612" t="n"/>
      <c r="L75" s="612" t="n"/>
      <c r="M75" s="612" t="n"/>
      <c r="N75" s="612" t="n"/>
      <c r="O75" s="612" t="n"/>
      <c r="P75" s="612" t="n"/>
      <c r="Q75" s="612" t="n"/>
      <c r="R75" s="612" t="n"/>
      <c r="S75" s="612" t="n"/>
      <c r="T75" s="612" t="n"/>
      <c r="U75" s="612" t="n"/>
    </row>
    <row r="76" hidden="1">
      <c r="A76" s="612" t="n"/>
      <c r="B76" s="623" t="n"/>
      <c r="C76" s="637" t="n"/>
      <c r="D76" s="615" t="n"/>
      <c r="E76" s="615" t="n"/>
      <c r="F76" s="615" t="n"/>
      <c r="G76" s="615" t="n"/>
      <c r="H76" s="612" t="n"/>
      <c r="I76" s="612" t="n"/>
      <c r="J76" s="612" t="n"/>
      <c r="K76" s="612" t="n"/>
      <c r="L76" s="612" t="n"/>
      <c r="M76" s="612" t="n"/>
      <c r="N76" s="612" t="n"/>
      <c r="O76" s="612" t="n"/>
      <c r="P76" s="612" t="n"/>
      <c r="Q76" s="612" t="n"/>
      <c r="R76" s="612" t="n"/>
      <c r="S76" s="612" t="n"/>
      <c r="T76" s="612" t="n"/>
      <c r="U76" s="612" t="n"/>
    </row>
    <row r="77" hidden="1">
      <c r="A77" s="612" t="n"/>
      <c r="B77" s="621" t="n"/>
      <c r="C77" s="615" t="n"/>
      <c r="D77" s="615" t="n"/>
      <c r="E77" s="615" t="n"/>
      <c r="F77" s="615" t="n"/>
      <c r="G77" s="615" t="n"/>
      <c r="H77" s="612" t="n"/>
      <c r="I77" s="612" t="n"/>
      <c r="J77" s="612" t="n"/>
      <c r="K77" s="612" t="n"/>
      <c r="L77" s="612" t="n"/>
      <c r="M77" s="612" t="n"/>
      <c r="N77" s="612" t="n"/>
      <c r="O77" s="612" t="n"/>
      <c r="P77" s="612" t="n"/>
      <c r="Q77" s="612" t="n"/>
      <c r="R77" s="612" t="n"/>
      <c r="S77" s="612" t="n"/>
      <c r="T77" s="612" t="n"/>
      <c r="U77" s="612" t="n"/>
    </row>
    <row r="78" hidden="1">
      <c r="A78" s="612" t="n"/>
      <c r="B78" s="623" t="n"/>
      <c r="C78" s="615" t="n"/>
      <c r="D78" s="615" t="n"/>
      <c r="E78" s="615" t="n"/>
      <c r="F78" s="615" t="n"/>
      <c r="G78" s="615" t="n"/>
      <c r="H78" s="612" t="n"/>
      <c r="I78" s="612" t="n"/>
      <c r="J78" s="612" t="n"/>
      <c r="K78" s="612" t="n"/>
      <c r="L78" s="612" t="n"/>
      <c r="M78" s="612" t="n"/>
      <c r="N78" s="612" t="n"/>
      <c r="O78" s="612" t="n"/>
      <c r="P78" s="612" t="n"/>
      <c r="Q78" s="612" t="n"/>
      <c r="R78" s="612" t="n"/>
      <c r="S78" s="612" t="n"/>
      <c r="T78" s="612" t="n"/>
      <c r="U78" s="612" t="n"/>
    </row>
    <row r="79" hidden="1">
      <c r="A79" s="612" t="n"/>
      <c r="B79" s="623" t="n"/>
      <c r="C79" s="615" t="n"/>
      <c r="D79" s="615" t="n"/>
      <c r="E79" s="615" t="n"/>
      <c r="F79" s="615" t="n"/>
      <c r="G79" s="615" t="n"/>
      <c r="H79" s="612" t="n"/>
      <c r="I79" s="612" t="n"/>
      <c r="J79" s="612" t="n"/>
      <c r="K79" s="612" t="n"/>
      <c r="L79" s="612" t="n"/>
      <c r="M79" s="612" t="n"/>
      <c r="N79" s="612" t="n"/>
      <c r="O79" s="612" t="n"/>
      <c r="P79" s="612" t="n"/>
      <c r="Q79" s="612" t="n"/>
      <c r="R79" s="612" t="n"/>
      <c r="S79" s="612" t="n"/>
      <c r="T79" s="612" t="n"/>
      <c r="U79" s="612" t="n"/>
    </row>
    <row r="80" hidden="1">
      <c r="A80" s="612" t="n"/>
      <c r="B80" s="623" t="n"/>
      <c r="C80" s="615" t="n"/>
      <c r="D80" s="615" t="n"/>
      <c r="E80" s="615" t="n"/>
      <c r="F80" s="615" t="n"/>
      <c r="G80" s="615" t="n"/>
      <c r="H80" s="612" t="n"/>
      <c r="I80" s="612" t="n"/>
      <c r="J80" s="612" t="n"/>
      <c r="K80" s="612" t="n"/>
      <c r="L80" s="612" t="n"/>
      <c r="M80" s="612" t="n"/>
      <c r="N80" s="612" t="n"/>
      <c r="O80" s="612" t="n"/>
      <c r="P80" s="612" t="n"/>
      <c r="Q80" s="612" t="n"/>
      <c r="R80" s="612" t="n"/>
      <c r="S80" s="612" t="n"/>
      <c r="T80" s="612" t="n"/>
      <c r="U80" s="612" t="n"/>
    </row>
    <row r="81" hidden="1">
      <c r="A81" s="612" t="n"/>
      <c r="B81" s="623" t="n"/>
      <c r="C81" s="615" t="n"/>
      <c r="D81" s="615" t="n"/>
      <c r="E81" s="615" t="n"/>
      <c r="F81" s="615" t="n"/>
      <c r="G81" s="615" t="n"/>
      <c r="H81" s="612" t="n"/>
      <c r="I81" s="612" t="n"/>
      <c r="J81" s="612" t="n"/>
      <c r="K81" s="612" t="n"/>
      <c r="L81" s="612" t="n"/>
      <c r="M81" s="612" t="n"/>
      <c r="N81" s="612" t="n"/>
      <c r="O81" s="612" t="n"/>
      <c r="P81" s="612" t="n"/>
      <c r="Q81" s="612" t="n"/>
      <c r="R81" s="612" t="n"/>
      <c r="S81" s="612" t="n"/>
      <c r="T81" s="612" t="n"/>
      <c r="U81" s="612" t="n"/>
    </row>
    <row r="82" hidden="1">
      <c r="A82" s="612" t="n"/>
      <c r="B82" s="623" t="n"/>
      <c r="C82" s="615" t="n"/>
      <c r="D82" s="615" t="n"/>
      <c r="E82" s="615" t="n"/>
      <c r="F82" s="615" t="n"/>
      <c r="G82" s="615" t="n"/>
      <c r="H82" s="612" t="n"/>
      <c r="I82" s="612" t="n"/>
      <c r="J82" s="612" t="n"/>
      <c r="K82" s="612" t="n"/>
      <c r="L82" s="612" t="n"/>
      <c r="M82" s="612" t="n"/>
      <c r="N82" s="612" t="n"/>
      <c r="O82" s="612" t="n"/>
      <c r="P82" s="612" t="n"/>
      <c r="Q82" s="612" t="n"/>
      <c r="R82" s="612" t="n"/>
      <c r="S82" s="612" t="n"/>
      <c r="T82" s="612" t="n"/>
      <c r="U82" s="612" t="n"/>
    </row>
    <row r="83" hidden="1">
      <c r="A83" s="612" t="n"/>
      <c r="B83" s="621" t="n"/>
      <c r="C83" s="615" t="n"/>
      <c r="D83" s="615" t="n"/>
      <c r="E83" s="615" t="n"/>
      <c r="F83" s="615" t="n"/>
      <c r="G83" s="615" t="n"/>
      <c r="H83" s="612" t="n"/>
      <c r="I83" s="612" t="n"/>
      <c r="J83" s="612" t="n"/>
      <c r="K83" s="612" t="n"/>
      <c r="L83" s="612" t="n"/>
      <c r="M83" s="612" t="n"/>
      <c r="N83" s="612" t="n"/>
      <c r="O83" s="612" t="n"/>
      <c r="P83" s="612" t="n"/>
      <c r="Q83" s="612" t="n"/>
      <c r="R83" s="612" t="n"/>
      <c r="S83" s="612" t="n"/>
      <c r="T83" s="612" t="n"/>
      <c r="U83" s="612" t="n"/>
    </row>
    <row r="84" hidden="1">
      <c r="A84" s="612" t="n"/>
      <c r="B84" s="621" t="n"/>
      <c r="C84" s="615" t="n"/>
      <c r="D84" s="615" t="n"/>
      <c r="E84" s="615" t="n"/>
      <c r="F84" s="615" t="n"/>
      <c r="G84" s="615" t="n"/>
      <c r="H84" s="612" t="n"/>
      <c r="I84" s="612" t="n"/>
      <c r="J84" s="612" t="n"/>
      <c r="K84" s="612" t="n"/>
      <c r="L84" s="612" t="n"/>
      <c r="M84" s="612" t="n"/>
      <c r="N84" s="612" t="n"/>
      <c r="O84" s="612" t="n"/>
      <c r="P84" s="612" t="n"/>
      <c r="Q84" s="612" t="n"/>
      <c r="R84" s="612" t="n"/>
      <c r="S84" s="612" t="n"/>
      <c r="T84" s="612" t="n"/>
      <c r="U84" s="612" t="n"/>
    </row>
    <row r="85" hidden="1">
      <c r="A85" s="612" t="n"/>
      <c r="B85" s="623" t="n"/>
      <c r="C85" s="612" t="n"/>
      <c r="D85" s="615" t="n"/>
      <c r="E85" s="615" t="n"/>
      <c r="F85" s="615" t="n"/>
      <c r="G85" s="615" t="n"/>
      <c r="H85" s="612" t="n"/>
      <c r="I85" s="612" t="n"/>
      <c r="J85" s="612" t="n"/>
      <c r="K85" s="612" t="n"/>
      <c r="L85" s="612" t="n"/>
      <c r="M85" s="612" t="n"/>
      <c r="N85" s="612" t="n"/>
      <c r="O85" s="612" t="n"/>
      <c r="P85" s="612" t="n"/>
      <c r="Q85" s="612" t="n"/>
      <c r="R85" s="612" t="n"/>
      <c r="S85" s="612" t="n"/>
      <c r="T85" s="612" t="n"/>
      <c r="U85" s="612" t="n"/>
    </row>
    <row r="86" hidden="1">
      <c r="A86" s="612" t="n"/>
      <c r="B86" s="623" t="n"/>
      <c r="C86" s="612" t="n"/>
      <c r="D86" s="615" t="n"/>
      <c r="E86" s="615" t="n"/>
      <c r="F86" s="615" t="n"/>
      <c r="G86" s="615" t="n"/>
      <c r="H86" s="612" t="n"/>
      <c r="I86" s="612" t="n"/>
      <c r="J86" s="612" t="n"/>
      <c r="K86" s="612" t="n"/>
      <c r="L86" s="612" t="n"/>
      <c r="M86" s="612" t="n"/>
      <c r="N86" s="612" t="n"/>
      <c r="O86" s="612" t="n"/>
      <c r="P86" s="612" t="n"/>
      <c r="Q86" s="612" t="n"/>
      <c r="R86" s="612" t="n"/>
      <c r="S86" s="612" t="n"/>
      <c r="T86" s="612" t="n"/>
      <c r="U86" s="612" t="n"/>
    </row>
    <row r="87" hidden="1">
      <c r="A87" s="612" t="n"/>
      <c r="B87" s="623" t="n"/>
      <c r="C87" s="612" t="n"/>
      <c r="D87" s="615" t="n"/>
      <c r="E87" s="615" t="n"/>
      <c r="F87" s="615" t="n"/>
      <c r="G87" s="615" t="n"/>
      <c r="H87" s="612" t="n"/>
      <c r="I87" s="612" t="n"/>
      <c r="J87" s="612" t="n"/>
      <c r="K87" s="612" t="n"/>
      <c r="L87" s="612" t="n"/>
      <c r="M87" s="612" t="n"/>
      <c r="N87" s="612" t="n"/>
      <c r="O87" s="612" t="n"/>
      <c r="P87" s="612" t="n"/>
      <c r="Q87" s="612" t="n"/>
      <c r="R87" s="612" t="n"/>
      <c r="S87" s="612" t="n"/>
      <c r="T87" s="612" t="n"/>
      <c r="U87" s="612" t="n"/>
    </row>
    <row r="88" hidden="1">
      <c r="A88" s="612" t="n"/>
      <c r="B88" s="623" t="n"/>
      <c r="C88" s="615" t="n"/>
      <c r="D88" s="615" t="n"/>
      <c r="E88" s="615" t="n"/>
      <c r="F88" s="615" t="n"/>
      <c r="G88" s="615" t="n"/>
      <c r="H88" s="612" t="n"/>
      <c r="I88" s="612" t="n"/>
      <c r="J88" s="612" t="n"/>
      <c r="K88" s="612" t="n"/>
      <c r="L88" s="612" t="n"/>
      <c r="M88" s="612" t="n"/>
      <c r="N88" s="612" t="n"/>
      <c r="O88" s="612" t="n"/>
      <c r="P88" s="612" t="n"/>
      <c r="Q88" s="612" t="n"/>
      <c r="R88" s="612" t="n"/>
      <c r="S88" s="612" t="n"/>
      <c r="T88" s="612" t="n"/>
      <c r="U88" s="612" t="n"/>
    </row>
    <row r="89" hidden="1">
      <c r="A89" s="612" t="n"/>
      <c r="B89" s="623" t="n"/>
      <c r="C89" s="615" t="n"/>
      <c r="D89" s="615" t="n"/>
      <c r="E89" s="612" t="n"/>
      <c r="F89" s="615" t="n"/>
      <c r="G89" s="615" t="n"/>
      <c r="H89" s="612" t="n"/>
      <c r="I89" s="612" t="n"/>
      <c r="J89" s="612" t="n"/>
      <c r="K89" s="612" t="n"/>
      <c r="L89" s="612" t="n"/>
      <c r="M89" s="612" t="n"/>
      <c r="N89" s="612" t="n"/>
      <c r="O89" s="612" t="n"/>
      <c r="P89" s="612" t="n"/>
      <c r="Q89" s="612" t="n"/>
      <c r="R89" s="612" t="n"/>
      <c r="S89" s="612" t="n"/>
      <c r="T89" s="612" t="n"/>
      <c r="U89" s="612" t="n"/>
    </row>
    <row r="90" hidden="1">
      <c r="A90" s="612" t="n"/>
      <c r="B90" s="621" t="n"/>
      <c r="C90" s="615" t="n"/>
      <c r="D90" s="612" t="n"/>
      <c r="E90" s="612" t="n"/>
      <c r="F90" s="615" t="n"/>
      <c r="G90" s="615" t="n"/>
      <c r="H90" s="612" t="n"/>
      <c r="I90" s="612" t="n"/>
      <c r="J90" s="612" t="n"/>
      <c r="K90" s="612" t="n"/>
      <c r="L90" s="612" t="n"/>
      <c r="M90" s="612" t="n"/>
      <c r="N90" s="612" t="n"/>
      <c r="O90" s="612" t="n"/>
      <c r="P90" s="612" t="n"/>
      <c r="Q90" s="612" t="n"/>
      <c r="R90" s="612" t="n"/>
      <c r="S90" s="612" t="n"/>
      <c r="T90" s="612" t="n"/>
      <c r="U90" s="612" t="n"/>
    </row>
    <row r="91" hidden="1">
      <c r="A91" s="612" t="n"/>
      <c r="B91" s="621" t="n"/>
      <c r="C91" s="615" t="n"/>
      <c r="D91" s="612" t="n"/>
      <c r="E91" s="612" t="n"/>
      <c r="F91" s="615" t="n"/>
      <c r="G91" s="615" t="n"/>
      <c r="H91" s="612" t="n"/>
      <c r="I91" s="612" t="n"/>
      <c r="J91" s="612" t="n"/>
      <c r="K91" s="612" t="n"/>
      <c r="L91" s="612" t="n"/>
      <c r="M91" s="612" t="n"/>
      <c r="N91" s="612" t="n"/>
      <c r="O91" s="612" t="n"/>
      <c r="P91" s="612" t="n"/>
      <c r="Q91" s="612" t="n"/>
      <c r="R91" s="612" t="n"/>
      <c r="S91" s="612" t="n"/>
      <c r="T91" s="612" t="n"/>
      <c r="U91" s="612" t="n"/>
    </row>
    <row r="92" hidden="1">
      <c r="A92" s="612" t="n"/>
      <c r="B92" s="623" t="n"/>
      <c r="C92" s="615" t="n"/>
      <c r="D92" s="637" t="n"/>
      <c r="E92" s="637" t="n"/>
      <c r="F92" s="615" t="n"/>
      <c r="G92" s="615" t="n"/>
      <c r="H92" s="612" t="n"/>
      <c r="I92" s="612" t="n"/>
      <c r="J92" s="612" t="n"/>
      <c r="K92" s="612" t="n"/>
      <c r="L92" s="612" t="n"/>
      <c r="M92" s="612" t="n"/>
      <c r="N92" s="612" t="n"/>
      <c r="O92" s="612" t="n"/>
      <c r="P92" s="612" t="n"/>
      <c r="Q92" s="612" t="n"/>
      <c r="R92" s="612" t="n"/>
      <c r="S92" s="612" t="n"/>
      <c r="T92" s="612" t="n"/>
      <c r="U92" s="612" t="n"/>
    </row>
    <row r="93" hidden="1">
      <c r="A93" s="612" t="n"/>
      <c r="B93" s="621" t="n"/>
      <c r="C93" s="615" t="n"/>
      <c r="D93" s="615" t="n"/>
      <c r="E93" s="615" t="n"/>
      <c r="F93" s="615" t="n"/>
      <c r="G93" s="615" t="n"/>
      <c r="H93" s="612" t="n"/>
      <c r="I93" s="612" t="n"/>
      <c r="J93" s="612" t="n"/>
      <c r="K93" s="612" t="n"/>
      <c r="L93" s="612" t="n"/>
      <c r="M93" s="612" t="n"/>
      <c r="N93" s="612" t="n"/>
      <c r="O93" s="612" t="n"/>
      <c r="P93" s="612" t="n"/>
      <c r="Q93" s="612" t="n"/>
      <c r="R93" s="612" t="n"/>
      <c r="S93" s="612" t="n"/>
      <c r="T93" s="612" t="n"/>
      <c r="U93" s="612" t="n"/>
    </row>
    <row r="94" hidden="1">
      <c r="A94" s="612" t="n"/>
      <c r="B94" s="623" t="n"/>
      <c r="C94" s="615" t="n"/>
      <c r="D94" s="637" t="n"/>
      <c r="E94" s="637" t="n"/>
      <c r="F94" s="612" t="n"/>
      <c r="G94" s="615" t="n"/>
      <c r="H94" s="612" t="n"/>
      <c r="I94" s="612" t="n"/>
      <c r="J94" s="612" t="n"/>
      <c r="K94" s="612" t="n"/>
      <c r="L94" s="612" t="n"/>
      <c r="M94" s="612" t="n"/>
      <c r="N94" s="612" t="n"/>
      <c r="O94" s="612" t="n"/>
      <c r="P94" s="612" t="n"/>
      <c r="Q94" s="612" t="n"/>
      <c r="R94" s="612" t="n"/>
      <c r="S94" s="612" t="n"/>
      <c r="T94" s="612" t="n"/>
      <c r="U94" s="612" t="n"/>
    </row>
    <row r="95" hidden="1">
      <c r="A95" s="612" t="n"/>
      <c r="B95" s="621" t="n"/>
      <c r="C95" s="615" t="n"/>
      <c r="D95" s="615" t="n"/>
      <c r="E95" s="615" t="n"/>
      <c r="F95" s="615" t="n"/>
      <c r="G95" s="615" t="n"/>
      <c r="H95" s="612" t="n"/>
      <c r="I95" s="612" t="n"/>
      <c r="J95" s="612" t="n"/>
      <c r="K95" s="612" t="n"/>
      <c r="L95" s="612" t="n"/>
      <c r="M95" s="612" t="n"/>
      <c r="N95" s="612" t="n"/>
      <c r="O95" s="612" t="n"/>
      <c r="P95" s="612" t="n"/>
      <c r="Q95" s="612" t="n"/>
      <c r="R95" s="612" t="n"/>
      <c r="S95" s="612" t="n"/>
      <c r="T95" s="612" t="n"/>
      <c r="U95" s="612" t="n"/>
    </row>
    <row r="96" hidden="1">
      <c r="A96" s="612" t="n"/>
      <c r="B96" s="623" t="n"/>
      <c r="C96" s="615" t="n"/>
      <c r="D96" s="615" t="n"/>
      <c r="E96" s="615" t="n"/>
      <c r="F96" s="615" t="n"/>
      <c r="G96" s="615" t="n"/>
      <c r="H96" s="612" t="n"/>
      <c r="I96" s="612" t="n"/>
      <c r="J96" s="612" t="n"/>
      <c r="K96" s="612" t="n"/>
      <c r="L96" s="612" t="n"/>
      <c r="M96" s="612" t="n"/>
      <c r="N96" s="612" t="n"/>
      <c r="O96" s="612" t="n"/>
      <c r="P96" s="612" t="n"/>
      <c r="Q96" s="612" t="n"/>
      <c r="R96" s="612" t="n"/>
      <c r="S96" s="612" t="n"/>
      <c r="T96" s="612" t="n"/>
      <c r="U96" s="612" t="n"/>
    </row>
    <row r="97" hidden="1">
      <c r="A97" s="612" t="n"/>
      <c r="B97" s="615" t="n"/>
      <c r="C97" s="615" t="n"/>
      <c r="D97" s="615" t="n"/>
      <c r="E97" s="615" t="n"/>
      <c r="F97" s="615" t="n"/>
      <c r="G97" s="615" t="n"/>
      <c r="H97" s="612" t="n"/>
      <c r="I97" s="612" t="n"/>
      <c r="J97" s="612" t="n"/>
      <c r="K97" s="612" t="n"/>
      <c r="L97" s="612" t="n"/>
      <c r="M97" s="612" t="n"/>
      <c r="N97" s="612" t="n"/>
      <c r="O97" s="612" t="n"/>
      <c r="P97" s="612" t="n"/>
      <c r="Q97" s="612" t="n"/>
      <c r="R97" s="612" t="n"/>
      <c r="S97" s="612" t="n"/>
      <c r="T97" s="612" t="n"/>
      <c r="U97" s="612" t="n"/>
    </row>
    <row r="98" hidden="1">
      <c r="A98" s="612" t="n"/>
      <c r="B98" s="615" t="n"/>
      <c r="C98" s="615" t="n"/>
      <c r="D98" s="615" t="n"/>
      <c r="E98" s="615" t="n"/>
      <c r="F98" s="615" t="n"/>
      <c r="G98" s="615" t="n"/>
      <c r="H98" s="612" t="n"/>
      <c r="I98" s="612" t="n"/>
      <c r="J98" s="612" t="n"/>
      <c r="K98" s="612" t="n"/>
      <c r="L98" s="612" t="n"/>
      <c r="M98" s="612" t="n"/>
      <c r="N98" s="612" t="n"/>
      <c r="O98" s="612" t="n"/>
      <c r="P98" s="612" t="n"/>
      <c r="Q98" s="612" t="n"/>
      <c r="R98" s="612" t="n"/>
      <c r="S98" s="612" t="n"/>
      <c r="T98" s="612" t="n"/>
      <c r="U98" s="612" t="n"/>
    </row>
    <row r="99" hidden="1">
      <c r="A99" s="612" t="n"/>
      <c r="B99" s="621" t="n"/>
      <c r="C99" s="615" t="n"/>
      <c r="D99" s="615" t="n"/>
      <c r="E99" s="615" t="n"/>
      <c r="F99" s="615" t="n"/>
      <c r="G99" s="615" t="n"/>
      <c r="H99" s="612" t="n"/>
      <c r="I99" s="612" t="n"/>
      <c r="J99" s="612" t="n"/>
      <c r="K99" s="612" t="n"/>
      <c r="L99" s="612" t="n"/>
      <c r="M99" s="612" t="n"/>
      <c r="N99" s="612" t="n"/>
      <c r="O99" s="612" t="n"/>
      <c r="P99" s="612" t="n"/>
      <c r="Q99" s="612" t="n"/>
      <c r="R99" s="612" t="n"/>
      <c r="S99" s="612" t="n"/>
      <c r="T99" s="612" t="n"/>
      <c r="U99" s="612" t="n"/>
    </row>
    <row r="100" hidden="1">
      <c r="A100" s="612" t="n"/>
      <c r="B100" s="623" t="n"/>
      <c r="C100" s="615" t="n"/>
      <c r="D100" s="615" t="n"/>
      <c r="E100" s="615" t="n"/>
      <c r="F100" s="615" t="n"/>
      <c r="G100" s="615" t="n"/>
      <c r="H100" s="612" t="n"/>
      <c r="I100" s="612" t="n"/>
      <c r="J100" s="612" t="n"/>
      <c r="K100" s="612" t="n"/>
      <c r="L100" s="612" t="n"/>
      <c r="M100" s="612" t="n"/>
      <c r="N100" s="612" t="n"/>
      <c r="O100" s="612" t="n"/>
      <c r="P100" s="612" t="n"/>
      <c r="Q100" s="612" t="n"/>
      <c r="R100" s="612" t="n"/>
      <c r="S100" s="612" t="n"/>
      <c r="T100" s="612" t="n"/>
      <c r="U100" s="612" t="n"/>
    </row>
    <row r="101" hidden="1">
      <c r="A101" s="612" t="n"/>
      <c r="B101" s="623" t="n"/>
      <c r="C101" s="615" t="n"/>
      <c r="D101" s="615" t="n"/>
      <c r="E101" s="615" t="n"/>
      <c r="F101" s="615" t="n"/>
      <c r="G101" s="615" t="n"/>
      <c r="H101" s="612" t="n"/>
      <c r="I101" s="612" t="n"/>
      <c r="J101" s="612" t="n"/>
      <c r="K101" s="612" t="n"/>
      <c r="L101" s="612" t="n"/>
      <c r="M101" s="612" t="n"/>
      <c r="N101" s="612" t="n"/>
      <c r="O101" s="612" t="n"/>
      <c r="P101" s="612" t="n"/>
      <c r="Q101" s="612" t="n"/>
      <c r="R101" s="612" t="n"/>
      <c r="S101" s="612" t="n"/>
      <c r="T101" s="612" t="n"/>
      <c r="U101" s="612" t="n"/>
    </row>
    <row r="102" hidden="1">
      <c r="A102" s="612" t="n"/>
      <c r="B102" s="645" t="n"/>
      <c r="C102" s="615" t="n"/>
      <c r="D102" s="615" t="n"/>
      <c r="E102" s="615" t="n"/>
      <c r="F102" s="615" t="n"/>
      <c r="G102" s="615" t="n"/>
      <c r="H102" s="612" t="n"/>
      <c r="I102" s="612" t="n"/>
      <c r="J102" s="612" t="n"/>
      <c r="K102" s="612" t="n"/>
      <c r="L102" s="612" t="n"/>
      <c r="M102" s="612" t="n"/>
      <c r="N102" s="612" t="n"/>
      <c r="O102" s="612" t="n"/>
      <c r="P102" s="612" t="n"/>
      <c r="Q102" s="612" t="n"/>
      <c r="R102" s="612" t="n"/>
      <c r="S102" s="612" t="n"/>
      <c r="T102" s="612" t="n"/>
      <c r="U102" s="612" t="n"/>
    </row>
    <row r="103" hidden="1">
      <c r="A103" s="612" t="n"/>
      <c r="B103" s="645" t="n"/>
      <c r="C103" s="615" t="n"/>
      <c r="D103" s="615" t="n"/>
      <c r="E103" s="615" t="n"/>
      <c r="F103" s="615" t="n"/>
      <c r="G103" s="615" t="n"/>
      <c r="H103" s="612" t="n"/>
      <c r="I103" s="612" t="n"/>
      <c r="J103" s="612" t="n"/>
      <c r="K103" s="612" t="n"/>
      <c r="L103" s="612" t="n"/>
      <c r="M103" s="612" t="n"/>
      <c r="N103" s="612" t="n"/>
      <c r="O103" s="612" t="n"/>
      <c r="P103" s="612" t="n"/>
      <c r="Q103" s="612" t="n"/>
      <c r="R103" s="612" t="n"/>
      <c r="S103" s="612" t="n"/>
      <c r="T103" s="612" t="n"/>
      <c r="U103" s="612" t="n"/>
    </row>
    <row r="104" hidden="1">
      <c r="A104" s="612" t="n"/>
      <c r="B104" s="645" t="n"/>
      <c r="C104" s="615" t="n"/>
      <c r="D104" s="615" t="n"/>
      <c r="E104" s="615" t="n"/>
      <c r="F104" s="615" t="n"/>
      <c r="G104" s="615" t="n"/>
      <c r="H104" s="612" t="n"/>
      <c r="I104" s="612" t="n"/>
      <c r="J104" s="612" t="n"/>
      <c r="K104" s="612" t="n"/>
      <c r="L104" s="612" t="n"/>
      <c r="M104" s="612" t="n"/>
      <c r="N104" s="612" t="n"/>
      <c r="O104" s="612" t="n"/>
      <c r="P104" s="612" t="n"/>
      <c r="Q104" s="612" t="n"/>
      <c r="R104" s="612" t="n"/>
      <c r="S104" s="612" t="n"/>
      <c r="T104" s="612" t="n"/>
      <c r="U104" s="612" t="n"/>
    </row>
    <row r="105" hidden="1">
      <c r="A105" s="612" t="n"/>
      <c r="B105" s="621" t="n"/>
      <c r="C105" s="615" t="n"/>
      <c r="D105" s="615" t="n"/>
      <c r="E105" s="615" t="n"/>
      <c r="F105" s="615" t="n"/>
      <c r="G105" s="615" t="n"/>
      <c r="H105" s="612" t="n"/>
      <c r="I105" s="612" t="n"/>
      <c r="J105" s="612" t="n"/>
      <c r="K105" s="612" t="n"/>
      <c r="L105" s="612" t="n"/>
      <c r="M105" s="612" t="n"/>
      <c r="N105" s="612" t="n"/>
      <c r="O105" s="612" t="n"/>
      <c r="P105" s="612" t="n"/>
      <c r="Q105" s="612" t="n"/>
      <c r="R105" s="612" t="n"/>
      <c r="S105" s="612" t="n"/>
      <c r="T105" s="612" t="n"/>
      <c r="U105" s="612" t="n"/>
    </row>
    <row r="106" hidden="1">
      <c r="A106" s="612" t="n"/>
      <c r="B106" s="621" t="n"/>
      <c r="C106" s="615" t="n"/>
      <c r="D106" s="615" t="n"/>
      <c r="E106" s="615" t="n"/>
      <c r="F106" s="615" t="n"/>
      <c r="G106" s="615" t="n"/>
      <c r="H106" s="612" t="n"/>
      <c r="I106" s="612" t="n"/>
      <c r="J106" s="612" t="n"/>
      <c r="K106" s="612" t="n"/>
      <c r="L106" s="612" t="n"/>
      <c r="M106" s="612" t="n"/>
      <c r="N106" s="612" t="n"/>
      <c r="O106" s="612" t="n"/>
      <c r="P106" s="612" t="n"/>
      <c r="Q106" s="612" t="n"/>
      <c r="R106" s="612" t="n"/>
      <c r="S106" s="612" t="n"/>
      <c r="T106" s="612" t="n"/>
      <c r="U106" s="612" t="n"/>
    </row>
    <row r="107" hidden="1">
      <c r="A107" s="612" t="n"/>
      <c r="B107" s="621" t="n"/>
      <c r="C107" s="615" t="n"/>
      <c r="D107" s="615" t="n"/>
      <c r="E107" s="615" t="n"/>
      <c r="F107" s="615" t="n"/>
      <c r="G107" s="615" t="n"/>
      <c r="H107" s="612" t="n"/>
      <c r="I107" s="612" t="n"/>
      <c r="J107" s="612" t="n"/>
      <c r="K107" s="612" t="n"/>
      <c r="L107" s="612" t="n"/>
      <c r="M107" s="612" t="n"/>
      <c r="N107" s="612" t="n"/>
      <c r="O107" s="612" t="n"/>
      <c r="P107" s="612" t="n"/>
      <c r="Q107" s="612" t="n"/>
      <c r="R107" s="612" t="n"/>
      <c r="S107" s="612" t="n"/>
      <c r="T107" s="612" t="n"/>
      <c r="U107" s="612" t="n"/>
    </row>
    <row r="108" hidden="1">
      <c r="A108" s="612" t="n"/>
      <c r="B108" s="615" t="n"/>
      <c r="C108" s="615" t="n"/>
      <c r="D108" s="615" t="n"/>
      <c r="E108" s="615" t="n"/>
      <c r="F108" s="615" t="n"/>
      <c r="G108" s="615" t="n"/>
      <c r="H108" s="612" t="n"/>
      <c r="I108" s="612" t="n"/>
      <c r="J108" s="612" t="n"/>
      <c r="K108" s="612" t="n"/>
      <c r="L108" s="612" t="n"/>
      <c r="M108" s="612" t="n"/>
      <c r="N108" s="612" t="n"/>
      <c r="O108" s="612" t="n"/>
      <c r="P108" s="612" t="n"/>
      <c r="Q108" s="612" t="n"/>
      <c r="R108" s="612" t="n"/>
      <c r="S108" s="612" t="n"/>
      <c r="T108" s="612" t="n"/>
      <c r="U108" s="612" t="n"/>
    </row>
    <row r="109" hidden="1">
      <c r="A109" s="612" t="n"/>
      <c r="B109" s="623" t="n"/>
      <c r="C109" s="615" t="n"/>
      <c r="D109" s="615" t="n"/>
      <c r="E109" s="615" t="n"/>
      <c r="F109" s="615" t="n"/>
      <c r="G109" s="615" t="n"/>
      <c r="H109" s="612" t="n"/>
      <c r="I109" s="612" t="n"/>
      <c r="J109" s="612" t="n"/>
      <c r="K109" s="612" t="n"/>
      <c r="L109" s="612" t="n"/>
      <c r="M109" s="612" t="n"/>
      <c r="N109" s="612" t="n"/>
      <c r="O109" s="612" t="n"/>
      <c r="P109" s="612" t="n"/>
      <c r="Q109" s="612" t="n"/>
      <c r="R109" s="612" t="n"/>
      <c r="S109" s="612" t="n"/>
      <c r="T109" s="612" t="n"/>
      <c r="U109" s="612" t="n"/>
    </row>
    <row r="110" hidden="1">
      <c r="A110" s="612" t="n"/>
      <c r="B110" s="621" t="n"/>
      <c r="C110" s="615" t="n"/>
      <c r="D110" s="615" t="n"/>
      <c r="E110" s="615" t="n"/>
      <c r="F110" s="615" t="n"/>
      <c r="G110" s="615" t="n"/>
      <c r="H110" s="612" t="n"/>
      <c r="I110" s="612" t="n"/>
      <c r="J110" s="612" t="n"/>
      <c r="K110" s="612" t="n"/>
      <c r="L110" s="612" t="n"/>
      <c r="M110" s="612" t="n"/>
      <c r="N110" s="612" t="n"/>
      <c r="O110" s="612" t="n"/>
      <c r="P110" s="612" t="n"/>
      <c r="Q110" s="615" t="n"/>
      <c r="R110" s="615" t="n"/>
      <c r="S110" s="612" t="n"/>
      <c r="T110" s="612" t="n"/>
      <c r="U110" s="612" t="n"/>
    </row>
    <row r="111" hidden="1">
      <c r="A111" s="612" t="n"/>
      <c r="B111" s="615" t="n"/>
      <c r="C111" s="615" t="n"/>
      <c r="D111" s="615" t="n"/>
      <c r="E111" s="615" t="n"/>
      <c r="F111" s="615" t="n"/>
      <c r="G111" s="615" t="n"/>
      <c r="H111" s="612" t="n"/>
      <c r="I111" s="612" t="n"/>
      <c r="J111" s="612" t="n"/>
      <c r="K111" s="612" t="n"/>
      <c r="L111" s="612" t="n"/>
      <c r="M111" s="612" t="n"/>
      <c r="N111" s="612" t="n"/>
      <c r="O111" s="612" t="n"/>
      <c r="P111" s="612" t="n"/>
      <c r="Q111" s="615" t="n"/>
      <c r="R111" s="615" t="n"/>
      <c r="S111" s="612" t="n"/>
      <c r="T111" s="612" t="n"/>
      <c r="U111" s="612" t="n"/>
    </row>
    <row r="112" hidden="1">
      <c r="A112" s="612" t="n"/>
      <c r="B112" s="615" t="n"/>
      <c r="C112" s="615" t="n"/>
      <c r="D112" s="615" t="n"/>
      <c r="E112" s="615" t="n"/>
      <c r="F112" s="615" t="n"/>
      <c r="G112" s="615" t="n"/>
      <c r="H112" s="612" t="n"/>
      <c r="I112" s="612" t="n"/>
      <c r="J112" s="612" t="n"/>
      <c r="K112" s="612" t="n"/>
      <c r="L112" s="612" t="n"/>
      <c r="M112" s="612" t="n"/>
      <c r="N112" s="612" t="n"/>
      <c r="O112" s="612" t="n"/>
      <c r="P112" s="612" t="n"/>
      <c r="Q112" s="612" t="n"/>
      <c r="R112" s="612" t="n"/>
      <c r="S112" s="612" t="n"/>
      <c r="T112" s="612" t="n"/>
      <c r="U112" s="612" t="n"/>
    </row>
    <row r="113" hidden="1">
      <c r="A113" s="612" t="n"/>
      <c r="B113" s="615" t="n"/>
      <c r="C113" s="615" t="n"/>
      <c r="D113" s="615" t="n"/>
      <c r="E113" s="615" t="n"/>
      <c r="F113" s="615" t="n"/>
      <c r="G113" s="615" t="n"/>
      <c r="H113" s="612" t="n"/>
      <c r="I113" s="612" t="n"/>
      <c r="J113" s="612" t="n"/>
      <c r="K113" s="612" t="n"/>
      <c r="L113" s="612" t="n"/>
      <c r="M113" s="612" t="n"/>
      <c r="N113" s="612" t="n"/>
      <c r="O113" s="612" t="n"/>
      <c r="P113" s="612" t="n"/>
      <c r="Q113" s="612" t="n"/>
      <c r="R113" s="612" t="n"/>
      <c r="S113" s="612" t="n"/>
      <c r="T113" s="612" t="n"/>
      <c r="U113" s="612" t="n"/>
    </row>
    <row r="114" hidden="1">
      <c r="A114" s="612" t="n"/>
      <c r="B114" s="647" t="n"/>
      <c r="C114" s="648" t="n"/>
      <c r="D114" s="615" t="n"/>
      <c r="E114" s="615" t="n"/>
      <c r="F114" s="615" t="n"/>
      <c r="G114" s="612" t="n"/>
      <c r="H114" s="612" t="n"/>
      <c r="I114" s="612" t="n"/>
      <c r="J114" s="612" t="n"/>
      <c r="K114" s="612" t="n"/>
      <c r="L114" s="612" t="n"/>
      <c r="M114" s="612" t="n"/>
      <c r="N114" s="612" t="n"/>
      <c r="O114" s="612" t="n"/>
      <c r="P114" s="612" t="n"/>
      <c r="Q114" s="612" t="n"/>
      <c r="R114" s="612" t="n"/>
      <c r="S114" s="612" t="n"/>
      <c r="T114" s="612" t="n"/>
      <c r="U114" s="612" t="n"/>
    </row>
    <row r="115" hidden="1">
      <c r="A115" s="612" t="n"/>
      <c r="B115" s="621" t="n"/>
      <c r="C115" s="615" t="n"/>
      <c r="D115" s="615" t="n"/>
      <c r="E115" s="615" t="n"/>
      <c r="F115" s="615" t="n"/>
      <c r="G115" s="615" t="n"/>
      <c r="H115" s="612" t="n"/>
      <c r="I115" s="612" t="n"/>
      <c r="J115" s="612" t="n"/>
      <c r="K115" s="612" t="n"/>
      <c r="L115" s="612" t="n"/>
      <c r="M115" s="612" t="n"/>
      <c r="N115" s="612" t="n"/>
      <c r="O115" s="612" t="n"/>
      <c r="P115" s="612" t="n"/>
      <c r="Q115" s="612" t="n"/>
      <c r="R115" s="612" t="n"/>
      <c r="S115" s="612" t="n"/>
      <c r="T115" s="612" t="n"/>
      <c r="U115" s="612" t="n"/>
    </row>
    <row r="116" hidden="1">
      <c r="A116" s="612" t="n"/>
      <c r="B116" s="613" t="n"/>
      <c r="C116" s="613" t="n"/>
      <c r="D116" s="615" t="n"/>
      <c r="E116" s="615" t="n"/>
      <c r="F116" s="615" t="n"/>
      <c r="G116" s="615" t="n"/>
      <c r="H116" s="612" t="n"/>
      <c r="I116" s="612" t="n"/>
      <c r="J116" s="612" t="n"/>
      <c r="K116" s="612" t="n"/>
      <c r="L116" s="612" t="n"/>
      <c r="M116" s="612" t="n"/>
      <c r="N116" s="612" t="n"/>
      <c r="O116" s="612" t="n"/>
      <c r="P116" s="612" t="n"/>
      <c r="Q116" s="612" t="n"/>
      <c r="R116" s="612" t="n"/>
      <c r="S116" s="612" t="n"/>
      <c r="T116" s="612" t="n"/>
      <c r="U116" s="612" t="n"/>
    </row>
    <row r="117" hidden="1">
      <c r="A117" s="612" t="n"/>
      <c r="B117" s="650" t="n"/>
      <c r="C117" s="650" t="n"/>
      <c r="D117" s="650" t="n"/>
      <c r="E117" s="650" t="n"/>
      <c r="F117" s="650" t="n"/>
      <c r="G117" s="650" t="n"/>
      <c r="H117" s="612" t="n"/>
      <c r="I117" s="612" t="n"/>
      <c r="J117" s="612" t="n"/>
      <c r="K117" s="612" t="n"/>
      <c r="L117" s="612" t="n"/>
      <c r="M117" s="612" t="n"/>
      <c r="N117" s="612" t="n"/>
      <c r="O117" s="612" t="n"/>
      <c r="P117" s="612" t="n"/>
      <c r="Q117" s="612" t="n"/>
      <c r="R117" s="612" t="n"/>
      <c r="S117" s="612" t="n"/>
      <c r="T117" s="612" t="n"/>
      <c r="U117" s="612" t="n"/>
    </row>
    <row r="118" hidden="1">
      <c r="A118" s="612" t="n"/>
      <c r="B118" s="612" t="n"/>
      <c r="C118" s="612" t="n"/>
      <c r="D118" s="612" t="n"/>
      <c r="E118" s="612" t="n"/>
      <c r="F118" s="612" t="n"/>
      <c r="G118" s="612" t="n"/>
      <c r="H118" s="612" t="n"/>
      <c r="I118" s="612" t="n"/>
      <c r="J118" s="612" t="n"/>
      <c r="K118" s="612" t="n"/>
      <c r="L118" s="612" t="n"/>
      <c r="M118" s="612" t="n"/>
      <c r="N118" s="612" t="n"/>
      <c r="O118" s="612" t="n"/>
      <c r="P118" s="612" t="n"/>
      <c r="Q118" s="615" t="n"/>
      <c r="R118" s="615" t="n"/>
      <c r="S118" s="612" t="n"/>
      <c r="T118" s="612" t="n"/>
      <c r="U118" s="612" t="n"/>
    </row>
    <row r="119" hidden="1">
      <c r="A119" s="612" t="n"/>
      <c r="B119" s="637" t="n"/>
      <c r="C119" s="612" t="n"/>
      <c r="D119" s="612" t="n"/>
      <c r="E119" s="612" t="n"/>
      <c r="F119" s="612" t="n"/>
      <c r="G119" s="612" t="n"/>
      <c r="H119" s="612" t="n"/>
      <c r="I119" s="612" t="n"/>
      <c r="J119" s="612" t="n"/>
      <c r="K119" s="612" t="n"/>
      <c r="L119" s="612" t="n"/>
      <c r="M119" s="612" t="n"/>
      <c r="N119" s="612" t="n"/>
      <c r="O119" s="612" t="n"/>
      <c r="P119" s="612" t="n"/>
      <c r="Q119" s="615" t="n"/>
      <c r="R119" s="615" t="n"/>
      <c r="S119" s="612" t="n"/>
      <c r="T119" s="612" t="n"/>
      <c r="U119" s="612" t="n"/>
    </row>
    <row r="120" hidden="1">
      <c r="A120" s="612" t="n"/>
      <c r="B120" s="613" t="n"/>
      <c r="C120" s="615" t="n"/>
      <c r="D120" s="657" t="n"/>
      <c r="E120" s="612" t="n"/>
      <c r="F120" s="612" t="n"/>
      <c r="G120" s="612" t="n"/>
      <c r="H120" s="612" t="n"/>
      <c r="I120" s="612" t="n"/>
      <c r="J120" s="612" t="n"/>
      <c r="K120" s="612" t="n"/>
      <c r="L120" s="612" t="n"/>
      <c r="M120" s="612" t="n"/>
      <c r="N120" s="612" t="n"/>
      <c r="O120" s="612" t="n"/>
      <c r="P120" s="612" t="n"/>
      <c r="Q120" s="615" t="n"/>
      <c r="R120" s="615" t="n"/>
      <c r="S120" s="612" t="n"/>
      <c r="T120" s="612" t="n"/>
      <c r="U120" s="612" t="n"/>
    </row>
    <row r="121" hidden="1">
      <c r="A121" s="612" t="n"/>
      <c r="B121" s="613" t="n"/>
      <c r="C121" s="615" t="n"/>
      <c r="D121" s="657" t="n"/>
      <c r="E121" s="612" t="n"/>
      <c r="F121" s="612" t="n"/>
      <c r="G121" s="612" t="n"/>
      <c r="H121" s="612" t="n"/>
      <c r="I121" s="612" t="n"/>
      <c r="J121" s="612" t="n"/>
      <c r="K121" s="612" t="n"/>
      <c r="L121" s="612" t="n"/>
      <c r="M121" s="612" t="n"/>
      <c r="N121" s="612" t="n"/>
      <c r="O121" s="612" t="n"/>
      <c r="P121" s="612" t="n"/>
      <c r="Q121" s="615" t="n"/>
      <c r="R121" s="615" t="n"/>
      <c r="S121" s="612" t="n"/>
      <c r="T121" s="612" t="n"/>
      <c r="U121" s="612" t="n"/>
    </row>
    <row r="122" hidden="1" ht="24" customHeight="1">
      <c r="A122" s="612" t="n"/>
      <c r="B122" s="658" t="n"/>
      <c r="C122" s="615" t="n"/>
      <c r="D122" s="657" t="n"/>
      <c r="E122" s="612" t="n"/>
      <c r="F122" s="612" t="n"/>
      <c r="G122" s="612" t="n"/>
      <c r="H122" s="612" t="n"/>
      <c r="I122" s="612" t="n"/>
      <c r="J122" s="612" t="n"/>
      <c r="K122" s="612" t="n"/>
      <c r="L122" s="612" t="n"/>
      <c r="M122" s="612" t="n"/>
      <c r="N122" s="612" t="n"/>
      <c r="O122" s="612" t="n"/>
      <c r="P122" s="612" t="n"/>
      <c r="Q122" s="612" t="n"/>
      <c r="R122" s="612" t="n"/>
      <c r="S122" s="612" t="n"/>
      <c r="T122" s="612" t="n"/>
      <c r="U122" s="612" t="n"/>
    </row>
    <row r="123" hidden="1">
      <c r="A123" s="612" t="n"/>
      <c r="B123" s="613" t="n"/>
      <c r="C123" s="615" t="n"/>
      <c r="D123" s="657" t="n"/>
      <c r="E123" s="612" t="n"/>
      <c r="F123" s="612" t="n"/>
      <c r="G123" s="612" t="n"/>
      <c r="H123" s="612" t="n"/>
      <c r="I123" s="612" t="n"/>
      <c r="J123" s="612" t="n"/>
      <c r="K123" s="612" t="n"/>
      <c r="L123" s="612" t="n"/>
      <c r="M123" s="612" t="n"/>
      <c r="N123" s="612" t="n"/>
      <c r="O123" s="612" t="n"/>
      <c r="P123" s="612" t="n"/>
      <c r="Q123" s="612" t="n"/>
      <c r="R123" s="612" t="n"/>
      <c r="S123" s="612" t="n"/>
      <c r="T123" s="612" t="n"/>
      <c r="U123" s="612" t="n"/>
    </row>
    <row r="124" hidden="1">
      <c r="A124" s="612" t="n"/>
      <c r="B124" s="613" t="n"/>
      <c r="C124" s="615" t="n"/>
      <c r="D124" s="657" t="n"/>
      <c r="E124" s="612" t="n"/>
      <c r="F124" s="612" t="n"/>
      <c r="G124" s="612" t="n"/>
      <c r="H124" s="612" t="n"/>
      <c r="I124" s="612" t="n"/>
      <c r="J124" s="612" t="n"/>
      <c r="K124" s="612" t="n"/>
      <c r="L124" s="612" t="n"/>
      <c r="M124" s="612" t="n"/>
      <c r="N124" s="612" t="n"/>
      <c r="O124" s="612" t="n"/>
      <c r="P124" s="612" t="n"/>
      <c r="Q124" s="612" t="n"/>
      <c r="R124" s="612" t="n"/>
      <c r="S124" s="612" t="n"/>
      <c r="T124" s="612" t="n"/>
      <c r="U124" s="612" t="n"/>
    </row>
    <row r="125" hidden="1">
      <c r="A125" s="612" t="n"/>
      <c r="B125" s="613" t="n"/>
      <c r="C125" s="615" t="n"/>
      <c r="D125" s="657" t="n"/>
      <c r="E125" s="612" t="n"/>
      <c r="F125" s="612" t="n"/>
      <c r="G125" s="612" t="n"/>
      <c r="H125" s="612" t="n"/>
      <c r="I125" s="612" t="n"/>
      <c r="J125" s="612" t="n"/>
      <c r="K125" s="612" t="n"/>
      <c r="L125" s="612" t="n"/>
      <c r="M125" s="612" t="n"/>
      <c r="N125" s="612" t="n"/>
      <c r="O125" s="612" t="n"/>
      <c r="P125" s="612" t="n"/>
      <c r="Q125" s="612" t="n"/>
      <c r="R125" s="612" t="n"/>
      <c r="S125" s="612" t="n"/>
      <c r="T125" s="612" t="n"/>
      <c r="U125" s="612" t="n"/>
    </row>
    <row r="126" hidden="1">
      <c r="A126" s="612" t="n"/>
      <c r="B126" s="613" t="n"/>
      <c r="C126" s="615" t="n"/>
      <c r="D126" s="657" t="n"/>
      <c r="E126" s="612" t="n"/>
      <c r="F126" s="612" t="n"/>
      <c r="G126" s="612" t="n"/>
      <c r="H126" s="612" t="n"/>
      <c r="I126" s="612" t="n"/>
      <c r="J126" s="612" t="n"/>
      <c r="K126" s="612" t="n"/>
      <c r="L126" s="612" t="n"/>
      <c r="M126" s="612" t="n"/>
      <c r="N126" s="612" t="n"/>
      <c r="O126" s="612" t="n"/>
      <c r="P126" s="612" t="n"/>
      <c r="Q126" s="612" t="n"/>
      <c r="R126" s="612" t="n"/>
      <c r="S126" s="612" t="n"/>
      <c r="T126" s="612" t="n"/>
      <c r="U126" s="612" t="n"/>
    </row>
    <row r="127" hidden="1">
      <c r="A127" s="612" t="n"/>
      <c r="B127" s="613" t="n"/>
      <c r="C127" s="615" t="n"/>
      <c r="D127" s="657" t="n"/>
      <c r="E127" s="612" t="n"/>
      <c r="F127" s="612" t="n"/>
      <c r="G127" s="612" t="n"/>
      <c r="H127" s="612" t="n"/>
      <c r="I127" s="612" t="n"/>
      <c r="J127" s="612" t="n"/>
      <c r="K127" s="612" t="n"/>
      <c r="L127" s="612" t="n"/>
      <c r="M127" s="612" t="n"/>
      <c r="N127" s="612" t="n"/>
      <c r="O127" s="612" t="n"/>
      <c r="P127" s="612" t="n"/>
      <c r="Q127" s="612" t="n"/>
      <c r="R127" s="612" t="n"/>
      <c r="S127" s="612" t="n"/>
      <c r="T127" s="612" t="n"/>
      <c r="U127" s="612" t="n"/>
    </row>
    <row r="128" hidden="1">
      <c r="A128" s="612" t="n"/>
      <c r="B128" s="613" t="n"/>
      <c r="C128" s="615" t="n"/>
      <c r="D128" s="657" t="n"/>
      <c r="E128" s="612" t="n"/>
      <c r="F128" s="612" t="n"/>
      <c r="G128" s="612" t="n"/>
      <c r="H128" s="612" t="n"/>
      <c r="I128" s="612" t="n"/>
      <c r="J128" s="612" t="n"/>
      <c r="K128" s="612" t="n"/>
      <c r="L128" s="612" t="n"/>
      <c r="M128" s="612" t="n"/>
      <c r="N128" s="612" t="n"/>
      <c r="O128" s="612" t="n"/>
      <c r="P128" s="612" t="n"/>
      <c r="Q128" s="612" t="n"/>
      <c r="R128" s="612" t="n"/>
      <c r="S128" s="612" t="n"/>
      <c r="T128" s="612" t="n"/>
      <c r="U128" s="612" t="n"/>
    </row>
    <row r="129" hidden="1">
      <c r="A129" s="612" t="n"/>
      <c r="B129" s="613" t="n"/>
      <c r="C129" s="615" t="n"/>
      <c r="D129" s="657" t="n"/>
      <c r="E129" s="612" t="n"/>
      <c r="F129" s="612" t="n"/>
      <c r="G129" s="612" t="n"/>
      <c r="H129" s="612" t="n"/>
      <c r="I129" s="612" t="n"/>
      <c r="J129" s="612" t="n"/>
      <c r="K129" s="612" t="n"/>
      <c r="L129" s="612" t="n"/>
      <c r="M129" s="612" t="n"/>
      <c r="N129" s="612" t="n"/>
      <c r="O129" s="612" t="n"/>
      <c r="P129" s="612" t="n"/>
      <c r="Q129" s="612" t="n"/>
      <c r="R129" s="612" t="n"/>
      <c r="S129" s="612" t="n"/>
      <c r="T129" s="612" t="n"/>
      <c r="U129" s="612" t="n"/>
    </row>
    <row r="130" hidden="1">
      <c r="A130" s="612" t="n"/>
      <c r="B130" s="613" t="n"/>
      <c r="C130" s="615" t="n"/>
      <c r="D130" s="657" t="n"/>
      <c r="E130" s="612" t="n"/>
      <c r="F130" s="612" t="n"/>
      <c r="G130" s="612" t="n"/>
      <c r="H130" s="612" t="n"/>
      <c r="I130" s="612" t="n"/>
      <c r="J130" s="612" t="n"/>
      <c r="K130" s="612" t="n"/>
      <c r="L130" s="612" t="n"/>
      <c r="M130" s="612" t="n"/>
      <c r="N130" s="612" t="n"/>
      <c r="O130" s="612" t="n"/>
      <c r="P130" s="612" t="n"/>
      <c r="Q130" s="612" t="n"/>
      <c r="R130" s="612" t="n"/>
      <c r="S130" s="612" t="n"/>
      <c r="T130" s="612" t="n"/>
      <c r="U130" s="612" t="n"/>
    </row>
    <row r="131" hidden="1">
      <c r="A131" s="612" t="n"/>
      <c r="B131" s="613" t="n"/>
      <c r="C131" s="615" t="n"/>
      <c r="D131" s="657" t="n"/>
      <c r="E131" s="612" t="n"/>
      <c r="F131" s="612" t="n"/>
      <c r="G131" s="612" t="n"/>
      <c r="H131" s="612" t="n"/>
      <c r="I131" s="612" t="n"/>
      <c r="J131" s="612" t="n"/>
      <c r="K131" s="612" t="n"/>
      <c r="L131" s="612" t="n"/>
      <c r="M131" s="612" t="n"/>
      <c r="N131" s="612" t="n"/>
      <c r="O131" s="612" t="n"/>
      <c r="P131" s="612" t="n"/>
      <c r="Q131" s="612" t="n"/>
      <c r="R131" s="612" t="n"/>
      <c r="S131" s="612" t="n"/>
      <c r="T131" s="612" t="n"/>
      <c r="U131" s="612" t="n"/>
    </row>
    <row r="132" hidden="1">
      <c r="A132" s="612" t="n"/>
      <c r="B132" s="615" t="n"/>
      <c r="C132" s="615" t="n"/>
      <c r="D132" s="615" t="n"/>
      <c r="E132" s="612" t="n"/>
      <c r="F132" s="612" t="n"/>
      <c r="G132" s="612" t="n"/>
      <c r="H132" s="612" t="n"/>
      <c r="I132" s="612" t="n"/>
      <c r="J132" s="612" t="n"/>
      <c r="K132" s="612" t="n"/>
      <c r="L132" s="612" t="n"/>
      <c r="M132" s="612" t="n"/>
      <c r="N132" s="612" t="n"/>
      <c r="O132" s="612" t="n"/>
      <c r="P132" s="612" t="n"/>
      <c r="Q132" s="612" t="n"/>
      <c r="R132" s="612" t="n"/>
      <c r="S132" s="612" t="n"/>
      <c r="T132" s="612" t="n"/>
      <c r="U132" s="612" t="n"/>
    </row>
    <row r="133" hidden="1">
      <c r="A133" s="612" t="n"/>
      <c r="B133" s="647" t="n"/>
      <c r="C133" s="615" t="n"/>
      <c r="D133" s="612" t="n"/>
      <c r="E133" s="612" t="n"/>
      <c r="F133" s="612" t="n"/>
      <c r="G133" s="612" t="n"/>
      <c r="H133" s="612" t="n"/>
      <c r="I133" s="612" t="n"/>
      <c r="J133" s="612" t="n"/>
      <c r="K133" s="612" t="n"/>
      <c r="L133" s="612" t="n"/>
      <c r="M133" s="612" t="n"/>
      <c r="N133" s="612" t="n"/>
      <c r="O133" s="612" t="n"/>
      <c r="P133" s="612" t="n"/>
      <c r="Q133" s="612" t="n"/>
      <c r="R133" s="612" t="n"/>
      <c r="S133" s="612" t="n"/>
      <c r="T133" s="612" t="n"/>
      <c r="U133" s="612" t="n"/>
    </row>
    <row r="134" hidden="1">
      <c r="A134" s="612" t="n"/>
      <c r="B134" s="612" t="n"/>
      <c r="C134" s="612" t="n"/>
      <c r="D134" s="612" t="n"/>
      <c r="E134" s="612" t="n"/>
      <c r="F134" s="612" t="n"/>
      <c r="G134" s="612" t="n"/>
      <c r="H134" s="612" t="n"/>
      <c r="I134" s="612" t="n"/>
      <c r="J134" s="612" t="n"/>
      <c r="K134" s="612" t="n"/>
      <c r="L134" s="612" t="n"/>
      <c r="M134" s="612" t="n"/>
      <c r="N134" s="612" t="n"/>
      <c r="O134" s="612" t="n"/>
      <c r="P134" s="612" t="n"/>
      <c r="Q134" s="612" t="n"/>
      <c r="R134" s="612" t="n"/>
      <c r="S134" s="612" t="n"/>
      <c r="T134" s="612" t="n"/>
      <c r="U134" s="612" t="n"/>
    </row>
    <row r="135" hidden="1">
      <c r="A135" s="612" t="n"/>
      <c r="B135" s="613" t="n"/>
      <c r="C135" s="621" t="n"/>
      <c r="D135" s="615" t="n"/>
      <c r="E135" s="612" t="n"/>
      <c r="F135" s="612" t="n"/>
      <c r="G135" s="612" t="n"/>
      <c r="H135" s="612" t="n"/>
      <c r="I135" s="612" t="n"/>
      <c r="J135" s="612" t="n"/>
      <c r="K135" s="612" t="n"/>
      <c r="L135" s="612" t="n"/>
      <c r="M135" s="612" t="n"/>
      <c r="N135" s="612" t="n"/>
      <c r="O135" s="612" t="n"/>
      <c r="P135" s="612" t="n"/>
      <c r="Q135" s="612" t="n"/>
      <c r="R135" s="612" t="n"/>
      <c r="S135" s="612" t="n"/>
      <c r="T135" s="612" t="n"/>
      <c r="U135" s="612" t="n"/>
    </row>
    <row r="136" hidden="1">
      <c r="B136" s="659" t="n"/>
      <c r="C136" s="660" t="n"/>
      <c r="D136" s="661" t="n"/>
      <c r="E136" s="662" t="n"/>
      <c r="F136" s="663" t="n"/>
      <c r="G136" s="663" t="n"/>
      <c r="H136" s="664" t="n"/>
      <c r="I136" s="664" t="n"/>
    </row>
    <row r="137">
      <c r="B137" s="665" t="n"/>
      <c r="C137" s="662" t="n"/>
      <c r="D137" s="662" t="n"/>
      <c r="E137" s="662" t="n"/>
      <c r="F137" s="663" t="n"/>
      <c r="G137" s="663" t="n"/>
      <c r="H137" s="664" t="n"/>
      <c r="I137" s="664" t="n"/>
    </row>
    <row r="138">
      <c r="B138" s="665" t="n"/>
      <c r="C138" s="662" t="n"/>
      <c r="D138" s="662" t="n"/>
      <c r="E138" s="662" t="n"/>
      <c r="F138" s="663" t="n"/>
      <c r="G138" s="663" t="n"/>
      <c r="H138" s="664" t="n"/>
      <c r="I138" s="664" t="n"/>
    </row>
    <row r="139">
      <c r="B139" s="665" t="n"/>
      <c r="C139" s="662" t="n"/>
      <c r="D139" s="662" t="n"/>
      <c r="E139" s="662" t="n"/>
      <c r="F139" s="663" t="n"/>
      <c r="G139" s="663" t="n"/>
      <c r="H139" s="664" t="n"/>
      <c r="I139" s="664" t="n"/>
    </row>
    <row r="140">
      <c r="B140" s="665" t="n"/>
      <c r="C140" s="662" t="n"/>
      <c r="D140" s="662" t="n"/>
      <c r="E140" s="662" t="n"/>
      <c r="F140" s="663" t="n"/>
      <c r="G140" s="663" t="n"/>
      <c r="H140" s="664" t="n"/>
      <c r="I140" s="664" t="n"/>
    </row>
    <row r="141">
      <c r="B141" s="665" t="n"/>
      <c r="C141" s="662" t="n"/>
      <c r="D141" s="662" t="n"/>
      <c r="E141" s="662" t="n"/>
      <c r="F141" s="663" t="n"/>
      <c r="G141" s="663" t="n"/>
      <c r="H141" s="664" t="n"/>
      <c r="I141" s="664" t="n"/>
    </row>
    <row r="142">
      <c r="B142" s="665" t="n"/>
      <c r="C142" s="662" t="n"/>
      <c r="D142" s="662" t="n"/>
      <c r="E142" s="662" t="n"/>
      <c r="F142" s="663" t="n"/>
      <c r="G142" s="663" t="n"/>
      <c r="H142" s="664" t="n"/>
      <c r="I142" s="664" t="n"/>
    </row>
    <row r="143">
      <c r="B143" s="665" t="n"/>
      <c r="C143" s="662" t="n"/>
      <c r="D143" s="662" t="n"/>
      <c r="E143" s="662" t="n"/>
      <c r="F143" s="663" t="n"/>
      <c r="G143" s="663" t="n"/>
      <c r="H143" s="664" t="n"/>
      <c r="I143" s="664" t="n"/>
    </row>
    <row r="144">
      <c r="B144" s="665" t="n"/>
      <c r="C144" s="662" t="n"/>
      <c r="D144" s="662" t="n"/>
      <c r="E144" s="662" t="n"/>
      <c r="F144" s="663" t="n"/>
      <c r="G144" s="663" t="n"/>
      <c r="H144" s="664" t="n"/>
      <c r="I144" s="664" t="n"/>
    </row>
    <row r="145">
      <c r="B145" s="665" t="n"/>
      <c r="C145" s="662" t="n"/>
      <c r="D145" s="662" t="n"/>
      <c r="E145" s="662" t="n"/>
      <c r="F145" s="663" t="n"/>
      <c r="G145" s="663" t="n"/>
      <c r="H145" s="664" t="n"/>
      <c r="I145" s="664" t="n"/>
    </row>
    <row r="146">
      <c r="B146" s="665" t="n"/>
      <c r="C146" s="662" t="n"/>
      <c r="D146" s="662" t="n"/>
      <c r="E146" s="662" t="n"/>
      <c r="F146" s="663" t="n"/>
      <c r="G146" s="663" t="n"/>
      <c r="H146" s="664" t="n"/>
      <c r="I146" s="664" t="n"/>
    </row>
    <row r="147">
      <c r="B147" s="665" t="n"/>
      <c r="C147" s="662" t="n"/>
      <c r="D147" s="662" t="n"/>
      <c r="E147" s="662" t="n"/>
      <c r="F147" s="663" t="n"/>
      <c r="G147" s="663" t="n"/>
      <c r="H147" s="664" t="n"/>
      <c r="I147" s="664" t="n"/>
    </row>
    <row r="223">
      <c r="Q223" s="666" t="n"/>
      <c r="R223" s="666" t="n"/>
    </row>
    <row r="224">
      <c r="Q224" s="666" t="n"/>
      <c r="R224" s="666" t="n"/>
    </row>
    <row r="225">
      <c r="Q225" s="666" t="n"/>
      <c r="R225" s="666" t="n"/>
    </row>
    <row r="226">
      <c r="Q226" s="666" t="n"/>
      <c r="R226" s="666" t="n"/>
    </row>
    <row r="341">
      <c r="Q341" s="666" t="n"/>
      <c r="R341" s="666" t="n"/>
    </row>
    <row r="540">
      <c r="Q540" s="666" t="n"/>
      <c r="R540" s="666" t="n"/>
    </row>
    <row r="541">
      <c r="Q541" s="666" t="n"/>
      <c r="R541" s="666" t="n"/>
    </row>
    <row r="542">
      <c r="Q542" s="666" t="n"/>
      <c r="R542" s="666" t="n"/>
    </row>
  </sheetData>
  <mergeCells count="1">
    <mergeCell ref="B2:G2"/>
  </mergeCells>
  <dataValidations count="8">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"A,B,C,CMILL,D,DPOLE,S,A-B"</formula1>
    </dataValidation>
    <dataValidation sqref="C7" showDropDown="0" showInputMessage="0" showErrorMessage="0" allowBlank="1" type="list">
      <formula1>"Low Cost,Average,Good,Excellent,Cheap"</formula1>
    </dataValidation>
    <dataValidation sqref="C14" showDropDown="0" showInputMessage="0" showErrorMessage="0" allowBlank="1" type="list">
      <formula1>"Low Cost,Average,Good,Excellent,Cheap"</formula1>
    </dataValidation>
    <dataValidation sqref="C8" showDropDown="0" showInputMessage="0" showErrorMessage="0" allowBlank="1" type="list">
      <formula1>=LAM_CITY</formula1>
    </dataValidation>
    <dataValidation sqref="C18" showDropDown="0" showInputMessage="0" showErrorMessage="0" allowBlank="1" type="list">
      <formula1>=DEN_LABEL</formula1>
    </dataValidation>
    <dataValidation sqref="C19" showDropDown="0" showInputMessage="0" showErrorMessage="0" allowBlank="1" type="list">
      <formula1>=DEN_LABEL</formula1>
    </dataValidation>
  </dataValidations>
  <pageMargins left="0.75" right="0.75" top="1" bottom="1" header="0.5" footer="0.5"/>
</worksheet>
</file>

<file path=xl/worksheets/sheet10.xml><?xml version="1.0" encoding="utf-8"?>
<worksheet xmlns="http://schemas.openxmlformats.org/spreadsheetml/2006/main">
  <sheetPr codeName="Sheet2">
    <tabColor rgb="00BF8F00"/>
    <outlinePr summaryBelow="1" summaryRight="1"/>
    <pageSetUpPr fitToPage="1"/>
  </sheetPr>
  <dimension ref="A1:AN941"/>
  <sheetViews>
    <sheetView zoomScale="125" zoomScaleNormal="125" workbookViewId="0">
      <pane ySplit="1" topLeftCell="A2" activePane="bottomLeft" state="frozen"/>
      <selection pane="bottomLeft" activeCell="E47" sqref="E47"/>
      <selection pane="bottomLeft" activeCell="A1" sqref="A1"/>
    </sheetView>
  </sheetViews>
  <sheetFormatPr baseColWidth="8" defaultColWidth="9.33203125" defaultRowHeight="15" customHeight="1"/>
  <cols>
    <col width="8.33203125" bestFit="1" customWidth="1" style="245" min="1" max="1"/>
    <col width="9.1640625" bestFit="1" customWidth="1" style="245" min="2" max="2"/>
    <col width="20.6640625" customWidth="1" style="245" min="3" max="3"/>
    <col width="40" bestFit="1" customWidth="1" style="245" min="4" max="4"/>
    <col width="11.33203125" customWidth="1" style="245" min="5" max="5"/>
    <col width="19.83203125" bestFit="1" customWidth="1" style="245" min="6" max="6"/>
    <col width="8" customWidth="1" style="245" min="7" max="7"/>
    <col width="15.6640625" bestFit="1" customWidth="1" style="667" min="8" max="8"/>
    <col width="11.6640625" bestFit="1" customWidth="1" style="245" min="9" max="9"/>
    <col width="12.1640625" bestFit="1" customWidth="1" style="245" min="10" max="10"/>
    <col width="9.83203125" bestFit="1" customWidth="1" style="245" min="11" max="11"/>
    <col width="11.33203125" bestFit="1" customWidth="1" style="245" min="12" max="12"/>
    <col width="5.83203125" bestFit="1" customWidth="1" style="245" min="13" max="13"/>
    <col width="8.5" bestFit="1" customWidth="1" style="245" min="14" max="14"/>
    <col width="9" bestFit="1" customWidth="1" style="253" min="15" max="15"/>
    <col width="9.5" bestFit="1" customWidth="1" style="245" min="16" max="16"/>
    <col width="5.6640625" bestFit="1" customWidth="1" style="253" min="17" max="17"/>
    <col width="8" bestFit="1" customWidth="1" style="390" min="18" max="18"/>
    <col width="11.33203125" bestFit="1" customWidth="1" style="245" min="19" max="19"/>
    <col width="11.6640625" bestFit="1" customWidth="1" style="245" min="20" max="20"/>
    <col width="8.6640625" bestFit="1" customWidth="1" style="245" min="21" max="21"/>
    <col width="8.83203125" bestFit="1" customWidth="1" style="245" min="22" max="22"/>
    <col width="7" bestFit="1" customWidth="1" style="245" min="23" max="23"/>
    <col width="13.1640625" bestFit="1" customWidth="1" style="245" min="24" max="24"/>
    <col width="13.5" bestFit="1" customWidth="1" style="245" min="25" max="25"/>
    <col width="12" bestFit="1" customWidth="1" style="245" min="26" max="26"/>
    <col width="13.5" bestFit="1" customWidth="1" style="245" min="27" max="27"/>
    <col width="10.6640625" bestFit="1" customWidth="1" style="245" min="28" max="28"/>
    <col width="19.83203125" bestFit="1" customWidth="1" style="245" min="29" max="29"/>
    <col width="16.5" bestFit="1" customWidth="1" style="245" min="30" max="30"/>
    <col width="92" bestFit="1" customWidth="1" style="245" min="31" max="31"/>
    <col width="91.6640625" bestFit="1" customWidth="1" style="245" min="32" max="32"/>
    <col width="10.1640625" bestFit="1" customWidth="1" style="245" min="33" max="34"/>
    <col width="9.33203125" customWidth="1" style="245" min="35" max="16384"/>
  </cols>
  <sheetData>
    <row r="1" ht="36" customHeight="1">
      <c r="A1" s="864" t="inlineStr">
        <is>
          <t>Pos</t>
        </is>
      </c>
      <c r="B1" s="864" t="inlineStr">
        <is>
          <t>Num</t>
        </is>
      </c>
      <c r="C1" s="864" t="inlineStr">
        <is>
          <t>Parcel</t>
        </is>
      </c>
      <c r="D1" s="865" t="inlineStr">
        <is>
          <t>Filtered
Address</t>
        </is>
      </c>
      <c r="E1" s="864" t="inlineStr">
        <is>
          <t>OCC</t>
        </is>
      </c>
      <c r="F1" s="864" t="inlineStr">
        <is>
          <t>CITY</t>
        </is>
      </c>
      <c r="G1" s="865" t="inlineStr">
        <is>
          <t>Loc</t>
        </is>
      </c>
      <c r="H1" s="866" t="inlineStr">
        <is>
          <t>FTS</t>
        </is>
      </c>
      <c r="I1" s="864" t="inlineStr">
        <is>
          <t>Date</t>
        </is>
      </c>
      <c r="J1" s="864" t="inlineStr">
        <is>
          <t>Above
Grade NRA</t>
        </is>
      </c>
      <c r="K1" s="864" t="inlineStr">
        <is>
          <t>Bsmt
NRA</t>
        </is>
      </c>
      <c r="L1" s="864" t="inlineStr">
        <is>
          <t>NRA</t>
        </is>
      </c>
      <c r="M1" s="864" t="inlineStr">
        <is>
          <t>YOC</t>
        </is>
      </c>
      <c r="N1" s="864" t="inlineStr">
        <is>
          <t># Units</t>
        </is>
      </c>
      <c r="O1" s="864" t="inlineStr">
        <is>
          <t># Bldgs</t>
        </is>
      </c>
      <c r="P1" s="864" t="inlineStr">
        <is>
          <t>Zone</t>
        </is>
      </c>
      <c r="Q1" s="864" t="inlineStr">
        <is>
          <t>Str</t>
        </is>
      </c>
      <c r="R1" s="864" t="inlineStr">
        <is>
          <t>Grd</t>
        </is>
      </c>
      <c r="S1" s="864" t="inlineStr">
        <is>
          <t>Land</t>
        </is>
      </c>
      <c r="T1" s="865" t="inlineStr">
        <is>
          <t>L:B RATIO</t>
        </is>
      </c>
      <c r="U1" s="864" t="inlineStr">
        <is>
          <t>PHY</t>
        </is>
      </c>
      <c r="V1" s="864" t="inlineStr">
        <is>
          <t>FUN</t>
        </is>
      </c>
      <c r="W1" s="864" t="inlineStr">
        <is>
          <t>PF</t>
        </is>
      </c>
      <c r="X1" s="864" t="inlineStr">
        <is>
          <t>Tie-Back</t>
        </is>
      </c>
      <c r="Y1" s="864" t="inlineStr">
        <is>
          <t>Amount</t>
        </is>
      </c>
      <c r="Z1" s="864" t="inlineStr">
        <is>
          <t>Deduct.</t>
        </is>
      </c>
      <c r="AA1" s="864" t="inlineStr">
        <is>
          <t>Amount</t>
        </is>
      </c>
      <c r="AB1" s="864" t="inlineStr">
        <is>
          <t>Remarks</t>
        </is>
      </c>
      <c r="AC1" s="864" t="inlineStr">
        <is>
          <t>Parcel Number</t>
        </is>
      </c>
      <c r="AD1" s="864" t="inlineStr">
        <is>
          <t>Reception #</t>
        </is>
      </c>
      <c r="AE1" s="864" t="inlineStr">
        <is>
          <t>Grantor</t>
        </is>
      </c>
      <c r="AF1" s="864" t="inlineStr">
        <is>
          <t>Grantee</t>
        </is>
      </c>
      <c r="AG1" s="864" t="inlineStr">
        <is>
          <t>Street</t>
        </is>
      </c>
      <c r="AH1" s="864" t="inlineStr">
        <is>
          <t>Street</t>
        </is>
      </c>
      <c r="AI1" s="893" t="inlineStr">
        <is>
          <t>Match</t>
        </is>
      </c>
    </row>
    <row r="2" ht="15" customHeight="1">
      <c r="A2" s="246" t="n">
        <v>5</v>
      </c>
      <c r="N2" s="487" t="n"/>
      <c r="O2" s="487" t="n"/>
      <c r="AB2" s="247" t="n"/>
      <c r="AI2">
        <f>AND(E2=Subj_OccCode,Subj_BldgSF&gt;0,L2&gt;=Subj_BldgSF*(1-Subj_SizeTol),L2&lt;=Subj_BldgSF*(1+Subj_SizeTol))</f>
        <v/>
      </c>
    </row>
    <row r="3" ht="15" customHeight="1">
      <c r="A3" s="246" t="n">
        <v>5</v>
      </c>
      <c r="AB3" s="247" t="n"/>
      <c r="AI3">
        <f>AND(E3=Subj_OccCode,Subj_BldgSF&gt;0,L3&gt;=Subj_BldgSF*(1-Subj_SizeTol),L3&lt;=Subj_BldgSF*(1+Subj_SizeTol))</f>
        <v/>
      </c>
    </row>
    <row r="4" ht="15" customHeight="1">
      <c r="A4" s="246" t="n">
        <v>5</v>
      </c>
      <c r="AB4" s="247" t="n"/>
      <c r="AI4">
        <f>AND(E4=Subj_OccCode,Subj_BldgSF&gt;0,L4&gt;=Subj_BldgSF*(1-Subj_SizeTol),L4&lt;=Subj_BldgSF*(1+Subj_SizeTol))</f>
        <v/>
      </c>
    </row>
    <row r="5" ht="15" customHeight="1">
      <c r="A5" s="246" t="n">
        <v>5</v>
      </c>
      <c r="AB5" s="247" t="n"/>
      <c r="AI5">
        <f>AND(E5=Subj_OccCode,Subj_BldgSF&gt;0,L5&gt;=Subj_BldgSF*(1-Subj_SizeTol),L5&lt;=Subj_BldgSF*(1+Subj_SizeTol))</f>
        <v/>
      </c>
    </row>
    <row r="6" ht="15" customHeight="1">
      <c r="A6" s="471" t="n">
        <v>6</v>
      </c>
      <c r="B6" s="245" t="n">
        <v>427</v>
      </c>
      <c r="C6" t="inlineStr">
        <is>
          <t>R0042518</t>
        </is>
      </c>
      <c r="D6" t="inlineStr">
        <is>
          <t>1412 W 104TH AVE</t>
        </is>
      </c>
      <c r="E6" t="n">
        <v>353</v>
      </c>
      <c r="F6" t="inlineStr">
        <is>
          <t>NORTHGLENN</t>
        </is>
      </c>
      <c r="G6" t="inlineStr">
        <is>
          <t>4</t>
        </is>
      </c>
      <c r="H6" s="669">
        <f>Y6/J6</f>
        <v/>
      </c>
      <c r="I6" s="670" t="n">
        <v>43731</v>
      </c>
      <c r="J6" t="n">
        <v>34790</v>
      </c>
      <c r="L6" t="n">
        <v>34790</v>
      </c>
      <c r="M6" t="n">
        <v>1973</v>
      </c>
      <c r="P6" t="inlineStr">
        <is>
          <t>R-1-B-Nor</t>
        </is>
      </c>
      <c r="R6" t="inlineStr">
        <is>
          <t>Average</t>
        </is>
      </c>
      <c r="S6" t="n">
        <v>156485</v>
      </c>
      <c r="T6" s="467">
        <f>S6/J6</f>
        <v/>
      </c>
      <c r="U6" t="inlineStr">
        <is>
          <t>Average</t>
        </is>
      </c>
      <c r="Y6" t="n">
        <v>5600000</v>
      </c>
      <c r="AA6" t="n">
        <v>5600000</v>
      </c>
      <c r="AC6" t="inlineStr">
        <is>
          <t>0171916102001</t>
        </is>
      </c>
      <c r="AD6" t="inlineStr">
        <is>
          <t>2019000080555</t>
        </is>
      </c>
      <c r="AE6" t="inlineStr">
        <is>
          <t xml:space="preserve">MCCAIN PROPERTIES II LLC, C/O WHEELHOUSE COMMERCIAL MGMT </t>
        </is>
      </c>
      <c r="AF6" t="inlineStr">
        <is>
          <t>TRIUMPH HILLCREST PLAZA ACQUISTION LP</t>
        </is>
      </c>
      <c r="AI6" s="245">
        <f>AND(E6=Subj_OccCode,Subj_BldgSF&gt;0,L6&gt;=Subj_BldgSF*(1-Subj_SizeTol),L6&lt;=Subj_BldgSF*(1+Subj_SizeTol))</f>
        <v/>
      </c>
    </row>
    <row r="7" ht="15" customHeight="1">
      <c r="A7" s="471" t="n">
        <v>6</v>
      </c>
      <c r="B7" s="245" t="n">
        <v>514</v>
      </c>
      <c r="C7" t="inlineStr">
        <is>
          <t>R0168917</t>
        </is>
      </c>
      <c r="D7" t="inlineStr">
        <is>
          <t>462 MALLEY DR</t>
        </is>
      </c>
      <c r="E7" t="n">
        <v>353</v>
      </c>
      <c r="F7" t="inlineStr">
        <is>
          <t>NORTHGLENN</t>
        </is>
      </c>
      <c r="G7" t="inlineStr">
        <is>
          <t>2</t>
        </is>
      </c>
      <c r="H7" s="669">
        <f>Y7/J7</f>
        <v/>
      </c>
      <c r="I7" s="670" t="n">
        <v>43374</v>
      </c>
      <c r="J7" t="n">
        <v>14700</v>
      </c>
      <c r="L7" t="n">
        <v>14700</v>
      </c>
      <c r="M7" t="n">
        <v>1978</v>
      </c>
      <c r="R7" t="inlineStr">
        <is>
          <t>Average</t>
        </is>
      </c>
      <c r="S7" t="n">
        <v>93313</v>
      </c>
      <c r="T7" s="467">
        <f>S7/J7</f>
        <v/>
      </c>
      <c r="U7" t="inlineStr">
        <is>
          <t>Average</t>
        </is>
      </c>
      <c r="Y7" t="n">
        <v>1955000</v>
      </c>
      <c r="AA7" t="n">
        <v>1955000</v>
      </c>
      <c r="AC7" t="inlineStr">
        <is>
          <t>0171903409022</t>
        </is>
      </c>
      <c r="AD7" t="inlineStr">
        <is>
          <t>2018000079617</t>
        </is>
      </c>
      <c r="AE7" t="inlineStr">
        <is>
          <t>NORTH GATE SHOPPING CENTER LL</t>
        </is>
      </c>
      <c r="AF7" t="inlineStr">
        <is>
          <t>TRECO NORTHGLENN INVESTMENT LLC</t>
        </is>
      </c>
      <c r="AI7" s="245">
        <f>AND(E7=Subj_OccCode,Subj_BldgSF&gt;0,L7&gt;=Subj_BldgSF*(1-Subj_SizeTol),L7&lt;=Subj_BldgSF*(1+Subj_SizeTol))</f>
        <v/>
      </c>
    </row>
    <row r="8" ht="15" customHeight="1">
      <c r="A8" s="471" t="n">
        <v>6</v>
      </c>
      <c r="B8" s="245" t="n">
        <v>599</v>
      </c>
      <c r="C8" t="inlineStr">
        <is>
          <t>R0164562</t>
        </is>
      </c>
      <c r="D8" t="inlineStr">
        <is>
          <t>7310  FEDERAL BLVD</t>
        </is>
      </c>
      <c r="E8" t="n">
        <v>353</v>
      </c>
      <c r="F8" t="inlineStr">
        <is>
          <t>WESTMINSTER</t>
        </is>
      </c>
      <c r="G8" t="inlineStr">
        <is>
          <t>1</t>
        </is>
      </c>
      <c r="H8" s="669">
        <f>Y8/J8</f>
        <v/>
      </c>
      <c r="I8" s="670" t="n">
        <v>43354</v>
      </c>
      <c r="J8" t="n">
        <v>19206</v>
      </c>
      <c r="L8" t="n">
        <v>19206</v>
      </c>
      <c r="M8" t="n">
        <v>2005</v>
      </c>
      <c r="R8" t="inlineStr">
        <is>
          <t>Average</t>
        </is>
      </c>
      <c r="S8" t="n">
        <v>104650</v>
      </c>
      <c r="T8" s="467">
        <f>S8/J8</f>
        <v/>
      </c>
      <c r="U8" t="inlineStr">
        <is>
          <t>Average</t>
        </is>
      </c>
      <c r="Y8" t="n">
        <v>2800000</v>
      </c>
      <c r="AA8" t="n">
        <v>2800000</v>
      </c>
      <c r="AC8" t="inlineStr">
        <is>
          <t>0171932421001</t>
        </is>
      </c>
      <c r="AD8" t="inlineStr">
        <is>
          <t>2018000074031</t>
        </is>
      </c>
      <c r="AE8" t="inlineStr">
        <is>
          <t>LA CONTE J AND R REAL ESTATE, ADMINISTRATIVE TRUST</t>
        </is>
      </c>
      <c r="AF8" t="inlineStr">
        <is>
          <t>72ND AND FEDERAL LLC</t>
        </is>
      </c>
      <c r="AI8" s="245">
        <f>AND(E8=Subj_OccCode,Subj_BldgSF&gt;0,L8&gt;=Subj_BldgSF*(1-Subj_SizeTol),L8&lt;=Subj_BldgSF*(1+Subj_SizeTol))</f>
        <v/>
      </c>
    </row>
    <row r="9" ht="15" customHeight="1">
      <c r="A9" s="248" t="n">
        <v>7</v>
      </c>
      <c r="B9" s="245" t="n">
        <v>1</v>
      </c>
      <c r="C9" t="inlineStr">
        <is>
          <t>R0025081</t>
        </is>
      </c>
      <c r="D9" t="inlineStr">
        <is>
          <t>395 W 120TH AVE</t>
        </is>
      </c>
      <c r="E9" t="n">
        <v>350</v>
      </c>
      <c r="F9" t="inlineStr">
        <is>
          <t>WESTMINSTER</t>
        </is>
      </c>
      <c r="G9" t="inlineStr">
        <is>
          <t>3</t>
        </is>
      </c>
      <c r="H9" s="669">
        <f>Y9/J9</f>
        <v/>
      </c>
      <c r="I9" s="472" t="n">
        <v>45219</v>
      </c>
      <c r="J9" t="n">
        <v>5306</v>
      </c>
      <c r="K9" s="669" t="n"/>
      <c r="L9" t="n">
        <v>5306</v>
      </c>
      <c r="M9" t="n">
        <v>1986</v>
      </c>
      <c r="P9" t="inlineStr">
        <is>
          <t>PUD-Wes</t>
        </is>
      </c>
      <c r="R9" t="inlineStr">
        <is>
          <t>Average</t>
        </is>
      </c>
      <c r="S9" t="n">
        <v>35348</v>
      </c>
      <c r="T9" s="469">
        <f>S9/L9</f>
        <v/>
      </c>
      <c r="U9" t="inlineStr">
        <is>
          <t>Average</t>
        </is>
      </c>
      <c r="V9" s="469" t="n"/>
      <c r="W9" s="469" t="n"/>
      <c r="X9" s="469" t="n"/>
      <c r="Y9" s="671" t="n">
        <v>1000000</v>
      </c>
      <c r="Z9" s="671" t="n"/>
      <c r="AA9" s="671" t="n">
        <v>1000000</v>
      </c>
      <c r="AB9" s="671" t="n"/>
      <c r="AC9" t="inlineStr">
        <is>
          <t>0157334310007</t>
        </is>
      </c>
      <c r="AD9" t="inlineStr">
        <is>
          <t>2023000059964</t>
        </is>
      </c>
      <c r="AE9" t="inlineStr">
        <is>
          <t>DENVER NORTHGLENN HOTELS LLC</t>
        </is>
      </c>
      <c r="AF9" t="inlineStr">
        <is>
          <t>ASHOORIGROUP PROPERTIES LLC</t>
        </is>
      </c>
      <c r="AI9" s="245">
        <f>AND(E9=Subj_OccCode,Subj_BldgSF&gt;0,L9&gt;=Subj_BldgSF*(1-Subj_SizeTol),L9&lt;=Subj_BldgSF*(1+Subj_SizeTol))</f>
        <v/>
      </c>
    </row>
    <row r="10" ht="15" customHeight="1">
      <c r="A10" s="248" t="n">
        <v>7</v>
      </c>
      <c r="B10" s="245" t="n">
        <v>2</v>
      </c>
      <c r="C10" t="inlineStr">
        <is>
          <t>R0093007</t>
        </is>
      </c>
      <c r="D10" t="inlineStr">
        <is>
          <t>3788 WHEELING ST</t>
        </is>
      </c>
      <c r="E10" t="n">
        <v>334</v>
      </c>
      <c r="F10" t="inlineStr">
        <is>
          <t>AURORA</t>
        </is>
      </c>
      <c r="G10" t="inlineStr">
        <is>
          <t>6</t>
        </is>
      </c>
      <c r="H10" s="669">
        <f>Y10/J10</f>
        <v/>
      </c>
      <c r="I10" s="472" t="n">
        <v>44875</v>
      </c>
      <c r="J10" t="n">
        <v>16524</v>
      </c>
      <c r="K10" s="669" t="n"/>
      <c r="L10" t="n">
        <v>16524</v>
      </c>
      <c r="M10" t="n">
        <v>1978</v>
      </c>
      <c r="P10" t="inlineStr">
        <is>
          <t>M-3</t>
        </is>
      </c>
      <c r="R10" t="inlineStr">
        <is>
          <t>Good</t>
        </is>
      </c>
      <c r="S10" t="n">
        <v>93218</v>
      </c>
      <c r="T10" s="469">
        <f>S10/L10</f>
        <v/>
      </c>
      <c r="U10" t="inlineStr">
        <is>
          <t>Good</t>
        </is>
      </c>
      <c r="V10" s="469" t="n"/>
      <c r="W10" s="469" t="n"/>
      <c r="X10" s="469" t="n"/>
      <c r="Y10" s="671" t="n">
        <v>3479000</v>
      </c>
      <c r="Z10" s="671" t="n"/>
      <c r="AA10" s="671" t="n">
        <v>3479000</v>
      </c>
      <c r="AB10" s="671" t="n"/>
      <c r="AC10" t="inlineStr">
        <is>
          <t>0182325114006</t>
        </is>
      </c>
      <c r="AD10" t="inlineStr">
        <is>
          <t>2022000090697</t>
        </is>
      </c>
      <c r="AE10" t="inlineStr">
        <is>
          <t>JACOBSON RICHARD LESLIE</t>
        </is>
      </c>
      <c r="AF10" t="inlineStr">
        <is>
          <t>WHEELING HOLDINGS LLC</t>
        </is>
      </c>
      <c r="AI10" s="245">
        <f>AND(E10=Subj_OccCode,Subj_BldgSF&gt;0,L10&gt;=Subj_BldgSF*(1-Subj_SizeTol),L10&lt;=Subj_BldgSF*(1+Subj_SizeTol))</f>
        <v/>
      </c>
    </row>
    <row r="11" ht="15" customHeight="1">
      <c r="A11" s="248" t="n">
        <v>7</v>
      </c>
      <c r="B11" s="245" t="n">
        <v>3</v>
      </c>
      <c r="C11" t="inlineStr">
        <is>
          <t>R0093893</t>
        </is>
      </c>
      <c r="D11" t="inlineStr">
        <is>
          <t>3202 NOME ST</t>
        </is>
      </c>
      <c r="E11" t="n">
        <v>407</v>
      </c>
      <c r="F11" t="inlineStr">
        <is>
          <t>AURORA</t>
        </is>
      </c>
      <c r="G11" t="inlineStr">
        <is>
          <t>6</t>
        </is>
      </c>
      <c r="H11" s="669">
        <f>Y11/J11</f>
        <v/>
      </c>
      <c r="I11" s="472" t="n">
        <v>45275</v>
      </c>
      <c r="J11" t="n">
        <v>9600</v>
      </c>
      <c r="K11" s="669" t="n"/>
      <c r="L11" t="n">
        <v>9600</v>
      </c>
      <c r="M11" t="n">
        <v>1972</v>
      </c>
      <c r="P11" t="inlineStr">
        <is>
          <t>M-3</t>
        </is>
      </c>
      <c r="R11" t="inlineStr">
        <is>
          <t>Average</t>
        </is>
      </c>
      <c r="S11" t="n">
        <v>22687</v>
      </c>
      <c r="T11" s="469">
        <f>S11/L11</f>
        <v/>
      </c>
      <c r="U11" t="inlineStr">
        <is>
          <t>Average</t>
        </is>
      </c>
      <c r="V11" s="469" t="n"/>
      <c r="W11" s="469" t="n"/>
      <c r="X11" s="469" t="n"/>
      <c r="Y11" s="671" t="n">
        <v>1700000</v>
      </c>
      <c r="Z11" s="671" t="n"/>
      <c r="AA11" s="671" t="n">
        <v>1700000</v>
      </c>
      <c r="AB11" s="671" t="n"/>
      <c r="AC11" t="inlineStr">
        <is>
          <t>0182326102004</t>
        </is>
      </c>
      <c r="AD11" t="inlineStr">
        <is>
          <t>2023000069965</t>
        </is>
      </c>
      <c r="AE11" t="inlineStr">
        <is>
          <t xml:space="preserve">MEEKS GARY I AND , MEEKS PAULA K </t>
        </is>
      </c>
      <c r="AF11" t="inlineStr">
        <is>
          <t>REP HOLDINGS LLC</t>
        </is>
      </c>
      <c r="AI11" s="245">
        <f>AND(E11=Subj_OccCode,Subj_BldgSF&gt;0,L11&gt;=Subj_BldgSF*(1-Subj_SizeTol),L11&lt;=Subj_BldgSF*(1+Subj_SizeTol))</f>
        <v/>
      </c>
    </row>
    <row r="12" ht="15" customHeight="1">
      <c r="A12" s="248" t="n">
        <v>7</v>
      </c>
      <c r="B12" s="245" t="n">
        <v>4</v>
      </c>
      <c r="C12" t="inlineStr">
        <is>
          <t>R0113646</t>
        </is>
      </c>
      <c r="D12" t="inlineStr">
        <is>
          <t>8971 YATES ST</t>
        </is>
      </c>
      <c r="E12" t="n">
        <v>350</v>
      </c>
      <c r="F12" t="inlineStr">
        <is>
          <t>WESTMINSTER</t>
        </is>
      </c>
      <c r="G12" t="inlineStr">
        <is>
          <t>4</t>
        </is>
      </c>
      <c r="H12" s="669">
        <f>Y12/J12</f>
        <v/>
      </c>
      <c r="I12" s="472" t="n">
        <v>45331</v>
      </c>
      <c r="J12" t="n">
        <v>9768</v>
      </c>
      <c r="K12" s="669" t="n"/>
      <c r="L12" t="n">
        <v>9768</v>
      </c>
      <c r="M12" t="n">
        <v>1999</v>
      </c>
      <c r="P12" t="inlineStr">
        <is>
          <t>PUD-Wes</t>
        </is>
      </c>
      <c r="R12" t="inlineStr">
        <is>
          <t>Good</t>
        </is>
      </c>
      <c r="S12" t="n">
        <v>68877.07030000001</v>
      </c>
      <c r="T12" s="469">
        <f>S12/L12</f>
        <v/>
      </c>
      <c r="U12" t="inlineStr">
        <is>
          <t>Good</t>
        </is>
      </c>
      <c r="V12" s="469" t="n"/>
      <c r="W12" s="469" t="n"/>
      <c r="X12" s="469" t="n"/>
      <c r="Y12" s="671" t="n">
        <v>2000000</v>
      </c>
      <c r="Z12" s="671" t="n"/>
      <c r="AA12" s="671" t="n">
        <v>2000000</v>
      </c>
      <c r="AB12" s="671" t="n"/>
      <c r="AC12" t="inlineStr">
        <is>
          <t>0171919324002</t>
        </is>
      </c>
      <c r="AD12" t="inlineStr">
        <is>
          <t>2024000007838</t>
        </is>
      </c>
      <c r="AE12" t="inlineStr">
        <is>
          <t>SHIH PROPERTIES INCORPORATED</t>
        </is>
      </c>
      <c r="AF12" t="inlineStr">
        <is>
          <t>BHATTARAI DOL PRASAD</t>
        </is>
      </c>
      <c r="AI12" s="245">
        <f>AND(E12=Subj_OccCode,Subj_BldgSF&gt;0,L12&gt;=Subj_BldgSF*(1-Subj_SizeTol),L12&lt;=Subj_BldgSF*(1+Subj_SizeTol))</f>
        <v/>
      </c>
    </row>
    <row r="13" ht="15" customHeight="1">
      <c r="A13" s="248" t="n">
        <v>7</v>
      </c>
      <c r="B13" s="245" t="n">
        <v>5</v>
      </c>
      <c r="C13" t="inlineStr">
        <is>
          <t>R0169173</t>
        </is>
      </c>
      <c r="D13" t="inlineStr">
        <is>
          <t>2751 W 120TH AVE</t>
        </is>
      </c>
      <c r="E13" t="n">
        <v>353</v>
      </c>
      <c r="F13" t="inlineStr">
        <is>
          <t>WESTMINSTER</t>
        </is>
      </c>
      <c r="G13" t="inlineStr">
        <is>
          <t>3</t>
        </is>
      </c>
      <c r="H13" s="669">
        <f>Y13/J13</f>
        <v/>
      </c>
      <c r="I13" s="472" t="n">
        <v>45258</v>
      </c>
      <c r="J13" t="n">
        <v>6306</v>
      </c>
      <c r="K13" s="669" t="n"/>
      <c r="L13" t="n">
        <v>6306</v>
      </c>
      <c r="M13" t="n">
        <v>2006</v>
      </c>
      <c r="P13" t="inlineStr">
        <is>
          <t>PUD-Wes</t>
        </is>
      </c>
      <c r="R13" t="inlineStr">
        <is>
          <t>Good</t>
        </is>
      </c>
      <c r="S13" t="n">
        <v>40087</v>
      </c>
      <c r="T13" s="469">
        <f>S13/L13</f>
        <v/>
      </c>
      <c r="U13" t="inlineStr">
        <is>
          <t>Good</t>
        </is>
      </c>
      <c r="V13" s="469" t="n"/>
      <c r="W13" s="469" t="n"/>
      <c r="X13" s="469" t="n"/>
      <c r="Y13" s="671" t="n">
        <v>1600000</v>
      </c>
      <c r="Z13" s="671" t="n"/>
      <c r="AA13" s="671" t="n">
        <v>1500000</v>
      </c>
      <c r="AB13" s="671" t="n"/>
      <c r="AC13" t="inlineStr">
        <is>
          <t>0157332401012</t>
        </is>
      </c>
      <c r="AD13" t="inlineStr">
        <is>
          <t>2023000065924</t>
        </is>
      </c>
      <c r="AE13" t="inlineStr">
        <is>
          <t>R &amp; R PROPERTIES LLC</t>
        </is>
      </c>
      <c r="AF13" t="inlineStr">
        <is>
          <t>WELBY CENTER LLC</t>
        </is>
      </c>
      <c r="AI13" s="245">
        <f>AND(E13=Subj_OccCode,Subj_BldgSF&gt;0,L13&gt;=Subj_BldgSF*(1-Subj_SizeTol),L13&lt;=Subj_BldgSF*(1+Subj_SizeTol))</f>
        <v/>
      </c>
    </row>
    <row r="14" ht="15" customHeight="1">
      <c r="A14" s="248" t="n">
        <v>7</v>
      </c>
      <c r="B14" s="245" t="n">
        <v>6</v>
      </c>
      <c r="C14" t="inlineStr">
        <is>
          <t>R0176529</t>
        </is>
      </c>
      <c r="D14" t="inlineStr">
        <is>
          <t>2761 W 120TH AVE</t>
        </is>
      </c>
      <c r="E14" t="n">
        <v>1344</v>
      </c>
      <c r="F14" t="inlineStr">
        <is>
          <t>WESTMINSTER</t>
        </is>
      </c>
      <c r="G14" t="inlineStr">
        <is>
          <t>3</t>
        </is>
      </c>
      <c r="H14" s="669">
        <f>Y14/J14</f>
        <v/>
      </c>
      <c r="I14" s="472" t="n">
        <v>44970</v>
      </c>
      <c r="J14" t="n">
        <v>19714</v>
      </c>
      <c r="K14" s="669" t="n"/>
      <c r="L14" t="n">
        <v>19714</v>
      </c>
      <c r="M14" t="n">
        <v>2006</v>
      </c>
      <c r="P14" t="inlineStr">
        <is>
          <t>PUD-Wes</t>
        </is>
      </c>
      <c r="R14" t="inlineStr">
        <is>
          <t>Average</t>
        </is>
      </c>
      <c r="S14" t="n">
        <v>5486</v>
      </c>
      <c r="T14" s="469">
        <f>S14/L14</f>
        <v/>
      </c>
      <c r="U14" t="inlineStr">
        <is>
          <t>Average</t>
        </is>
      </c>
      <c r="V14" s="469" t="n"/>
      <c r="W14" s="469" t="n"/>
      <c r="X14" s="469" t="n"/>
      <c r="Y14" s="671" t="n">
        <v>450000</v>
      </c>
      <c r="Z14" s="671" t="n"/>
      <c r="AA14" s="671" t="n">
        <v>450000</v>
      </c>
      <c r="AB14" s="671" t="n"/>
      <c r="AC14" t="inlineStr">
        <is>
          <t>0157332401021</t>
        </is>
      </c>
      <c r="AD14" t="inlineStr">
        <is>
          <t>2023000008038</t>
        </is>
      </c>
      <c r="AE14" t="inlineStr">
        <is>
          <t>CHIROPRACTIC OF NORTH DENVER PC</t>
        </is>
      </c>
      <c r="AF14" t="inlineStr">
        <is>
          <t>HARTIGAN PROPERTIES LLC</t>
        </is>
      </c>
      <c r="AI14" s="245">
        <f>AND(E14=Subj_OccCode,Subj_BldgSF&gt;0,L14&gt;=Subj_BldgSF*(1-Subj_SizeTol),L14&lt;=Subj_BldgSF*(1+Subj_SizeTol))</f>
        <v/>
      </c>
    </row>
    <row r="15" ht="15" customHeight="1">
      <c r="A15" s="248" t="n">
        <v>7</v>
      </c>
      <c r="B15" s="245" t="n">
        <v>7</v>
      </c>
      <c r="C15" t="inlineStr">
        <is>
          <t>R0188147</t>
        </is>
      </c>
      <c r="D15" t="inlineStr">
        <is>
          <t>2741 W 120TH AVE</t>
        </is>
      </c>
      <c r="E15" t="n">
        <v>353</v>
      </c>
      <c r="F15" t="inlineStr">
        <is>
          <t>WESTMINSTER</t>
        </is>
      </c>
      <c r="G15" t="inlineStr">
        <is>
          <t>3</t>
        </is>
      </c>
      <c r="H15" s="669">
        <f>Y15/J15</f>
        <v/>
      </c>
      <c r="I15" s="472" t="n">
        <v>44748</v>
      </c>
      <c r="J15" t="n">
        <v>6164</v>
      </c>
      <c r="K15" s="669" t="n"/>
      <c r="L15" t="n">
        <v>6164</v>
      </c>
      <c r="M15" t="n">
        <v>2017</v>
      </c>
      <c r="P15" t="inlineStr">
        <is>
          <t>PUD-Wes</t>
        </is>
      </c>
      <c r="R15" t="inlineStr">
        <is>
          <t>Average</t>
        </is>
      </c>
      <c r="S15" t="n">
        <v>34853</v>
      </c>
      <c r="T15" s="469">
        <f>S15/L15</f>
        <v/>
      </c>
      <c r="U15" t="inlineStr">
        <is>
          <t>Average</t>
        </is>
      </c>
      <c r="V15" s="469" t="n"/>
      <c r="W15" s="469" t="n"/>
      <c r="X15" s="469" t="n"/>
      <c r="Y15" s="671" t="n">
        <v>2490000</v>
      </c>
      <c r="Z15" s="671" t="n"/>
      <c r="AA15" s="671" t="n">
        <v>2490000</v>
      </c>
      <c r="AB15" s="671" t="n"/>
      <c r="AC15" t="inlineStr">
        <is>
          <t>0157332401027</t>
        </is>
      </c>
      <c r="AD15" t="inlineStr">
        <is>
          <t>2022000058894</t>
        </is>
      </c>
      <c r="AE15" t="inlineStr">
        <is>
          <t>COUNTRY CLUB VILLAGE TWO LLC</t>
        </is>
      </c>
      <c r="AF15" t="inlineStr">
        <is>
          <t>CTJ LEASING LLC</t>
        </is>
      </c>
      <c r="AI15" s="245">
        <f>AND(E15=Subj_OccCode,Subj_BldgSF&gt;0,L15&gt;=Subj_BldgSF*(1-Subj_SizeTol),L15&lt;=Subj_BldgSF*(1+Subj_SizeTol))</f>
        <v/>
      </c>
    </row>
    <row r="16" ht="15" customHeight="1">
      <c r="A16" s="248" t="n">
        <v>7</v>
      </c>
      <c r="B16" s="245" t="n">
        <v>8</v>
      </c>
      <c r="C16" t="inlineStr">
        <is>
          <t>R0025151</t>
        </is>
      </c>
      <c r="D16" t="inlineStr">
        <is>
          <t>12055 MELODY DR</t>
        </is>
      </c>
      <c r="E16" t="n">
        <v>1332</v>
      </c>
      <c r="F16" t="inlineStr">
        <is>
          <t>WESTMINSTER</t>
        </is>
      </c>
      <c r="G16" t="inlineStr">
        <is>
          <t>3</t>
        </is>
      </c>
      <c r="H16" s="669">
        <f>Y16/J16</f>
        <v/>
      </c>
      <c r="I16" s="472" t="n">
        <v>45398</v>
      </c>
      <c r="J16" t="n">
        <v>116</v>
      </c>
      <c r="K16" s="669" t="n"/>
      <c r="L16" t="n">
        <v>116</v>
      </c>
      <c r="M16" t="n">
        <v>1985</v>
      </c>
      <c r="P16" t="inlineStr">
        <is>
          <t>PUD-Wes</t>
        </is>
      </c>
      <c r="R16" t="inlineStr">
        <is>
          <t>Good</t>
        </is>
      </c>
      <c r="S16" t="n">
        <v>92400</v>
      </c>
      <c r="T16" s="469">
        <f>S16/L16</f>
        <v/>
      </c>
      <c r="U16" t="inlineStr">
        <is>
          <t>Good</t>
        </is>
      </c>
      <c r="V16" s="469" t="n"/>
      <c r="W16" s="469" t="n"/>
      <c r="X16" s="469" t="n"/>
      <c r="Y16" s="671" t="n">
        <v>7785000</v>
      </c>
      <c r="Z16" s="671" t="n"/>
      <c r="AA16" s="671" t="n">
        <v>7785000</v>
      </c>
      <c r="AB16" s="671" t="n"/>
      <c r="AC16" t="inlineStr">
        <is>
          <t>0157334313002</t>
        </is>
      </c>
      <c r="AD16" t="inlineStr">
        <is>
          <t>2024000020298</t>
        </is>
      </c>
      <c r="AE16" t="inlineStr">
        <is>
          <t>CHANG AND IM INCORPORATED</t>
        </is>
      </c>
      <c r="AF16" t="inlineStr">
        <is>
          <t>MELODY DRIVE INVESTMENT LLC</t>
        </is>
      </c>
      <c r="AI16" s="245">
        <f>AND(E16=Subj_OccCode,Subj_BldgSF&gt;0,L16&gt;=Subj_BldgSF*(1-Subj_SizeTol),L16&lt;=Subj_BldgSF*(1+Subj_SizeTol))</f>
        <v/>
      </c>
    </row>
    <row r="17" ht="15" customHeight="1">
      <c r="A17" s="248" t="n">
        <v>7</v>
      </c>
      <c r="B17" s="245" t="n">
        <v>9</v>
      </c>
      <c r="C17" t="inlineStr">
        <is>
          <t>R0061279</t>
        </is>
      </c>
      <c r="D17" t="inlineStr">
        <is>
          <t>3030 W 81ST AVE</t>
        </is>
      </c>
      <c r="E17" t="n">
        <v>344</v>
      </c>
      <c r="F17" t="inlineStr">
        <is>
          <t>WESTMINSTER</t>
        </is>
      </c>
      <c r="G17" t="inlineStr">
        <is>
          <t>4</t>
        </is>
      </c>
      <c r="H17" s="669">
        <f>Y17/J17</f>
        <v/>
      </c>
      <c r="I17" s="472" t="n">
        <v>45358</v>
      </c>
      <c r="J17" t="n">
        <v>2400</v>
      </c>
      <c r="K17" s="669" t="n"/>
      <c r="L17" t="n">
        <v>2400</v>
      </c>
      <c r="M17" t="n">
        <v>1980</v>
      </c>
      <c r="P17" t="inlineStr">
        <is>
          <t>PUD-Wes</t>
        </is>
      </c>
      <c r="R17" t="inlineStr">
        <is>
          <t>Average</t>
        </is>
      </c>
      <c r="S17" t="n">
        <v>12501.72</v>
      </c>
      <c r="T17" s="469">
        <f>S17/L17</f>
        <v/>
      </c>
      <c r="U17" t="inlineStr">
        <is>
          <t>Average</t>
        </is>
      </c>
      <c r="V17" s="469" t="n"/>
      <c r="W17" s="469" t="n"/>
      <c r="X17" s="469" t="n"/>
      <c r="Y17" s="671" t="n">
        <v>850000</v>
      </c>
      <c r="Z17" s="671" t="n"/>
      <c r="AA17" s="671" t="n">
        <v>850000</v>
      </c>
      <c r="AB17" s="671" t="n"/>
      <c r="AC17" t="inlineStr">
        <is>
          <t>0171929322001</t>
        </is>
      </c>
      <c r="AD17" t="inlineStr">
        <is>
          <t>2024000012610</t>
        </is>
      </c>
      <c r="AE17" t="inlineStr">
        <is>
          <t>3030 81ST LLC</t>
        </is>
      </c>
      <c r="AF17" t="inlineStr">
        <is>
          <t>BAB REALTY LLC</t>
        </is>
      </c>
      <c r="AI17" s="245">
        <f>AND(E17=Subj_OccCode,Subj_BldgSF&gt;0,L17&gt;=Subj_BldgSF*(1-Subj_SizeTol),L17&lt;=Subj_BldgSF*(1+Subj_SizeTol))</f>
        <v/>
      </c>
    </row>
    <row r="18" ht="15" customHeight="1">
      <c r="A18" s="248" t="n">
        <v>7</v>
      </c>
      <c r="B18" s="245" t="n">
        <v>10</v>
      </c>
      <c r="C18" t="inlineStr">
        <is>
          <t>R0064517</t>
        </is>
      </c>
      <c r="D18" t="inlineStr">
        <is>
          <t>5141 W 78TH AVE</t>
        </is>
      </c>
      <c r="E18" t="n">
        <v>344</v>
      </c>
      <c r="F18" t="inlineStr">
        <is>
          <t>WESTMINSTER</t>
        </is>
      </c>
      <c r="G18" t="inlineStr">
        <is>
          <t>4</t>
        </is>
      </c>
      <c r="H18" s="669">
        <f>Y18/J18</f>
        <v/>
      </c>
      <c r="I18" s="472" t="n">
        <v>45169</v>
      </c>
      <c r="J18" t="n">
        <v>4365</v>
      </c>
      <c r="K18" s="669" t="n"/>
      <c r="L18" t="n">
        <v>4365</v>
      </c>
      <c r="M18" t="n">
        <v>2000</v>
      </c>
      <c r="P18" t="inlineStr">
        <is>
          <t>PUD-Wes</t>
        </is>
      </c>
      <c r="R18" t="inlineStr">
        <is>
          <t>Average</t>
        </is>
      </c>
      <c r="S18" t="n">
        <v>14136</v>
      </c>
      <c r="T18" s="469">
        <f>S18/L18</f>
        <v/>
      </c>
      <c r="U18" t="inlineStr">
        <is>
          <t>Average</t>
        </is>
      </c>
      <c r="V18" s="469" t="n"/>
      <c r="W18" s="469" t="n"/>
      <c r="X18" s="469" t="n"/>
      <c r="Y18" s="671" t="n">
        <v>849000</v>
      </c>
      <c r="Z18" s="671" t="n"/>
      <c r="AA18" s="671" t="n">
        <v>849000</v>
      </c>
      <c r="AB18" s="671" t="n"/>
      <c r="AC18" t="inlineStr">
        <is>
          <t>0171931217002</t>
        </is>
      </c>
      <c r="AD18" t="inlineStr">
        <is>
          <t>2023000049988</t>
        </is>
      </c>
      <c r="AE18" t="inlineStr">
        <is>
          <t>W S A FRATERNAL LIFE</t>
        </is>
      </c>
      <c r="AF18" t="inlineStr">
        <is>
          <t>FARMHOUSE CENTER LLC</t>
        </is>
      </c>
      <c r="AI18" s="245">
        <f>AND(E18=Subj_OccCode,Subj_BldgSF&gt;0,L18&gt;=Subj_BldgSF*(1-Subj_SizeTol),L18&lt;=Subj_BldgSF*(1+Subj_SizeTol))</f>
        <v/>
      </c>
    </row>
    <row r="19" ht="15" customHeight="1">
      <c r="A19" s="248" t="n">
        <v>7</v>
      </c>
      <c r="B19" s="245" t="n">
        <v>11</v>
      </c>
      <c r="C19" t="inlineStr">
        <is>
          <t>R0093873</t>
        </is>
      </c>
      <c r="D19" t="inlineStr">
        <is>
          <t>3323 MOLINE ST</t>
        </is>
      </c>
      <c r="E19" t="n">
        <v>407</v>
      </c>
      <c r="F19" t="inlineStr">
        <is>
          <t>AURORA</t>
        </is>
      </c>
      <c r="G19" t="inlineStr">
        <is>
          <t>6</t>
        </is>
      </c>
      <c r="H19" s="669">
        <f>Y19/J19</f>
        <v/>
      </c>
      <c r="I19" s="472" t="n">
        <v>45068</v>
      </c>
      <c r="J19" t="n">
        <v>9906</v>
      </c>
      <c r="K19" s="669" t="n"/>
      <c r="L19" t="n">
        <v>9906</v>
      </c>
      <c r="M19" t="n">
        <v>1974</v>
      </c>
      <c r="P19" t="inlineStr">
        <is>
          <t>M-3</t>
        </is>
      </c>
      <c r="R19" t="inlineStr">
        <is>
          <t>Average</t>
        </is>
      </c>
      <c r="S19" t="n">
        <v>30056</v>
      </c>
      <c r="T19" s="469">
        <f>S19/L19</f>
        <v/>
      </c>
      <c r="U19" t="inlineStr">
        <is>
          <t>Average</t>
        </is>
      </c>
      <c r="V19" s="469" t="n"/>
      <c r="W19" s="469" t="n"/>
      <c r="X19" s="469" t="n"/>
      <c r="Y19" s="671" t="n">
        <v>1850000</v>
      </c>
      <c r="Z19" s="671" t="n"/>
      <c r="AA19" s="671" t="n">
        <v>1850000</v>
      </c>
      <c r="AB19" s="671" t="n"/>
      <c r="AC19" t="inlineStr">
        <is>
          <t>0182326101023</t>
        </is>
      </c>
      <c r="AD19" t="inlineStr">
        <is>
          <t>2023000030494</t>
        </is>
      </c>
      <c r="AE19" t="inlineStr">
        <is>
          <t>VANDER HORST FAMILY TRUST THE</t>
        </is>
      </c>
      <c r="AF19" t="inlineStr">
        <is>
          <t>BARR AVENUE PARTNERSHIP LLC</t>
        </is>
      </c>
      <c r="AI19" s="245">
        <f>AND(E19=Subj_OccCode,Subj_BldgSF&gt;0,L19&gt;=Subj_BldgSF*(1-Subj_SizeTol),L19&lt;=Subj_BldgSF*(1+Subj_SizeTol))</f>
        <v/>
      </c>
    </row>
    <row r="20" ht="15" customHeight="1">
      <c r="A20" s="248" t="n">
        <v>7</v>
      </c>
      <c r="B20" s="245" t="n">
        <v>12</v>
      </c>
      <c r="C20" t="inlineStr">
        <is>
          <t>R0124578</t>
        </is>
      </c>
      <c r="D20" t="inlineStr">
        <is>
          <t>11152 HURON ST</t>
        </is>
      </c>
      <c r="E20" t="n">
        <v>1344</v>
      </c>
      <c r="F20" t="inlineStr">
        <is>
          <t>NORTHGLENN</t>
        </is>
      </c>
      <c r="G20" t="inlineStr">
        <is>
          <t>4</t>
        </is>
      </c>
      <c r="H20" s="669">
        <f>Y20/J20</f>
        <v/>
      </c>
      <c r="I20" s="472" t="n">
        <v>45209</v>
      </c>
      <c r="J20" t="n">
        <v>20472</v>
      </c>
      <c r="K20" s="669" t="n"/>
      <c r="L20" t="n">
        <v>20472</v>
      </c>
      <c r="M20" t="n">
        <v>2000</v>
      </c>
      <c r="P20" t="inlineStr">
        <is>
          <t>C-0-Nor</t>
        </is>
      </c>
      <c r="R20" t="inlineStr">
        <is>
          <t>Average</t>
        </is>
      </c>
      <c r="S20" t="n">
        <v>3100</v>
      </c>
      <c r="T20" s="469">
        <f>S20/L20</f>
        <v/>
      </c>
      <c r="U20" t="inlineStr">
        <is>
          <t>Average</t>
        </is>
      </c>
      <c r="V20" s="469" t="n"/>
      <c r="W20" s="469" t="n"/>
      <c r="X20" s="469" t="n"/>
      <c r="Y20" s="671" t="n">
        <v>270000</v>
      </c>
      <c r="Z20" s="671" t="n"/>
      <c r="AA20" s="671" t="n">
        <v>270000</v>
      </c>
      <c r="AB20" s="671" t="n"/>
      <c r="AC20" t="inlineStr">
        <is>
          <t>0171910205038</t>
        </is>
      </c>
      <c r="AD20" t="inlineStr">
        <is>
          <t>2023000057923</t>
        </is>
      </c>
      <c r="AE20" t="inlineStr">
        <is>
          <t>CJ AND K PARTNERS LLC</t>
        </is>
      </c>
      <c r="AF20" t="inlineStr">
        <is>
          <t>PREMIER HOME HEALTH CARE INC</t>
        </is>
      </c>
      <c r="AI20" s="245">
        <f>AND(E20=Subj_OccCode,Subj_BldgSF&gt;0,L20&gt;=Subj_BldgSF*(1-Subj_SizeTol),L20&lt;=Subj_BldgSF*(1+Subj_SizeTol))</f>
        <v/>
      </c>
    </row>
    <row r="21" ht="15" customHeight="1">
      <c r="A21" s="248" t="n">
        <v>7</v>
      </c>
      <c r="B21" s="245" t="n">
        <v>13</v>
      </c>
      <c r="C21" t="inlineStr">
        <is>
          <t>R0179233</t>
        </is>
      </c>
      <c r="D21" t="inlineStr">
        <is>
          <t>4257 MAIN ST</t>
        </is>
      </c>
      <c r="E21" t="n">
        <v>1353</v>
      </c>
      <c r="F21" t="inlineStr">
        <is>
          <t>WESTMINSTER</t>
        </is>
      </c>
      <c r="G21" t="inlineStr">
        <is>
          <t>3</t>
        </is>
      </c>
      <c r="H21" s="669">
        <f>Y21/J21</f>
        <v/>
      </c>
      <c r="I21" s="472" t="n">
        <v>44879</v>
      </c>
      <c r="J21" t="n">
        <v>11520</v>
      </c>
      <c r="K21" s="669" t="n"/>
      <c r="L21" t="n">
        <v>11520</v>
      </c>
      <c r="M21" t="n">
        <v>2007</v>
      </c>
      <c r="P21" t="inlineStr">
        <is>
          <t>PUD-Wes</t>
        </is>
      </c>
      <c r="R21" t="inlineStr">
        <is>
          <t>Average</t>
        </is>
      </c>
      <c r="S21" t="n">
        <v>3906.5</v>
      </c>
      <c r="T21" s="469">
        <f>S21/L21</f>
        <v/>
      </c>
      <c r="U21" t="inlineStr">
        <is>
          <t>Average</t>
        </is>
      </c>
      <c r="V21" s="469" t="n"/>
      <c r="W21" s="469" t="n"/>
      <c r="X21" s="469" t="n"/>
      <c r="Y21" s="671" t="n">
        <v>2350000</v>
      </c>
      <c r="Z21" s="671" t="n"/>
      <c r="AA21" s="671" t="n">
        <v>2350000</v>
      </c>
      <c r="AB21" s="671" t="n"/>
      <c r="AC21" t="inlineStr">
        <is>
          <t>0171906101012</t>
        </is>
      </c>
      <c r="AD21" t="inlineStr">
        <is>
          <t>2022000091184</t>
        </is>
      </c>
      <c r="AE21" t="inlineStr">
        <is>
          <t>121ST PROPERTY PARTNERS LLC</t>
        </is>
      </c>
      <c r="AF21" t="inlineStr">
        <is>
          <t>HSP PROPERTIES INC</t>
        </is>
      </c>
      <c r="AI21" s="245">
        <f>AND(E21=Subj_OccCode,Subj_BldgSF&gt;0,L21&gt;=Subj_BldgSF*(1-Subj_SizeTol),L21&lt;=Subj_BldgSF*(1+Subj_SizeTol))</f>
        <v/>
      </c>
    </row>
    <row r="22" ht="15" customHeight="1">
      <c r="A22" s="248" t="n">
        <v>7</v>
      </c>
      <c r="B22" s="245" t="n">
        <v>14</v>
      </c>
      <c r="C22" t="inlineStr">
        <is>
          <t>R0183438</t>
        </is>
      </c>
      <c r="D22" t="inlineStr">
        <is>
          <t>2861 W 120TH AVE</t>
        </is>
      </c>
      <c r="E22" t="n">
        <v>344</v>
      </c>
      <c r="F22" t="inlineStr">
        <is>
          <t>WESTMINSTER</t>
        </is>
      </c>
      <c r="G22" t="inlineStr">
        <is>
          <t>3</t>
        </is>
      </c>
      <c r="H22" s="669">
        <f>Y22/J22</f>
        <v/>
      </c>
      <c r="I22" s="472" t="n">
        <v>45301</v>
      </c>
      <c r="J22" t="n">
        <v>57173</v>
      </c>
      <c r="K22" s="669" t="n"/>
      <c r="L22" t="n">
        <v>57173</v>
      </c>
      <c r="M22" t="n">
        <v>2007</v>
      </c>
      <c r="P22" t="inlineStr">
        <is>
          <t>PUD-Wes</t>
        </is>
      </c>
      <c r="R22" t="inlineStr">
        <is>
          <t>Average</t>
        </is>
      </c>
      <c r="S22" t="n">
        <v>10083</v>
      </c>
      <c r="T22" s="469">
        <f>S22/L22</f>
        <v/>
      </c>
      <c r="U22" t="inlineStr">
        <is>
          <t>Average</t>
        </is>
      </c>
      <c r="V22" s="469" t="n"/>
      <c r="W22" s="469" t="n"/>
      <c r="X22" s="469" t="n"/>
      <c r="Y22" s="671" t="n">
        <v>964500</v>
      </c>
      <c r="Z22" s="671" t="n"/>
      <c r="AA22" s="671" t="n">
        <v>964500</v>
      </c>
      <c r="AB22" s="671" t="n"/>
      <c r="AC22" t="inlineStr">
        <is>
          <t>0157332401024</t>
        </is>
      </c>
      <c r="AD22" t="inlineStr">
        <is>
          <t>2024000001871</t>
        </is>
      </c>
      <c r="AE22" t="inlineStr">
        <is>
          <t>GOLD CROWN LLC</t>
        </is>
      </c>
      <c r="AF22" t="inlineStr">
        <is>
          <t>ENE MANAGEMENT LLC</t>
        </is>
      </c>
      <c r="AI22" s="245">
        <f>AND(E22=Subj_OccCode,Subj_BldgSF&gt;0,L22&gt;=Subj_BldgSF*(1-Subj_SizeTol),L22&lt;=Subj_BldgSF*(1+Subj_SizeTol))</f>
        <v/>
      </c>
    </row>
    <row r="23" ht="15" customHeight="1">
      <c r="A23" s="248" t="n">
        <v>7</v>
      </c>
      <c r="B23" s="245" t="n">
        <v>15</v>
      </c>
      <c r="C23" t="inlineStr">
        <is>
          <t>R0024493</t>
        </is>
      </c>
      <c r="D23" t="inlineStr">
        <is>
          <t>497 E 120TH AVE</t>
        </is>
      </c>
      <c r="E23" t="n">
        <v>350</v>
      </c>
      <c r="F23" t="inlineStr">
        <is>
          <t>THORNTON</t>
        </is>
      </c>
      <c r="G23" t="inlineStr">
        <is>
          <t>3</t>
        </is>
      </c>
      <c r="H23" s="669">
        <f>Y23/J23</f>
        <v/>
      </c>
      <c r="I23" s="472" t="n">
        <v>45225</v>
      </c>
      <c r="J23" t="n">
        <v>6160</v>
      </c>
      <c r="K23" s="669" t="n"/>
      <c r="L23" t="n">
        <v>6160</v>
      </c>
      <c r="M23" t="n">
        <v>1995</v>
      </c>
      <c r="P23" t="inlineStr">
        <is>
          <t>Regional Commercial</t>
        </is>
      </c>
      <c r="R23" t="inlineStr">
        <is>
          <t>Average</t>
        </is>
      </c>
      <c r="S23" t="n">
        <v>66550</v>
      </c>
      <c r="T23" s="469">
        <f>S23/L23</f>
        <v/>
      </c>
      <c r="U23" t="inlineStr">
        <is>
          <t>Average</t>
        </is>
      </c>
      <c r="V23" s="469" t="n"/>
      <c r="W23" s="469" t="n"/>
      <c r="X23" s="469" t="n"/>
      <c r="Y23" s="671" t="n">
        <v>3743500</v>
      </c>
      <c r="Z23" s="671" t="n"/>
      <c r="AA23" s="671" t="n">
        <v>3743500</v>
      </c>
      <c r="AB23" s="671" t="n"/>
      <c r="AC23" t="inlineStr">
        <is>
          <t>0157334010018</t>
        </is>
      </c>
      <c r="AD23" t="inlineStr">
        <is>
          <t>2023000061238</t>
        </is>
      </c>
      <c r="AE23" t="inlineStr">
        <is>
          <t>LCN BLM CHANDLER LLC , ATTN BLOOMIN BRANDS INC</t>
        </is>
      </c>
      <c r="AF23" t="inlineStr">
        <is>
          <t>CANNISTRA REALTY LLC</t>
        </is>
      </c>
      <c r="AI23" s="245">
        <f>AND(E23=Subj_OccCode,Subj_BldgSF&gt;0,L23&gt;=Subj_BldgSF*(1-Subj_SizeTol),L23&lt;=Subj_BldgSF*(1+Subj_SizeTol))</f>
        <v/>
      </c>
    </row>
    <row r="24" ht="15" customHeight="1">
      <c r="A24" s="248" t="n">
        <v>7</v>
      </c>
      <c r="B24" s="245" t="n">
        <v>16</v>
      </c>
      <c r="C24" t="inlineStr">
        <is>
          <t>R0114862</t>
        </is>
      </c>
      <c r="D24" t="inlineStr">
        <is>
          <t>8778 WOLFF CT</t>
        </is>
      </c>
      <c r="E24" t="n">
        <v>344</v>
      </c>
      <c r="F24" t="inlineStr">
        <is>
          <t>WESTMINSTER</t>
        </is>
      </c>
      <c r="G24" t="inlineStr">
        <is>
          <t>4</t>
        </is>
      </c>
      <c r="H24" s="669">
        <f>Y24/J24</f>
        <v/>
      </c>
      <c r="I24" s="472" t="n">
        <v>45139</v>
      </c>
      <c r="J24" t="n">
        <v>12323</v>
      </c>
      <c r="K24" s="669" t="n"/>
      <c r="L24" t="n">
        <v>12323</v>
      </c>
      <c r="M24" t="n">
        <v>1999</v>
      </c>
      <c r="P24" t="inlineStr">
        <is>
          <t>PUD-Wes</t>
        </is>
      </c>
      <c r="R24" t="inlineStr">
        <is>
          <t>Average</t>
        </is>
      </c>
      <c r="S24" t="n">
        <v>51531.4805</v>
      </c>
      <c r="T24" s="469">
        <f>S24/L24</f>
        <v/>
      </c>
      <c r="U24" t="inlineStr">
        <is>
          <t>Average</t>
        </is>
      </c>
      <c r="V24" s="469" t="n"/>
      <c r="W24" s="469" t="n"/>
      <c r="X24" s="469" t="n"/>
      <c r="Y24" s="671" t="n">
        <v>1425000</v>
      </c>
      <c r="Z24" s="671" t="n"/>
      <c r="AA24" s="671" t="n">
        <v>1425000</v>
      </c>
      <c r="AB24" s="671" t="n"/>
      <c r="AC24" t="inlineStr">
        <is>
          <t>0171930219021</t>
        </is>
      </c>
      <c r="AD24" t="inlineStr">
        <is>
          <t>2023000044191</t>
        </is>
      </c>
      <c r="AE24" t="inlineStr">
        <is>
          <t>8778 WOLFF LLC, C/O HOLDER R BRUCE/R WAYNE</t>
        </is>
      </c>
      <c r="AF24" t="inlineStr">
        <is>
          <t>DIVINE HOMES DENVER LLC</t>
        </is>
      </c>
      <c r="AI24" s="245">
        <f>AND(E24=Subj_OccCode,Subj_BldgSF&gt;0,L24&gt;=Subj_BldgSF*(1-Subj_SizeTol),L24&lt;=Subj_BldgSF*(1+Subj_SizeTol))</f>
        <v/>
      </c>
    </row>
    <row r="25" ht="15" customHeight="1">
      <c r="A25" s="248" t="n">
        <v>7</v>
      </c>
      <c r="B25" s="245" t="n">
        <v>17</v>
      </c>
      <c r="C25" t="inlineStr">
        <is>
          <t>R0077378</t>
        </is>
      </c>
      <c r="D25" t="inlineStr">
        <is>
          <t>8777 BRIGHTON RD</t>
        </is>
      </c>
      <c r="E25" t="n">
        <v>334</v>
      </c>
      <c r="G25" t="inlineStr">
        <is>
          <t>5</t>
        </is>
      </c>
      <c r="H25" s="669">
        <f>Y25/J25</f>
        <v/>
      </c>
      <c r="I25" s="472" t="n">
        <v>45169</v>
      </c>
      <c r="J25" t="n">
        <v>51640</v>
      </c>
      <c r="K25" s="669" t="n"/>
      <c r="L25" t="n">
        <v>51640</v>
      </c>
      <c r="M25" t="n">
        <v>1978</v>
      </c>
      <c r="P25" t="inlineStr">
        <is>
          <t>Industrial</t>
        </is>
      </c>
      <c r="R25" t="inlineStr">
        <is>
          <t>Average</t>
        </is>
      </c>
      <c r="S25" t="n">
        <v>146187</v>
      </c>
      <c r="T25" s="469">
        <f>S25/L25</f>
        <v/>
      </c>
      <c r="U25" t="inlineStr">
        <is>
          <t>Average</t>
        </is>
      </c>
      <c r="V25" s="469" t="n"/>
      <c r="W25" s="469" t="n"/>
      <c r="X25" s="469" t="n"/>
      <c r="Y25" s="671" t="n">
        <v>4800000</v>
      </c>
      <c r="Z25" s="671" t="n"/>
      <c r="AA25" s="671" t="n">
        <v>4800000</v>
      </c>
      <c r="AB25" s="671" t="n"/>
      <c r="AC25" t="inlineStr">
        <is>
          <t>0172129200004</t>
        </is>
      </c>
      <c r="AD25" t="inlineStr">
        <is>
          <t>2023000049971</t>
        </is>
      </c>
      <c r="AE25" t="inlineStr">
        <is>
          <t>SAHLI-SUNDBY ANN C</t>
        </is>
      </c>
      <c r="AF25" t="inlineStr">
        <is>
          <t>BRIGHTON RD LLC</t>
        </is>
      </c>
      <c r="AI25" s="245">
        <f>AND(E25=Subj_OccCode,Subj_BldgSF&gt;0,L25&gt;=Subj_BldgSF*(1-Subj_SizeTol),L25&lt;=Subj_BldgSF*(1+Subj_SizeTol))</f>
        <v/>
      </c>
    </row>
    <row r="26" ht="15" customHeight="1">
      <c r="A26" s="248" t="n">
        <v>7</v>
      </c>
      <c r="B26" s="245" t="n">
        <v>18</v>
      </c>
      <c r="C26" t="inlineStr">
        <is>
          <t>R0077738</t>
        </is>
      </c>
      <c r="D26" t="inlineStr">
        <is>
          <t>7787 BRIGHTON BLVD</t>
        </is>
      </c>
      <c r="E26" t="n">
        <v>353</v>
      </c>
      <c r="G26" t="inlineStr">
        <is>
          <t>5</t>
        </is>
      </c>
      <c r="H26" s="669">
        <f>Y26/J26</f>
        <v/>
      </c>
      <c r="I26" s="472" t="n">
        <v>44764</v>
      </c>
      <c r="J26" t="n">
        <v>1350</v>
      </c>
      <c r="K26" s="669" t="n"/>
      <c r="L26" t="n">
        <v>1350</v>
      </c>
      <c r="M26" t="n">
        <v>1955</v>
      </c>
      <c r="P26" t="inlineStr">
        <is>
          <t>Industrial</t>
        </is>
      </c>
      <c r="R26" t="inlineStr">
        <is>
          <t>Average</t>
        </is>
      </c>
      <c r="S26" t="n">
        <v>12325</v>
      </c>
      <c r="T26" s="469">
        <f>S26/L26</f>
        <v/>
      </c>
      <c r="U26" t="inlineStr">
        <is>
          <t>Average</t>
        </is>
      </c>
      <c r="V26" s="469" t="n"/>
      <c r="W26" s="469" t="n"/>
      <c r="X26" s="469" t="n"/>
      <c r="Y26" s="671" t="n">
        <v>440000</v>
      </c>
      <c r="Z26" s="671" t="n"/>
      <c r="AA26" s="671" t="n">
        <v>440000</v>
      </c>
      <c r="AB26" s="671" t="n"/>
      <c r="AC26" t="inlineStr">
        <is>
          <t>0172131103002</t>
        </is>
      </c>
      <c r="AD26" t="inlineStr">
        <is>
          <t>2022000063980</t>
        </is>
      </c>
      <c r="AE26" t="inlineStr">
        <is>
          <t>MARTINEZ ORLANDO</t>
        </is>
      </c>
      <c r="AF26" t="inlineStr">
        <is>
          <t>JOE SINGH INC</t>
        </is>
      </c>
      <c r="AI26" s="245">
        <f>AND(E26=Subj_OccCode,Subj_BldgSF&gt;0,L26&gt;=Subj_BldgSF*(1-Subj_SizeTol),L26&lt;=Subj_BldgSF*(1+Subj_SizeTol))</f>
        <v/>
      </c>
    </row>
    <row r="27" ht="15" customHeight="1">
      <c r="A27" s="248" t="n">
        <v>7</v>
      </c>
      <c r="B27" s="245" t="n">
        <v>19</v>
      </c>
      <c r="C27" t="inlineStr">
        <is>
          <t>R0082000</t>
        </is>
      </c>
      <c r="D27" t="inlineStr">
        <is>
          <t>1506 MAIN ST</t>
        </is>
      </c>
      <c r="E27" t="n">
        <v>353</v>
      </c>
      <c r="F27" t="inlineStr">
        <is>
          <t>STRASBURG</t>
        </is>
      </c>
      <c r="G27" t="inlineStr">
        <is>
          <t>1</t>
        </is>
      </c>
      <c r="H27" s="669">
        <f>Y27/J27</f>
        <v/>
      </c>
      <c r="I27" s="472" t="n">
        <v>45295</v>
      </c>
      <c r="J27" t="n">
        <v>5620</v>
      </c>
      <c r="K27" s="669" t="n"/>
      <c r="L27" t="n">
        <v>5620</v>
      </c>
      <c r="M27" t="n">
        <v>1918</v>
      </c>
      <c r="P27" t="inlineStr">
        <is>
          <t>Commercial</t>
        </is>
      </c>
      <c r="R27" t="inlineStr">
        <is>
          <t>Average</t>
        </is>
      </c>
      <c r="S27" t="n">
        <v>7800</v>
      </c>
      <c r="T27" s="469">
        <f>S27/L27</f>
        <v/>
      </c>
      <c r="U27" t="inlineStr">
        <is>
          <t>Average</t>
        </is>
      </c>
      <c r="V27" s="469" t="n"/>
      <c r="W27" s="469" t="n"/>
      <c r="X27" s="469" t="n"/>
      <c r="Y27" s="671" t="n">
        <v>600000</v>
      </c>
      <c r="Z27" s="671" t="n"/>
      <c r="AA27" s="671" t="n">
        <v>600000</v>
      </c>
      <c r="AB27" s="671" t="n"/>
      <c r="AC27" t="inlineStr">
        <is>
          <t>0181333422015</t>
        </is>
      </c>
      <c r="AD27" t="inlineStr">
        <is>
          <t>2024000000995</t>
        </is>
      </c>
      <c r="AE27" t="inlineStr">
        <is>
          <t>L S STRASBURG LLC</t>
        </is>
      </c>
      <c r="AF27" t="inlineStr">
        <is>
          <t>SODDIK INVESTMENTS LLC</t>
        </is>
      </c>
      <c r="AI27" s="245">
        <f>AND(E27=Subj_OccCode,Subj_BldgSF&gt;0,L27&gt;=Subj_BldgSF*(1-Subj_SizeTol),L27&lt;=Subj_BldgSF*(1+Subj_SizeTol))</f>
        <v/>
      </c>
    </row>
    <row r="28" ht="15" customHeight="1">
      <c r="A28" s="248" t="n">
        <v>7</v>
      </c>
      <c r="B28" s="245" t="n">
        <v>20</v>
      </c>
      <c r="C28" t="inlineStr">
        <is>
          <t>R0084263</t>
        </is>
      </c>
      <c r="D28" t="inlineStr">
        <is>
          <t>15200 E 33RD PL</t>
        </is>
      </c>
      <c r="E28" t="n">
        <v>210</v>
      </c>
      <c r="F28" t="inlineStr">
        <is>
          <t>AURORA</t>
        </is>
      </c>
      <c r="G28" t="inlineStr">
        <is>
          <t>6</t>
        </is>
      </c>
      <c r="H28" s="669">
        <f>Y28/J28</f>
        <v/>
      </c>
      <c r="I28" s="472" t="n">
        <v>45238</v>
      </c>
      <c r="J28" t="n">
        <v>66772</v>
      </c>
      <c r="K28" s="669" t="n"/>
      <c r="L28" t="n">
        <v>66772</v>
      </c>
      <c r="M28" t="n">
        <v>1985</v>
      </c>
      <c r="P28" t="inlineStr">
        <is>
          <t>M-1-Aur</t>
        </is>
      </c>
      <c r="R28" t="inlineStr">
        <is>
          <t>Average</t>
        </is>
      </c>
      <c r="S28" t="n">
        <v>214751</v>
      </c>
      <c r="T28" s="469">
        <f>S28/L28</f>
        <v/>
      </c>
      <c r="U28" t="inlineStr">
        <is>
          <t>Average</t>
        </is>
      </c>
      <c r="V28" s="469" t="n"/>
      <c r="W28" s="469" t="n"/>
      <c r="X28" s="469" t="n"/>
      <c r="Y28" s="671" t="n">
        <v>9200000</v>
      </c>
      <c r="Z28" s="671" t="n"/>
      <c r="AA28" s="671" t="n">
        <v>9200000</v>
      </c>
      <c r="AB28" s="671" t="n"/>
      <c r="AC28" t="inlineStr">
        <is>
          <t>0182130007002</t>
        </is>
      </c>
      <c r="AD28" t="inlineStr">
        <is>
          <t>2023000062952</t>
        </is>
      </c>
      <c r="AE28" t="inlineStr">
        <is>
          <t>PIII CHAMBERS ROAD LLC</t>
        </is>
      </c>
      <c r="AF28" t="inlineStr">
        <is>
          <t>MCA IGF COMMERCE CENTER LLC</t>
        </is>
      </c>
      <c r="AI28" s="245">
        <f>AND(E28=Subj_OccCode,Subj_BldgSF&gt;0,L28&gt;=Subj_BldgSF*(1-Subj_SizeTol),L28&lt;=Subj_BldgSF*(1+Subj_SizeTol))</f>
        <v/>
      </c>
    </row>
    <row r="29" ht="15" customHeight="1">
      <c r="A29" s="248" t="n">
        <v>7</v>
      </c>
      <c r="B29" s="245" t="n">
        <v>21</v>
      </c>
      <c r="C29" t="inlineStr">
        <is>
          <t>R0085792</t>
        </is>
      </c>
      <c r="D29" t="inlineStr">
        <is>
          <t>2200 N CHAMBERS RD</t>
        </is>
      </c>
      <c r="E29" t="n">
        <v>425</v>
      </c>
      <c r="F29" t="inlineStr">
        <is>
          <t>AURORA</t>
        </is>
      </c>
      <c r="G29" t="inlineStr">
        <is>
          <t>6</t>
        </is>
      </c>
      <c r="H29" s="669">
        <f>Y29/J29</f>
        <v/>
      </c>
      <c r="I29" s="472" t="n">
        <v>45187</v>
      </c>
      <c r="J29" t="n">
        <v>18000</v>
      </c>
      <c r="K29" s="669" t="n"/>
      <c r="L29" t="n">
        <v>18000</v>
      </c>
      <c r="M29" t="n">
        <v>1984</v>
      </c>
      <c r="P29" t="inlineStr">
        <is>
          <t>M-1-Aur</t>
        </is>
      </c>
      <c r="R29" t="inlineStr">
        <is>
          <t>Good</t>
        </is>
      </c>
      <c r="S29" t="n">
        <v>5227</v>
      </c>
      <c r="T29" s="469">
        <f>S29/L29</f>
        <v/>
      </c>
      <c r="U29" t="inlineStr">
        <is>
          <t>Good</t>
        </is>
      </c>
      <c r="V29" s="469" t="n"/>
      <c r="W29" s="469" t="n"/>
      <c r="X29" s="469" t="n"/>
      <c r="Y29" s="671" t="n">
        <v>325000</v>
      </c>
      <c r="Z29" s="671" t="n"/>
      <c r="AA29" s="671" t="n">
        <v>325000</v>
      </c>
      <c r="AB29" s="671" t="n"/>
      <c r="AC29" t="inlineStr">
        <is>
          <t>0182132008008</t>
        </is>
      </c>
      <c r="AD29" t="inlineStr">
        <is>
          <t>2023000053910</t>
        </is>
      </c>
      <c r="AE29" t="inlineStr">
        <is>
          <t>SCHWARTZ JOSH JON</t>
        </is>
      </c>
      <c r="AF29" t="inlineStr">
        <is>
          <t>CHOCOLATE WORKS LLC</t>
        </is>
      </c>
      <c r="AI29" s="245">
        <f>AND(E29=Subj_OccCode,Subj_BldgSF&gt;0,L29&gt;=Subj_BldgSF*(1-Subj_SizeTol),L29&lt;=Subj_BldgSF*(1+Subj_SizeTol))</f>
        <v/>
      </c>
    </row>
    <row r="30" ht="15" customHeight="1">
      <c r="A30" s="248" t="n">
        <v>7</v>
      </c>
      <c r="B30" s="245" t="n">
        <v>22</v>
      </c>
      <c r="C30" t="inlineStr">
        <is>
          <t>R0093109</t>
        </is>
      </c>
      <c r="D30" t="inlineStr">
        <is>
          <t>3250 QUENTIN ST</t>
        </is>
      </c>
      <c r="E30" t="n">
        <v>210</v>
      </c>
      <c r="F30" t="inlineStr">
        <is>
          <t>AURORA</t>
        </is>
      </c>
      <c r="G30" t="inlineStr">
        <is>
          <t>6</t>
        </is>
      </c>
      <c r="H30" s="669">
        <f>Y30/J30</f>
        <v/>
      </c>
      <c r="I30" s="472" t="n">
        <v>45288</v>
      </c>
      <c r="J30" t="n">
        <v>144468</v>
      </c>
      <c r="K30" s="669" t="n"/>
      <c r="L30" t="n">
        <v>144468</v>
      </c>
      <c r="M30" t="n">
        <v>1985</v>
      </c>
      <c r="P30" t="inlineStr">
        <is>
          <t>M-1-Aur</t>
        </is>
      </c>
      <c r="R30" t="inlineStr">
        <is>
          <t>Good</t>
        </is>
      </c>
      <c r="S30" t="n">
        <v>363339</v>
      </c>
      <c r="T30" s="469">
        <f>S30/L30</f>
        <v/>
      </c>
      <c r="U30" t="inlineStr">
        <is>
          <t>Good</t>
        </is>
      </c>
      <c r="V30" s="469" t="n"/>
      <c r="W30" s="469" t="n"/>
      <c r="X30" s="469" t="n"/>
      <c r="Y30" s="671" t="n">
        <v>21500000</v>
      </c>
      <c r="Z30" s="671" t="n"/>
      <c r="AA30" s="671" t="n">
        <v>20379895</v>
      </c>
      <c r="AB30" s="671" t="n"/>
      <c r="AC30" t="inlineStr">
        <is>
          <t>0182325212001</t>
        </is>
      </c>
      <c r="AD30" t="inlineStr">
        <is>
          <t>2023000071663</t>
        </is>
      </c>
      <c r="AE30" t="inlineStr">
        <is>
          <t>HZ SORRENTO HIGHPOINTE SQUARE LLC ET AL, C/O PARAMOUNT PROPERTY COMPANY, LTD</t>
        </is>
      </c>
      <c r="AF30" t="inlineStr">
        <is>
          <t>MNG COMMERCE MIDTOWN LLC UND 42% INT AND, MNG COMMERCE OLIVEHAIN LLC UND  et al.</t>
        </is>
      </c>
      <c r="AI30" s="245">
        <f>AND(E30=Subj_OccCode,Subj_BldgSF&gt;0,L30&gt;=Subj_BldgSF*(1-Subj_SizeTol),L30&lt;=Subj_BldgSF*(1+Subj_SizeTol))</f>
        <v/>
      </c>
    </row>
    <row r="31" ht="15" customHeight="1">
      <c r="A31" s="248" t="n">
        <v>7</v>
      </c>
      <c r="B31" s="245" t="n">
        <v>23</v>
      </c>
      <c r="C31" t="inlineStr">
        <is>
          <t>R0098103</t>
        </is>
      </c>
      <c r="D31" t="inlineStr">
        <is>
          <t>1247 E 68TH AVE</t>
        </is>
      </c>
      <c r="E31" t="n">
        <v>406</v>
      </c>
      <c r="G31" t="inlineStr">
        <is>
          <t>5</t>
        </is>
      </c>
      <c r="H31" s="669">
        <f>Y31/J31</f>
        <v/>
      </c>
      <c r="I31" s="472" t="n">
        <v>45099</v>
      </c>
      <c r="J31" t="n">
        <v>25300</v>
      </c>
      <c r="K31" s="669" t="n"/>
      <c r="L31" t="n">
        <v>25300</v>
      </c>
      <c r="M31" t="n">
        <v>1994</v>
      </c>
      <c r="P31" t="inlineStr">
        <is>
          <t>Industrial</t>
        </is>
      </c>
      <c r="R31" t="inlineStr">
        <is>
          <t>Average</t>
        </is>
      </c>
      <c r="S31" t="n">
        <v>197703</v>
      </c>
      <c r="T31" s="469">
        <f>S31/L31</f>
        <v/>
      </c>
      <c r="U31" t="inlineStr">
        <is>
          <t>Average</t>
        </is>
      </c>
      <c r="V31" s="469" t="n"/>
      <c r="W31" s="469" t="n"/>
      <c r="X31" s="469" t="n"/>
      <c r="Y31" s="671" t="n">
        <v>5000000</v>
      </c>
      <c r="Z31" s="671" t="n"/>
      <c r="AA31" s="671" t="n">
        <v>5000000</v>
      </c>
      <c r="AB31" s="671" t="n"/>
      <c r="AC31" t="inlineStr">
        <is>
          <t>0182502205015</t>
        </is>
      </c>
      <c r="AD31" t="inlineStr">
        <is>
          <t>2023000035170</t>
        </is>
      </c>
      <c r="AE31" t="inlineStr">
        <is>
          <t>JECO HOLDINGS INC</t>
        </is>
      </c>
      <c r="AF31" t="inlineStr">
        <is>
          <t>1247 DENVER PARTNERS LLC, C/O ALTERRA PROPERTY GROUP</t>
        </is>
      </c>
      <c r="AI31" s="245">
        <f>AND(E31=Subj_OccCode,Subj_BldgSF&gt;0,L31&gt;=Subj_BldgSF*(1-Subj_SizeTol),L31&lt;=Subj_BldgSF*(1+Subj_SizeTol))</f>
        <v/>
      </c>
    </row>
    <row r="32" ht="15" customHeight="1">
      <c r="A32" s="248" t="n">
        <v>7</v>
      </c>
      <c r="B32" s="245" t="n">
        <v>24</v>
      </c>
      <c r="C32" t="inlineStr">
        <is>
          <t>R0108009</t>
        </is>
      </c>
      <c r="D32" t="inlineStr">
        <is>
          <t>6940 PECOS ST</t>
        </is>
      </c>
      <c r="E32" t="n">
        <v>350</v>
      </c>
      <c r="G32" t="inlineStr">
        <is>
          <t>4</t>
        </is>
      </c>
      <c r="H32" s="669">
        <f>Y32/J32</f>
        <v/>
      </c>
      <c r="I32" s="472" t="n">
        <v>45117</v>
      </c>
      <c r="J32" t="n">
        <v>1050</v>
      </c>
      <c r="K32" s="669" t="n"/>
      <c r="L32" t="n">
        <v>1050</v>
      </c>
      <c r="M32" t="n">
        <v>1964</v>
      </c>
      <c r="P32" t="inlineStr">
        <is>
          <t>Commercial</t>
        </is>
      </c>
      <c r="R32" t="inlineStr">
        <is>
          <t>Average</t>
        </is>
      </c>
      <c r="S32" t="n">
        <v>24750</v>
      </c>
      <c r="T32" s="469">
        <f>S32/L32</f>
        <v/>
      </c>
      <c r="U32" t="inlineStr">
        <is>
          <t>Average</t>
        </is>
      </c>
      <c r="V32" s="469" t="n"/>
      <c r="W32" s="469" t="n"/>
      <c r="X32" s="469" t="n"/>
      <c r="Y32" s="671" t="n">
        <v>680000</v>
      </c>
      <c r="Z32" s="671" t="n"/>
      <c r="AA32" s="671" t="n">
        <v>680000</v>
      </c>
      <c r="AB32" s="671" t="n"/>
      <c r="AC32" t="inlineStr">
        <is>
          <t>0182504113010</t>
        </is>
      </c>
      <c r="AD32" t="inlineStr">
        <is>
          <t>2023000039259</t>
        </is>
      </c>
      <c r="AE32" t="inlineStr">
        <is>
          <t>VITELAS LLC</t>
        </is>
      </c>
      <c r="AF32" t="inlineStr">
        <is>
          <t>ALVAREZ DANIEL CASTRO</t>
        </is>
      </c>
      <c r="AI32" s="245">
        <f>AND(E32=Subj_OccCode,Subj_BldgSF&gt;0,L32&gt;=Subj_BldgSF*(1-Subj_SizeTol),L32&lt;=Subj_BldgSF*(1+Subj_SizeTol))</f>
        <v/>
      </c>
    </row>
    <row r="33" ht="15" customHeight="1">
      <c r="A33" s="248" t="n">
        <v>7</v>
      </c>
      <c r="B33" s="245" t="n">
        <v>25</v>
      </c>
      <c r="C33" t="inlineStr">
        <is>
          <t>R0130283</t>
        </is>
      </c>
      <c r="D33" t="inlineStr">
        <is>
          <t>5635 FRANKLIN ST</t>
        </is>
      </c>
      <c r="E33" t="n">
        <v>407</v>
      </c>
      <c r="G33" t="inlineStr">
        <is>
          <t>5</t>
        </is>
      </c>
      <c r="H33" s="669">
        <f>Y33/J33</f>
        <v/>
      </c>
      <c r="I33" s="472" t="n">
        <v>45273</v>
      </c>
      <c r="J33" t="n">
        <v>30000</v>
      </c>
      <c r="K33" s="669" t="n"/>
      <c r="L33" t="n">
        <v>30000</v>
      </c>
      <c r="M33" t="n">
        <v>2001</v>
      </c>
      <c r="P33" t="inlineStr">
        <is>
          <t>Industrial</t>
        </is>
      </c>
      <c r="R33" t="inlineStr">
        <is>
          <t>Average</t>
        </is>
      </c>
      <c r="S33" t="n">
        <v>96703.2</v>
      </c>
      <c r="T33" s="469">
        <f>S33/L33</f>
        <v/>
      </c>
      <c r="U33" t="inlineStr">
        <is>
          <t>Average</t>
        </is>
      </c>
      <c r="V33" s="469" t="n"/>
      <c r="W33" s="469" t="n"/>
      <c r="X33" s="469" t="n"/>
      <c r="Y33" s="671" t="n">
        <v>7050000</v>
      </c>
      <c r="Z33" s="671" t="n"/>
      <c r="AA33" s="671" t="n">
        <v>6675000</v>
      </c>
      <c r="AB33" s="671" t="n"/>
      <c r="AC33" t="inlineStr">
        <is>
          <t>0182511314008</t>
        </is>
      </c>
      <c r="AD33" t="inlineStr">
        <is>
          <t>2023000069014</t>
        </is>
      </c>
      <c r="AE33" t="inlineStr">
        <is>
          <t>J STREET I LLC</t>
        </is>
      </c>
      <c r="AF33" t="inlineStr">
        <is>
          <t>FRANKLIN INDUSTRIAL LLC</t>
        </is>
      </c>
      <c r="AI33" s="245">
        <f>AND(E33=Subj_OccCode,Subj_BldgSF&gt;0,L33&gt;=Subj_BldgSF*(1-Subj_SizeTol),L33&lt;=Subj_BldgSF*(1+Subj_SizeTol))</f>
        <v/>
      </c>
    </row>
    <row r="34" ht="15" customHeight="1">
      <c r="A34" s="248" t="n">
        <v>7</v>
      </c>
      <c r="B34" s="245" t="n">
        <v>26</v>
      </c>
      <c r="C34" t="inlineStr">
        <is>
          <t>R0158487</t>
        </is>
      </c>
      <c r="D34" t="inlineStr">
        <is>
          <t>1750 W 64TH LN</t>
        </is>
      </c>
      <c r="E34" t="n">
        <v>425</v>
      </c>
      <c r="G34" t="inlineStr">
        <is>
          <t>5</t>
        </is>
      </c>
      <c r="H34" s="669">
        <f>Y34/J34</f>
        <v/>
      </c>
      <c r="I34" s="472" t="n">
        <v>45264</v>
      </c>
      <c r="J34" t="n">
        <v>10840</v>
      </c>
      <c r="K34" s="669" t="n"/>
      <c r="L34" t="n">
        <v>10840</v>
      </c>
      <c r="M34" t="n">
        <v>2003</v>
      </c>
      <c r="P34" t="inlineStr">
        <is>
          <t>Planned Unit Development</t>
        </is>
      </c>
      <c r="R34" t="inlineStr">
        <is>
          <t>Average</t>
        </is>
      </c>
      <c r="S34" t="n">
        <v>9670</v>
      </c>
      <c r="T34" s="469">
        <f>S34/L34</f>
        <v/>
      </c>
      <c r="U34" t="inlineStr">
        <is>
          <t>Average</t>
        </is>
      </c>
      <c r="V34" s="469" t="n"/>
      <c r="W34" s="469" t="n"/>
      <c r="X34" s="469" t="n"/>
      <c r="Y34" s="671" t="n">
        <v>560000</v>
      </c>
      <c r="Z34" s="671" t="n"/>
      <c r="AA34" s="671" t="n">
        <v>560000</v>
      </c>
      <c r="AB34" s="671" t="n"/>
      <c r="AC34" t="inlineStr">
        <is>
          <t>0182504302017</t>
        </is>
      </c>
      <c r="AD34" t="inlineStr">
        <is>
          <t>2023000067126</t>
        </is>
      </c>
      <c r="AE34" t="inlineStr">
        <is>
          <t>QUALLS JOSEPH M AND, QUALLS CYNTHIA A</t>
        </is>
      </c>
      <c r="AF34" t="inlineStr">
        <is>
          <t>KOEGEL REAL ESTATE LLC</t>
        </is>
      </c>
      <c r="AI34" s="245">
        <f>AND(E34=Subj_OccCode,Subj_BldgSF&gt;0,L34&gt;=Subj_BldgSF*(1-Subj_SizeTol),L34&lt;=Subj_BldgSF*(1+Subj_SizeTol))</f>
        <v/>
      </c>
    </row>
    <row r="35" ht="15" customHeight="1">
      <c r="A35" s="248" t="n">
        <v>7</v>
      </c>
      <c r="B35" s="245" t="n">
        <v>27</v>
      </c>
      <c r="C35" t="inlineStr">
        <is>
          <t>R0177294</t>
        </is>
      </c>
      <c r="D35" t="inlineStr">
        <is>
          <t>5156 W 58TH AVE</t>
        </is>
      </c>
      <c r="E35" t="n">
        <v>210</v>
      </c>
      <c r="F35" t="inlineStr">
        <is>
          <t>ARVADA</t>
        </is>
      </c>
      <c r="G35" t="inlineStr">
        <is>
          <t>5</t>
        </is>
      </c>
      <c r="H35" s="669">
        <f>Y35/J35</f>
        <v/>
      </c>
      <c r="I35" s="472" t="n">
        <v>45372</v>
      </c>
      <c r="J35" t="n">
        <v>23554</v>
      </c>
      <c r="K35" s="669" t="n"/>
      <c r="L35" t="n">
        <v>23554</v>
      </c>
      <c r="M35" t="n">
        <v>2008</v>
      </c>
      <c r="P35" t="inlineStr">
        <is>
          <t>I-1-Arv</t>
        </is>
      </c>
      <c r="R35" t="inlineStr">
        <is>
          <t>Average</t>
        </is>
      </c>
      <c r="S35" t="n">
        <v>98285</v>
      </c>
      <c r="T35" s="469">
        <f>S35/L35</f>
        <v/>
      </c>
      <c r="U35" t="inlineStr">
        <is>
          <t>Average</t>
        </is>
      </c>
      <c r="V35" s="469" t="n"/>
      <c r="W35" s="469" t="n"/>
      <c r="X35" s="469" t="n"/>
      <c r="Y35" s="671" t="n">
        <v>5180000</v>
      </c>
      <c r="Z35" s="671" t="n"/>
      <c r="AA35" s="671" t="n">
        <v>5180000</v>
      </c>
      <c r="AB35" s="671" t="n"/>
      <c r="AC35" t="inlineStr">
        <is>
          <t>0182507309001</t>
        </is>
      </c>
      <c r="AD35" t="inlineStr">
        <is>
          <t>2024000014950</t>
        </is>
      </c>
      <c r="AE35" t="inlineStr">
        <is>
          <t>DUCTS HOLDINGS LLC</t>
        </is>
      </c>
      <c r="AF35" t="inlineStr">
        <is>
          <t>DU REAL ESTATE HOLDINGS LLC</t>
        </is>
      </c>
      <c r="AI35" s="245">
        <f>AND(E35=Subj_OccCode,Subj_BldgSF&gt;0,L35&gt;=Subj_BldgSF*(1-Subj_SizeTol),L35&lt;=Subj_BldgSF*(1+Subj_SizeTol))</f>
        <v/>
      </c>
    </row>
    <row r="36" ht="15" customHeight="1">
      <c r="A36" s="248" t="n">
        <v>7</v>
      </c>
      <c r="B36" s="245" t="n">
        <v>28</v>
      </c>
      <c r="C36" t="inlineStr">
        <is>
          <t>R0004560</t>
        </is>
      </c>
      <c r="D36" t="inlineStr">
        <is>
          <t>501 S MAIN ST</t>
        </is>
      </c>
      <c r="E36" t="n">
        <v>406</v>
      </c>
      <c r="F36" t="inlineStr">
        <is>
          <t>BRIGHTON</t>
        </is>
      </c>
      <c r="G36" t="inlineStr">
        <is>
          <t>2</t>
        </is>
      </c>
      <c r="H36" s="669">
        <f>Y36/J36</f>
        <v/>
      </c>
      <c r="I36" s="472" t="n">
        <v>44869</v>
      </c>
      <c r="J36" t="n">
        <v>4080</v>
      </c>
      <c r="K36" s="669" t="n"/>
      <c r="L36" t="n">
        <v>4080</v>
      </c>
      <c r="M36" t="n">
        <v>1954</v>
      </c>
      <c r="P36" t="inlineStr">
        <is>
          <t>I-1-Bri</t>
        </is>
      </c>
      <c r="R36" t="inlineStr">
        <is>
          <t>Average</t>
        </is>
      </c>
      <c r="S36" t="n">
        <v>12762</v>
      </c>
      <c r="T36" s="469">
        <f>S36/L36</f>
        <v/>
      </c>
      <c r="U36" t="inlineStr">
        <is>
          <t>Average</t>
        </is>
      </c>
      <c r="V36" s="469" t="n"/>
      <c r="W36" s="469" t="n"/>
      <c r="X36" s="469" t="n"/>
      <c r="Y36" s="671" t="n">
        <v>750000</v>
      </c>
      <c r="Z36" s="671" t="n"/>
      <c r="AA36" s="671" t="n">
        <v>750000</v>
      </c>
      <c r="AB36" s="671" t="n"/>
      <c r="AC36" t="inlineStr">
        <is>
          <t>0156907323002</t>
        </is>
      </c>
      <c r="AD36" t="inlineStr">
        <is>
          <t>2022000089640</t>
        </is>
      </c>
      <c r="AE36" t="inlineStr">
        <is>
          <t>PACHECO JESUS L</t>
        </is>
      </c>
      <c r="AF36" t="inlineStr">
        <is>
          <t>RELIANCE POWER COMPANY LLC AND, 4 SEASONS TRANSPORT LLC</t>
        </is>
      </c>
      <c r="AI36" s="245">
        <f>AND(E36=Subj_OccCode,Subj_BldgSF&gt;0,L36&gt;=Subj_BldgSF*(1-Subj_SizeTol),L36&lt;=Subj_BldgSF*(1+Subj_SizeTol))</f>
        <v/>
      </c>
    </row>
    <row r="37" ht="15" customHeight="1">
      <c r="A37" s="248" t="n">
        <v>7</v>
      </c>
      <c r="B37" s="245" t="n">
        <v>29</v>
      </c>
      <c r="C37" t="inlineStr">
        <is>
          <t>R0081995</t>
        </is>
      </c>
      <c r="D37" t="inlineStr">
        <is>
          <t>56761 E COLFAX AVE</t>
        </is>
      </c>
      <c r="E37" t="n">
        <v>353</v>
      </c>
      <c r="F37" t="inlineStr">
        <is>
          <t>STRASBURG</t>
        </is>
      </c>
      <c r="G37" t="inlineStr">
        <is>
          <t>1</t>
        </is>
      </c>
      <c r="H37" s="669">
        <f>Y37/J37</f>
        <v/>
      </c>
      <c r="I37" s="472" t="n">
        <v>45190</v>
      </c>
      <c r="J37" t="n">
        <v>2880</v>
      </c>
      <c r="K37" s="669" t="n"/>
      <c r="L37" t="n">
        <v>2880</v>
      </c>
      <c r="M37" t="n">
        <v>1954</v>
      </c>
      <c r="P37" t="inlineStr">
        <is>
          <t>Commercial</t>
        </is>
      </c>
      <c r="R37" t="inlineStr">
        <is>
          <t>Average</t>
        </is>
      </c>
      <c r="S37" t="n">
        <v>5000</v>
      </c>
      <c r="T37" s="469">
        <f>S37/L37</f>
        <v/>
      </c>
      <c r="U37" t="inlineStr">
        <is>
          <t>Average</t>
        </is>
      </c>
      <c r="V37" s="469" t="n"/>
      <c r="W37" s="469" t="n"/>
      <c r="X37" s="469" t="n"/>
      <c r="Y37" s="671" t="n">
        <v>350000</v>
      </c>
      <c r="Z37" s="671" t="n"/>
      <c r="AA37" s="671" t="n">
        <v>350000</v>
      </c>
      <c r="AB37" s="671" t="n"/>
      <c r="AC37" t="inlineStr">
        <is>
          <t>0181333422008</t>
        </is>
      </c>
      <c r="AD37" t="inlineStr">
        <is>
          <t>2023000054363</t>
        </is>
      </c>
      <c r="AE37" t="inlineStr">
        <is>
          <t>K &amp; S FAMILY INDUSTRIES LLC</t>
        </is>
      </c>
      <c r="AF37" t="inlineStr">
        <is>
          <t>THE STRASBURG YARD LLC</t>
        </is>
      </c>
      <c r="AI37" s="245">
        <f>AND(E37=Subj_OccCode,Subj_BldgSF&gt;0,L37&gt;=Subj_BldgSF*(1-Subj_SizeTol),L37&lt;=Subj_BldgSF*(1+Subj_SizeTol))</f>
        <v/>
      </c>
    </row>
    <row r="38" ht="15" customHeight="1">
      <c r="A38" s="248" t="n">
        <v>7</v>
      </c>
      <c r="B38" s="245" t="n">
        <v>30</v>
      </c>
      <c r="C38" t="inlineStr">
        <is>
          <t>R0084235</t>
        </is>
      </c>
      <c r="D38" t="inlineStr">
        <is>
          <t>3751 FRASER ST</t>
        </is>
      </c>
      <c r="E38" t="n">
        <v>407</v>
      </c>
      <c r="F38" t="inlineStr">
        <is>
          <t>AURORA</t>
        </is>
      </c>
      <c r="G38" t="inlineStr">
        <is>
          <t>6</t>
        </is>
      </c>
      <c r="H38" s="669">
        <f>Y38/J38</f>
        <v/>
      </c>
      <c r="I38" s="472" t="n">
        <v>44791</v>
      </c>
      <c r="J38" t="n">
        <v>24836</v>
      </c>
      <c r="K38" s="669" t="n"/>
      <c r="L38" t="n">
        <v>24836</v>
      </c>
      <c r="M38" t="n">
        <v>1976</v>
      </c>
      <c r="P38" t="inlineStr">
        <is>
          <t>M-1-Aur</t>
        </is>
      </c>
      <c r="R38" t="inlineStr">
        <is>
          <t>Fair</t>
        </is>
      </c>
      <c r="S38" t="n">
        <v>290110</v>
      </c>
      <c r="T38" s="469">
        <f>S38/L38</f>
        <v/>
      </c>
      <c r="U38" t="inlineStr">
        <is>
          <t>Fair</t>
        </is>
      </c>
      <c r="V38" s="469" t="n"/>
      <c r="W38" s="469" t="n"/>
      <c r="X38" s="469" t="n"/>
      <c r="Y38" s="671" t="n">
        <v>7452000</v>
      </c>
      <c r="Z38" s="671" t="n"/>
      <c r="AA38" s="671" t="n">
        <v>7452000</v>
      </c>
      <c r="AB38" s="671" t="n"/>
      <c r="AC38" t="inlineStr">
        <is>
          <t>0182130002003</t>
        </is>
      </c>
      <c r="AD38" t="inlineStr">
        <is>
          <t>2022000070197</t>
        </is>
      </c>
      <c r="AE38" t="inlineStr">
        <is>
          <t>FRASER SERVICE CENTER LLC</t>
        </is>
      </c>
      <c r="AF38" t="inlineStr">
        <is>
          <t>NICOLA 3751 FRASER LP</t>
        </is>
      </c>
      <c r="AI38" s="245">
        <f>AND(E38=Subj_OccCode,Subj_BldgSF&gt;0,L38&gt;=Subj_BldgSF*(1-Subj_SizeTol),L38&lt;=Subj_BldgSF*(1+Subj_SizeTol))</f>
        <v/>
      </c>
    </row>
    <row r="39" ht="15" customHeight="1">
      <c r="A39" s="248" t="n">
        <v>7</v>
      </c>
      <c r="B39" s="245" t="n">
        <v>31</v>
      </c>
      <c r="C39" t="inlineStr">
        <is>
          <t>R0124575</t>
        </is>
      </c>
      <c r="D39" t="inlineStr">
        <is>
          <t>11152 HURON ST #105</t>
        </is>
      </c>
      <c r="E39" t="n">
        <v>1344</v>
      </c>
      <c r="F39" t="inlineStr">
        <is>
          <t>NORTHGLENN</t>
        </is>
      </c>
      <c r="G39" t="inlineStr">
        <is>
          <t>4</t>
        </is>
      </c>
      <c r="H39" s="669">
        <f>Y39/J39</f>
        <v/>
      </c>
      <c r="I39" s="472" t="n">
        <v>45036</v>
      </c>
      <c r="J39" t="n">
        <v>20472</v>
      </c>
      <c r="K39" s="669" t="n"/>
      <c r="L39" t="n">
        <v>20472</v>
      </c>
      <c r="M39" t="n">
        <v>2000</v>
      </c>
      <c r="P39" t="inlineStr">
        <is>
          <t>C-0-Nor</t>
        </is>
      </c>
      <c r="R39" t="inlineStr">
        <is>
          <t>Average</t>
        </is>
      </c>
      <c r="S39" t="n">
        <v>3100</v>
      </c>
      <c r="T39" s="469">
        <f>S39/L39</f>
        <v/>
      </c>
      <c r="U39" t="inlineStr">
        <is>
          <t>Average</t>
        </is>
      </c>
      <c r="V39" s="469" t="n"/>
      <c r="W39" s="469" t="n"/>
      <c r="X39" s="469" t="n"/>
      <c r="Y39" s="671" t="n">
        <v>240000</v>
      </c>
      <c r="Z39" s="671" t="n"/>
      <c r="AA39" s="671" t="n">
        <v>240000</v>
      </c>
      <c r="AB39" s="671" t="n"/>
      <c r="AC39" t="inlineStr">
        <is>
          <t>0171910205035</t>
        </is>
      </c>
      <c r="AD39" t="inlineStr">
        <is>
          <t>2023000022836</t>
        </is>
      </c>
      <c r="AE39" t="inlineStr">
        <is>
          <t>PACER HOLDINGS LLC</t>
        </is>
      </c>
      <c r="AF39" t="inlineStr">
        <is>
          <t>HELIE CHIROPRACTIC CLINIC LLC</t>
        </is>
      </c>
      <c r="AI39" s="245">
        <f>AND(E39=Subj_OccCode,Subj_BldgSF&gt;0,L39&gt;=Subj_BldgSF*(1-Subj_SizeTol),L39&lt;=Subj_BldgSF*(1+Subj_SizeTol))</f>
        <v/>
      </c>
    </row>
    <row r="40" ht="15" customHeight="1">
      <c r="A40" s="248" t="n">
        <v>7</v>
      </c>
      <c r="B40" s="245" t="n">
        <v>32</v>
      </c>
      <c r="C40" t="inlineStr">
        <is>
          <t>R0124576</t>
        </is>
      </c>
      <c r="D40" t="inlineStr">
        <is>
          <t>11152 HURON ST #106</t>
        </is>
      </c>
      <c r="E40" t="n">
        <v>1344</v>
      </c>
      <c r="F40" t="inlineStr">
        <is>
          <t>NORTHGLENN</t>
        </is>
      </c>
      <c r="G40" t="inlineStr">
        <is>
          <t>4</t>
        </is>
      </c>
      <c r="H40" s="669">
        <f>Y40/J40</f>
        <v/>
      </c>
      <c r="I40" s="472" t="n">
        <v>45054</v>
      </c>
      <c r="J40" t="n">
        <v>20472</v>
      </c>
      <c r="K40" s="669" t="n"/>
      <c r="L40" t="n">
        <v>20472</v>
      </c>
      <c r="M40" t="n">
        <v>2000</v>
      </c>
      <c r="P40" t="inlineStr">
        <is>
          <t>C-0-Nor</t>
        </is>
      </c>
      <c r="R40" t="inlineStr">
        <is>
          <t>Average</t>
        </is>
      </c>
      <c r="S40" t="n">
        <v>3100</v>
      </c>
      <c r="T40" s="469">
        <f>S40/L40</f>
        <v/>
      </c>
      <c r="U40" t="inlineStr">
        <is>
          <t>Average</t>
        </is>
      </c>
      <c r="V40" s="469" t="n"/>
      <c r="W40" s="469" t="n"/>
      <c r="X40" s="469" t="n"/>
      <c r="Y40" s="671" t="n">
        <v>246300</v>
      </c>
      <c r="Z40" s="671" t="n"/>
      <c r="AA40" s="671" t="n">
        <v>246300</v>
      </c>
      <c r="AB40" s="671" t="n"/>
      <c r="AC40" t="inlineStr">
        <is>
          <t>0171910205036</t>
        </is>
      </c>
      <c r="AD40" t="inlineStr">
        <is>
          <t>2023000026486</t>
        </is>
      </c>
      <c r="AE40" t="inlineStr">
        <is>
          <t>PACER HOLDINGS LLC</t>
        </is>
      </c>
      <c r="AF40" t="inlineStr">
        <is>
          <t>CCIRE I LLC</t>
        </is>
      </c>
      <c r="AI40" s="245">
        <f>AND(E40=Subj_OccCode,Subj_BldgSF&gt;0,L40&gt;=Subj_BldgSF*(1-Subj_SizeTol),L40&lt;=Subj_BldgSF*(1+Subj_SizeTol))</f>
        <v/>
      </c>
    </row>
    <row r="41" ht="15" customHeight="1">
      <c r="A41" s="248" t="n">
        <v>7</v>
      </c>
      <c r="B41" s="245" t="n">
        <v>33</v>
      </c>
      <c r="C41" t="inlineStr">
        <is>
          <t>R0124580</t>
        </is>
      </c>
      <c r="D41" t="inlineStr">
        <is>
          <t>11152 HURON ST #204</t>
        </is>
      </c>
      <c r="E41" t="n">
        <v>1344</v>
      </c>
      <c r="F41" t="inlineStr">
        <is>
          <t>NORTHGLENN</t>
        </is>
      </c>
      <c r="G41" t="inlineStr">
        <is>
          <t>4</t>
        </is>
      </c>
      <c r="H41" s="669">
        <f>Y41/J41</f>
        <v/>
      </c>
      <c r="I41" s="472" t="n">
        <v>45154</v>
      </c>
      <c r="J41" t="n">
        <v>20472</v>
      </c>
      <c r="K41" s="669" t="n"/>
      <c r="L41" t="n">
        <v>20472</v>
      </c>
      <c r="M41" t="n">
        <v>2000</v>
      </c>
      <c r="P41" t="inlineStr">
        <is>
          <t>C-0-Nor</t>
        </is>
      </c>
      <c r="R41" t="inlineStr">
        <is>
          <t>Average</t>
        </is>
      </c>
      <c r="S41" t="n">
        <v>3100</v>
      </c>
      <c r="T41" s="469">
        <f>S41/L41</f>
        <v/>
      </c>
      <c r="U41" t="inlineStr">
        <is>
          <t>Average</t>
        </is>
      </c>
      <c r="V41" s="469" t="n"/>
      <c r="W41" s="469" t="n"/>
      <c r="X41" s="469" t="n"/>
      <c r="Y41" s="671" t="n">
        <v>320000</v>
      </c>
      <c r="Z41" s="671" t="n"/>
      <c r="AA41" s="671" t="n">
        <v>320000</v>
      </c>
      <c r="AB41" s="671" t="n"/>
      <c r="AC41" t="inlineStr">
        <is>
          <t>0171910205040</t>
        </is>
      </c>
      <c r="AD41" t="inlineStr">
        <is>
          <t>2023000046995</t>
        </is>
      </c>
      <c r="AE41" t="inlineStr">
        <is>
          <t>HURON 210 LLC</t>
        </is>
      </c>
      <c r="AF41" t="inlineStr">
        <is>
          <t>A C HOLDINGS LLC</t>
        </is>
      </c>
      <c r="AI41" s="245">
        <f>AND(E41=Subj_OccCode,Subj_BldgSF&gt;0,L41&gt;=Subj_BldgSF*(1-Subj_SizeTol),L41&lt;=Subj_BldgSF*(1+Subj_SizeTol))</f>
        <v/>
      </c>
    </row>
    <row r="42" ht="15" customHeight="1">
      <c r="A42" s="248" t="n">
        <v>7</v>
      </c>
      <c r="B42" s="245" t="n">
        <v>34</v>
      </c>
      <c r="C42" t="inlineStr">
        <is>
          <t>R0132006</t>
        </is>
      </c>
      <c r="D42" t="inlineStr">
        <is>
          <t>12021 PENNSYLVANIA ST #206</t>
        </is>
      </c>
      <c r="E42" t="n">
        <v>1344</v>
      </c>
      <c r="F42" t="inlineStr">
        <is>
          <t>THORNTON</t>
        </is>
      </c>
      <c r="G42" t="inlineStr">
        <is>
          <t>3</t>
        </is>
      </c>
      <c r="H42" s="669">
        <f>Y42/J42</f>
        <v/>
      </c>
      <c r="I42" s="472" t="n">
        <v>45205</v>
      </c>
      <c r="J42" t="n">
        <v>17328</v>
      </c>
      <c r="K42" s="669" t="n"/>
      <c r="L42" t="n">
        <v>17328</v>
      </c>
      <c r="M42" t="n">
        <v>2000</v>
      </c>
      <c r="P42" t="inlineStr">
        <is>
          <t>Regional Commercial</t>
        </is>
      </c>
      <c r="R42" t="inlineStr">
        <is>
          <t>Average</t>
        </is>
      </c>
      <c r="S42" t="n">
        <v>3838.69</v>
      </c>
      <c r="T42" s="469">
        <f>S42/L42</f>
        <v/>
      </c>
      <c r="U42" t="inlineStr">
        <is>
          <t>Average</t>
        </is>
      </c>
      <c r="V42" s="469" t="n"/>
      <c r="W42" s="469" t="n"/>
      <c r="X42" s="469" t="n"/>
      <c r="Y42" s="671" t="n">
        <v>335000</v>
      </c>
      <c r="Z42" s="671" t="n"/>
      <c r="AA42" s="671" t="n">
        <v>335000</v>
      </c>
      <c r="AB42" s="671" t="n"/>
      <c r="AC42" t="inlineStr">
        <is>
          <t>0157334401018</t>
        </is>
      </c>
      <c r="AD42" t="inlineStr">
        <is>
          <t>2023000057840</t>
        </is>
      </c>
      <c r="AE42" t="inlineStr">
        <is>
          <t>GRAND PROPERTIES CO LLC</t>
        </is>
      </c>
      <c r="AF42" t="inlineStr">
        <is>
          <t>VARGUEZ VERONIC</t>
        </is>
      </c>
      <c r="AI42" s="245">
        <f>AND(E42=Subj_OccCode,Subj_BldgSF&gt;0,L42&gt;=Subj_BldgSF*(1-Subj_SizeTol),L42&lt;=Subj_BldgSF*(1+Subj_SizeTol))</f>
        <v/>
      </c>
    </row>
    <row r="43" ht="15" customHeight="1">
      <c r="A43" s="248" t="n">
        <v>7</v>
      </c>
      <c r="B43" s="245" t="n">
        <v>35</v>
      </c>
      <c r="C43" t="inlineStr">
        <is>
          <t>R0159467</t>
        </is>
      </c>
      <c r="D43" t="inlineStr">
        <is>
          <t>12001 E 33RD AVE</t>
        </is>
      </c>
      <c r="E43" t="n">
        <v>425</v>
      </c>
      <c r="F43" t="inlineStr">
        <is>
          <t>AURORA</t>
        </is>
      </c>
      <c r="G43" t="inlineStr">
        <is>
          <t>6</t>
        </is>
      </c>
      <c r="H43" s="669">
        <f>Y43/J43</f>
        <v/>
      </c>
      <c r="I43" s="472" t="n">
        <v>44957</v>
      </c>
      <c r="J43" t="n">
        <v>32500</v>
      </c>
      <c r="K43" s="669" t="n"/>
      <c r="L43" t="n">
        <v>32500</v>
      </c>
      <c r="M43" t="n">
        <v>2004</v>
      </c>
      <c r="P43" t="inlineStr">
        <is>
          <t>M-2</t>
        </is>
      </c>
      <c r="R43" t="inlineStr">
        <is>
          <t>Average</t>
        </is>
      </c>
      <c r="S43" t="n">
        <v>4740</v>
      </c>
      <c r="T43" s="469">
        <f>S43/L43</f>
        <v/>
      </c>
      <c r="U43" t="inlineStr">
        <is>
          <t>Average</t>
        </is>
      </c>
      <c r="V43" s="469" t="n"/>
      <c r="W43" s="469" t="n"/>
      <c r="X43" s="469" t="n"/>
      <c r="Y43" s="671" t="n">
        <v>599000</v>
      </c>
      <c r="Z43" s="671" t="n"/>
      <c r="AA43" s="671" t="n">
        <v>599000</v>
      </c>
      <c r="AB43" s="671" t="n"/>
      <c r="AC43" t="inlineStr">
        <is>
          <t>0182326103031</t>
        </is>
      </c>
      <c r="AD43" t="inlineStr">
        <is>
          <t>2023000005839</t>
        </is>
      </c>
      <c r="AE43" t="inlineStr">
        <is>
          <t>SOUTH STREET CAPITAL PARTNERS LLC</t>
        </is>
      </c>
      <c r="AF43" t="inlineStr">
        <is>
          <t>DIASPORA DANCE COMPANY LLC</t>
        </is>
      </c>
      <c r="AI43" s="245">
        <f>AND(E43=Subj_OccCode,Subj_BldgSF&gt;0,L43&gt;=Subj_BldgSF*(1-Subj_SizeTol),L43&lt;=Subj_BldgSF*(1+Subj_SizeTol))</f>
        <v/>
      </c>
    </row>
    <row r="44" ht="15" customHeight="1">
      <c r="A44" s="248" t="n">
        <v>7</v>
      </c>
      <c r="B44" s="245" t="n">
        <v>36</v>
      </c>
      <c r="C44" t="inlineStr">
        <is>
          <t>R0170482</t>
        </is>
      </c>
      <c r="D44" t="inlineStr">
        <is>
          <t>5030 W 88TH PL</t>
        </is>
      </c>
      <c r="E44" t="n">
        <v>1332</v>
      </c>
      <c r="F44" t="inlineStr">
        <is>
          <t>WESTMINSTER</t>
        </is>
      </c>
      <c r="G44" t="inlineStr">
        <is>
          <t>4</t>
        </is>
      </c>
      <c r="H44" s="669">
        <f>Y44/J44</f>
        <v/>
      </c>
      <c r="I44" s="472" t="n">
        <v>45113</v>
      </c>
      <c r="J44" t="n">
        <v>107</v>
      </c>
      <c r="K44" s="669" t="n"/>
      <c r="L44" t="n">
        <v>107</v>
      </c>
      <c r="M44" t="n">
        <v>1997</v>
      </c>
      <c r="P44" t="inlineStr">
        <is>
          <t>PUD-Wes</t>
        </is>
      </c>
      <c r="R44" t="inlineStr">
        <is>
          <t>Average</t>
        </is>
      </c>
      <c r="S44" t="n">
        <v>114649.92</v>
      </c>
      <c r="T44" s="469">
        <f>S44/L44</f>
        <v/>
      </c>
      <c r="U44" t="inlineStr">
        <is>
          <t>Average</t>
        </is>
      </c>
      <c r="V44" s="469" t="n"/>
      <c r="W44" s="469" t="n"/>
      <c r="X44" s="469" t="n"/>
      <c r="Y44" s="671" t="n">
        <v>11000000</v>
      </c>
      <c r="Z44" s="671" t="n"/>
      <c r="AA44" s="671" t="n">
        <v>11000000</v>
      </c>
      <c r="AB44" s="671" t="n"/>
      <c r="AC44" t="inlineStr">
        <is>
          <t>0171919324006</t>
        </is>
      </c>
      <c r="AD44" t="inlineStr">
        <is>
          <t>2023000038091</t>
        </is>
      </c>
      <c r="AE44" t="inlineStr">
        <is>
          <t>SUPREME BRIGHT COLORADO IX LLC</t>
        </is>
      </c>
      <c r="AF44" t="inlineStr">
        <is>
          <t>D 5030 WESTMINSTER LLC</t>
        </is>
      </c>
      <c r="AI44" s="245">
        <f>AND(E44=Subj_OccCode,Subj_BldgSF&gt;0,L44&gt;=Subj_BldgSF*(1-Subj_SizeTol),L44&lt;=Subj_BldgSF*(1+Subj_SizeTol))</f>
        <v/>
      </c>
    </row>
    <row r="45" ht="15" customHeight="1">
      <c r="A45" s="248" t="n">
        <v>7</v>
      </c>
      <c r="B45" s="245" t="n">
        <v>37</v>
      </c>
      <c r="C45" t="inlineStr">
        <is>
          <t>R0173167</t>
        </is>
      </c>
      <c r="D45" t="inlineStr">
        <is>
          <t>11154 HURON ST #104</t>
        </is>
      </c>
      <c r="E45" t="n">
        <v>1344</v>
      </c>
      <c r="F45" t="inlineStr">
        <is>
          <t>NORTHGLENN</t>
        </is>
      </c>
      <c r="G45" t="inlineStr">
        <is>
          <t>4</t>
        </is>
      </c>
      <c r="H45" s="669">
        <f>Y45/J45</f>
        <v/>
      </c>
      <c r="I45" s="472" t="n">
        <v>45215</v>
      </c>
      <c r="J45" t="n">
        <v>19584</v>
      </c>
      <c r="K45" s="669" t="n"/>
      <c r="L45" t="n">
        <v>19584</v>
      </c>
      <c r="M45" t="n">
        <v>2001</v>
      </c>
      <c r="P45" t="inlineStr">
        <is>
          <t>C-0-Nor</t>
        </is>
      </c>
      <c r="R45" t="inlineStr">
        <is>
          <t>Average</t>
        </is>
      </c>
      <c r="S45" t="n">
        <v>5862</v>
      </c>
      <c r="T45" s="469">
        <f>S45/L45</f>
        <v/>
      </c>
      <c r="U45" t="inlineStr">
        <is>
          <t>Average</t>
        </is>
      </c>
      <c r="V45" s="469" t="n"/>
      <c r="W45" s="469" t="n"/>
      <c r="X45" s="469" t="n"/>
      <c r="Y45" s="671" t="n">
        <v>345000</v>
      </c>
      <c r="Z45" s="671" t="n"/>
      <c r="AA45" s="671" t="n">
        <v>345000</v>
      </c>
      <c r="AB45" s="671" t="n"/>
      <c r="AC45" t="inlineStr">
        <is>
          <t>0171910205046</t>
        </is>
      </c>
      <c r="AD45" t="inlineStr">
        <is>
          <t>2023000058615</t>
        </is>
      </c>
      <c r="AE45" t="inlineStr">
        <is>
          <t>LAMM DEVELOPMENTS LTD</t>
        </is>
      </c>
      <c r="AF45" t="inlineStr">
        <is>
          <t>WANDERSPRING LLC</t>
        </is>
      </c>
      <c r="AI45" s="245">
        <f>AND(E45=Subj_OccCode,Subj_BldgSF&gt;0,L45&gt;=Subj_BldgSF*(1-Subj_SizeTol),L45&lt;=Subj_BldgSF*(1+Subj_SizeTol))</f>
        <v/>
      </c>
    </row>
    <row r="46" ht="15" customHeight="1">
      <c r="A46" s="248" t="n">
        <v>7</v>
      </c>
      <c r="B46" s="245" t="n">
        <v>38</v>
      </c>
      <c r="C46" t="inlineStr">
        <is>
          <t>R0194196</t>
        </is>
      </c>
      <c r="D46" t="inlineStr">
        <is>
          <t>1800 W 104TH AVE</t>
        </is>
      </c>
      <c r="E46" t="n">
        <v>227</v>
      </c>
      <c r="F46" t="inlineStr">
        <is>
          <t>THORNTON</t>
        </is>
      </c>
      <c r="G46" t="inlineStr">
        <is>
          <t>4</t>
        </is>
      </c>
      <c r="H46" s="669">
        <f>Y46/J46</f>
        <v/>
      </c>
      <c r="I46" s="472" t="n">
        <v>45379</v>
      </c>
      <c r="J46" t="n">
        <v>36534</v>
      </c>
      <c r="K46" s="669" t="n"/>
      <c r="L46" t="n">
        <v>36534</v>
      </c>
      <c r="M46" t="n">
        <v>1975</v>
      </c>
      <c r="P46" t="inlineStr">
        <is>
          <t>Regional Commercial</t>
        </is>
      </c>
      <c r="R46" t="inlineStr">
        <is>
          <t>Average</t>
        </is>
      </c>
      <c r="S46" t="n">
        <v>586186.92</v>
      </c>
      <c r="T46" s="469">
        <f>S46/L46</f>
        <v/>
      </c>
      <c r="U46" t="inlineStr">
        <is>
          <t>Average</t>
        </is>
      </c>
      <c r="V46" s="469" t="n"/>
      <c r="W46" s="469" t="n"/>
      <c r="X46" s="469" t="n"/>
      <c r="Y46" s="671" t="n">
        <v>11875000</v>
      </c>
      <c r="Z46" s="671" t="n"/>
      <c r="AA46" s="671" t="n">
        <v>11875000</v>
      </c>
      <c r="AB46" s="671" t="n"/>
      <c r="AC46" t="inlineStr">
        <is>
          <t>0171916202056</t>
        </is>
      </c>
      <c r="AD46" t="inlineStr">
        <is>
          <t>2024000016866</t>
        </is>
      </c>
      <c r="AE46" t="inlineStr">
        <is>
          <t>FCA REALTY LLC, TAX AFFAIRS 485-12-30</t>
        </is>
      </c>
      <c r="AF46" t="inlineStr">
        <is>
          <t>LHM TCD LLC, C/O ASBURY AUTOMOTIVE GROUP INC</t>
        </is>
      </c>
      <c r="AI46" s="245">
        <f>AND(E46=Subj_OccCode,Subj_BldgSF&gt;0,L46&gt;=Subj_BldgSF*(1-Subj_SizeTol),L46&lt;=Subj_BldgSF*(1+Subj_SizeTol))</f>
        <v/>
      </c>
    </row>
    <row r="47" ht="15" customHeight="1">
      <c r="A47" s="248" t="n">
        <v>7</v>
      </c>
      <c r="B47" s="245" t="n">
        <v>39</v>
      </c>
      <c r="C47" t="inlineStr">
        <is>
          <t>R0058121</t>
        </is>
      </c>
      <c r="D47" t="inlineStr">
        <is>
          <t>8630 PEARL ST</t>
        </is>
      </c>
      <c r="E47" t="n">
        <v>353</v>
      </c>
      <c r="F47" t="inlineStr">
        <is>
          <t>THORNTON</t>
        </is>
      </c>
      <c r="G47" t="inlineStr">
        <is>
          <t>4</t>
        </is>
      </c>
      <c r="H47" s="669">
        <f>Y47/J47</f>
        <v/>
      </c>
      <c r="I47" s="472" t="n">
        <v>45294</v>
      </c>
      <c r="J47" t="n">
        <v>1292</v>
      </c>
      <c r="K47" s="669" t="n"/>
      <c r="L47" t="n">
        <v>1292</v>
      </c>
      <c r="M47" t="n">
        <v>1959</v>
      </c>
      <c r="P47" t="inlineStr">
        <is>
          <t>Regional Commercial</t>
        </is>
      </c>
      <c r="R47" t="inlineStr">
        <is>
          <t>Average</t>
        </is>
      </c>
      <c r="S47" t="n">
        <v>10018.8</v>
      </c>
      <c r="T47" s="469">
        <f>S47/L47</f>
        <v/>
      </c>
      <c r="U47" t="inlineStr">
        <is>
          <t>Average</t>
        </is>
      </c>
      <c r="V47" s="469" t="n"/>
      <c r="W47" s="469" t="n"/>
      <c r="X47" s="469" t="n"/>
      <c r="Y47" s="671" t="n">
        <v>400000</v>
      </c>
      <c r="Z47" s="671" t="n"/>
      <c r="AA47" s="671" t="n">
        <v>400000</v>
      </c>
      <c r="AB47" s="671" t="n"/>
      <c r="AC47" t="inlineStr">
        <is>
          <t>0171927100050</t>
        </is>
      </c>
      <c r="AD47" t="inlineStr">
        <is>
          <t>2024000000938</t>
        </is>
      </c>
      <c r="AE47" t="inlineStr">
        <is>
          <t>FIOCCA THOMAS ROBERT AND , FIOCCA ERIN LOIS</t>
        </is>
      </c>
      <c r="AF47" t="inlineStr">
        <is>
          <t>8630 PEARL LLC</t>
        </is>
      </c>
      <c r="AI47" s="245">
        <f>AND(E47=Subj_OccCode,Subj_BldgSF&gt;0,L47&gt;=Subj_BldgSF*(1-Subj_SizeTol),L47&lt;=Subj_BldgSF*(1+Subj_SizeTol))</f>
        <v/>
      </c>
    </row>
    <row r="48" ht="15" customHeight="1">
      <c r="A48" s="248" t="n">
        <v>7</v>
      </c>
      <c r="B48" s="245" t="n">
        <v>40</v>
      </c>
      <c r="C48" t="inlineStr">
        <is>
          <t>R0062940</t>
        </is>
      </c>
      <c r="D48" t="inlineStr">
        <is>
          <t>8362 SHERIDAN BLVD</t>
        </is>
      </c>
      <c r="E48" t="n">
        <v>353</v>
      </c>
      <c r="F48" t="inlineStr">
        <is>
          <t>WESTMINSTER</t>
        </is>
      </c>
      <c r="G48" t="inlineStr">
        <is>
          <t>4</t>
        </is>
      </c>
      <c r="H48" s="669">
        <f>Y48/J48</f>
        <v/>
      </c>
      <c r="I48" s="472" t="n">
        <v>44764</v>
      </c>
      <c r="J48" t="n">
        <v>10189</v>
      </c>
      <c r="K48" s="669" t="n"/>
      <c r="L48" t="n">
        <v>10189</v>
      </c>
      <c r="M48" t="n">
        <v>1986</v>
      </c>
      <c r="P48" t="inlineStr">
        <is>
          <t>PUD-Wes</t>
        </is>
      </c>
      <c r="R48" t="inlineStr">
        <is>
          <t>Average</t>
        </is>
      </c>
      <c r="S48" t="n">
        <v>66211</v>
      </c>
      <c r="T48" s="469">
        <f>S48/L48</f>
        <v/>
      </c>
      <c r="U48" t="inlineStr">
        <is>
          <t>Average</t>
        </is>
      </c>
      <c r="V48" s="469" t="n"/>
      <c r="W48" s="469" t="n"/>
      <c r="X48" s="469" t="n"/>
      <c r="Y48" s="671" t="n">
        <v>3300000</v>
      </c>
      <c r="Z48" s="671" t="n"/>
      <c r="AA48" s="671" t="n">
        <v>3300000</v>
      </c>
      <c r="AB48" s="671" t="n"/>
      <c r="AC48" t="inlineStr">
        <is>
          <t>0171930221002</t>
        </is>
      </c>
      <c r="AD48" t="inlineStr">
        <is>
          <t>2022000063191</t>
        </is>
      </c>
      <c r="AE48" t="inlineStr">
        <is>
          <t>84TH SHERIDAN LLC</t>
        </is>
      </c>
      <c r="AF48" t="inlineStr">
        <is>
          <t>DELSOUZ &amp; LALEH LLC</t>
        </is>
      </c>
      <c r="AI48" s="245">
        <f>AND(E48=Subj_OccCode,Subj_BldgSF&gt;0,L48&gt;=Subj_BldgSF*(1-Subj_SizeTol),L48&lt;=Subj_BldgSF*(1+Subj_SizeTol))</f>
        <v/>
      </c>
    </row>
    <row r="49" ht="15" customHeight="1">
      <c r="A49" s="248" t="n">
        <v>7</v>
      </c>
      <c r="B49" s="245" t="n">
        <v>41</v>
      </c>
      <c r="C49" t="inlineStr">
        <is>
          <t>R0064212</t>
        </is>
      </c>
      <c r="D49" t="inlineStr">
        <is>
          <t>4800 W 80TH AVE</t>
        </is>
      </c>
      <c r="E49" t="n">
        <v>344</v>
      </c>
      <c r="F49" t="inlineStr">
        <is>
          <t>WESTMINSTER</t>
        </is>
      </c>
      <c r="G49" t="inlineStr">
        <is>
          <t>4</t>
        </is>
      </c>
      <c r="H49" s="669">
        <f>Y49/J49</f>
        <v/>
      </c>
      <c r="I49" s="472" t="n">
        <v>44838</v>
      </c>
      <c r="J49" t="n">
        <v>3362</v>
      </c>
      <c r="K49" s="669" t="n"/>
      <c r="L49" t="n">
        <v>3362</v>
      </c>
      <c r="M49" t="n">
        <v>1987</v>
      </c>
      <c r="P49" t="inlineStr">
        <is>
          <t>PUD-Wes</t>
        </is>
      </c>
      <c r="R49" t="inlineStr">
        <is>
          <t>Average</t>
        </is>
      </c>
      <c r="S49" t="n">
        <v>3070</v>
      </c>
      <c r="T49" s="469">
        <f>S49/L49</f>
        <v/>
      </c>
      <c r="U49" t="inlineStr">
        <is>
          <t>Average</t>
        </is>
      </c>
      <c r="V49" s="469" t="n"/>
      <c r="W49" s="469" t="n"/>
      <c r="X49" s="469" t="n"/>
      <c r="Y49" s="671" t="n">
        <v>600000</v>
      </c>
      <c r="Z49" s="671" t="n"/>
      <c r="AA49" s="671" t="n">
        <v>600000</v>
      </c>
      <c r="AB49" s="671" t="n"/>
      <c r="AC49" t="inlineStr">
        <is>
          <t>0171931205030</t>
        </is>
      </c>
      <c r="AD49" t="inlineStr">
        <is>
          <t>2022000082406</t>
        </is>
      </c>
      <c r="AE49" t="inlineStr">
        <is>
          <t>DEEM RICHARD O</t>
        </is>
      </c>
      <c r="AF49" t="inlineStr">
        <is>
          <t>4800 W 80TH LLC</t>
        </is>
      </c>
      <c r="AI49" s="245">
        <f>AND(E49=Subj_OccCode,Subj_BldgSF&gt;0,L49&gt;=Subj_BldgSF*(1-Subj_SizeTol),L49&lt;=Subj_BldgSF*(1+Subj_SizeTol))</f>
        <v/>
      </c>
    </row>
    <row r="50" ht="15" customHeight="1">
      <c r="A50" s="248" t="n">
        <v>7</v>
      </c>
      <c r="B50" s="245" t="n">
        <v>42</v>
      </c>
      <c r="C50" t="inlineStr">
        <is>
          <t>R0164301</t>
        </is>
      </c>
      <c r="D50" t="inlineStr">
        <is>
          <t>16711 WASHINGTON ST</t>
        </is>
      </c>
      <c r="E50" t="n">
        <v>304</v>
      </c>
      <c r="F50" t="inlineStr">
        <is>
          <t>THORNTON</t>
        </is>
      </c>
      <c r="G50" t="inlineStr">
        <is>
          <t>3</t>
        </is>
      </c>
      <c r="H50" s="669">
        <f>Y50/J50</f>
        <v/>
      </c>
      <c r="I50" s="472" t="n">
        <v>44845</v>
      </c>
      <c r="J50" t="n">
        <v>5189</v>
      </c>
      <c r="K50" s="669" t="n"/>
      <c r="L50" t="n">
        <v>5189</v>
      </c>
      <c r="M50" t="n">
        <v>2006</v>
      </c>
      <c r="P50" t="inlineStr">
        <is>
          <t>Regional Commercial</t>
        </is>
      </c>
      <c r="R50" t="inlineStr">
        <is>
          <t>Average</t>
        </is>
      </c>
      <c r="S50" t="n">
        <v>37287</v>
      </c>
      <c r="T50" s="469">
        <f>S50/L50</f>
        <v/>
      </c>
      <c r="U50" t="inlineStr">
        <is>
          <t>Average</t>
        </is>
      </c>
      <c r="V50" s="469" t="n"/>
      <c r="W50" s="469" t="n"/>
      <c r="X50" s="469" t="n"/>
      <c r="Y50" s="671" t="n">
        <v>1285000</v>
      </c>
      <c r="Z50" s="671" t="n"/>
      <c r="AA50" s="671" t="n">
        <v>1285000</v>
      </c>
      <c r="AB50" s="671" t="n"/>
      <c r="AC50" t="inlineStr">
        <is>
          <t>0157302208001</t>
        </is>
      </c>
      <c r="AD50" t="inlineStr">
        <is>
          <t>2022000083624</t>
        </is>
      </c>
      <c r="AE50" t="inlineStr">
        <is>
          <t>US BANK NATIONAL ASSOCIATION, C/O RYAN PTS DEPT.908</t>
        </is>
      </c>
      <c r="AF50" t="inlineStr">
        <is>
          <t>EAT-2202 LLC</t>
        </is>
      </c>
      <c r="AI50" s="245">
        <f>AND(E50=Subj_OccCode,Subj_BldgSF&gt;0,L50&gt;=Subj_BldgSF*(1-Subj_SizeTol),L50&lt;=Subj_BldgSF*(1+Subj_SizeTol))</f>
        <v/>
      </c>
    </row>
    <row r="51" ht="15" customHeight="1">
      <c r="A51" s="248" t="n">
        <v>7</v>
      </c>
      <c r="B51" s="245" t="n">
        <v>43</v>
      </c>
      <c r="C51" t="inlineStr">
        <is>
          <t>R0188148</t>
        </is>
      </c>
      <c r="D51" t="inlineStr">
        <is>
          <t>2731 W 120TH AVE</t>
        </is>
      </c>
      <c r="E51" t="n">
        <v>353</v>
      </c>
      <c r="F51" t="inlineStr">
        <is>
          <t>WESTMINSTER</t>
        </is>
      </c>
      <c r="G51" t="inlineStr">
        <is>
          <t>3</t>
        </is>
      </c>
      <c r="H51" s="669">
        <f>Y51/J51</f>
        <v/>
      </c>
      <c r="I51" s="472" t="n">
        <v>44774</v>
      </c>
      <c r="J51" t="n">
        <v>6161</v>
      </c>
      <c r="K51" s="669" t="n"/>
      <c r="L51" t="n">
        <v>6161</v>
      </c>
      <c r="M51" t="n">
        <v>2017</v>
      </c>
      <c r="P51" t="inlineStr">
        <is>
          <t>PUD-Wes</t>
        </is>
      </c>
      <c r="R51" t="inlineStr">
        <is>
          <t>Average</t>
        </is>
      </c>
      <c r="S51" t="n">
        <v>41047</v>
      </c>
      <c r="T51" s="469">
        <f>S51/L51</f>
        <v/>
      </c>
      <c r="U51" t="inlineStr">
        <is>
          <t>Average</t>
        </is>
      </c>
      <c r="V51" s="469" t="n"/>
      <c r="W51" s="469" t="n"/>
      <c r="X51" s="469" t="n"/>
      <c r="Y51" s="671" t="n">
        <v>2360000</v>
      </c>
      <c r="Z51" s="671" t="n"/>
      <c r="AA51" s="671" t="n">
        <v>2360000</v>
      </c>
      <c r="AB51" s="671" t="n"/>
      <c r="AC51" t="inlineStr">
        <is>
          <t>0157332401028</t>
        </is>
      </c>
      <c r="AD51" t="inlineStr">
        <is>
          <t>2022000065685</t>
        </is>
      </c>
      <c r="AE51" t="inlineStr">
        <is>
          <t>COUNTRY CLUB VILLAGE TWO LLC</t>
        </is>
      </c>
      <c r="AF51" t="inlineStr">
        <is>
          <t>OAKVIEW SHOPS LLC</t>
        </is>
      </c>
      <c r="AI51" s="245">
        <f>AND(E51=Subj_OccCode,Subj_BldgSF&gt;0,L51&gt;=Subj_BldgSF*(1-Subj_SizeTol),L51&lt;=Subj_BldgSF*(1+Subj_SizeTol))</f>
        <v/>
      </c>
    </row>
    <row r="52" ht="15" customHeight="1">
      <c r="A52" s="248" t="n">
        <v>7</v>
      </c>
      <c r="B52" s="245" t="n">
        <v>44</v>
      </c>
      <c r="C52" t="inlineStr">
        <is>
          <t>R0190178</t>
        </is>
      </c>
      <c r="D52" t="inlineStr">
        <is>
          <t>1501 W 124TH AVE</t>
        </is>
      </c>
      <c r="E52" t="n">
        <v>425</v>
      </c>
      <c r="F52" t="inlineStr">
        <is>
          <t>WESTMINSTER</t>
        </is>
      </c>
      <c r="G52" t="inlineStr">
        <is>
          <t>3</t>
        </is>
      </c>
      <c r="H52" s="669">
        <f>Y52/J52</f>
        <v/>
      </c>
      <c r="I52" s="472" t="n">
        <v>45007</v>
      </c>
      <c r="J52" t="n">
        <v>15243</v>
      </c>
      <c r="K52" s="669" t="n"/>
      <c r="L52" t="n">
        <v>15243</v>
      </c>
      <c r="M52" t="n">
        <v>2016</v>
      </c>
      <c r="P52" t="inlineStr">
        <is>
          <t>PUD-Wes</t>
        </is>
      </c>
      <c r="R52" t="inlineStr">
        <is>
          <t>Good</t>
        </is>
      </c>
      <c r="S52" t="n">
        <v>5569</v>
      </c>
      <c r="T52" s="469">
        <f>S52/L52</f>
        <v/>
      </c>
      <c r="U52" t="inlineStr">
        <is>
          <t>Good</t>
        </is>
      </c>
      <c r="V52" s="469" t="n"/>
      <c r="W52" s="469" t="n"/>
      <c r="X52" s="469" t="n"/>
      <c r="Y52" s="671" t="n">
        <v>552000</v>
      </c>
      <c r="Z52" s="671" t="n"/>
      <c r="AA52" s="671" t="n">
        <v>552000</v>
      </c>
      <c r="AB52" s="671" t="n"/>
      <c r="AC52" t="inlineStr">
        <is>
          <t>0157333101008</t>
        </is>
      </c>
      <c r="AD52" t="inlineStr">
        <is>
          <t>2023000015116</t>
        </is>
      </c>
      <c r="AE52" t="inlineStr">
        <is>
          <t>SOCIAL INDUSTRIES 3 LLC</t>
        </is>
      </c>
      <c r="AF52" t="inlineStr">
        <is>
          <t>LITEBOX LLC</t>
        </is>
      </c>
      <c r="AI52" s="245">
        <f>AND(E52=Subj_OccCode,Subj_BldgSF&gt;0,L52&gt;=Subj_BldgSF*(1-Subj_SizeTol),L52&lt;=Subj_BldgSF*(1+Subj_SizeTol))</f>
        <v/>
      </c>
    </row>
    <row r="53" ht="15" customHeight="1">
      <c r="A53" s="248" t="n">
        <v>7</v>
      </c>
      <c r="B53" s="245" t="n">
        <v>45</v>
      </c>
      <c r="C53" t="inlineStr">
        <is>
          <t>R0190179</t>
        </is>
      </c>
      <c r="D53" t="inlineStr">
        <is>
          <t>1501 W 124TH AVE</t>
        </is>
      </c>
      <c r="E53" t="n">
        <v>425</v>
      </c>
      <c r="F53" t="inlineStr">
        <is>
          <t>WESTMINSTER</t>
        </is>
      </c>
      <c r="G53" t="inlineStr">
        <is>
          <t>3</t>
        </is>
      </c>
      <c r="H53" s="669">
        <f>Y53/J53</f>
        <v/>
      </c>
      <c r="I53" s="472" t="n">
        <v>44931</v>
      </c>
      <c r="J53" t="n">
        <v>15818</v>
      </c>
      <c r="K53" s="669" t="n"/>
      <c r="L53" t="n">
        <v>15818</v>
      </c>
      <c r="M53" t="n">
        <v>2016</v>
      </c>
      <c r="P53" t="inlineStr">
        <is>
          <t>PUD-Wes</t>
        </is>
      </c>
      <c r="R53" t="inlineStr">
        <is>
          <t>Good</t>
        </is>
      </c>
      <c r="S53" t="n">
        <v>5569</v>
      </c>
      <c r="T53" s="469">
        <f>S53/L53</f>
        <v/>
      </c>
      <c r="U53" t="inlineStr">
        <is>
          <t>Good</t>
        </is>
      </c>
      <c r="V53" s="469" t="n"/>
      <c r="W53" s="469" t="n"/>
      <c r="X53" s="469" t="n"/>
      <c r="Y53" s="671" t="n">
        <v>565000</v>
      </c>
      <c r="Z53" s="671" t="n"/>
      <c r="AA53" s="671" t="n">
        <v>565000</v>
      </c>
      <c r="AB53" s="671" t="n"/>
      <c r="AC53" t="inlineStr">
        <is>
          <t>0157333101009</t>
        </is>
      </c>
      <c r="AD53" t="inlineStr">
        <is>
          <t>2023000000689</t>
        </is>
      </c>
      <c r="AE53" t="inlineStr">
        <is>
          <t>SOCIAL INDUSTRIES 2 LLC</t>
        </is>
      </c>
      <c r="AF53" t="inlineStr">
        <is>
          <t>CLUELESS COUPLE LLC</t>
        </is>
      </c>
      <c r="AI53" s="245">
        <f>AND(E53=Subj_OccCode,Subj_BldgSF&gt;0,L53&gt;=Subj_BldgSF*(1-Subj_SizeTol),L53&lt;=Subj_BldgSF*(1+Subj_SizeTol))</f>
        <v/>
      </c>
    </row>
    <row r="54" ht="15" customHeight="1">
      <c r="A54" s="248" t="n">
        <v>7</v>
      </c>
      <c r="B54" s="245" t="n">
        <v>46</v>
      </c>
      <c r="C54" t="inlineStr">
        <is>
          <t>R0084269</t>
        </is>
      </c>
      <c r="D54" t="inlineStr">
        <is>
          <t>14603 E MONCRIEFF PL</t>
        </is>
      </c>
      <c r="E54" t="n">
        <v>407</v>
      </c>
      <c r="F54" t="inlineStr">
        <is>
          <t>AURORA</t>
        </is>
      </c>
      <c r="G54" t="inlineStr">
        <is>
          <t>6</t>
        </is>
      </c>
      <c r="H54" s="669">
        <f>Y54/J54</f>
        <v/>
      </c>
      <c r="I54" s="472" t="n">
        <v>45219</v>
      </c>
      <c r="J54" t="n">
        <v>99860</v>
      </c>
      <c r="K54" s="669" t="n"/>
      <c r="L54" t="n">
        <v>99860</v>
      </c>
      <c r="M54" t="n">
        <v>1984</v>
      </c>
      <c r="P54" t="inlineStr">
        <is>
          <t>M-1-Aur</t>
        </is>
      </c>
      <c r="R54" t="inlineStr">
        <is>
          <t>Average</t>
        </is>
      </c>
      <c r="S54" t="n">
        <v>184258</v>
      </c>
      <c r="T54" s="469">
        <f>S54/L54</f>
        <v/>
      </c>
      <c r="U54" t="inlineStr">
        <is>
          <t>Average</t>
        </is>
      </c>
      <c r="V54" s="469" t="n"/>
      <c r="W54" s="469" t="n"/>
      <c r="X54" s="469" t="n"/>
      <c r="Y54" s="671" t="n">
        <v>10900000</v>
      </c>
      <c r="Z54" s="671" t="n"/>
      <c r="AA54" s="671" t="n">
        <v>10900000</v>
      </c>
      <c r="AB54" s="671" t="n"/>
      <c r="AC54" t="inlineStr">
        <is>
          <t>0182130008017</t>
        </is>
      </c>
      <c r="AD54" t="inlineStr">
        <is>
          <t>2023000059517</t>
        </is>
      </c>
      <c r="AE54" t="inlineStr">
        <is>
          <t>DEN INDUSTRIAL 1 LLC, C/O ALTERNATIVE ASSET MANAGEMENT LLC</t>
        </is>
      </c>
      <c r="AF54" t="inlineStr">
        <is>
          <t>CROSSE-MONCRIEFF LLC</t>
        </is>
      </c>
      <c r="AI54" s="245">
        <f>AND(E54=Subj_OccCode,Subj_BldgSF&gt;0,L54&gt;=Subj_BldgSF*(1-Subj_SizeTol),L54&lt;=Subj_BldgSF*(1+Subj_SizeTol))</f>
        <v/>
      </c>
    </row>
    <row r="55" ht="15" customHeight="1">
      <c r="A55" s="248" t="n">
        <v>7</v>
      </c>
      <c r="B55" s="245" t="n">
        <v>47</v>
      </c>
      <c r="C55" t="inlineStr">
        <is>
          <t>R0103426</t>
        </is>
      </c>
      <c r="D55" t="inlineStr">
        <is>
          <t>5650 PECOS ST</t>
        </is>
      </c>
      <c r="E55" t="n">
        <v>344</v>
      </c>
      <c r="G55" t="inlineStr">
        <is>
          <t>5</t>
        </is>
      </c>
      <c r="H55" s="669">
        <f>Y55/J55</f>
        <v/>
      </c>
      <c r="I55" s="472" t="n">
        <v>45317</v>
      </c>
      <c r="J55" t="n">
        <v>15684</v>
      </c>
      <c r="K55" s="669" t="n"/>
      <c r="L55" t="n">
        <v>15684</v>
      </c>
      <c r="M55" t="n">
        <v>1971</v>
      </c>
      <c r="P55" t="inlineStr">
        <is>
          <t>Industrial</t>
        </is>
      </c>
      <c r="R55" t="inlineStr">
        <is>
          <t>Average</t>
        </is>
      </c>
      <c r="S55" t="n">
        <v>35459</v>
      </c>
      <c r="T55" s="469">
        <f>S55/L55</f>
        <v/>
      </c>
      <c r="U55" t="inlineStr">
        <is>
          <t>Average</t>
        </is>
      </c>
      <c r="V55" s="469" t="n"/>
      <c r="W55" s="469" t="n"/>
      <c r="X55" s="469" t="n"/>
      <c r="Y55" s="671" t="n">
        <v>4500000</v>
      </c>
      <c r="Z55" s="671" t="n"/>
      <c r="AA55" s="671" t="n">
        <v>4500000</v>
      </c>
      <c r="AB55" s="671" t="n"/>
      <c r="AC55" t="inlineStr">
        <is>
          <t>0182509400033</t>
        </is>
      </c>
      <c r="AD55" t="inlineStr">
        <is>
          <t>2024000004873</t>
        </is>
      </c>
      <c r="AE55" t="inlineStr">
        <is>
          <t>WHITE DIANE E</t>
        </is>
      </c>
      <c r="AF55" t="inlineStr">
        <is>
          <t>PECOS REAL ESTATE LLC, C/O AUTO CHLOR SYSTEM</t>
        </is>
      </c>
      <c r="AI55" s="245">
        <f>AND(E55=Subj_OccCode,Subj_BldgSF&gt;0,L55&gt;=Subj_BldgSF*(1-Subj_SizeTol),L55&lt;=Subj_BldgSF*(1+Subj_SizeTol))</f>
        <v/>
      </c>
    </row>
    <row r="56" ht="15" customHeight="1">
      <c r="A56" s="248" t="n">
        <v>7</v>
      </c>
      <c r="B56" s="245" t="n">
        <v>48</v>
      </c>
      <c r="C56" t="inlineStr">
        <is>
          <t>R0125400</t>
        </is>
      </c>
      <c r="D56" t="inlineStr">
        <is>
          <t>1630 E 66TH AVE</t>
        </is>
      </c>
      <c r="E56" t="n">
        <v>407</v>
      </c>
      <c r="G56" t="inlineStr">
        <is>
          <t>5</t>
        </is>
      </c>
      <c r="H56" s="669">
        <f>Y56/J56</f>
        <v/>
      </c>
      <c r="I56" s="472" t="n">
        <v>45078</v>
      </c>
      <c r="J56" t="n">
        <v>14600</v>
      </c>
      <c r="K56" s="669" t="n"/>
      <c r="L56" t="n">
        <v>14600</v>
      </c>
      <c r="M56" t="n">
        <v>2006</v>
      </c>
      <c r="P56" t="inlineStr">
        <is>
          <t>Planned Unit Development</t>
        </is>
      </c>
      <c r="R56" t="inlineStr">
        <is>
          <t>Average</t>
        </is>
      </c>
      <c r="S56" t="n">
        <v>59677.2</v>
      </c>
      <c r="T56" s="469">
        <f>S56/L56</f>
        <v/>
      </c>
      <c r="U56" t="inlineStr">
        <is>
          <t>Average</t>
        </is>
      </c>
      <c r="V56" s="469" t="n"/>
      <c r="W56" s="469" t="n"/>
      <c r="X56" s="469" t="n"/>
      <c r="Y56" s="671" t="n">
        <v>3400000</v>
      </c>
      <c r="Z56" s="671" t="n"/>
      <c r="AA56" s="671" t="n">
        <v>3400000</v>
      </c>
      <c r="AB56" s="671" t="n"/>
      <c r="AC56" t="inlineStr">
        <is>
          <t>0182502403041</t>
        </is>
      </c>
      <c r="AD56" t="inlineStr">
        <is>
          <t>2023000031003</t>
        </is>
      </c>
      <c r="AE56" t="inlineStr">
        <is>
          <t>1630 ENTERPRISES LLC</t>
        </is>
      </c>
      <c r="AF56" t="inlineStr">
        <is>
          <t>TRIPLE L 66 AVENUE LLC</t>
        </is>
      </c>
      <c r="AI56" s="245">
        <f>AND(E56=Subj_OccCode,Subj_BldgSF&gt;0,L56&gt;=Subj_BldgSF*(1-Subj_SizeTol),L56&lt;=Subj_BldgSF*(1+Subj_SizeTol))</f>
        <v/>
      </c>
    </row>
    <row r="57" ht="15" customHeight="1">
      <c r="A57" s="248" t="n">
        <v>7</v>
      </c>
      <c r="B57" s="245" t="n">
        <v>49</v>
      </c>
      <c r="C57" t="inlineStr">
        <is>
          <t>R0179053</t>
        </is>
      </c>
      <c r="D57" t="inlineStr">
        <is>
          <t>3280 CHAMBERS RD</t>
        </is>
      </c>
      <c r="E57" t="n">
        <v>326</v>
      </c>
      <c r="F57" t="inlineStr">
        <is>
          <t>AURORA</t>
        </is>
      </c>
      <c r="G57" t="inlineStr">
        <is>
          <t>6</t>
        </is>
      </c>
      <c r="H57" s="669">
        <f>Y57/J57</f>
        <v/>
      </c>
      <c r="I57" s="472" t="n">
        <v>45169</v>
      </c>
      <c r="J57" t="n">
        <v>14400</v>
      </c>
      <c r="K57" s="669" t="n"/>
      <c r="L57" t="n">
        <v>14400</v>
      </c>
      <c r="M57" t="n">
        <v>2010</v>
      </c>
      <c r="P57" t="inlineStr">
        <is>
          <t>M-1-Aur</t>
        </is>
      </c>
      <c r="R57" t="inlineStr">
        <is>
          <t>Average</t>
        </is>
      </c>
      <c r="S57" t="n">
        <v>104566</v>
      </c>
      <c r="T57" s="469">
        <f>S57/L57</f>
        <v/>
      </c>
      <c r="U57" t="inlineStr">
        <is>
          <t>Average</t>
        </is>
      </c>
      <c r="V57" s="469" t="n"/>
      <c r="W57" s="469" t="n"/>
      <c r="X57" s="469" t="n"/>
      <c r="Y57" s="671" t="n">
        <v>4200000</v>
      </c>
      <c r="Z57" s="671" t="n"/>
      <c r="AA57" s="671" t="n">
        <v>4200000</v>
      </c>
      <c r="AB57" s="671" t="n"/>
      <c r="AC57" t="inlineStr">
        <is>
          <t>0182129213007</t>
        </is>
      </c>
      <c r="AD57" t="inlineStr">
        <is>
          <t>2023000050142</t>
        </is>
      </c>
      <c r="AE57" t="inlineStr">
        <is>
          <t>MAZZO ENTERPRISES LLLP</t>
        </is>
      </c>
      <c r="AF57" t="inlineStr">
        <is>
          <t>PACIFICO REAL ESTATE HOLDINDS II</t>
        </is>
      </c>
      <c r="AI57" s="245">
        <f>AND(E57=Subj_OccCode,Subj_BldgSF&gt;0,L57&gt;=Subj_BldgSF*(1-Subj_SizeTol),L57&lt;=Subj_BldgSF*(1+Subj_SizeTol))</f>
        <v/>
      </c>
    </row>
    <row r="58" ht="15" customHeight="1">
      <c r="A58" s="248" t="n">
        <v>7</v>
      </c>
      <c r="B58" s="245" t="n">
        <v>50</v>
      </c>
      <c r="C58" t="inlineStr">
        <is>
          <t>R0002301</t>
        </is>
      </c>
      <c r="D58" t="inlineStr">
        <is>
          <t>1401 BRIDGE ST</t>
        </is>
      </c>
      <c r="E58" t="n">
        <v>344</v>
      </c>
      <c r="F58" t="inlineStr">
        <is>
          <t>BRIGHTON</t>
        </is>
      </c>
      <c r="G58" t="inlineStr">
        <is>
          <t>2</t>
        </is>
      </c>
      <c r="H58" s="669">
        <f>Y58/J58</f>
        <v/>
      </c>
      <c r="I58" s="472" t="n">
        <v>45043</v>
      </c>
      <c r="J58" t="n">
        <v>2500</v>
      </c>
      <c r="K58" s="669" t="n"/>
      <c r="L58" t="n">
        <v>2500</v>
      </c>
      <c r="M58" t="n">
        <v>1972</v>
      </c>
      <c r="P58" t="inlineStr">
        <is>
          <t>C-3-Bri</t>
        </is>
      </c>
      <c r="R58" t="inlineStr">
        <is>
          <t>Average</t>
        </is>
      </c>
      <c r="S58" t="n">
        <v>10454.4</v>
      </c>
      <c r="T58" s="469">
        <f>S58/L58</f>
        <v/>
      </c>
      <c r="U58" t="inlineStr">
        <is>
          <t>Average</t>
        </is>
      </c>
      <c r="V58" s="469" t="n"/>
      <c r="W58" s="469" t="n"/>
      <c r="X58" s="469" t="n"/>
      <c r="Y58" s="671" t="n">
        <v>1260000</v>
      </c>
      <c r="Z58" s="671" t="n"/>
      <c r="AA58" s="671" t="n">
        <v>1260000</v>
      </c>
      <c r="AB58" s="671" t="n"/>
      <c r="AC58" t="inlineStr">
        <is>
          <t>0156905330003</t>
        </is>
      </c>
      <c r="AD58" t="inlineStr">
        <is>
          <t>2023000035157</t>
        </is>
      </c>
      <c r="AE58" t="inlineStr">
        <is>
          <t>1401 BRIGHTON LLC</t>
        </is>
      </c>
      <c r="AF58" t="inlineStr">
        <is>
          <t>VIGIL JENIFER D</t>
        </is>
      </c>
      <c r="AI58" s="245">
        <f>AND(E58=Subj_OccCode,Subj_BldgSF&gt;0,L58&gt;=Subj_BldgSF*(1-Subj_SizeTol),L58&lt;=Subj_BldgSF*(1+Subj_SizeTol))</f>
        <v/>
      </c>
    </row>
    <row r="59" ht="15" customHeight="1">
      <c r="A59" s="248" t="n">
        <v>7</v>
      </c>
      <c r="B59" s="245" t="n">
        <v>51</v>
      </c>
      <c r="C59" t="inlineStr">
        <is>
          <t>R0055143</t>
        </is>
      </c>
      <c r="D59" t="inlineStr">
        <is>
          <t>8700 DEVONSHIRE BLVD</t>
        </is>
      </c>
      <c r="E59" t="n">
        <v>386</v>
      </c>
      <c r="G59" t="inlineStr">
        <is>
          <t>4</t>
        </is>
      </c>
      <c r="H59" s="669">
        <f>Y59/J59</f>
        <v/>
      </c>
      <c r="I59" s="472" t="n">
        <v>45138</v>
      </c>
      <c r="J59" t="n">
        <v>30550</v>
      </c>
      <c r="K59" s="669" t="n"/>
      <c r="L59" t="n">
        <v>30550</v>
      </c>
      <c r="M59" t="n">
        <v>1985</v>
      </c>
      <c r="P59" t="inlineStr">
        <is>
          <t>Planned Unit Development</t>
        </is>
      </c>
      <c r="R59" t="inlineStr">
        <is>
          <t>Average</t>
        </is>
      </c>
      <c r="S59" t="n">
        <v>97138</v>
      </c>
      <c r="T59" s="469">
        <f>S59/L59</f>
        <v/>
      </c>
      <c r="U59" t="inlineStr">
        <is>
          <t>Average</t>
        </is>
      </c>
      <c r="V59" s="469" t="n"/>
      <c r="W59" s="469" t="n"/>
      <c r="X59" s="469" t="n"/>
      <c r="Y59" s="671" t="n">
        <v>3700000</v>
      </c>
      <c r="Z59" s="671" t="n"/>
      <c r="AA59" s="671" t="n">
        <v>3700000</v>
      </c>
      <c r="AB59" s="671" t="n"/>
      <c r="AC59" t="inlineStr">
        <is>
          <t>0171925204016</t>
        </is>
      </c>
      <c r="AD59" t="inlineStr">
        <is>
          <t>2023000043871</t>
        </is>
      </c>
      <c r="AE59" t="inlineStr">
        <is>
          <t>FRONT RANGE PORTFOLIO LLC</t>
        </is>
      </c>
      <c r="AF59" t="inlineStr">
        <is>
          <t>8700 DEVONSHIRE STORAGE LLC</t>
        </is>
      </c>
      <c r="AI59" s="245">
        <f>AND(E59=Subj_OccCode,Subj_BldgSF&gt;0,L59&gt;=Subj_BldgSF*(1-Subj_SizeTol),L59&lt;=Subj_BldgSF*(1+Subj_SizeTol))</f>
        <v/>
      </c>
    </row>
    <row r="60" ht="15" customHeight="1">
      <c r="A60" s="248" t="n">
        <v>7</v>
      </c>
      <c r="B60" s="245" t="n">
        <v>52</v>
      </c>
      <c r="C60" t="inlineStr">
        <is>
          <t>R0084051</t>
        </is>
      </c>
      <c r="D60" t="inlineStr">
        <is>
          <t>2801 TOWER RD</t>
        </is>
      </c>
      <c r="E60" t="n">
        <v>407</v>
      </c>
      <c r="F60" t="inlineStr">
        <is>
          <t>AURORA</t>
        </is>
      </c>
      <c r="G60" t="inlineStr">
        <is>
          <t>6</t>
        </is>
      </c>
      <c r="H60" s="669">
        <f>Y60/J60</f>
        <v/>
      </c>
      <c r="I60" s="472" t="n">
        <v>45393</v>
      </c>
      <c r="J60" t="n">
        <v>29625</v>
      </c>
      <c r="K60" s="669" t="n"/>
      <c r="L60" t="n">
        <v>29625</v>
      </c>
      <c r="M60" t="n">
        <v>1977</v>
      </c>
      <c r="P60" t="inlineStr">
        <is>
          <t>M-1-Aur</t>
        </is>
      </c>
      <c r="R60" t="inlineStr">
        <is>
          <t>Average</t>
        </is>
      </c>
      <c r="S60" t="n">
        <v>218148</v>
      </c>
      <c r="T60" s="469">
        <f>S60/L60</f>
        <v/>
      </c>
      <c r="U60" t="inlineStr">
        <is>
          <t>Average</t>
        </is>
      </c>
      <c r="V60" s="469" t="n"/>
      <c r="W60" s="469" t="n"/>
      <c r="X60" s="469" t="n"/>
      <c r="Y60" s="671" t="n">
        <v>5300000</v>
      </c>
      <c r="Z60" s="671" t="n"/>
      <c r="AA60" s="671" t="n">
        <v>5300000</v>
      </c>
      <c r="AB60" s="671" t="n"/>
      <c r="AC60" t="inlineStr">
        <is>
          <t>0182128001001</t>
        </is>
      </c>
      <c r="AD60" t="inlineStr">
        <is>
          <t>2024000019081</t>
        </is>
      </c>
      <c r="AE60" t="inlineStr">
        <is>
          <t>SEVEN SEAS HOLDING COMPANY LLC</t>
        </is>
      </c>
      <c r="AF60" t="inlineStr">
        <is>
          <t>AMERICAN BUILDERS &amp; CONTRACTORS SUPPLY CO INC</t>
        </is>
      </c>
      <c r="AI60" s="245">
        <f>AND(E60=Subj_OccCode,Subj_BldgSF&gt;0,L60&gt;=Subj_BldgSF*(1-Subj_SizeTol),L60&lt;=Subj_BldgSF*(1+Subj_SizeTol))</f>
        <v/>
      </c>
    </row>
    <row r="61" ht="15" customHeight="1">
      <c r="A61" s="248" t="n">
        <v>7</v>
      </c>
      <c r="B61" s="245" t="n">
        <v>53</v>
      </c>
      <c r="C61" t="inlineStr">
        <is>
          <t>R0085907</t>
        </is>
      </c>
      <c r="D61" t="inlineStr">
        <is>
          <t>1790 JASPER ST</t>
        </is>
      </c>
      <c r="E61" t="n">
        <v>210</v>
      </c>
      <c r="F61" t="inlineStr">
        <is>
          <t>AURORA</t>
        </is>
      </c>
      <c r="G61" t="inlineStr">
        <is>
          <t>6</t>
        </is>
      </c>
      <c r="H61" s="669">
        <f>Y61/J61</f>
        <v/>
      </c>
      <c r="I61" s="472" t="n">
        <v>44914</v>
      </c>
      <c r="J61" t="n">
        <v>22200</v>
      </c>
      <c r="K61" s="669" t="n"/>
      <c r="L61" t="n">
        <v>22200</v>
      </c>
      <c r="M61" t="n">
        <v>1979</v>
      </c>
      <c r="P61" t="inlineStr">
        <is>
          <t>M-1-Aur</t>
        </is>
      </c>
      <c r="R61" t="inlineStr">
        <is>
          <t>Average</t>
        </is>
      </c>
      <c r="S61" t="n">
        <v>67500</v>
      </c>
      <c r="T61" s="469">
        <f>S61/L61</f>
        <v/>
      </c>
      <c r="U61" t="inlineStr">
        <is>
          <t>Average</t>
        </is>
      </c>
      <c r="V61" s="469" t="n"/>
      <c r="W61" s="469" t="n"/>
      <c r="X61" s="469" t="n"/>
      <c r="Y61" s="671" t="n">
        <v>2450000</v>
      </c>
      <c r="Z61" s="671" t="n"/>
      <c r="AA61" s="671" t="n">
        <v>2450000</v>
      </c>
      <c r="AB61" s="671" t="n"/>
      <c r="AC61" t="inlineStr">
        <is>
          <t>0182132308004</t>
        </is>
      </c>
      <c r="AD61" t="inlineStr">
        <is>
          <t>2022000098412</t>
        </is>
      </c>
      <c r="AE61" t="inlineStr">
        <is>
          <t>1790 JASPER STREET LLC</t>
        </is>
      </c>
      <c r="AF61" t="inlineStr">
        <is>
          <t>COREDO LLC</t>
        </is>
      </c>
      <c r="AI61" s="245">
        <f>AND(E61=Subj_OccCode,Subj_BldgSF&gt;0,L61&gt;=Subj_BldgSF*(1-Subj_SizeTol),L61&lt;=Subj_BldgSF*(1+Subj_SizeTol))</f>
        <v/>
      </c>
    </row>
    <row r="62" ht="15" customHeight="1">
      <c r="A62" s="248" t="n">
        <v>7</v>
      </c>
      <c r="B62" s="245" t="n">
        <v>54</v>
      </c>
      <c r="C62" t="inlineStr">
        <is>
          <t>R0092704</t>
        </is>
      </c>
      <c r="D62" t="inlineStr">
        <is>
          <t>6270 E 50TH AVE</t>
        </is>
      </c>
      <c r="E62" t="n">
        <v>406</v>
      </c>
      <c r="F62" t="inlineStr">
        <is>
          <t>COMMERCE CITY</t>
        </is>
      </c>
      <c r="G62" t="inlineStr">
        <is>
          <t>5</t>
        </is>
      </c>
      <c r="H62" s="669">
        <f>Y62/J62</f>
        <v/>
      </c>
      <c r="I62" s="472" t="n">
        <v>45236</v>
      </c>
      <c r="J62" t="n">
        <v>31900</v>
      </c>
      <c r="K62" s="669" t="n"/>
      <c r="L62" t="n">
        <v>31900</v>
      </c>
      <c r="M62" t="n">
        <v>1996</v>
      </c>
      <c r="P62" t="inlineStr">
        <is>
          <t>I-1S</t>
        </is>
      </c>
      <c r="R62" t="inlineStr">
        <is>
          <t>Average</t>
        </is>
      </c>
      <c r="S62" t="n">
        <v>88091</v>
      </c>
      <c r="T62" s="469">
        <f>S62/L62</f>
        <v/>
      </c>
      <c r="U62" t="inlineStr">
        <is>
          <t>Average</t>
        </is>
      </c>
      <c r="V62" s="469" t="n"/>
      <c r="W62" s="469" t="n"/>
      <c r="X62" s="469" t="n"/>
      <c r="Y62" s="671" t="n">
        <v>3775000</v>
      </c>
      <c r="Z62" s="671" t="n"/>
      <c r="AA62" s="671" t="n">
        <v>3775000</v>
      </c>
      <c r="AB62" s="671" t="n"/>
      <c r="AC62" t="inlineStr">
        <is>
          <t>0182317307008</t>
        </is>
      </c>
      <c r="AD62" t="inlineStr">
        <is>
          <t>2023000062389</t>
        </is>
      </c>
      <c r="AE62" t="inlineStr">
        <is>
          <t>C C E REAL ESTATE LLC, C/O FLYNN SOUTHWEST LP</t>
        </is>
      </c>
      <c r="AF62" t="inlineStr">
        <is>
          <t>ALBROOK PARTNERS LLC</t>
        </is>
      </c>
      <c r="AI62" s="245">
        <f>AND(E62=Subj_OccCode,Subj_BldgSF&gt;0,L62&gt;=Subj_BldgSF*(1-Subj_SizeTol),L62&lt;=Subj_BldgSF*(1+Subj_SizeTol))</f>
        <v/>
      </c>
    </row>
    <row r="63" ht="15" customHeight="1">
      <c r="A63" s="248" t="n">
        <v>7</v>
      </c>
      <c r="B63" s="245" t="n">
        <v>55</v>
      </c>
      <c r="C63" t="inlineStr">
        <is>
          <t>R0092730</t>
        </is>
      </c>
      <c r="D63" t="inlineStr">
        <is>
          <t>4980 NIAGARA ST</t>
        </is>
      </c>
      <c r="E63" t="n">
        <v>406</v>
      </c>
      <c r="F63" t="inlineStr">
        <is>
          <t>COMMERCE CITY</t>
        </is>
      </c>
      <c r="G63" t="inlineStr">
        <is>
          <t>5</t>
        </is>
      </c>
      <c r="H63" s="669">
        <f>Y63/J63</f>
        <v/>
      </c>
      <c r="I63" s="472" t="n">
        <v>45405</v>
      </c>
      <c r="J63" t="n">
        <v>9090</v>
      </c>
      <c r="K63" s="669" t="n"/>
      <c r="L63" t="n">
        <v>9090</v>
      </c>
      <c r="M63" t="n">
        <v>1964</v>
      </c>
      <c r="P63" t="inlineStr">
        <is>
          <t>I-1S</t>
        </is>
      </c>
      <c r="R63" t="inlineStr">
        <is>
          <t>Average</t>
        </is>
      </c>
      <c r="S63" t="n">
        <v>18900</v>
      </c>
      <c r="T63" s="469">
        <f>S63/L63</f>
        <v/>
      </c>
      <c r="U63" t="inlineStr">
        <is>
          <t>Average</t>
        </is>
      </c>
      <c r="V63" s="469" t="n"/>
      <c r="W63" s="469" t="n"/>
      <c r="X63" s="469" t="n"/>
      <c r="Y63" s="671" t="n">
        <v>1190000</v>
      </c>
      <c r="Z63" s="671" t="n"/>
      <c r="AA63" s="671" t="n">
        <v>1190000</v>
      </c>
      <c r="AB63" s="671" t="n"/>
      <c r="AC63" t="inlineStr">
        <is>
          <t>0182317405002</t>
        </is>
      </c>
      <c r="AD63" t="inlineStr">
        <is>
          <t>2024000021545</t>
        </is>
      </c>
      <c r="AE63" t="inlineStr">
        <is>
          <t>DENNIS M MITCHELL REVOCABLE TRUST</t>
        </is>
      </c>
      <c r="AF63" t="inlineStr">
        <is>
          <t>4980 NIAGARA ST LLC</t>
        </is>
      </c>
      <c r="AI63" s="245">
        <f>AND(E63=Subj_OccCode,Subj_BldgSF&gt;0,L63&gt;=Subj_BldgSF*(1-Subj_SizeTol),L63&lt;=Subj_BldgSF*(1+Subj_SizeTol))</f>
        <v/>
      </c>
    </row>
    <row r="64" ht="15" customHeight="1">
      <c r="A64" s="248" t="n">
        <v>7</v>
      </c>
      <c r="B64" s="245" t="n">
        <v>56</v>
      </c>
      <c r="C64" t="inlineStr">
        <is>
          <t>R0092758</t>
        </is>
      </c>
      <c r="D64" t="inlineStr">
        <is>
          <t>6590 E 49TH AVE</t>
        </is>
      </c>
      <c r="E64" t="n">
        <v>407</v>
      </c>
      <c r="F64" t="inlineStr">
        <is>
          <t>COMMERCE CITY</t>
        </is>
      </c>
      <c r="G64" t="inlineStr">
        <is>
          <t>5</t>
        </is>
      </c>
      <c r="H64" s="669">
        <f>Y64/J64</f>
        <v/>
      </c>
      <c r="I64" s="472" t="n">
        <v>44914</v>
      </c>
      <c r="J64" t="n">
        <v>10960</v>
      </c>
      <c r="K64" s="669" t="n"/>
      <c r="L64" t="n">
        <v>10960</v>
      </c>
      <c r="M64" t="n">
        <v>1974</v>
      </c>
      <c r="P64" t="inlineStr">
        <is>
          <t>I-1S</t>
        </is>
      </c>
      <c r="R64" t="inlineStr">
        <is>
          <t>Average</t>
        </is>
      </c>
      <c r="S64" t="n">
        <v>27226</v>
      </c>
      <c r="T64" s="469">
        <f>S64/L64</f>
        <v/>
      </c>
      <c r="U64" t="inlineStr">
        <is>
          <t>Average</t>
        </is>
      </c>
      <c r="V64" s="469" t="n"/>
      <c r="W64" s="469" t="n"/>
      <c r="X64" s="469" t="n"/>
      <c r="Y64" s="671" t="n">
        <v>1850000</v>
      </c>
      <c r="Z64" s="671" t="n"/>
      <c r="AA64" s="671" t="n">
        <v>1850000</v>
      </c>
      <c r="AB64" s="671" t="n"/>
      <c r="AC64" t="inlineStr">
        <is>
          <t>0182317407021</t>
        </is>
      </c>
      <c r="AD64" t="inlineStr">
        <is>
          <t>2022000098304</t>
        </is>
      </c>
      <c r="AE64" t="inlineStr">
        <is>
          <t>END-IRA INC ET AL</t>
        </is>
      </c>
      <c r="AF64" t="inlineStr">
        <is>
          <t>MASTER TECH RV AND APPLIANCE REPAIR LLC</t>
        </is>
      </c>
      <c r="AI64" s="245">
        <f>AND(E64=Subj_OccCode,Subj_BldgSF&gt;0,L64&gt;=Subj_BldgSF*(1-Subj_SizeTol),L64&lt;=Subj_BldgSF*(1+Subj_SizeTol))</f>
        <v/>
      </c>
    </row>
    <row r="65" ht="15" customHeight="1">
      <c r="A65" s="248" t="n">
        <v>7</v>
      </c>
      <c r="B65" s="245" t="n">
        <v>57</v>
      </c>
      <c r="C65" t="inlineStr">
        <is>
          <t>R0098017</t>
        </is>
      </c>
      <c r="D65" t="inlineStr">
        <is>
          <t>1680 E 69TH AVE</t>
        </is>
      </c>
      <c r="E65" t="n">
        <v>334</v>
      </c>
      <c r="G65" t="inlineStr">
        <is>
          <t>5</t>
        </is>
      </c>
      <c r="H65" s="669">
        <f>Y65/J65</f>
        <v/>
      </c>
      <c r="I65" s="472" t="n">
        <v>44862</v>
      </c>
      <c r="J65" t="n">
        <v>13500</v>
      </c>
      <c r="K65" s="669" t="n"/>
      <c r="L65" t="n">
        <v>13500</v>
      </c>
      <c r="M65" t="n">
        <v>1989</v>
      </c>
      <c r="P65" t="inlineStr">
        <is>
          <t>Industrial</t>
        </is>
      </c>
      <c r="R65" t="inlineStr">
        <is>
          <t>Average</t>
        </is>
      </c>
      <c r="S65" t="n">
        <v>80781</v>
      </c>
      <c r="T65" s="469">
        <f>S65/L65</f>
        <v/>
      </c>
      <c r="U65" t="inlineStr">
        <is>
          <t>Average</t>
        </is>
      </c>
      <c r="V65" s="469" t="n"/>
      <c r="W65" s="469" t="n"/>
      <c r="X65" s="469" t="n"/>
      <c r="Y65" s="671" t="n">
        <v>2725000</v>
      </c>
      <c r="Z65" s="671" t="n"/>
      <c r="AA65" s="671" t="n">
        <v>2725000</v>
      </c>
      <c r="AB65" s="671" t="n"/>
      <c r="AC65" t="inlineStr">
        <is>
          <t>0182502105007</t>
        </is>
      </c>
      <c r="AD65" t="inlineStr">
        <is>
          <t>2022000088043</t>
        </is>
      </c>
      <c r="AE65" t="inlineStr">
        <is>
          <t>YTTC LLC</t>
        </is>
      </c>
      <c r="AF65" t="inlineStr">
        <is>
          <t>ARCANE INDUSTRIES LLC</t>
        </is>
      </c>
      <c r="AI65" s="245">
        <f>AND(E65=Subj_OccCode,Subj_BldgSF&gt;0,L65&gt;=Subj_BldgSF*(1-Subj_SizeTol),L65&lt;=Subj_BldgSF*(1+Subj_SizeTol))</f>
        <v/>
      </c>
    </row>
    <row r="66" ht="15" customHeight="1">
      <c r="A66" s="248" t="n">
        <v>7</v>
      </c>
      <c r="B66" s="245" t="n">
        <v>58</v>
      </c>
      <c r="C66" t="inlineStr">
        <is>
          <t>R0100666</t>
        </is>
      </c>
      <c r="D66" t="inlineStr">
        <is>
          <t>6600 FEDERAL BLVD</t>
        </is>
      </c>
      <c r="E66" t="n">
        <v>353</v>
      </c>
      <c r="G66" t="inlineStr">
        <is>
          <t>5</t>
        </is>
      </c>
      <c r="H66" s="669">
        <f>Y66/J66</f>
        <v/>
      </c>
      <c r="I66" s="472" t="n">
        <v>44860</v>
      </c>
      <c r="J66" t="n">
        <v>2100</v>
      </c>
      <c r="K66" s="669" t="n"/>
      <c r="L66" t="n">
        <v>2100</v>
      </c>
      <c r="M66" t="n">
        <v>1955</v>
      </c>
      <c r="P66" t="inlineStr">
        <is>
          <t>Commercial</t>
        </is>
      </c>
      <c r="R66" t="inlineStr">
        <is>
          <t>Average</t>
        </is>
      </c>
      <c r="S66" t="n">
        <v>19950</v>
      </c>
      <c r="T66" s="469">
        <f>S66/L66</f>
        <v/>
      </c>
      <c r="U66" t="inlineStr">
        <is>
          <t>Average</t>
        </is>
      </c>
      <c r="V66" s="469" t="n"/>
      <c r="W66" s="469" t="n"/>
      <c r="X66" s="469" t="n"/>
      <c r="Y66" s="671" t="n">
        <v>425000</v>
      </c>
      <c r="Z66" s="671" t="n"/>
      <c r="AA66" s="671" t="n">
        <v>425000</v>
      </c>
      <c r="AB66" s="671" t="n"/>
      <c r="AC66" t="inlineStr">
        <is>
          <t>0182505404003</t>
        </is>
      </c>
      <c r="AD66" t="inlineStr">
        <is>
          <t>2022000087952</t>
        </is>
      </c>
      <c r="AE66" t="inlineStr">
        <is>
          <t>SHERWOOD FAMILY LIMITED PARTNERSHIP</t>
        </is>
      </c>
      <c r="AF66" t="inlineStr">
        <is>
          <t>VILLALOBOS ROSALIO</t>
        </is>
      </c>
      <c r="AI66" s="245">
        <f>AND(E66=Subj_OccCode,Subj_BldgSF&gt;0,L66&gt;=Subj_BldgSF*(1-Subj_SizeTol),L66&lt;=Subj_BldgSF*(1+Subj_SizeTol))</f>
        <v/>
      </c>
    </row>
    <row r="67" ht="15" customHeight="1">
      <c r="A67" s="248" t="n">
        <v>7</v>
      </c>
      <c r="B67" s="245" t="n">
        <v>59</v>
      </c>
      <c r="C67" t="inlineStr">
        <is>
          <t>R0129033</t>
        </is>
      </c>
      <c r="D67" t="inlineStr">
        <is>
          <t>983 E 73RD AVE</t>
        </is>
      </c>
      <c r="E67" t="n">
        <v>406</v>
      </c>
      <c r="G67" t="inlineStr">
        <is>
          <t>5</t>
        </is>
      </c>
      <c r="H67" s="669">
        <f>Y67/J67</f>
        <v/>
      </c>
      <c r="I67" s="472" t="n">
        <v>45470</v>
      </c>
      <c r="J67" t="n">
        <v>5835</v>
      </c>
      <c r="K67" s="669" t="n"/>
      <c r="L67" t="n">
        <v>5835</v>
      </c>
      <c r="M67" t="n">
        <v>2002</v>
      </c>
      <c r="P67" t="inlineStr">
        <is>
          <t>Commercial</t>
        </is>
      </c>
      <c r="R67" t="inlineStr">
        <is>
          <t>Average</t>
        </is>
      </c>
      <c r="S67" t="n">
        <v>22084.92</v>
      </c>
      <c r="T67" s="469">
        <f>S67/L67</f>
        <v/>
      </c>
      <c r="U67" t="inlineStr">
        <is>
          <t>Average</t>
        </is>
      </c>
      <c r="V67" s="469" t="n"/>
      <c r="W67" s="469" t="n"/>
      <c r="X67" s="469" t="n"/>
      <c r="Y67" s="671" t="n">
        <v>1525000</v>
      </c>
      <c r="Z67" s="671" t="n"/>
      <c r="AA67" s="671" t="n">
        <v>1525000</v>
      </c>
      <c r="AB67" s="671" t="n"/>
      <c r="AC67" t="inlineStr">
        <is>
          <t>0171935302057</t>
        </is>
      </c>
      <c r="AD67" t="inlineStr">
        <is>
          <t>2024000035899</t>
        </is>
      </c>
      <c r="AE67" t="inlineStr">
        <is>
          <t>AEGIS COLORADO LLC</t>
        </is>
      </c>
      <c r="AF67" t="inlineStr">
        <is>
          <t>ASPEN LLC</t>
        </is>
      </c>
      <c r="AI67" s="245">
        <f>AND(E67=Subj_OccCode,Subj_BldgSF&gt;0,L67&gt;=Subj_BldgSF*(1-Subj_SizeTol),L67&lt;=Subj_BldgSF*(1+Subj_SizeTol))</f>
        <v/>
      </c>
    </row>
    <row r="68" ht="15" customHeight="1">
      <c r="A68" s="248" t="n">
        <v>7</v>
      </c>
      <c r="B68" s="245" t="n">
        <v>60</v>
      </c>
      <c r="C68" t="inlineStr">
        <is>
          <t>R0173187</t>
        </is>
      </c>
      <c r="D68" t="inlineStr">
        <is>
          <t>5454 WASHINGTON ST #8</t>
        </is>
      </c>
      <c r="E68" t="n">
        <v>425</v>
      </c>
      <c r="G68" t="inlineStr">
        <is>
          <t>5</t>
        </is>
      </c>
      <c r="H68" s="669">
        <f>Y68/J68</f>
        <v/>
      </c>
      <c r="I68" s="472" t="n">
        <v>45152</v>
      </c>
      <c r="J68" t="n">
        <v>34740</v>
      </c>
      <c r="K68" s="669" t="n"/>
      <c r="L68" t="n">
        <v>34740</v>
      </c>
      <c r="M68" t="n">
        <v>1985</v>
      </c>
      <c r="P68" t="inlineStr">
        <is>
          <t>Industrial</t>
        </is>
      </c>
      <c r="R68" t="inlineStr">
        <is>
          <t>Average</t>
        </is>
      </c>
      <c r="S68" t="n">
        <v>7920</v>
      </c>
      <c r="T68" s="469">
        <f>S68/L68</f>
        <v/>
      </c>
      <c r="U68" t="inlineStr">
        <is>
          <t>Average</t>
        </is>
      </c>
      <c r="V68" s="469" t="n"/>
      <c r="W68" s="469" t="n"/>
      <c r="X68" s="469" t="n"/>
      <c r="Y68" s="671" t="n">
        <v>700000</v>
      </c>
      <c r="Z68" s="671" t="n"/>
      <c r="AA68" s="671" t="n">
        <v>700000</v>
      </c>
      <c r="AB68" s="671" t="n"/>
      <c r="AC68" t="inlineStr">
        <is>
          <t>0182514210019</t>
        </is>
      </c>
      <c r="AD68" t="inlineStr">
        <is>
          <t>2023000046862</t>
        </is>
      </c>
      <c r="AE68" t="inlineStr">
        <is>
          <t>VXSN LLC</t>
        </is>
      </c>
      <c r="AF68" t="inlineStr">
        <is>
          <t>BEE LINE LLC</t>
        </is>
      </c>
      <c r="AI68" s="245">
        <f>AND(E68=Subj_OccCode,Subj_BldgSF&gt;0,L68&gt;=Subj_BldgSF*(1-Subj_SizeTol),L68&lt;=Subj_BldgSF*(1+Subj_SizeTol))</f>
        <v/>
      </c>
    </row>
    <row r="69" ht="15" customHeight="1">
      <c r="A69" s="248" t="n">
        <v>7</v>
      </c>
      <c r="B69" s="245" t="n">
        <v>61</v>
      </c>
      <c r="C69" t="inlineStr">
        <is>
          <t>R0173190</t>
        </is>
      </c>
      <c r="D69" t="inlineStr">
        <is>
          <t>5454 WASHINGTON ST #11</t>
        </is>
      </c>
      <c r="E69" t="n">
        <v>425</v>
      </c>
      <c r="G69" t="inlineStr">
        <is>
          <t>5</t>
        </is>
      </c>
      <c r="H69" s="669">
        <f>Y69/J69</f>
        <v/>
      </c>
      <c r="I69" s="472" t="n">
        <v>44760</v>
      </c>
      <c r="J69" t="n">
        <v>34740</v>
      </c>
      <c r="K69" s="669" t="n"/>
      <c r="L69" t="n">
        <v>34740</v>
      </c>
      <c r="M69" t="n">
        <v>1985</v>
      </c>
      <c r="P69" t="inlineStr">
        <is>
          <t>Industrial</t>
        </is>
      </c>
      <c r="R69" t="inlineStr">
        <is>
          <t>Average</t>
        </is>
      </c>
      <c r="S69" t="n">
        <v>7920</v>
      </c>
      <c r="T69" s="469">
        <f>S69/L69</f>
        <v/>
      </c>
      <c r="U69" t="inlineStr">
        <is>
          <t>Average</t>
        </is>
      </c>
      <c r="V69" s="469" t="n"/>
      <c r="W69" s="469" t="n"/>
      <c r="X69" s="469" t="n"/>
      <c r="Y69" s="671" t="n">
        <v>795000</v>
      </c>
      <c r="Z69" s="671" t="n"/>
      <c r="AA69" s="671" t="n">
        <v>795000</v>
      </c>
      <c r="AB69" s="671" t="n"/>
      <c r="AC69" t="inlineStr">
        <is>
          <t>0182514210022</t>
        </is>
      </c>
      <c r="AD69" t="inlineStr">
        <is>
          <t>2022000062166</t>
        </is>
      </c>
      <c r="AE69" t="inlineStr">
        <is>
          <t>MYKLEBUST HOLDINGS LLC</t>
        </is>
      </c>
      <c r="AF69" t="inlineStr">
        <is>
          <t>HAYCAT HOLDINGS LLC</t>
        </is>
      </c>
      <c r="AI69" s="245">
        <f>AND(E69=Subj_OccCode,Subj_BldgSF&gt;0,L69&gt;=Subj_BldgSF*(1-Subj_SizeTol),L69&lt;=Subj_BldgSF*(1+Subj_SizeTol))</f>
        <v/>
      </c>
    </row>
    <row r="70" ht="15" customHeight="1">
      <c r="A70" s="248" t="n">
        <v>7</v>
      </c>
      <c r="B70" s="245" t="n">
        <v>62</v>
      </c>
      <c r="C70" t="inlineStr">
        <is>
          <t>R0178847</t>
        </is>
      </c>
      <c r="D70" t="inlineStr">
        <is>
          <t>2091 CORONADO PKWY N</t>
        </is>
      </c>
      <c r="E70" t="n">
        <v>442</v>
      </c>
      <c r="G70" t="inlineStr">
        <is>
          <t>4</t>
        </is>
      </c>
      <c r="H70" s="669">
        <f>Y70/J70</f>
        <v/>
      </c>
      <c r="I70" s="472" t="n">
        <v>45197</v>
      </c>
      <c r="J70" t="n">
        <v>2000</v>
      </c>
      <c r="K70" s="669" t="n"/>
      <c r="L70" t="n">
        <v>2000</v>
      </c>
      <c r="M70" t="n">
        <v>1974</v>
      </c>
      <c r="P70" t="inlineStr">
        <is>
          <t>Commercial</t>
        </is>
      </c>
      <c r="R70" t="inlineStr">
        <is>
          <t>Average</t>
        </is>
      </c>
      <c r="S70" t="n">
        <v>27934</v>
      </c>
      <c r="T70" s="469">
        <f>S70/L70</f>
        <v/>
      </c>
      <c r="U70" t="inlineStr">
        <is>
          <t>Average</t>
        </is>
      </c>
      <c r="V70" s="469" t="n"/>
      <c r="W70" s="469" t="n"/>
      <c r="X70" s="469" t="n"/>
      <c r="Y70" s="671" t="n">
        <v>495000</v>
      </c>
      <c r="Z70" s="671" t="n"/>
      <c r="AA70" s="671" t="n">
        <v>495000</v>
      </c>
      <c r="AB70" s="671" t="n"/>
      <c r="AC70" t="inlineStr">
        <is>
          <t>0171926416150</t>
        </is>
      </c>
      <c r="AD70" t="inlineStr">
        <is>
          <t>2023000055973</t>
        </is>
      </c>
      <c r="AE70" t="inlineStr">
        <is>
          <t>GG PROPERTY LLC</t>
        </is>
      </c>
      <c r="AF70" t="inlineStr">
        <is>
          <t>GMOTORS LLC</t>
        </is>
      </c>
      <c r="AI70" s="245">
        <f>AND(E70=Subj_OccCode,Subj_BldgSF&gt;0,L70&gt;=Subj_BldgSF*(1-Subj_SizeTol),L70&lt;=Subj_BldgSF*(1+Subj_SizeTol))</f>
        <v/>
      </c>
    </row>
    <row r="71" ht="15" customHeight="1">
      <c r="A71" s="248" t="n">
        <v>7</v>
      </c>
      <c r="B71" s="245" t="n">
        <v>63</v>
      </c>
      <c r="C71" t="inlineStr">
        <is>
          <t>R0024473</t>
        </is>
      </c>
      <c r="D71" t="inlineStr">
        <is>
          <t>12421 WASHINGTON</t>
        </is>
      </c>
      <c r="E71" t="n">
        <v>334</v>
      </c>
      <c r="F71" t="inlineStr">
        <is>
          <t>THORNTON</t>
        </is>
      </c>
      <c r="G71" t="inlineStr">
        <is>
          <t>3</t>
        </is>
      </c>
      <c r="H71" s="669">
        <f>Y71/J71</f>
        <v/>
      </c>
      <c r="I71" s="472" t="n">
        <v>45376</v>
      </c>
      <c r="J71" t="n">
        <v>32961</v>
      </c>
      <c r="K71" s="669" t="n"/>
      <c r="L71" t="n">
        <v>32961</v>
      </c>
      <c r="M71" t="n">
        <v>1983</v>
      </c>
      <c r="P71" t="inlineStr">
        <is>
          <t>Business Park</t>
        </is>
      </c>
      <c r="R71" t="inlineStr">
        <is>
          <t>Good</t>
        </is>
      </c>
      <c r="S71" t="n">
        <v>112471</v>
      </c>
      <c r="T71" s="469">
        <f>S71/L71</f>
        <v/>
      </c>
      <c r="U71" t="inlineStr">
        <is>
          <t>Good</t>
        </is>
      </c>
      <c r="V71" s="469" t="n"/>
      <c r="W71" s="469" t="n"/>
      <c r="X71" s="469" t="n"/>
      <c r="Y71" s="671" t="n">
        <v>4550000</v>
      </c>
      <c r="Z71" s="671" t="n"/>
      <c r="AA71" s="671" t="n">
        <v>4550000</v>
      </c>
      <c r="AB71" s="671" t="n"/>
      <c r="AC71" t="inlineStr">
        <is>
          <t>0157334009022</t>
        </is>
      </c>
      <c r="AD71" t="inlineStr">
        <is>
          <t>2024000015296</t>
        </is>
      </c>
      <c r="AE71" t="inlineStr">
        <is>
          <t>BPAZ HOLDINGS 13 LLC</t>
        </is>
      </c>
      <c r="AF71" t="inlineStr">
        <is>
          <t>12421 WASH EAT LLC</t>
        </is>
      </c>
      <c r="AI71" s="245">
        <f>AND(E71=Subj_OccCode,Subj_BldgSF&gt;0,L71&gt;=Subj_BldgSF*(1-Subj_SizeTol),L71&lt;=Subj_BldgSF*(1+Subj_SizeTol))</f>
        <v/>
      </c>
    </row>
    <row r="72" ht="15" customHeight="1">
      <c r="A72" s="248" t="n">
        <v>7</v>
      </c>
      <c r="B72" s="245" t="n">
        <v>64</v>
      </c>
      <c r="C72" t="inlineStr">
        <is>
          <t>R0039073</t>
        </is>
      </c>
      <c r="D72" t="inlineStr">
        <is>
          <t>10475 IRMA DR #15</t>
        </is>
      </c>
      <c r="E72" t="n">
        <v>425</v>
      </c>
      <c r="F72" t="inlineStr">
        <is>
          <t>NORTHGLENN</t>
        </is>
      </c>
      <c r="G72" t="inlineStr">
        <is>
          <t>4</t>
        </is>
      </c>
      <c r="H72" s="669">
        <f>Y72/J72</f>
        <v/>
      </c>
      <c r="I72" s="472" t="n">
        <v>45044</v>
      </c>
      <c r="J72" t="n">
        <v>25500</v>
      </c>
      <c r="K72" s="669" t="n"/>
      <c r="L72" t="n">
        <v>25500</v>
      </c>
      <c r="M72" t="n">
        <v>1984</v>
      </c>
      <c r="P72" t="inlineStr">
        <is>
          <t>I-2-Nor</t>
        </is>
      </c>
      <c r="R72" t="inlineStr">
        <is>
          <t>Average</t>
        </is>
      </c>
      <c r="S72" t="n">
        <v>4655</v>
      </c>
      <c r="T72" s="469">
        <f>S72/L72</f>
        <v/>
      </c>
      <c r="U72" t="inlineStr">
        <is>
          <t>Average</t>
        </is>
      </c>
      <c r="V72" s="469" t="n"/>
      <c r="W72" s="469" t="n"/>
      <c r="X72" s="469" t="n"/>
      <c r="Y72" s="671" t="n">
        <v>350000</v>
      </c>
      <c r="Z72" s="671" t="n"/>
      <c r="AA72" s="671" t="n">
        <v>350000</v>
      </c>
      <c r="AB72" s="671" t="n"/>
      <c r="AC72" t="inlineStr">
        <is>
          <t>0171911411034</t>
        </is>
      </c>
      <c r="AD72" t="inlineStr">
        <is>
          <t>2023000023737</t>
        </is>
      </c>
      <c r="AE72" t="inlineStr">
        <is>
          <t>MACK VENTURES LLC</t>
        </is>
      </c>
      <c r="AF72" t="inlineStr">
        <is>
          <t>BROOKCON INVESTMENTS LLC</t>
        </is>
      </c>
      <c r="AI72" s="245">
        <f>AND(E72=Subj_OccCode,Subj_BldgSF&gt;0,L72&gt;=Subj_BldgSF*(1-Subj_SizeTol),L72&lt;=Subj_BldgSF*(1+Subj_SizeTol))</f>
        <v/>
      </c>
    </row>
    <row r="73" ht="15" customHeight="1">
      <c r="A73" s="248" t="n">
        <v>7</v>
      </c>
      <c r="B73" s="245" t="n">
        <v>65</v>
      </c>
      <c r="C73" t="inlineStr">
        <is>
          <t>R0061307</t>
        </is>
      </c>
      <c r="D73" t="inlineStr">
        <is>
          <t>8040 FEDERAL BLVD</t>
        </is>
      </c>
      <c r="E73" t="n">
        <v>406</v>
      </c>
      <c r="F73" t="inlineStr">
        <is>
          <t>WESTMINSTER</t>
        </is>
      </c>
      <c r="G73" t="inlineStr">
        <is>
          <t>4</t>
        </is>
      </c>
      <c r="H73" s="669">
        <f>Y73/J73</f>
        <v/>
      </c>
      <c r="I73" s="472" t="n">
        <v>45135</v>
      </c>
      <c r="J73" t="n">
        <v>5105</v>
      </c>
      <c r="K73" s="669" t="n"/>
      <c r="L73" t="n">
        <v>5105</v>
      </c>
      <c r="M73" t="n">
        <v>1972</v>
      </c>
      <c r="P73" t="inlineStr">
        <is>
          <t>B-1-Wes</t>
        </is>
      </c>
      <c r="R73" t="inlineStr">
        <is>
          <t>Average</t>
        </is>
      </c>
      <c r="S73" t="n">
        <v>25000</v>
      </c>
      <c r="T73" s="469">
        <f>S73/L73</f>
        <v/>
      </c>
      <c r="U73" t="inlineStr">
        <is>
          <t>Average</t>
        </is>
      </c>
      <c r="V73" s="469" t="n"/>
      <c r="W73" s="469" t="n"/>
      <c r="X73" s="469" t="n"/>
      <c r="Y73" s="671" t="n">
        <v>820000</v>
      </c>
      <c r="Z73" s="671" t="n"/>
      <c r="AA73" s="671" t="n">
        <v>820000</v>
      </c>
      <c r="AB73" s="671" t="n"/>
      <c r="AC73" t="inlineStr">
        <is>
          <t>0171929404011</t>
        </is>
      </c>
      <c r="AD73" t="inlineStr">
        <is>
          <t>2023000043895</t>
        </is>
      </c>
      <c r="AE73" t="inlineStr">
        <is>
          <t>RESEIGH KAREN L</t>
        </is>
      </c>
      <c r="AF73" t="inlineStr">
        <is>
          <t>YAABTAL INVESTMENTS CO LLC</t>
        </is>
      </c>
      <c r="AI73" s="245">
        <f>AND(E73=Subj_OccCode,Subj_BldgSF&gt;0,L73&gt;=Subj_BldgSF*(1-Subj_SizeTol),L73&lt;=Subj_BldgSF*(1+Subj_SizeTol))</f>
        <v/>
      </c>
    </row>
    <row r="74" ht="15" customHeight="1">
      <c r="A74" s="248" t="n">
        <v>7</v>
      </c>
      <c r="B74" s="245" t="n">
        <v>66</v>
      </c>
      <c r="C74" t="inlineStr">
        <is>
          <t>R0065302</t>
        </is>
      </c>
      <c r="D74" t="inlineStr">
        <is>
          <t>3705 W 73RD AVE</t>
        </is>
      </c>
      <c r="E74" t="n">
        <v>353</v>
      </c>
      <c r="F74" t="inlineStr">
        <is>
          <t>WESTMINSTER</t>
        </is>
      </c>
      <c r="G74" t="inlineStr">
        <is>
          <t>4</t>
        </is>
      </c>
      <c r="H74" s="669">
        <f>Y74/J74</f>
        <v/>
      </c>
      <c r="I74" s="472" t="n">
        <v>45427</v>
      </c>
      <c r="J74" t="n">
        <v>1440</v>
      </c>
      <c r="K74" s="669" t="n"/>
      <c r="L74" t="n">
        <v>1440</v>
      </c>
      <c r="M74" t="n">
        <v>1950</v>
      </c>
      <c r="P74" t="inlineStr">
        <is>
          <t>B-1-Wes</t>
        </is>
      </c>
      <c r="R74" t="inlineStr">
        <is>
          <t>Average</t>
        </is>
      </c>
      <c r="S74" t="n">
        <v>9375</v>
      </c>
      <c r="T74" s="469">
        <f>S74/L74</f>
        <v/>
      </c>
      <c r="U74" t="inlineStr">
        <is>
          <t>Average</t>
        </is>
      </c>
      <c r="V74" s="469" t="n"/>
      <c r="W74" s="469" t="n"/>
      <c r="X74" s="469" t="n"/>
      <c r="Y74" s="671" t="n">
        <v>700000</v>
      </c>
      <c r="Z74" s="671" t="n"/>
      <c r="AA74" s="671" t="n">
        <v>700000</v>
      </c>
      <c r="AB74" s="671" t="n"/>
      <c r="AC74" t="inlineStr">
        <is>
          <t>0171931414022</t>
        </is>
      </c>
      <c r="AD74" t="inlineStr">
        <is>
          <t>2024000026482</t>
        </is>
      </c>
      <c r="AE74" t="inlineStr">
        <is>
          <t>AAE LLC</t>
        </is>
      </c>
      <c r="AF74" t="inlineStr">
        <is>
          <t>GTZ LLC</t>
        </is>
      </c>
      <c r="AI74" s="245">
        <f>AND(E74=Subj_OccCode,Subj_BldgSF&gt;0,L74&gt;=Subj_BldgSF*(1-Subj_SizeTol),L74&lt;=Subj_BldgSF*(1+Subj_SizeTol))</f>
        <v/>
      </c>
    </row>
    <row r="75" ht="15" customHeight="1">
      <c r="A75" s="248" t="n">
        <v>7</v>
      </c>
      <c r="B75" s="245" t="n">
        <v>67</v>
      </c>
      <c r="C75" t="inlineStr">
        <is>
          <t>R0065303</t>
        </is>
      </c>
      <c r="D75" t="inlineStr">
        <is>
          <t>3699 W 73RD AVE</t>
        </is>
      </c>
      <c r="E75" t="n">
        <v>344</v>
      </c>
      <c r="F75" t="inlineStr">
        <is>
          <t>WESTMINSTER</t>
        </is>
      </c>
      <c r="G75" t="inlineStr">
        <is>
          <t>4</t>
        </is>
      </c>
      <c r="H75" s="669">
        <f>Y75/J75</f>
        <v/>
      </c>
      <c r="I75" s="472" t="n">
        <v>44755</v>
      </c>
      <c r="J75" t="n">
        <v>3300</v>
      </c>
      <c r="K75" s="669" t="n"/>
      <c r="L75" t="n">
        <v>3300</v>
      </c>
      <c r="M75" t="n">
        <v>1964</v>
      </c>
      <c r="P75" t="inlineStr">
        <is>
          <t>B-1-Wes</t>
        </is>
      </c>
      <c r="R75" t="inlineStr">
        <is>
          <t>Average</t>
        </is>
      </c>
      <c r="S75" t="n">
        <v>7500</v>
      </c>
      <c r="T75" s="469">
        <f>S75/L75</f>
        <v/>
      </c>
      <c r="U75" t="inlineStr">
        <is>
          <t>Average</t>
        </is>
      </c>
      <c r="V75" s="469" t="n"/>
      <c r="W75" s="469" t="n"/>
      <c r="X75" s="469" t="n"/>
      <c r="Y75" s="671" t="n">
        <v>800000</v>
      </c>
      <c r="Z75" s="671" t="n"/>
      <c r="AA75" s="671" t="n">
        <v>800000</v>
      </c>
      <c r="AB75" s="671" t="n"/>
      <c r="AC75" t="inlineStr">
        <is>
          <t>0171931414023</t>
        </is>
      </c>
      <c r="AD75" t="inlineStr">
        <is>
          <t>2022000067684</t>
        </is>
      </c>
      <c r="AE75" t="inlineStr">
        <is>
          <t>SEEP INVESTMENTS LLC</t>
        </is>
      </c>
      <c r="AF75" t="inlineStr">
        <is>
          <t>3699 W 73RD AVE LLC</t>
        </is>
      </c>
      <c r="AI75" s="245">
        <f>AND(E75=Subj_OccCode,Subj_BldgSF&gt;0,L75&gt;=Subj_BldgSF*(1-Subj_SizeTol),L75&lt;=Subj_BldgSF*(1+Subj_SizeTol))</f>
        <v/>
      </c>
    </row>
    <row r="76" ht="15" customHeight="1">
      <c r="A76" s="248" t="n">
        <v>7</v>
      </c>
      <c r="B76" s="245" t="n">
        <v>68</v>
      </c>
      <c r="C76" t="inlineStr">
        <is>
          <t>R0077172</t>
        </is>
      </c>
      <c r="D76" t="inlineStr">
        <is>
          <t>8495 ROSLYN ST</t>
        </is>
      </c>
      <c r="E76" t="n">
        <v>406</v>
      </c>
      <c r="F76" t="inlineStr">
        <is>
          <t>COMMERCE CITY</t>
        </is>
      </c>
      <c r="G76" t="inlineStr">
        <is>
          <t>5</t>
        </is>
      </c>
      <c r="H76" s="669">
        <f>Y76/J76</f>
        <v/>
      </c>
      <c r="I76" s="472" t="n">
        <v>45468</v>
      </c>
      <c r="J76" t="n">
        <v>15040</v>
      </c>
      <c r="K76" s="669" t="n"/>
      <c r="L76" t="n">
        <v>15040</v>
      </c>
      <c r="M76" t="n">
        <v>1987</v>
      </c>
      <c r="P76" t="inlineStr">
        <is>
          <t>I-2-Com</t>
        </is>
      </c>
      <c r="R76" t="inlineStr">
        <is>
          <t>Average</t>
        </is>
      </c>
      <c r="S76" t="n">
        <v>33584.76</v>
      </c>
      <c r="T76" s="469">
        <f>S76/L76</f>
        <v/>
      </c>
      <c r="U76" t="inlineStr">
        <is>
          <t>Average</t>
        </is>
      </c>
      <c r="V76" s="469" t="n"/>
      <c r="W76" s="469" t="n"/>
      <c r="X76" s="469" t="n"/>
      <c r="Y76" s="671" t="n">
        <v>2500000</v>
      </c>
      <c r="Z76" s="671" t="n"/>
      <c r="AA76" s="671" t="n">
        <v>2500000</v>
      </c>
      <c r="AB76" s="671" t="n"/>
      <c r="AC76" t="inlineStr">
        <is>
          <t>0172128200023</t>
        </is>
      </c>
      <c r="AD76" t="inlineStr">
        <is>
          <t>2024000015116</t>
        </is>
      </c>
      <c r="AE76" t="inlineStr">
        <is>
          <t>ROSLYN STREET PROPERTIES LLC</t>
        </is>
      </c>
      <c r="AF76" t="inlineStr">
        <is>
          <t>CHARLES BREWER LLC</t>
        </is>
      </c>
      <c r="AI76" s="245">
        <f>AND(E76=Subj_OccCode,Subj_BldgSF&gt;0,L76&gt;=Subj_BldgSF*(1-Subj_SizeTol),L76&lt;=Subj_BldgSF*(1+Subj_SizeTol))</f>
        <v/>
      </c>
    </row>
    <row r="77" ht="15" customHeight="1">
      <c r="A77" s="248" t="n">
        <v>7</v>
      </c>
      <c r="B77" s="245" t="n">
        <v>69</v>
      </c>
      <c r="C77" t="inlineStr">
        <is>
          <t>R0077751</t>
        </is>
      </c>
      <c r="D77" t="inlineStr">
        <is>
          <t>5195 E 77TH AVE</t>
        </is>
      </c>
      <c r="E77" t="n">
        <v>406</v>
      </c>
      <c r="F77" t="inlineStr">
        <is>
          <t>COMMERCE CITY</t>
        </is>
      </c>
      <c r="G77" t="inlineStr">
        <is>
          <t>5</t>
        </is>
      </c>
      <c r="H77" s="669">
        <f>Y77/J77</f>
        <v/>
      </c>
      <c r="I77" s="472" t="n">
        <v>45218</v>
      </c>
      <c r="J77" t="n">
        <v>1440</v>
      </c>
      <c r="K77" s="669" t="n"/>
      <c r="L77" t="n">
        <v>1440</v>
      </c>
      <c r="M77" t="n">
        <v>1940</v>
      </c>
      <c r="P77" t="inlineStr">
        <is>
          <t>Industrial</t>
        </is>
      </c>
      <c r="R77" t="inlineStr">
        <is>
          <t>Fair</t>
        </is>
      </c>
      <c r="S77" t="n">
        <v>12506</v>
      </c>
      <c r="T77" s="469">
        <f>S77/L77</f>
        <v/>
      </c>
      <c r="U77" t="inlineStr">
        <is>
          <t>Fair</t>
        </is>
      </c>
      <c r="V77" s="469" t="n"/>
      <c r="W77" s="469" t="n"/>
      <c r="X77" s="469" t="n"/>
      <c r="Y77" s="671" t="n">
        <v>185000</v>
      </c>
      <c r="Z77" s="671" t="n"/>
      <c r="AA77" s="671" t="n">
        <v>185000</v>
      </c>
      <c r="AB77" s="671" t="n"/>
      <c r="AC77" t="inlineStr">
        <is>
          <t>0172131104017</t>
        </is>
      </c>
      <c r="AD77" t="inlineStr">
        <is>
          <t>2023000059281</t>
        </is>
      </c>
      <c r="AE77" t="inlineStr">
        <is>
          <t>REID ROBERT F SR AKA ROBERT, AKA ROBERT FREDERICK SR</t>
        </is>
      </c>
      <c r="AF77" t="inlineStr">
        <is>
          <t>OFFEN 5195 LLC</t>
        </is>
      </c>
      <c r="AI77" s="245">
        <f>AND(E77=Subj_OccCode,Subj_BldgSF&gt;0,L77&gt;=Subj_BldgSF*(1-Subj_SizeTol),L77&lt;=Subj_BldgSF*(1+Subj_SizeTol))</f>
        <v/>
      </c>
    </row>
    <row r="78" ht="15" customHeight="1">
      <c r="A78" s="248" t="n">
        <v>7</v>
      </c>
      <c r="B78" s="245" t="n">
        <v>70</v>
      </c>
      <c r="C78" t="inlineStr">
        <is>
          <t>R0089691</t>
        </is>
      </c>
      <c r="D78" t="inlineStr">
        <is>
          <t xml:space="preserve">7040 FAIRFAX DRIVE </t>
        </is>
      </c>
      <c r="E78" t="n">
        <v>406</v>
      </c>
      <c r="F78" t="inlineStr">
        <is>
          <t>COMMERCE CITY</t>
        </is>
      </c>
      <c r="G78" t="inlineStr">
        <is>
          <t>5</t>
        </is>
      </c>
      <c r="H78" s="669">
        <f>Y78/J78</f>
        <v/>
      </c>
      <c r="I78" s="472" t="n">
        <v>45128</v>
      </c>
      <c r="J78" t="n">
        <v>2232</v>
      </c>
      <c r="K78" s="669" t="n"/>
      <c r="L78" t="n">
        <v>2232</v>
      </c>
      <c r="M78" t="n">
        <v>1956</v>
      </c>
      <c r="P78" t="inlineStr">
        <is>
          <t>C-3-Com</t>
        </is>
      </c>
      <c r="R78" t="inlineStr">
        <is>
          <t>Low</t>
        </is>
      </c>
      <c r="S78" t="n">
        <v>7600</v>
      </c>
      <c r="T78" s="469">
        <f>S78/L78</f>
        <v/>
      </c>
      <c r="U78" t="inlineStr">
        <is>
          <t>Low</t>
        </is>
      </c>
      <c r="V78" s="469" t="n"/>
      <c r="W78" s="469" t="n"/>
      <c r="X78" s="469" t="n"/>
      <c r="Y78" s="671" t="n">
        <v>354780</v>
      </c>
      <c r="Z78" s="671" t="n"/>
      <c r="AA78" s="671" t="n">
        <v>354780</v>
      </c>
      <c r="AB78" s="671" t="n"/>
      <c r="AC78" t="inlineStr">
        <is>
          <t>0182306108001</t>
        </is>
      </c>
      <c r="AD78" t="inlineStr">
        <is>
          <t>2023000042403</t>
        </is>
      </c>
      <c r="AE78" t="inlineStr">
        <is>
          <t>7040 FAIRFAX DRIVE LLC</t>
        </is>
      </c>
      <c r="AF78" t="inlineStr">
        <is>
          <t>THE 7040 FAIRFAX DRIVE LLC</t>
        </is>
      </c>
      <c r="AI78" s="245">
        <f>AND(E78=Subj_OccCode,Subj_BldgSF&gt;0,L78&gt;=Subj_BldgSF*(1-Subj_SizeTol),L78&lt;=Subj_BldgSF*(1+Subj_SizeTol))</f>
        <v/>
      </c>
    </row>
    <row r="79" ht="15" customHeight="1">
      <c r="A79" s="248" t="n">
        <v>7</v>
      </c>
      <c r="B79" s="245" t="n">
        <v>71</v>
      </c>
      <c r="C79" t="inlineStr">
        <is>
          <t>R0092265</t>
        </is>
      </c>
      <c r="D79" t="inlineStr">
        <is>
          <t>5470 NEWPORT ST</t>
        </is>
      </c>
      <c r="E79" t="n">
        <v>325</v>
      </c>
      <c r="F79" t="inlineStr">
        <is>
          <t>COMMERCE CITY</t>
        </is>
      </c>
      <c r="G79" t="inlineStr">
        <is>
          <t>5</t>
        </is>
      </c>
      <c r="H79" s="669">
        <f>Y79/J79</f>
        <v/>
      </c>
      <c r="I79" s="472" t="n">
        <v>45408</v>
      </c>
      <c r="J79" t="n">
        <v>1360</v>
      </c>
      <c r="K79" s="669" t="n"/>
      <c r="L79" t="n">
        <v>1360</v>
      </c>
      <c r="M79" t="n">
        <v>1970</v>
      </c>
      <c r="P79" t="inlineStr">
        <is>
          <t>I-2-Com</t>
        </is>
      </c>
      <c r="R79" t="inlineStr">
        <is>
          <t>Average</t>
        </is>
      </c>
      <c r="S79" t="n">
        <v>16885</v>
      </c>
      <c r="T79" s="469">
        <f>S79/L79</f>
        <v/>
      </c>
      <c r="U79" t="inlineStr">
        <is>
          <t>Average</t>
        </is>
      </c>
      <c r="V79" s="469" t="n"/>
      <c r="W79" s="469" t="n"/>
      <c r="X79" s="469" t="n"/>
      <c r="Y79" s="671" t="n">
        <v>795000</v>
      </c>
      <c r="Z79" s="671" t="n"/>
      <c r="AA79" s="671" t="n">
        <v>795000</v>
      </c>
      <c r="AB79" s="671" t="n"/>
      <c r="AC79" t="inlineStr">
        <is>
          <t>0182317101007</t>
        </is>
      </c>
      <c r="AD79" t="inlineStr">
        <is>
          <t>2024000021973</t>
        </is>
      </c>
      <c r="AE79" t="inlineStr">
        <is>
          <t>PROJECT53 LLC</t>
        </is>
      </c>
      <c r="AF79" t="inlineStr">
        <is>
          <t>FALCARRAGH INVESTMENTS LLC</t>
        </is>
      </c>
      <c r="AI79" s="245">
        <f>AND(E79=Subj_OccCode,Subj_BldgSF&gt;0,L79&gt;=Subj_BldgSF*(1-Subj_SizeTol),L79&lt;=Subj_BldgSF*(1+Subj_SizeTol))</f>
        <v/>
      </c>
    </row>
    <row r="80" ht="15" customHeight="1">
      <c r="A80" s="248" t="n">
        <v>7</v>
      </c>
      <c r="B80" s="245" t="n">
        <v>72</v>
      </c>
      <c r="C80" t="inlineStr">
        <is>
          <t>R0092383</t>
        </is>
      </c>
      <c r="D80" t="inlineStr">
        <is>
          <t>7011 E 53RD PL</t>
        </is>
      </c>
      <c r="E80" t="n">
        <v>334</v>
      </c>
      <c r="F80" t="inlineStr">
        <is>
          <t>COMMERCE CITY</t>
        </is>
      </c>
      <c r="G80" t="inlineStr">
        <is>
          <t>5</t>
        </is>
      </c>
      <c r="H80" s="669">
        <f>Y80/J80</f>
        <v/>
      </c>
      <c r="I80" s="472" t="n">
        <v>44813</v>
      </c>
      <c r="J80" t="n">
        <v>25272</v>
      </c>
      <c r="K80" s="669" t="n"/>
      <c r="L80" t="n">
        <v>25272</v>
      </c>
      <c r="M80" t="n">
        <v>1973</v>
      </c>
      <c r="P80" t="inlineStr">
        <is>
          <t>I-2-Com</t>
        </is>
      </c>
      <c r="R80" t="inlineStr">
        <is>
          <t>Average</t>
        </is>
      </c>
      <c r="S80" t="n">
        <v>83000</v>
      </c>
      <c r="T80" s="469">
        <f>S80/L80</f>
        <v/>
      </c>
      <c r="U80" t="inlineStr">
        <is>
          <t>Average</t>
        </is>
      </c>
      <c r="V80" s="469" t="n"/>
      <c r="W80" s="469" t="n"/>
      <c r="X80" s="469" t="n"/>
      <c r="Y80" s="671" t="n">
        <v>3750000</v>
      </c>
      <c r="Z80" s="671" t="n"/>
      <c r="AA80" s="671" t="n">
        <v>3750000</v>
      </c>
      <c r="AB80" s="671" t="n"/>
      <c r="AC80" t="inlineStr">
        <is>
          <t>0182317106008</t>
        </is>
      </c>
      <c r="AD80" t="inlineStr">
        <is>
          <t>2022000076319</t>
        </is>
      </c>
      <c r="AE80" t="inlineStr">
        <is>
          <t>CBA GIAMBROCCO LLLP</t>
        </is>
      </c>
      <c r="AF80" t="inlineStr">
        <is>
          <t>DUO INDUSTRIAL LLC</t>
        </is>
      </c>
      <c r="AI80" s="245">
        <f>AND(E80=Subj_OccCode,Subj_BldgSF&gt;0,L80&gt;=Subj_BldgSF*(1-Subj_SizeTol),L80&lt;=Subj_BldgSF*(1+Subj_SizeTol))</f>
        <v/>
      </c>
    </row>
    <row r="81" ht="15" customHeight="1">
      <c r="A81" s="248" t="n">
        <v>7</v>
      </c>
      <c r="B81" s="245" t="n">
        <v>73</v>
      </c>
      <c r="C81" t="inlineStr">
        <is>
          <t>R0098071</t>
        </is>
      </c>
      <c r="D81" t="inlineStr">
        <is>
          <t>851 HWY 225 # B-5</t>
        </is>
      </c>
      <c r="E81" t="n">
        <v>425</v>
      </c>
      <c r="G81" t="inlineStr">
        <is>
          <t>5</t>
        </is>
      </c>
      <c r="H81" s="669">
        <f>Y81/J81</f>
        <v/>
      </c>
      <c r="I81" s="472" t="n">
        <v>45288</v>
      </c>
      <c r="J81" t="n">
        <v>26500</v>
      </c>
      <c r="K81" s="669" t="n"/>
      <c r="L81" t="n">
        <v>26500</v>
      </c>
      <c r="M81" t="n">
        <v>1984</v>
      </c>
      <c r="P81" t="inlineStr">
        <is>
          <t>Industrial</t>
        </is>
      </c>
      <c r="R81" t="inlineStr">
        <is>
          <t>Average</t>
        </is>
      </c>
      <c r="S81" t="n">
        <v>2893</v>
      </c>
      <c r="T81" s="469">
        <f>S81/L81</f>
        <v/>
      </c>
      <c r="U81" t="inlineStr">
        <is>
          <t>Average</t>
        </is>
      </c>
      <c r="V81" s="469" t="n"/>
      <c r="W81" s="469" t="n"/>
      <c r="X81" s="469" t="n"/>
      <c r="Y81" s="671" t="n">
        <v>300000</v>
      </c>
      <c r="Z81" s="671" t="n"/>
      <c r="AA81" s="671" t="n">
        <v>300000</v>
      </c>
      <c r="AB81" s="671" t="n"/>
      <c r="AC81" t="inlineStr">
        <is>
          <t>0182502203035</t>
        </is>
      </c>
      <c r="AD81" t="inlineStr">
        <is>
          <t>2023000071498</t>
        </is>
      </c>
      <c r="AE81" t="inlineStr">
        <is>
          <t>MAURER SCOTT AND, MAURER KIMBERLEY W</t>
        </is>
      </c>
      <c r="AF81" t="inlineStr">
        <is>
          <t>COLORADO CHILLER SERVICES LLC</t>
        </is>
      </c>
      <c r="AI81" s="245">
        <f>AND(E81=Subj_OccCode,Subj_BldgSF&gt;0,L81&gt;=Subj_BldgSF*(1-Subj_SizeTol),L81&lt;=Subj_BldgSF*(1+Subj_SizeTol))</f>
        <v/>
      </c>
    </row>
    <row r="82" ht="15" customHeight="1">
      <c r="A82" s="248" t="n">
        <v>7</v>
      </c>
      <c r="B82" s="245" t="n">
        <v>74</v>
      </c>
      <c r="C82" t="inlineStr">
        <is>
          <t>R0100113</t>
        </is>
      </c>
      <c r="D82" t="inlineStr">
        <is>
          <t>7095 FEDERAL BLVD</t>
        </is>
      </c>
      <c r="E82" t="n">
        <v>325</v>
      </c>
      <c r="F82" t="inlineStr">
        <is>
          <t>WESTMINSTER</t>
        </is>
      </c>
      <c r="G82" t="inlineStr">
        <is>
          <t>4</t>
        </is>
      </c>
      <c r="H82" s="669">
        <f>Y82/J82</f>
        <v/>
      </c>
      <c r="I82" s="472" t="n">
        <v>45275</v>
      </c>
      <c r="J82" t="n">
        <v>6402</v>
      </c>
      <c r="K82" s="669" t="n"/>
      <c r="L82" t="n">
        <v>6402</v>
      </c>
      <c r="M82" t="n">
        <v>1971</v>
      </c>
      <c r="P82" t="inlineStr">
        <is>
          <t>SPD</t>
        </is>
      </c>
      <c r="R82" t="inlineStr">
        <is>
          <t>Average</t>
        </is>
      </c>
      <c r="S82" t="n">
        <v>20250</v>
      </c>
      <c r="T82" s="469">
        <f>S82/L82</f>
        <v/>
      </c>
      <c r="U82" t="inlineStr">
        <is>
          <t>Average</t>
        </is>
      </c>
      <c r="V82" s="469" t="n"/>
      <c r="W82" s="469" t="n"/>
      <c r="X82" s="469" t="n"/>
      <c r="Y82" s="671" t="n">
        <v>1050000</v>
      </c>
      <c r="Z82" s="671" t="n"/>
      <c r="AA82" s="671" t="n">
        <v>1050000</v>
      </c>
      <c r="AB82" s="671" t="n"/>
      <c r="AC82" t="inlineStr">
        <is>
          <t>0182505221007</t>
        </is>
      </c>
      <c r="AD82" t="inlineStr">
        <is>
          <t>2023000069400</t>
        </is>
      </c>
      <c r="AE82" t="inlineStr">
        <is>
          <t>KRUPP GLASSMAN &amp; GLASSMAN LLC</t>
        </is>
      </c>
      <c r="AF82" t="inlineStr">
        <is>
          <t>7095FEDERAL LLC</t>
        </is>
      </c>
      <c r="AI82" s="245">
        <f>AND(E82=Subj_OccCode,Subj_BldgSF&gt;0,L82&gt;=Subj_BldgSF*(1-Subj_SizeTol),L82&lt;=Subj_BldgSF*(1+Subj_SizeTol))</f>
        <v/>
      </c>
    </row>
    <row r="83" ht="15" customHeight="1">
      <c r="A83" s="248" t="n">
        <v>7</v>
      </c>
      <c r="B83" s="245" t="n">
        <v>75</v>
      </c>
      <c r="C83" t="inlineStr">
        <is>
          <t>R0103555</t>
        </is>
      </c>
      <c r="D83" t="inlineStr">
        <is>
          <t>5801 LOGAN ST</t>
        </is>
      </c>
      <c r="E83" t="n">
        <v>334</v>
      </c>
      <c r="G83" t="inlineStr">
        <is>
          <t>5</t>
        </is>
      </c>
      <c r="H83" s="669">
        <f>Y83/J83</f>
        <v/>
      </c>
      <c r="I83" s="472" t="n">
        <v>45317</v>
      </c>
      <c r="J83" t="n">
        <v>11200</v>
      </c>
      <c r="K83" s="669" t="n"/>
      <c r="L83" t="n">
        <v>11200</v>
      </c>
      <c r="M83" t="n">
        <v>1982</v>
      </c>
      <c r="P83" t="inlineStr">
        <is>
          <t>Industrial</t>
        </is>
      </c>
      <c r="R83" t="inlineStr">
        <is>
          <t>Average</t>
        </is>
      </c>
      <c r="S83" t="n">
        <v>26839</v>
      </c>
      <c r="T83" s="469">
        <f>S83/L83</f>
        <v/>
      </c>
      <c r="U83" t="inlineStr">
        <is>
          <t>Average</t>
        </is>
      </c>
      <c r="V83" s="469" t="n"/>
      <c r="W83" s="469" t="n"/>
      <c r="X83" s="469" t="n"/>
      <c r="Y83" s="671" t="n">
        <v>2650000</v>
      </c>
      <c r="Z83" s="671" t="n"/>
      <c r="AA83" s="671" t="n">
        <v>2650000</v>
      </c>
      <c r="AB83" s="671" t="n"/>
      <c r="AC83" t="inlineStr">
        <is>
          <t>0182510402006</t>
        </is>
      </c>
      <c r="AD83" t="inlineStr">
        <is>
          <t>2024000004228</t>
        </is>
      </c>
      <c r="AE83" t="inlineStr">
        <is>
          <t>5801 LOGAN STREET LLC</t>
        </is>
      </c>
      <c r="AF83" t="inlineStr">
        <is>
          <t>DENVER SURFACES LLC</t>
        </is>
      </c>
      <c r="AI83" s="245">
        <f>AND(E83=Subj_OccCode,Subj_BldgSF&gt;0,L83&gt;=Subj_BldgSF*(1-Subj_SizeTol),L83&lt;=Subj_BldgSF*(1+Subj_SizeTol))</f>
        <v/>
      </c>
    </row>
    <row r="84" ht="15" customHeight="1">
      <c r="A84" s="248" t="n">
        <v>7</v>
      </c>
      <c r="B84" s="245" t="n">
        <v>76</v>
      </c>
      <c r="C84" t="inlineStr">
        <is>
          <t>R0117238</t>
        </is>
      </c>
      <c r="D84" t="inlineStr">
        <is>
          <t>1870 W 64TH LN</t>
        </is>
      </c>
      <c r="E84" t="n">
        <v>407</v>
      </c>
      <c r="G84" t="inlineStr">
        <is>
          <t>5</t>
        </is>
      </c>
      <c r="H84" s="669">
        <f>Y84/J84</f>
        <v/>
      </c>
      <c r="I84" s="472" t="n">
        <v>45174</v>
      </c>
      <c r="J84" t="n">
        <v>19660</v>
      </c>
      <c r="K84" s="669" t="n"/>
      <c r="L84" t="n">
        <v>19660</v>
      </c>
      <c r="M84" t="n">
        <v>2002</v>
      </c>
      <c r="P84" t="inlineStr">
        <is>
          <t>Industrial</t>
        </is>
      </c>
      <c r="R84" t="inlineStr">
        <is>
          <t>Average</t>
        </is>
      </c>
      <c r="S84" t="n">
        <v>47044.8</v>
      </c>
      <c r="T84" s="469">
        <f>S84/L84</f>
        <v/>
      </c>
      <c r="U84" t="inlineStr">
        <is>
          <t>Average</t>
        </is>
      </c>
      <c r="V84" s="469" t="n"/>
      <c r="W84" s="469" t="n"/>
      <c r="X84" s="469" t="n"/>
      <c r="Y84" s="671" t="n">
        <v>3450000</v>
      </c>
      <c r="Z84" s="671" t="n"/>
      <c r="AA84" s="671" t="n">
        <v>3450000</v>
      </c>
      <c r="AB84" s="671" t="n"/>
      <c r="AC84" t="inlineStr">
        <is>
          <t>0182504302011</t>
        </is>
      </c>
      <c r="AD84" t="inlineStr">
        <is>
          <t>2023000052276</t>
        </is>
      </c>
      <c r="AE84" t="inlineStr">
        <is>
          <t>MANHATTAN FUND XXI LLC</t>
        </is>
      </c>
      <c r="AF84" t="inlineStr">
        <is>
          <t>RED 64TH LLC</t>
        </is>
      </c>
      <c r="AI84" s="245">
        <f>AND(E84=Subj_OccCode,Subj_BldgSF&gt;0,L84&gt;=Subj_BldgSF*(1-Subj_SizeTol),L84&lt;=Subj_BldgSF*(1+Subj_SizeTol))</f>
        <v/>
      </c>
    </row>
    <row r="85" ht="15" customHeight="1">
      <c r="A85" s="248" t="n">
        <v>7</v>
      </c>
      <c r="B85" s="245" t="n">
        <v>77</v>
      </c>
      <c r="C85" t="inlineStr">
        <is>
          <t>R0004257</t>
        </is>
      </c>
      <c r="D85" t="inlineStr">
        <is>
          <t>509 S 4TH AVE</t>
        </is>
      </c>
      <c r="E85" t="n">
        <v>344</v>
      </c>
      <c r="F85" t="inlineStr">
        <is>
          <t>BRIGHTON</t>
        </is>
      </c>
      <c r="G85" t="inlineStr">
        <is>
          <t>2</t>
        </is>
      </c>
      <c r="H85" s="669">
        <f>Y85/J85</f>
        <v/>
      </c>
      <c r="I85" s="472" t="n">
        <v>45257</v>
      </c>
      <c r="J85" t="n">
        <v>816</v>
      </c>
      <c r="K85" s="669" t="n"/>
      <c r="L85" t="n">
        <v>816</v>
      </c>
      <c r="M85" t="n">
        <v>1917</v>
      </c>
      <c r="P85" t="inlineStr">
        <is>
          <t>C-1-Bri</t>
        </is>
      </c>
      <c r="R85" t="inlineStr">
        <is>
          <t>Average</t>
        </is>
      </c>
      <c r="S85" t="n">
        <v>7500</v>
      </c>
      <c r="T85" s="469">
        <f>S85/L85</f>
        <v/>
      </c>
      <c r="U85" t="inlineStr">
        <is>
          <t>Average</t>
        </is>
      </c>
      <c r="V85" s="469" t="n"/>
      <c r="W85" s="469" t="n"/>
      <c r="X85" s="469" t="n"/>
      <c r="Y85" s="671" t="n">
        <v>310000</v>
      </c>
      <c r="Z85" s="671" t="n"/>
      <c r="AA85" s="671" t="n">
        <v>306000</v>
      </c>
      <c r="AB85" s="671" t="n"/>
      <c r="AC85" t="inlineStr">
        <is>
          <t>0156907303017</t>
        </is>
      </c>
      <c r="AD85" t="inlineStr">
        <is>
          <t>2023000065859</t>
        </is>
      </c>
      <c r="AE85" t="inlineStr">
        <is>
          <t>BROCAT LLC</t>
        </is>
      </c>
      <c r="AF85" t="inlineStr">
        <is>
          <t>TAMARIZ HOLDINGS LTD</t>
        </is>
      </c>
      <c r="AI85" s="245">
        <f>AND(E85=Subj_OccCode,Subj_BldgSF&gt;0,L85&gt;=Subj_BldgSF*(1-Subj_SizeTol),L85&lt;=Subj_BldgSF*(1+Subj_SizeTol))</f>
        <v/>
      </c>
    </row>
    <row r="86" ht="15" customHeight="1">
      <c r="A86" s="248" t="n">
        <v>7</v>
      </c>
      <c r="B86" s="245" t="n">
        <v>78</v>
      </c>
      <c r="C86" t="inlineStr">
        <is>
          <t>R0038934</t>
        </is>
      </c>
      <c r="D86" t="inlineStr">
        <is>
          <t>10789 IRMA DR</t>
        </is>
      </c>
      <c r="E86" t="n">
        <v>406</v>
      </c>
      <c r="F86" t="inlineStr">
        <is>
          <t>NORTHGLENN</t>
        </is>
      </c>
      <c r="G86" t="inlineStr">
        <is>
          <t>4</t>
        </is>
      </c>
      <c r="H86" s="669">
        <f>Y86/J86</f>
        <v/>
      </c>
      <c r="I86" s="472" t="n">
        <v>45083</v>
      </c>
      <c r="J86" t="n">
        <v>4000</v>
      </c>
      <c r="K86" s="669" t="n"/>
      <c r="L86" t="n">
        <v>4000</v>
      </c>
      <c r="M86" t="n">
        <v>1973</v>
      </c>
      <c r="P86" t="inlineStr">
        <is>
          <t>I-2-Nor</t>
        </is>
      </c>
      <c r="R86" t="inlineStr">
        <is>
          <t>Average</t>
        </is>
      </c>
      <c r="S86" t="n">
        <v>22477</v>
      </c>
      <c r="T86" s="469">
        <f>S86/L86</f>
        <v/>
      </c>
      <c r="U86" t="inlineStr">
        <is>
          <t>Average</t>
        </is>
      </c>
      <c r="V86" s="469" t="n"/>
      <c r="W86" s="469" t="n"/>
      <c r="X86" s="469" t="n"/>
      <c r="Y86" s="671" t="n">
        <v>750000</v>
      </c>
      <c r="Z86" s="671" t="n"/>
      <c r="AA86" s="671" t="n">
        <v>750000</v>
      </c>
      <c r="AB86" s="671" t="n"/>
      <c r="AC86" t="inlineStr">
        <is>
          <t>0171911403018</t>
        </is>
      </c>
      <c r="AD86" t="inlineStr">
        <is>
          <t>2023000032069</t>
        </is>
      </c>
      <c r="AE86" t="inlineStr">
        <is>
          <t>NEUMANN DEBORAH J TRUST THE</t>
        </is>
      </c>
      <c r="AF86" t="inlineStr">
        <is>
          <t>PAUL TANNER HOLDINGS LLC</t>
        </is>
      </c>
      <c r="AI86" s="245">
        <f>AND(E86=Subj_OccCode,Subj_BldgSF&gt;0,L86&gt;=Subj_BldgSF*(1-Subj_SizeTol),L86&lt;=Subj_BldgSF*(1+Subj_SizeTol))</f>
        <v/>
      </c>
    </row>
    <row r="87" ht="15" customHeight="1">
      <c r="A87" s="248" t="n">
        <v>7</v>
      </c>
      <c r="B87" s="245" t="n">
        <v>79</v>
      </c>
      <c r="C87" t="inlineStr">
        <is>
          <t>R0071002</t>
        </is>
      </c>
      <c r="D87" t="inlineStr">
        <is>
          <t>913 E 75TH AVE</t>
        </is>
      </c>
      <c r="E87" t="n">
        <v>406</v>
      </c>
      <c r="G87" t="inlineStr">
        <is>
          <t>5</t>
        </is>
      </c>
      <c r="H87" s="669">
        <f>Y87/J87</f>
        <v/>
      </c>
      <c r="I87" s="472" t="n">
        <v>45163</v>
      </c>
      <c r="J87" t="n">
        <v>26695</v>
      </c>
      <c r="K87" s="669" t="n"/>
      <c r="L87" t="n">
        <v>26695</v>
      </c>
      <c r="M87" t="n">
        <v>2000</v>
      </c>
      <c r="P87" t="inlineStr">
        <is>
          <t>Industrial</t>
        </is>
      </c>
      <c r="R87" t="inlineStr">
        <is>
          <t>Average</t>
        </is>
      </c>
      <c r="S87" t="n">
        <v>77615.21090000001</v>
      </c>
      <c r="T87" s="469">
        <f>S87/L87</f>
        <v/>
      </c>
      <c r="U87" t="inlineStr">
        <is>
          <t>Average</t>
        </is>
      </c>
      <c r="V87" s="469" t="n"/>
      <c r="W87" s="469" t="n"/>
      <c r="X87" s="469" t="n"/>
      <c r="Y87" s="671" t="n">
        <v>4300000</v>
      </c>
      <c r="Z87" s="671" t="n"/>
      <c r="AA87" s="671" t="n">
        <v>4300000</v>
      </c>
      <c r="AB87" s="671" t="n"/>
      <c r="AC87" t="inlineStr">
        <is>
          <t>0171935301030</t>
        </is>
      </c>
      <c r="AD87" t="inlineStr">
        <is>
          <t>2023000048787</t>
        </is>
      </c>
      <c r="AE87" t="inlineStr">
        <is>
          <t>INVESTORS PENCHANT ONE LLC</t>
        </is>
      </c>
      <c r="AF87" t="inlineStr">
        <is>
          <t>ES HOLDCO - 1100 WEST MISSISSIPPI AVENUE LLC 36.20% INT AND, ES HOLDCO -  et al.</t>
        </is>
      </c>
      <c r="AI87" s="245">
        <f>AND(E87=Subj_OccCode,Subj_BldgSF&gt;0,L87&gt;=Subj_BldgSF*(1-Subj_SizeTol),L87&lt;=Subj_BldgSF*(1+Subj_SizeTol))</f>
        <v/>
      </c>
    </row>
    <row r="88" ht="15" customHeight="1">
      <c r="A88" s="248" t="n">
        <v>7</v>
      </c>
      <c r="B88" s="245" t="n">
        <v>80</v>
      </c>
      <c r="C88" t="inlineStr">
        <is>
          <t>R0002828</t>
        </is>
      </c>
      <c r="D88" t="inlineStr">
        <is>
          <t>108 WALNUT ST</t>
        </is>
      </c>
      <c r="E88" t="n">
        <v>406</v>
      </c>
      <c r="F88" t="inlineStr">
        <is>
          <t>BRIGHTON</t>
        </is>
      </c>
      <c r="G88" t="inlineStr">
        <is>
          <t>2</t>
        </is>
      </c>
      <c r="H88" s="669">
        <f>Y88/J88</f>
        <v/>
      </c>
      <c r="I88" s="472" t="n">
        <v>44887</v>
      </c>
      <c r="J88" t="n">
        <v>6540</v>
      </c>
      <c r="K88" s="669" t="n"/>
      <c r="L88" t="n">
        <v>6540</v>
      </c>
      <c r="M88" t="n">
        <v>1977</v>
      </c>
      <c r="P88" t="inlineStr">
        <is>
          <t>I-1-Bri</t>
        </is>
      </c>
      <c r="R88" t="inlineStr">
        <is>
          <t>Average</t>
        </is>
      </c>
      <c r="S88" t="n">
        <v>32975</v>
      </c>
      <c r="T88" s="469">
        <f>S88/L88</f>
        <v/>
      </c>
      <c r="U88" t="inlineStr">
        <is>
          <t>Average</t>
        </is>
      </c>
      <c r="V88" s="469" t="n"/>
      <c r="W88" s="469" t="n"/>
      <c r="X88" s="469" t="n"/>
      <c r="Y88" s="671" t="n">
        <v>1135900</v>
      </c>
      <c r="Z88" s="671" t="n"/>
      <c r="AA88" s="671" t="n">
        <v>1135900</v>
      </c>
      <c r="AB88" s="671" t="n"/>
      <c r="AC88" t="inlineStr">
        <is>
          <t>0156906313013</t>
        </is>
      </c>
      <c r="AD88" t="inlineStr">
        <is>
          <t>2022000092995</t>
        </is>
      </c>
      <c r="AE88" t="inlineStr">
        <is>
          <t>HARTIGAN PROPERTIES LLC</t>
        </is>
      </c>
      <c r="AF88" t="inlineStr">
        <is>
          <t>40 NORTH LLC</t>
        </is>
      </c>
      <c r="AI88" s="245">
        <f>AND(E88=Subj_OccCode,Subj_BldgSF&gt;0,L88&gt;=Subj_BldgSF*(1-Subj_SizeTol),L88&lt;=Subj_BldgSF*(1+Subj_SizeTol))</f>
        <v/>
      </c>
    </row>
    <row r="89" ht="15" customHeight="1">
      <c r="A89" s="248" t="n">
        <v>7</v>
      </c>
      <c r="B89" s="245" t="n">
        <v>81</v>
      </c>
      <c r="C89" t="inlineStr">
        <is>
          <t>R0048498</t>
        </is>
      </c>
      <c r="D89" t="inlineStr">
        <is>
          <t>3821 W 88TH AVE</t>
        </is>
      </c>
      <c r="E89" t="n">
        <v>344</v>
      </c>
      <c r="G89" t="inlineStr">
        <is>
          <t>4</t>
        </is>
      </c>
      <c r="H89" s="669">
        <f>Y89/J89</f>
        <v/>
      </c>
      <c r="I89" s="472" t="n">
        <v>45394</v>
      </c>
      <c r="J89" t="n">
        <v>4590</v>
      </c>
      <c r="K89" s="669" t="n"/>
      <c r="L89" t="n">
        <v>4590</v>
      </c>
      <c r="M89" t="n">
        <v>1993</v>
      </c>
      <c r="P89" t="inlineStr">
        <is>
          <t>Commercial</t>
        </is>
      </c>
      <c r="R89" t="inlineStr">
        <is>
          <t>Average</t>
        </is>
      </c>
      <c r="S89" t="n">
        <v>15400</v>
      </c>
      <c r="T89" s="469">
        <f>S89/L89</f>
        <v/>
      </c>
      <c r="U89" t="inlineStr">
        <is>
          <t>Average</t>
        </is>
      </c>
      <c r="V89" s="469" t="n"/>
      <c r="W89" s="469" t="n"/>
      <c r="X89" s="469" t="n"/>
      <c r="Y89" s="671" t="n">
        <v>1600000</v>
      </c>
      <c r="Z89" s="671" t="n"/>
      <c r="AA89" s="671" t="n">
        <v>1600000</v>
      </c>
      <c r="AB89" s="671" t="n"/>
      <c r="AC89" t="inlineStr">
        <is>
          <t>0171919413057</t>
        </is>
      </c>
      <c r="AD89" t="inlineStr">
        <is>
          <t>2024000019155</t>
        </is>
      </c>
      <c r="AE89" t="inlineStr">
        <is>
          <t>JRM ESTATES LLC</t>
        </is>
      </c>
      <c r="AF89" t="inlineStr">
        <is>
          <t>LFE STATION LLC</t>
        </is>
      </c>
      <c r="AI89" s="245">
        <f>AND(E89=Subj_OccCode,Subj_BldgSF&gt;0,L89&gt;=Subj_BldgSF*(1-Subj_SizeTol),L89&lt;=Subj_BldgSF*(1+Subj_SizeTol))</f>
        <v/>
      </c>
    </row>
    <row r="90" ht="15" customHeight="1">
      <c r="A90" s="248" t="n">
        <v>7</v>
      </c>
      <c r="B90" s="245" t="n">
        <v>82</v>
      </c>
      <c r="C90" t="inlineStr">
        <is>
          <t>R0084314</t>
        </is>
      </c>
      <c r="D90" t="inlineStr">
        <is>
          <t>13801 E SMITH DR</t>
        </is>
      </c>
      <c r="E90" t="n">
        <v>425</v>
      </c>
      <c r="F90" t="inlineStr">
        <is>
          <t>AURORA</t>
        </is>
      </c>
      <c r="G90" t="inlineStr">
        <is>
          <t>6</t>
        </is>
      </c>
      <c r="H90" s="669">
        <f>Y90/J90</f>
        <v/>
      </c>
      <c r="I90" s="472" t="n">
        <v>44953</v>
      </c>
      <c r="J90" t="n">
        <v>8943</v>
      </c>
      <c r="K90" s="669" t="n"/>
      <c r="L90" t="n">
        <v>8943</v>
      </c>
      <c r="M90" t="n">
        <v>1982</v>
      </c>
      <c r="P90" t="inlineStr">
        <is>
          <t>M-1-Aur</t>
        </is>
      </c>
      <c r="R90" t="inlineStr">
        <is>
          <t>Average</t>
        </is>
      </c>
      <c r="S90" t="n">
        <v>6313</v>
      </c>
      <c r="T90" s="469">
        <f>S90/L90</f>
        <v/>
      </c>
      <c r="U90" t="inlineStr">
        <is>
          <t>Average</t>
        </is>
      </c>
      <c r="V90" s="469" t="n"/>
      <c r="W90" s="469" t="n"/>
      <c r="X90" s="469" t="n"/>
      <c r="Y90" s="671" t="n">
        <v>300000</v>
      </c>
      <c r="Z90" s="671" t="n"/>
      <c r="AA90" s="671" t="n">
        <v>300000</v>
      </c>
      <c r="AB90" s="671" t="n"/>
      <c r="AC90" t="inlineStr">
        <is>
          <t>0182130013014</t>
        </is>
      </c>
      <c r="AD90" t="inlineStr">
        <is>
          <t>2023000004917</t>
        </is>
      </c>
      <c r="AE90" t="inlineStr">
        <is>
          <t>FAGGETT ROBERT L</t>
        </is>
      </c>
      <c r="AF90" t="inlineStr">
        <is>
          <t>A-PLUS TARGET LLC</t>
        </is>
      </c>
      <c r="AI90" s="245">
        <f>AND(E90=Subj_OccCode,Subj_BldgSF&gt;0,L90&gt;=Subj_BldgSF*(1-Subj_SizeTol),L90&lt;=Subj_BldgSF*(1+Subj_SizeTol))</f>
        <v/>
      </c>
    </row>
    <row r="91" ht="15" customHeight="1">
      <c r="A91" s="248" t="n">
        <v>7</v>
      </c>
      <c r="B91" s="245" t="n">
        <v>83</v>
      </c>
      <c r="C91" t="inlineStr">
        <is>
          <t>R0092785</t>
        </is>
      </c>
      <c r="D91" t="inlineStr">
        <is>
          <t>4810 OLIVE ST</t>
        </is>
      </c>
      <c r="E91" t="n">
        <v>325</v>
      </c>
      <c r="F91" t="inlineStr">
        <is>
          <t>COMMERCE CITY</t>
        </is>
      </c>
      <c r="G91" t="inlineStr">
        <is>
          <t>5</t>
        </is>
      </c>
      <c r="H91" s="669">
        <f>Y91/J91</f>
        <v/>
      </c>
      <c r="I91" s="472" t="n">
        <v>44830</v>
      </c>
      <c r="J91" t="n">
        <v>4214</v>
      </c>
      <c r="K91" s="669" t="n"/>
      <c r="L91" t="n">
        <v>4214</v>
      </c>
      <c r="M91" t="n">
        <v>1972</v>
      </c>
      <c r="P91" t="inlineStr">
        <is>
          <t>I-1S</t>
        </is>
      </c>
      <c r="R91" t="inlineStr">
        <is>
          <t>Average</t>
        </is>
      </c>
      <c r="S91" t="n">
        <v>35896</v>
      </c>
      <c r="T91" s="469">
        <f>S91/L91</f>
        <v/>
      </c>
      <c r="U91" t="inlineStr">
        <is>
          <t>Average</t>
        </is>
      </c>
      <c r="V91" s="469" t="n"/>
      <c r="W91" s="469" t="n"/>
      <c r="X91" s="469" t="n"/>
      <c r="Y91" s="671" t="n">
        <v>1475000</v>
      </c>
      <c r="Z91" s="671" t="n"/>
      <c r="AA91" s="671" t="n">
        <v>1475000</v>
      </c>
      <c r="AB91" s="671" t="n"/>
      <c r="AC91" t="inlineStr">
        <is>
          <t>0182317409015</t>
        </is>
      </c>
      <c r="AD91" t="inlineStr">
        <is>
          <t>2022000080335</t>
        </is>
      </c>
      <c r="AE91" t="inlineStr">
        <is>
          <t xml:space="preserve">HAFER DONALD J, BROWN PATRICIA A, </t>
        </is>
      </c>
      <c r="AF91" t="inlineStr">
        <is>
          <t>COLORADO BUS PROPERTIES LLC</t>
        </is>
      </c>
      <c r="AI91" s="245">
        <f>AND(E91=Subj_OccCode,Subj_BldgSF&gt;0,L91&gt;=Subj_BldgSF*(1-Subj_SizeTol),L91&lt;=Subj_BldgSF*(1+Subj_SizeTol))</f>
        <v/>
      </c>
    </row>
    <row r="92" ht="15" customHeight="1">
      <c r="A92" s="248" t="n">
        <v>7</v>
      </c>
      <c r="B92" s="245" t="n">
        <v>84</v>
      </c>
      <c r="C92" t="inlineStr">
        <is>
          <t>R0095688</t>
        </is>
      </c>
      <c r="D92" t="inlineStr">
        <is>
          <t>10455 E COLFAX AVE</t>
        </is>
      </c>
      <c r="E92" t="n">
        <v>353</v>
      </c>
      <c r="F92" t="inlineStr">
        <is>
          <t>AURORA</t>
        </is>
      </c>
      <c r="G92" t="inlineStr">
        <is>
          <t>6</t>
        </is>
      </c>
      <c r="H92" s="669">
        <f>Y92/J92</f>
        <v/>
      </c>
      <c r="I92" s="472" t="n">
        <v>45427</v>
      </c>
      <c r="J92" t="n">
        <v>4291</v>
      </c>
      <c r="K92" s="669" t="n"/>
      <c r="L92" t="n">
        <v>4291</v>
      </c>
      <c r="M92" t="n">
        <v>1964</v>
      </c>
      <c r="P92" t="inlineStr">
        <is>
          <t>OA-G</t>
        </is>
      </c>
      <c r="R92" t="inlineStr">
        <is>
          <t>Average</t>
        </is>
      </c>
      <c r="S92" t="n">
        <v>18766.2</v>
      </c>
      <c r="T92" s="469">
        <f>S92/L92</f>
        <v/>
      </c>
      <c r="U92" t="inlineStr">
        <is>
          <t>Average</t>
        </is>
      </c>
      <c r="V92" s="469" t="n"/>
      <c r="W92" s="469" t="n"/>
      <c r="X92" s="469" t="n"/>
      <c r="Y92" s="671" t="n">
        <v>2100000</v>
      </c>
      <c r="Z92" s="671" t="n"/>
      <c r="AA92" s="671" t="n">
        <v>2100000</v>
      </c>
      <c r="AB92" s="671" t="n"/>
      <c r="AC92" t="inlineStr">
        <is>
          <t>0182334430010</t>
        </is>
      </c>
      <c r="AD92" t="inlineStr">
        <is>
          <t>2024000025960</t>
        </is>
      </c>
      <c r="AE92" t="inlineStr">
        <is>
          <t>PARK WEST INVESTMENTS LLC</t>
        </is>
      </c>
      <c r="AF92" t="inlineStr">
        <is>
          <t>CO BEST PROP 1 LLC</t>
        </is>
      </c>
      <c r="AI92" s="245">
        <f>AND(E92=Subj_OccCode,Subj_BldgSF&gt;0,L92&gt;=Subj_BldgSF*(1-Subj_SizeTol),L92&lt;=Subj_BldgSF*(1+Subj_SizeTol))</f>
        <v/>
      </c>
    </row>
    <row r="93" ht="15" customHeight="1">
      <c r="A93" s="248" t="n">
        <v>7</v>
      </c>
      <c r="B93" s="245" t="n">
        <v>85</v>
      </c>
      <c r="C93" t="inlineStr">
        <is>
          <t>R0098189</t>
        </is>
      </c>
      <c r="D93" t="inlineStr">
        <is>
          <t>6500 FRANKLIN ST</t>
        </is>
      </c>
      <c r="E93" t="n">
        <v>406</v>
      </c>
      <c r="G93" t="inlineStr">
        <is>
          <t>5</t>
        </is>
      </c>
      <c r="H93" s="669">
        <f>Y93/J93</f>
        <v/>
      </c>
      <c r="I93" s="472" t="n">
        <v>45142</v>
      </c>
      <c r="J93" t="n">
        <v>20040</v>
      </c>
      <c r="K93" s="669" t="n"/>
      <c r="L93" t="n">
        <v>20040</v>
      </c>
      <c r="M93" t="n">
        <v>2000</v>
      </c>
      <c r="P93" t="inlineStr">
        <is>
          <t>Industrial</t>
        </is>
      </c>
      <c r="R93" t="inlineStr">
        <is>
          <t>Average</t>
        </is>
      </c>
      <c r="S93" t="n">
        <v>94176.72</v>
      </c>
      <c r="T93" s="469">
        <f>S93/L93</f>
        <v/>
      </c>
      <c r="U93" t="inlineStr">
        <is>
          <t>Average</t>
        </is>
      </c>
      <c r="V93" s="469" t="n"/>
      <c r="W93" s="469" t="n"/>
      <c r="X93" s="469" t="n"/>
      <c r="Y93" s="671" t="n">
        <v>3100000</v>
      </c>
      <c r="Z93" s="671" t="n"/>
      <c r="AA93" s="671" t="n">
        <v>3100000</v>
      </c>
      <c r="AB93" s="671" t="n"/>
      <c r="AC93" t="inlineStr">
        <is>
          <t>0182502403002</t>
        </is>
      </c>
      <c r="AD93" t="inlineStr">
        <is>
          <t>2023000044907</t>
        </is>
      </c>
      <c r="AE93" t="inlineStr">
        <is>
          <t>RAYFIELD PROPERTIES LLC</t>
        </is>
      </c>
      <c r="AF93" t="inlineStr">
        <is>
          <t>FRANKLIN FLEX LLC</t>
        </is>
      </c>
      <c r="AI93" s="245">
        <f>AND(E93=Subj_OccCode,Subj_BldgSF&gt;0,L93&gt;=Subj_BldgSF*(1-Subj_SizeTol),L93&lt;=Subj_BldgSF*(1+Subj_SizeTol))</f>
        <v/>
      </c>
    </row>
    <row r="94" ht="15" customHeight="1">
      <c r="A94" s="248" t="n">
        <v>7</v>
      </c>
      <c r="B94" s="245" t="n">
        <v>86</v>
      </c>
      <c r="C94" t="inlineStr">
        <is>
          <t>R0099614</t>
        </is>
      </c>
      <c r="D94" t="inlineStr">
        <is>
          <t>6899 PECOS ST</t>
        </is>
      </c>
      <c r="E94" t="n">
        <v>407</v>
      </c>
      <c r="G94" t="inlineStr">
        <is>
          <t>4</t>
        </is>
      </c>
      <c r="H94" s="669">
        <f>Y94/J94</f>
        <v/>
      </c>
      <c r="I94" s="472" t="n">
        <v>44792</v>
      </c>
      <c r="J94" t="n">
        <v>11040</v>
      </c>
      <c r="K94" s="669" t="n"/>
      <c r="L94" t="n">
        <v>11040</v>
      </c>
      <c r="M94" t="n">
        <v>2000</v>
      </c>
      <c r="P94" t="inlineStr">
        <is>
          <t>Planned Unit Development</t>
        </is>
      </c>
      <c r="R94" t="inlineStr">
        <is>
          <t>Average</t>
        </is>
      </c>
      <c r="S94" t="n">
        <v>36887</v>
      </c>
      <c r="T94" s="469">
        <f>S94/L94</f>
        <v/>
      </c>
      <c r="U94" t="inlineStr">
        <is>
          <t>Average</t>
        </is>
      </c>
      <c r="V94" s="469" t="n"/>
      <c r="W94" s="469" t="n"/>
      <c r="X94" s="469" t="n"/>
      <c r="Y94" s="671" t="n">
        <v>1975000</v>
      </c>
      <c r="Z94" s="671" t="n"/>
      <c r="AA94" s="671" t="n">
        <v>1975000</v>
      </c>
      <c r="AB94" s="671" t="n"/>
      <c r="AC94" t="inlineStr">
        <is>
          <t>0182504223003</t>
        </is>
      </c>
      <c r="AD94" t="inlineStr">
        <is>
          <t>2022000070784</t>
        </is>
      </c>
      <c r="AE94" t="inlineStr">
        <is>
          <t>L AND H LLC</t>
        </is>
      </c>
      <c r="AF94" t="inlineStr">
        <is>
          <t>PROMEETHEA LLC</t>
        </is>
      </c>
      <c r="AI94" s="245">
        <f>AND(E94=Subj_OccCode,Subj_BldgSF&gt;0,L94&gt;=Subj_BldgSF*(1-Subj_SizeTol),L94&lt;=Subj_BldgSF*(1+Subj_SizeTol))</f>
        <v/>
      </c>
    </row>
    <row r="95" ht="15" customHeight="1">
      <c r="A95" s="248" t="n">
        <v>7</v>
      </c>
      <c r="B95" s="245" t="n">
        <v>87</v>
      </c>
      <c r="C95" t="inlineStr">
        <is>
          <t>R0103659</t>
        </is>
      </c>
      <c r="D95" t="inlineStr">
        <is>
          <t>6335 DOWNING ST</t>
        </is>
      </c>
      <c r="E95" t="n">
        <v>407</v>
      </c>
      <c r="G95" t="inlineStr">
        <is>
          <t>5</t>
        </is>
      </c>
      <c r="H95" s="669">
        <f>Y95/J95</f>
        <v/>
      </c>
      <c r="I95" s="472" t="n">
        <v>45468</v>
      </c>
      <c r="J95" t="n">
        <v>15000</v>
      </c>
      <c r="K95" s="669" t="n"/>
      <c r="L95" t="n">
        <v>15000</v>
      </c>
      <c r="M95" t="n">
        <v>1998</v>
      </c>
      <c r="P95" t="inlineStr">
        <is>
          <t>Industrial</t>
        </is>
      </c>
      <c r="R95" t="inlineStr">
        <is>
          <t>Average</t>
        </is>
      </c>
      <c r="S95" t="n">
        <v>93654</v>
      </c>
      <c r="T95" s="469">
        <f>S95/L95</f>
        <v/>
      </c>
      <c r="U95" t="inlineStr">
        <is>
          <t>Average</t>
        </is>
      </c>
      <c r="V95" s="469" t="n"/>
      <c r="W95" s="469" t="n"/>
      <c r="X95" s="469" t="n"/>
      <c r="Y95" s="671" t="n">
        <v>4650000</v>
      </c>
      <c r="Z95" s="671" t="n"/>
      <c r="AA95" s="671" t="n">
        <v>4650000</v>
      </c>
      <c r="AB95" s="671" t="n"/>
      <c r="AC95" t="inlineStr">
        <is>
          <t>0182511202020</t>
        </is>
      </c>
      <c r="AD95" t="inlineStr">
        <is>
          <t>2024000034448</t>
        </is>
      </c>
      <c r="AE95" t="inlineStr">
        <is>
          <t>MURPHY WILLIAM R JR</t>
        </is>
      </c>
      <c r="AF95" t="inlineStr">
        <is>
          <t>SCOTT ACKERMAN FAMILY LLC</t>
        </is>
      </c>
      <c r="AI95" s="245">
        <f>AND(E95=Subj_OccCode,Subj_BldgSF&gt;0,L95&gt;=Subj_BldgSF*(1-Subj_SizeTol),L95&lt;=Subj_BldgSF*(1+Subj_SizeTol))</f>
        <v/>
      </c>
    </row>
    <row r="96" ht="15" customHeight="1">
      <c r="A96" s="248" t="n">
        <v>7</v>
      </c>
      <c r="B96" s="245" t="n">
        <v>88</v>
      </c>
      <c r="C96" t="inlineStr">
        <is>
          <t>R0103801</t>
        </is>
      </c>
      <c r="D96" t="inlineStr">
        <is>
          <t>5670 FRANKLIN ST</t>
        </is>
      </c>
      <c r="E96" t="n">
        <v>407</v>
      </c>
      <c r="G96" t="inlineStr">
        <is>
          <t>5</t>
        </is>
      </c>
      <c r="H96" s="669">
        <f>Y96/J96</f>
        <v/>
      </c>
      <c r="I96" s="472" t="n">
        <v>44914</v>
      </c>
      <c r="J96" t="n">
        <v>30065</v>
      </c>
      <c r="K96" s="669" t="n"/>
      <c r="L96" t="n">
        <v>30065</v>
      </c>
      <c r="M96" t="n">
        <v>1982</v>
      </c>
      <c r="P96" t="inlineStr">
        <is>
          <t>Industrial</t>
        </is>
      </c>
      <c r="R96" t="inlineStr">
        <is>
          <t>Average</t>
        </is>
      </c>
      <c r="S96" t="n">
        <v>237402</v>
      </c>
      <c r="T96" s="469">
        <f>S96/L96</f>
        <v/>
      </c>
      <c r="U96" t="inlineStr">
        <is>
          <t>Average</t>
        </is>
      </c>
      <c r="V96" s="469" t="n"/>
      <c r="W96" s="469" t="n"/>
      <c r="X96" s="469" t="n"/>
      <c r="Y96" s="671" t="n">
        <v>8400000</v>
      </c>
      <c r="Z96" s="671" t="n"/>
      <c r="AA96" s="671" t="n">
        <v>8400000</v>
      </c>
      <c r="AB96" s="671" t="n"/>
      <c r="AC96" t="inlineStr">
        <is>
          <t>0182511411007</t>
        </is>
      </c>
      <c r="AD96" t="inlineStr">
        <is>
          <t>2022000098088</t>
        </is>
      </c>
      <c r="AE96" t="inlineStr">
        <is>
          <t>HAMON LLC</t>
        </is>
      </c>
      <c r="AF96" t="inlineStr">
        <is>
          <t>VIA MOBILITY SERVICES</t>
        </is>
      </c>
      <c r="AI96" s="245">
        <f>AND(E96=Subj_OccCode,Subj_BldgSF&gt;0,L96&gt;=Subj_BldgSF*(1-Subj_SizeTol),L96&lt;=Subj_BldgSF*(1+Subj_SizeTol))</f>
        <v/>
      </c>
    </row>
    <row r="97" ht="15" customHeight="1">
      <c r="A97" s="248" t="n">
        <v>7</v>
      </c>
      <c r="B97" s="245" t="n">
        <v>89</v>
      </c>
      <c r="C97" t="inlineStr">
        <is>
          <t>R0141272</t>
        </is>
      </c>
      <c r="D97" t="inlineStr">
        <is>
          <t xml:space="preserve">7880 WASHINGTON ST </t>
        </is>
      </c>
      <c r="E97" t="n">
        <v>325</v>
      </c>
      <c r="G97" t="inlineStr">
        <is>
          <t>4</t>
        </is>
      </c>
      <c r="H97" s="669">
        <f>Y97/J97</f>
        <v/>
      </c>
      <c r="I97" s="472" t="n">
        <v>45210</v>
      </c>
      <c r="J97" t="n">
        <v>16500</v>
      </c>
      <c r="K97" s="669" t="n"/>
      <c r="L97" t="n">
        <v>16500</v>
      </c>
      <c r="M97" t="n">
        <v>2003</v>
      </c>
      <c r="P97" t="inlineStr">
        <is>
          <t>Planned Unit Development</t>
        </is>
      </c>
      <c r="R97" t="inlineStr">
        <is>
          <t>Average</t>
        </is>
      </c>
      <c r="S97" t="n">
        <v>68986</v>
      </c>
      <c r="T97" s="469">
        <f>S97/L97</f>
        <v/>
      </c>
      <c r="U97" t="inlineStr">
        <is>
          <t>Average</t>
        </is>
      </c>
      <c r="V97" s="469" t="n"/>
      <c r="W97" s="469" t="n"/>
      <c r="X97" s="469" t="n"/>
      <c r="Y97" s="671" t="n">
        <v>2765000</v>
      </c>
      <c r="Z97" s="671" t="n"/>
      <c r="AA97" s="671" t="n">
        <v>2765000</v>
      </c>
      <c r="AB97" s="671" t="n"/>
      <c r="AC97" t="inlineStr">
        <is>
          <t>0171935225028</t>
        </is>
      </c>
      <c r="AD97" t="inlineStr">
        <is>
          <t>2023000057902</t>
        </is>
      </c>
      <c r="AE97" t="inlineStr">
        <is>
          <t>CHAI INVESTMENTS LLC</t>
        </is>
      </c>
      <c r="AF97" t="inlineStr">
        <is>
          <t>DENVER WASHINGTON ST LLC</t>
        </is>
      </c>
      <c r="AI97" s="245">
        <f>AND(E97=Subj_OccCode,Subj_BldgSF&gt;0,L97&gt;=Subj_BldgSF*(1-Subj_SizeTol),L97&lt;=Subj_BldgSF*(1+Subj_SizeTol))</f>
        <v/>
      </c>
    </row>
    <row r="98" ht="15" customHeight="1">
      <c r="A98" s="248" t="n">
        <v>7</v>
      </c>
      <c r="B98" s="245" t="n">
        <v>90</v>
      </c>
      <c r="C98" t="inlineStr">
        <is>
          <t>R0147285</t>
        </is>
      </c>
      <c r="D98" t="inlineStr">
        <is>
          <t>6351 BEACH ST</t>
        </is>
      </c>
      <c r="E98" t="n">
        <v>407</v>
      </c>
      <c r="G98" t="inlineStr">
        <is>
          <t>5</t>
        </is>
      </c>
      <c r="H98" s="669">
        <f>Y98/J98</f>
        <v/>
      </c>
      <c r="I98" s="472" t="n">
        <v>44865</v>
      </c>
      <c r="J98" t="n">
        <v>12461</v>
      </c>
      <c r="K98" s="669" t="n"/>
      <c r="L98" t="n">
        <v>12461</v>
      </c>
      <c r="M98" t="n">
        <v>2001</v>
      </c>
      <c r="P98" t="inlineStr">
        <is>
          <t>Planned Unit Development</t>
        </is>
      </c>
      <c r="R98" t="inlineStr">
        <is>
          <t>Very Good</t>
        </is>
      </c>
      <c r="S98" t="n">
        <v>43560</v>
      </c>
      <c r="T98" s="469">
        <f>S98/L98</f>
        <v/>
      </c>
      <c r="U98" t="inlineStr">
        <is>
          <t>Very Good</t>
        </is>
      </c>
      <c r="V98" s="469" t="n"/>
      <c r="W98" s="469" t="n"/>
      <c r="X98" s="469" t="n"/>
      <c r="Y98" s="671" t="n">
        <v>3100000</v>
      </c>
      <c r="Z98" s="671" t="n"/>
      <c r="AA98" s="671" t="n">
        <v>3100000</v>
      </c>
      <c r="AB98" s="671" t="n"/>
      <c r="AC98" t="inlineStr">
        <is>
          <t>0182508105003</t>
        </is>
      </c>
      <c r="AD98" t="inlineStr">
        <is>
          <t>2022000097630</t>
        </is>
      </c>
      <c r="AE98" t="inlineStr">
        <is>
          <t>67TH STREET ACQUISITIONS LLC</t>
        </is>
      </c>
      <c r="AF98" t="inlineStr">
        <is>
          <t>J AND R SERVICES LLC</t>
        </is>
      </c>
      <c r="AI98" s="245">
        <f>AND(E98=Subj_OccCode,Subj_BldgSF&gt;0,L98&gt;=Subj_BldgSF*(1-Subj_SizeTol),L98&lt;=Subj_BldgSF*(1+Subj_SizeTol))</f>
        <v/>
      </c>
    </row>
    <row r="99" ht="15" customHeight="1">
      <c r="A99" s="248" t="n">
        <v>7</v>
      </c>
      <c r="B99" s="245" t="n">
        <v>91</v>
      </c>
      <c r="C99" t="inlineStr">
        <is>
          <t>R0167019</t>
        </is>
      </c>
      <c r="D99" t="inlineStr">
        <is>
          <t>6271 BEACH ST #E</t>
        </is>
      </c>
      <c r="E99" t="n">
        <v>425</v>
      </c>
      <c r="G99" t="inlineStr">
        <is>
          <t>5</t>
        </is>
      </c>
      <c r="H99" s="669">
        <f>Y99/J99</f>
        <v/>
      </c>
      <c r="I99" s="472" t="n">
        <v>45184</v>
      </c>
      <c r="J99" t="n">
        <v>22138</v>
      </c>
      <c r="K99" s="669" t="n"/>
      <c r="L99" t="n">
        <v>22138</v>
      </c>
      <c r="M99" t="n">
        <v>2005</v>
      </c>
      <c r="P99" t="inlineStr">
        <is>
          <t>Planned Unit Development</t>
        </is>
      </c>
      <c r="R99" t="inlineStr">
        <is>
          <t>Average</t>
        </is>
      </c>
      <c r="S99" t="n">
        <v>13402</v>
      </c>
      <c r="T99" s="469">
        <f>S99/L99</f>
        <v/>
      </c>
      <c r="U99" t="inlineStr">
        <is>
          <t>Average</t>
        </is>
      </c>
      <c r="V99" s="469" t="n"/>
      <c r="W99" s="469" t="n"/>
      <c r="X99" s="469" t="n"/>
      <c r="Y99" s="671" t="n">
        <v>795000</v>
      </c>
      <c r="Z99" s="671" t="n"/>
      <c r="AA99" s="671" t="n">
        <v>795000</v>
      </c>
      <c r="AB99" s="671" t="n"/>
      <c r="AC99" t="inlineStr">
        <is>
          <t>0182508105015</t>
        </is>
      </c>
      <c r="AD99" t="inlineStr">
        <is>
          <t>2023000053031</t>
        </is>
      </c>
      <c r="AE99" t="inlineStr">
        <is>
          <t>GRAEME JOHNSTON LLC</t>
        </is>
      </c>
      <c r="AF99" t="inlineStr">
        <is>
          <t>DMG MARBLE &amp; GRANITE DESIGNER INC</t>
        </is>
      </c>
      <c r="AI99" s="245">
        <f>AND(E99=Subj_OccCode,Subj_BldgSF&gt;0,L99&gt;=Subj_BldgSF*(1-Subj_SizeTol),L99&lt;=Subj_BldgSF*(1+Subj_SizeTol))</f>
        <v/>
      </c>
    </row>
    <row r="100" ht="15" customHeight="1">
      <c r="A100" s="248" t="n">
        <v>7</v>
      </c>
      <c r="B100" s="245" t="n">
        <v>92</v>
      </c>
      <c r="C100" t="inlineStr">
        <is>
          <t>R0168920</t>
        </is>
      </c>
      <c r="D100" t="inlineStr">
        <is>
          <t>12045 MOLINE ST</t>
        </is>
      </c>
      <c r="E100" t="n">
        <v>386</v>
      </c>
      <c r="F100" t="inlineStr">
        <is>
          <t>BRIGHTON</t>
        </is>
      </c>
      <c r="G100" t="inlineStr">
        <is>
          <t>3</t>
        </is>
      </c>
      <c r="H100" s="669">
        <f>Y100/J100</f>
        <v/>
      </c>
      <c r="I100" s="472" t="n">
        <v>45398</v>
      </c>
      <c r="J100" t="n">
        <v>32145</v>
      </c>
      <c r="K100" s="669" t="n"/>
      <c r="L100" t="n">
        <v>32145</v>
      </c>
      <c r="M100" t="n">
        <v>2006</v>
      </c>
      <c r="P100" t="inlineStr">
        <is>
          <t>I-1-Bri</t>
        </is>
      </c>
      <c r="R100" t="inlineStr">
        <is>
          <t>Average</t>
        </is>
      </c>
      <c r="S100" t="n">
        <v>93249</v>
      </c>
      <c r="T100" s="469">
        <f>S100/L100</f>
        <v/>
      </c>
      <c r="U100" t="inlineStr">
        <is>
          <t>Average</t>
        </is>
      </c>
      <c r="V100" s="469" t="n"/>
      <c r="W100" s="469" t="n"/>
      <c r="X100" s="469" t="n"/>
      <c r="Y100" s="671" t="n">
        <v>3500000</v>
      </c>
      <c r="Z100" s="671" t="n"/>
      <c r="AA100" s="671" t="n">
        <v>3500000</v>
      </c>
      <c r="AB100" s="671" t="n"/>
      <c r="AC100" t="inlineStr">
        <is>
          <t>0157135401006</t>
        </is>
      </c>
      <c r="AD100" t="inlineStr">
        <is>
          <t>2024000020443</t>
        </is>
      </c>
      <c r="AE100" t="inlineStr">
        <is>
          <t>ALL SECURE SELF STORAGE LLC</t>
        </is>
      </c>
      <c r="AF100" t="inlineStr">
        <is>
          <t>MHC 282 (HENDERSON CO) LLC</t>
        </is>
      </c>
      <c r="AI100" s="245">
        <f>AND(E100=Subj_OccCode,Subj_BldgSF&gt;0,L100&gt;=Subj_BldgSF*(1-Subj_SizeTol),L100&lt;=Subj_BldgSF*(1+Subj_SizeTol))</f>
        <v/>
      </c>
    </row>
    <row r="101" ht="15" customHeight="1">
      <c r="A101" s="248" t="n">
        <v>7</v>
      </c>
      <c r="B101" s="245" t="n">
        <v>93</v>
      </c>
      <c r="C101" t="inlineStr">
        <is>
          <t>R0173183</t>
        </is>
      </c>
      <c r="D101" t="inlineStr">
        <is>
          <t>5454 WASHINGTON ST #4</t>
        </is>
      </c>
      <c r="E101" t="n">
        <v>425</v>
      </c>
      <c r="G101" t="inlineStr">
        <is>
          <t>5</t>
        </is>
      </c>
      <c r="H101" s="669">
        <f>Y101/J101</f>
        <v/>
      </c>
      <c r="I101" s="472" t="n">
        <v>44747</v>
      </c>
      <c r="J101" t="n">
        <v>34740</v>
      </c>
      <c r="K101" s="669" t="n"/>
      <c r="L101" t="n">
        <v>34740</v>
      </c>
      <c r="M101" t="n">
        <v>1985</v>
      </c>
      <c r="P101" t="inlineStr">
        <is>
          <t>Industrial</t>
        </is>
      </c>
      <c r="R101" t="inlineStr">
        <is>
          <t>Average</t>
        </is>
      </c>
      <c r="S101" t="n">
        <v>7920</v>
      </c>
      <c r="T101" s="469">
        <f>S101/L101</f>
        <v/>
      </c>
      <c r="U101" t="inlineStr">
        <is>
          <t>Average</t>
        </is>
      </c>
      <c r="V101" s="469" t="n"/>
      <c r="W101" s="469" t="n"/>
      <c r="X101" s="469" t="n"/>
      <c r="Y101" s="671" t="n">
        <v>755000</v>
      </c>
      <c r="Z101" s="671" t="n"/>
      <c r="AA101" s="671" t="n">
        <v>755000</v>
      </c>
      <c r="AB101" s="671" t="n"/>
      <c r="AC101" t="inlineStr">
        <is>
          <t>0182514210015</t>
        </is>
      </c>
      <c r="AD101" t="inlineStr">
        <is>
          <t>2022000058427</t>
        </is>
      </c>
      <c r="AE101" t="inlineStr">
        <is>
          <t>PRIMA CARE CARE LLC</t>
        </is>
      </c>
      <c r="AF101" t="inlineStr">
        <is>
          <t>TIMA TX LLC</t>
        </is>
      </c>
      <c r="AI101" s="245">
        <f>AND(E101=Subj_OccCode,Subj_BldgSF&gt;0,L101&gt;=Subj_BldgSF*(1-Subj_SizeTol),L101&lt;=Subj_BldgSF*(1+Subj_SizeTol))</f>
        <v/>
      </c>
    </row>
    <row r="102" ht="15" customHeight="1">
      <c r="A102" s="248" t="n">
        <v>7</v>
      </c>
      <c r="B102" s="245" t="n">
        <v>94</v>
      </c>
      <c r="C102" t="inlineStr">
        <is>
          <t>R0223486</t>
        </is>
      </c>
      <c r="D102" t="inlineStr">
        <is>
          <t>9658 HAVAN ST #B07</t>
        </is>
      </c>
      <c r="E102" t="n">
        <v>425</v>
      </c>
      <c r="F102" t="inlineStr">
        <is>
          <t>COMMERCE CITY</t>
        </is>
      </c>
      <c r="G102" t="inlineStr">
        <is>
          <t>5</t>
        </is>
      </c>
      <c r="H102" s="669">
        <f>Y102/J102</f>
        <v/>
      </c>
      <c r="I102" s="472" t="n">
        <v>45400</v>
      </c>
      <c r="J102" t="n">
        <v>16800</v>
      </c>
      <c r="K102" s="669" t="n"/>
      <c r="L102" t="n">
        <v>16800</v>
      </c>
      <c r="M102" t="n">
        <v>2023</v>
      </c>
      <c r="P102" t="inlineStr">
        <is>
          <t>Industrial</t>
        </is>
      </c>
      <c r="R102" t="inlineStr">
        <is>
          <t>Average</t>
        </is>
      </c>
      <c r="S102" t="n">
        <v>1783</v>
      </c>
      <c r="T102" s="469">
        <f>S102/L102</f>
        <v/>
      </c>
      <c r="U102" t="inlineStr">
        <is>
          <t>Average</t>
        </is>
      </c>
      <c r="V102" s="469" t="n"/>
      <c r="W102" s="469" t="n"/>
      <c r="X102" s="469" t="n"/>
      <c r="Y102" s="671" t="n">
        <v>188000</v>
      </c>
      <c r="Z102" s="671" t="n"/>
      <c r="AA102" s="671" t="n">
        <v>188000</v>
      </c>
      <c r="AB102" s="671" t="n"/>
      <c r="AC102" t="inlineStr">
        <is>
          <t>0172115405047</t>
        </is>
      </c>
      <c r="AD102" t="inlineStr">
        <is>
          <t>2024000020484</t>
        </is>
      </c>
      <c r="AE102" t="inlineStr">
        <is>
          <t>THE GARAGE SOCIETY HOLDINGS LLC</t>
        </is>
      </c>
      <c r="AF102" t="inlineStr">
        <is>
          <t>RASHER JEFFRY W AND, RASHER SUZI L</t>
        </is>
      </c>
      <c r="AI102" s="245">
        <f>AND(E102=Subj_OccCode,Subj_BldgSF&gt;0,L102&gt;=Subj_BldgSF*(1-Subj_SizeTol),L102&lt;=Subj_BldgSF*(1+Subj_SizeTol))</f>
        <v/>
      </c>
    </row>
    <row r="103" ht="15" customHeight="1">
      <c r="A103" s="248" t="n">
        <v>7</v>
      </c>
      <c r="B103" s="245" t="n">
        <v>95</v>
      </c>
      <c r="C103" t="inlineStr">
        <is>
          <t>R0077966</t>
        </is>
      </c>
      <c r="D103" t="inlineStr">
        <is>
          <t>7270 DAHLI ST</t>
        </is>
      </c>
      <c r="E103" t="n">
        <v>407</v>
      </c>
      <c r="F103" t="inlineStr">
        <is>
          <t>COMMERCE CITY</t>
        </is>
      </c>
      <c r="G103" t="inlineStr">
        <is>
          <t>5</t>
        </is>
      </c>
      <c r="H103" s="669">
        <f>Y103/J103</f>
        <v/>
      </c>
      <c r="I103" s="472" t="n">
        <v>45338</v>
      </c>
      <c r="J103" t="n">
        <v>16200</v>
      </c>
      <c r="K103" s="669" t="n"/>
      <c r="L103" t="n">
        <v>16200</v>
      </c>
      <c r="M103" t="n">
        <v>1988</v>
      </c>
      <c r="P103" t="inlineStr">
        <is>
          <t>I-2-Com</t>
        </is>
      </c>
      <c r="R103" t="inlineStr">
        <is>
          <t>Average</t>
        </is>
      </c>
      <c r="S103" t="n">
        <v>108900</v>
      </c>
      <c r="T103" s="469">
        <f>S103/L103</f>
        <v/>
      </c>
      <c r="U103" t="inlineStr">
        <is>
          <t>Average</t>
        </is>
      </c>
      <c r="V103" s="469" t="n"/>
      <c r="W103" s="469" t="n"/>
      <c r="X103" s="469" t="n"/>
      <c r="Y103" s="671" t="n">
        <v>4200000</v>
      </c>
      <c r="Z103" s="671" t="n"/>
      <c r="AA103" s="671" t="n">
        <v>4200000</v>
      </c>
      <c r="AB103" s="671" t="n"/>
      <c r="AC103" t="inlineStr">
        <is>
          <t>0172131402024</t>
        </is>
      </c>
      <c r="AD103" t="inlineStr">
        <is>
          <t>2024000008761</t>
        </is>
      </c>
      <c r="AE103" t="inlineStr">
        <is>
          <t>HONNEN PARTNERS L L C</t>
        </is>
      </c>
      <c r="AF103" t="inlineStr">
        <is>
          <t>4 RIVERS PROPERTIES COMMERCE CITY II LLC</t>
        </is>
      </c>
      <c r="AI103" s="245">
        <f>AND(E103=Subj_OccCode,Subj_BldgSF&gt;0,L103&gt;=Subj_BldgSF*(1-Subj_SizeTol),L103&lt;=Subj_BldgSF*(1+Subj_SizeTol))</f>
        <v/>
      </c>
    </row>
    <row r="104" ht="15" customHeight="1">
      <c r="A104" s="248" t="n">
        <v>7</v>
      </c>
      <c r="B104" s="245" t="n">
        <v>96</v>
      </c>
      <c r="C104" t="inlineStr">
        <is>
          <t>R0090940</t>
        </is>
      </c>
      <c r="D104" t="inlineStr">
        <is>
          <t>4701 E 60TH AVE</t>
        </is>
      </c>
      <c r="E104" t="n">
        <v>100</v>
      </c>
      <c r="F104" t="inlineStr">
        <is>
          <t>COMMERCE CITY</t>
        </is>
      </c>
      <c r="G104" t="inlineStr">
        <is>
          <t>5</t>
        </is>
      </c>
      <c r="H104" s="669">
        <f>Y104/J104</f>
        <v/>
      </c>
      <c r="I104" s="472" t="n">
        <v>44771</v>
      </c>
      <c r="J104" t="n">
        <v>28069</v>
      </c>
      <c r="K104" s="669" t="n"/>
      <c r="L104" t="n">
        <v>28069</v>
      </c>
      <c r="M104" t="n">
        <v>1939</v>
      </c>
      <c r="P104" t="inlineStr">
        <is>
          <t>I-3-Com</t>
        </is>
      </c>
      <c r="R104" t="inlineStr">
        <is>
          <t>Fair</t>
        </is>
      </c>
      <c r="S104" t="n">
        <v>226512</v>
      </c>
      <c r="T104" s="469">
        <f>S104/L104</f>
        <v/>
      </c>
      <c r="U104" t="inlineStr">
        <is>
          <t>Fair</t>
        </is>
      </c>
      <c r="V104" s="469" t="n"/>
      <c r="W104" s="469" t="n"/>
      <c r="X104" s="469" t="n"/>
      <c r="Y104" s="671" t="n">
        <v>5000000</v>
      </c>
      <c r="Z104" s="671" t="n"/>
      <c r="AA104" s="671" t="n">
        <v>5000000</v>
      </c>
      <c r="AB104" s="671" t="n"/>
      <c r="AC104" t="inlineStr">
        <is>
          <t>0182307200041</t>
        </is>
      </c>
      <c r="AD104" t="inlineStr">
        <is>
          <t>2022000065667</t>
        </is>
      </c>
      <c r="AE104" t="inlineStr">
        <is>
          <t>BUBB LLC</t>
        </is>
      </c>
      <c r="AF104" t="inlineStr">
        <is>
          <t>SDF3 4701 E 60TH AVE LLC</t>
        </is>
      </c>
      <c r="AI104" s="245">
        <f>AND(E104=Subj_OccCode,Subj_BldgSF&gt;0,L104&gt;=Subj_BldgSF*(1-Subj_SizeTol),L104&lt;=Subj_BldgSF*(1+Subj_SizeTol))</f>
        <v/>
      </c>
    </row>
    <row r="105" ht="15" customHeight="1">
      <c r="A105" s="248" t="n">
        <v>7</v>
      </c>
      <c r="B105" s="245" t="n">
        <v>97</v>
      </c>
      <c r="C105" t="inlineStr">
        <is>
          <t>R0098080</t>
        </is>
      </c>
      <c r="D105" t="inlineStr">
        <is>
          <t>851 HWY 224 #A4</t>
        </is>
      </c>
      <c r="E105" t="n">
        <v>425</v>
      </c>
      <c r="G105" t="inlineStr">
        <is>
          <t>5</t>
        </is>
      </c>
      <c r="H105" s="669">
        <f>Y105/J105</f>
        <v/>
      </c>
      <c r="I105" s="472" t="n">
        <v>45197</v>
      </c>
      <c r="J105" t="n">
        <v>26500</v>
      </c>
      <c r="K105" s="669" t="n"/>
      <c r="L105" t="n">
        <v>26500</v>
      </c>
      <c r="M105" t="n">
        <v>1984</v>
      </c>
      <c r="P105" t="inlineStr">
        <is>
          <t>Industrial</t>
        </is>
      </c>
      <c r="R105" t="inlineStr">
        <is>
          <t>Average</t>
        </is>
      </c>
      <c r="S105" t="n">
        <v>4340</v>
      </c>
      <c r="T105" s="469">
        <f>S105/L105</f>
        <v/>
      </c>
      <c r="U105" t="inlineStr">
        <is>
          <t>Average</t>
        </is>
      </c>
      <c r="V105" s="469" t="n"/>
      <c r="W105" s="469" t="n"/>
      <c r="X105" s="469" t="n"/>
      <c r="Y105" s="671" t="n">
        <v>385000</v>
      </c>
      <c r="Z105" s="671" t="n"/>
      <c r="AA105" s="671" t="n">
        <v>385000</v>
      </c>
      <c r="AB105" s="671" t="n"/>
      <c r="AC105" t="inlineStr">
        <is>
          <t>0182502203044</t>
        </is>
      </c>
      <c r="AD105" t="inlineStr">
        <is>
          <t>2023000055425</t>
        </is>
      </c>
      <c r="AE105" t="inlineStr">
        <is>
          <t>PRIMA CAR CARE LLC</t>
        </is>
      </c>
      <c r="AF105" t="inlineStr">
        <is>
          <t>SEARLES INVESTMENTS LLC</t>
        </is>
      </c>
      <c r="AI105" s="245">
        <f>AND(E105=Subj_OccCode,Subj_BldgSF&gt;0,L105&gt;=Subj_BldgSF*(1-Subj_SizeTol),L105&lt;=Subj_BldgSF*(1+Subj_SizeTol))</f>
        <v/>
      </c>
    </row>
    <row r="106" ht="15" customHeight="1">
      <c r="A106" s="248" t="n">
        <v>7</v>
      </c>
      <c r="B106" s="245" t="n">
        <v>98</v>
      </c>
      <c r="C106" t="inlineStr">
        <is>
          <t>R0100089</t>
        </is>
      </c>
      <c r="D106" t="inlineStr">
        <is>
          <t>3250 W 72ND AVE</t>
        </is>
      </c>
      <c r="E106" t="n">
        <v>407</v>
      </c>
      <c r="F106" t="inlineStr">
        <is>
          <t>WESTMINSTER</t>
        </is>
      </c>
      <c r="G106" t="inlineStr">
        <is>
          <t>4</t>
        </is>
      </c>
      <c r="H106" s="669">
        <f>Y106/J106</f>
        <v/>
      </c>
      <c r="I106" s="472" t="n">
        <v>45072</v>
      </c>
      <c r="J106" t="n">
        <v>10512</v>
      </c>
      <c r="K106" s="669" t="n"/>
      <c r="L106" t="n">
        <v>10512</v>
      </c>
      <c r="M106" t="n">
        <v>1977</v>
      </c>
      <c r="P106" t="inlineStr">
        <is>
          <t>SPD</t>
        </is>
      </c>
      <c r="R106" t="inlineStr">
        <is>
          <t>Average</t>
        </is>
      </c>
      <c r="S106" t="n">
        <v>29041</v>
      </c>
      <c r="T106" s="469">
        <f>S106/L106</f>
        <v/>
      </c>
      <c r="U106" t="inlineStr">
        <is>
          <t>Average</t>
        </is>
      </c>
      <c r="V106" s="469" t="n"/>
      <c r="W106" s="469" t="n"/>
      <c r="X106" s="469" t="n"/>
      <c r="Y106" s="671" t="n">
        <v>1813000</v>
      </c>
      <c r="Z106" s="671" t="n"/>
      <c r="AA106" s="671" t="n">
        <v>1813000</v>
      </c>
      <c r="AB106" s="671" t="n"/>
      <c r="AC106" t="inlineStr">
        <is>
          <t>0182505216015</t>
        </is>
      </c>
      <c r="AD106" t="inlineStr">
        <is>
          <t>2023000029584</t>
        </is>
      </c>
      <c r="AE106" t="inlineStr">
        <is>
          <t>7160 IRVING STREET LLC</t>
        </is>
      </c>
      <c r="AF106" t="inlineStr">
        <is>
          <t>BLUELINE 3250 W 72ND AVE LLC</t>
        </is>
      </c>
      <c r="AI106" s="245">
        <f>AND(E106=Subj_OccCode,Subj_BldgSF&gt;0,L106&gt;=Subj_BldgSF*(1-Subj_SizeTol),L106&lt;=Subj_BldgSF*(1+Subj_SizeTol))</f>
        <v/>
      </c>
    </row>
    <row r="107" ht="15" customHeight="1">
      <c r="A107" s="248" t="n">
        <v>7</v>
      </c>
      <c r="B107" s="245" t="n">
        <v>99</v>
      </c>
      <c r="C107" t="inlineStr">
        <is>
          <t>R0110916</t>
        </is>
      </c>
      <c r="D107" t="inlineStr">
        <is>
          <t>8999 E 96TH AVE</t>
        </is>
      </c>
      <c r="E107" t="n">
        <v>407</v>
      </c>
      <c r="F107" t="inlineStr">
        <is>
          <t>COMMERCE CITY</t>
        </is>
      </c>
      <c r="G107" t="inlineStr">
        <is>
          <t>5</t>
        </is>
      </c>
      <c r="H107" s="669">
        <f>Y107/J107</f>
        <v/>
      </c>
      <c r="I107" s="472" t="n">
        <v>45230</v>
      </c>
      <c r="J107" t="n">
        <v>27300</v>
      </c>
      <c r="K107" s="669" t="n"/>
      <c r="L107" t="n">
        <v>27300</v>
      </c>
      <c r="M107" t="n">
        <v>1996</v>
      </c>
      <c r="P107" t="inlineStr">
        <is>
          <t>I-3-Com</t>
        </is>
      </c>
      <c r="R107" t="inlineStr">
        <is>
          <t>Average</t>
        </is>
      </c>
      <c r="S107" t="n">
        <v>425973.3</v>
      </c>
      <c r="T107" s="469">
        <f>S107/L107</f>
        <v/>
      </c>
      <c r="U107" t="inlineStr">
        <is>
          <t>Average</t>
        </is>
      </c>
      <c r="V107" s="469" t="n"/>
      <c r="W107" s="469" t="n"/>
      <c r="X107" s="469" t="n"/>
      <c r="Y107" s="671" t="n">
        <v>6000000</v>
      </c>
      <c r="Z107" s="671" t="n"/>
      <c r="AA107" s="671" t="n">
        <v>6000000</v>
      </c>
      <c r="AB107" s="671" t="n"/>
      <c r="AC107" t="inlineStr">
        <is>
          <t>0172115006006</t>
        </is>
      </c>
      <c r="AD107" t="inlineStr">
        <is>
          <t>2023000061419</t>
        </is>
      </c>
      <c r="AE107" t="inlineStr">
        <is>
          <t>H.N.K. INVESTMENT LLC</t>
        </is>
      </c>
      <c r="AF107" t="inlineStr">
        <is>
          <t>BOSSELMAN TANK &amp; TRAILER INC</t>
        </is>
      </c>
      <c r="AI107" s="245">
        <f>AND(E107=Subj_OccCode,Subj_BldgSF&gt;0,L107&gt;=Subj_BldgSF*(1-Subj_SizeTol),L107&lt;=Subj_BldgSF*(1+Subj_SizeTol))</f>
        <v/>
      </c>
    </row>
    <row r="108" ht="15" customHeight="1">
      <c r="A108" s="248" t="n">
        <v>7</v>
      </c>
      <c r="B108" s="245" t="n">
        <v>100</v>
      </c>
      <c r="C108" t="inlineStr">
        <is>
          <t>R0150417</t>
        </is>
      </c>
      <c r="D108" t="inlineStr">
        <is>
          <t>4114 E BROMLEY LN</t>
        </is>
      </c>
      <c r="E108" t="n">
        <v>423</v>
      </c>
      <c r="F108" t="inlineStr">
        <is>
          <t>BRIGHTON</t>
        </is>
      </c>
      <c r="G108" t="inlineStr">
        <is>
          <t>2</t>
        </is>
      </c>
      <c r="H108" s="669">
        <f>Y108/J108</f>
        <v/>
      </c>
      <c r="I108" s="472" t="n">
        <v>45201</v>
      </c>
      <c r="J108" t="n">
        <v>2500</v>
      </c>
      <c r="K108" s="669" t="n"/>
      <c r="L108" t="n">
        <v>2500</v>
      </c>
      <c r="M108" t="n">
        <v>2003</v>
      </c>
      <c r="P108" t="inlineStr">
        <is>
          <t>PUD-Bri</t>
        </is>
      </c>
      <c r="R108" t="inlineStr">
        <is>
          <t>Average</t>
        </is>
      </c>
      <c r="S108" t="n">
        <v>33846.12</v>
      </c>
      <c r="T108" s="469">
        <f>S108/L108</f>
        <v/>
      </c>
      <c r="U108" t="inlineStr">
        <is>
          <t>Average</t>
        </is>
      </c>
      <c r="V108" s="469" t="n"/>
      <c r="W108" s="469" t="n"/>
      <c r="X108" s="469" t="n"/>
      <c r="Y108" s="671" t="n">
        <v>1650000</v>
      </c>
      <c r="Z108" s="671" t="n"/>
      <c r="AA108" s="671" t="n">
        <v>1644000</v>
      </c>
      <c r="AB108" s="671" t="n"/>
      <c r="AC108" t="inlineStr">
        <is>
          <t>0156915201003</t>
        </is>
      </c>
      <c r="AD108" t="inlineStr">
        <is>
          <t>2023000056494</t>
        </is>
      </c>
      <c r="AE108" t="inlineStr">
        <is>
          <t>OGDEN MCHENRY FAMILY TRUST</t>
        </is>
      </c>
      <c r="AF108" t="inlineStr">
        <is>
          <t>DWV PROPERTIES LLC</t>
        </is>
      </c>
      <c r="AI108" s="245">
        <f>AND(E108=Subj_OccCode,Subj_BldgSF&gt;0,L108&gt;=Subj_BldgSF*(1-Subj_SizeTol),L108&lt;=Subj_BldgSF*(1+Subj_SizeTol))</f>
        <v/>
      </c>
    </row>
    <row r="109" ht="15" customHeight="1">
      <c r="A109" s="248" t="n">
        <v>7</v>
      </c>
      <c r="B109" s="245" t="n">
        <v>101</v>
      </c>
      <c r="C109" t="inlineStr">
        <is>
          <t>R0164391</t>
        </is>
      </c>
      <c r="D109" t="inlineStr">
        <is>
          <t>2611 W 64TH AVE #B</t>
        </is>
      </c>
      <c r="E109" t="n">
        <v>425</v>
      </c>
      <c r="G109" t="inlineStr">
        <is>
          <t>5</t>
        </is>
      </c>
      <c r="H109" s="669">
        <f>Y109/J109</f>
        <v/>
      </c>
      <c r="I109" s="472" t="n">
        <v>45042</v>
      </c>
      <c r="J109" t="n">
        <v>15125</v>
      </c>
      <c r="K109" s="669" t="n"/>
      <c r="L109" t="n">
        <v>15125</v>
      </c>
      <c r="M109" t="n">
        <v>2005</v>
      </c>
      <c r="P109" t="inlineStr">
        <is>
          <t>Industrial</t>
        </is>
      </c>
      <c r="R109" t="inlineStr">
        <is>
          <t>Average</t>
        </is>
      </c>
      <c r="S109" t="n">
        <v>10924</v>
      </c>
      <c r="T109" s="469">
        <f>S109/L109</f>
        <v/>
      </c>
      <c r="U109" t="inlineStr">
        <is>
          <t>Average</t>
        </is>
      </c>
      <c r="V109" s="469" t="n"/>
      <c r="W109" s="469" t="n"/>
      <c r="X109" s="469" t="n"/>
      <c r="Y109" s="671" t="n">
        <v>515000</v>
      </c>
      <c r="Z109" s="671" t="n"/>
      <c r="AA109" s="671" t="n">
        <v>515000</v>
      </c>
      <c r="AB109" s="671" t="n"/>
      <c r="AC109" t="inlineStr">
        <is>
          <t>0182505407029</t>
        </is>
      </c>
      <c r="AD109" t="inlineStr">
        <is>
          <t>2023000023115</t>
        </is>
      </c>
      <c r="AE109" t="inlineStr">
        <is>
          <t>FREEDMAN ROBERT ANDREW AND , FREEDMAN LORI ELAINE</t>
        </is>
      </c>
      <c r="AF109" t="inlineStr">
        <is>
          <t>NOVE COMMERCIAL LLC</t>
        </is>
      </c>
      <c r="AI109" s="245">
        <f>AND(E109=Subj_OccCode,Subj_BldgSF&gt;0,L109&gt;=Subj_BldgSF*(1-Subj_SizeTol),L109&lt;=Subj_BldgSF*(1+Subj_SizeTol))</f>
        <v/>
      </c>
    </row>
    <row r="110" ht="15" customHeight="1">
      <c r="A110" s="248" t="n">
        <v>7</v>
      </c>
      <c r="B110" s="245" t="n">
        <v>102</v>
      </c>
      <c r="C110" t="inlineStr">
        <is>
          <t>R0164395</t>
        </is>
      </c>
      <c r="D110" t="inlineStr">
        <is>
          <t>2611 W 64TH AVE #F</t>
        </is>
      </c>
      <c r="E110" t="n">
        <v>425</v>
      </c>
      <c r="G110" t="inlineStr">
        <is>
          <t>5</t>
        </is>
      </c>
      <c r="H110" s="669">
        <f>Y110/J110</f>
        <v/>
      </c>
      <c r="I110" s="472" t="n">
        <v>45152</v>
      </c>
      <c r="J110" t="n">
        <v>15125</v>
      </c>
      <c r="K110" s="669" t="n"/>
      <c r="L110" t="n">
        <v>15125</v>
      </c>
      <c r="M110" t="n">
        <v>2005</v>
      </c>
      <c r="P110" t="inlineStr">
        <is>
          <t>Industrial</t>
        </is>
      </c>
      <c r="R110" t="inlineStr">
        <is>
          <t>Average</t>
        </is>
      </c>
      <c r="S110" t="n">
        <v>10924</v>
      </c>
      <c r="T110" s="469">
        <f>S110/L110</f>
        <v/>
      </c>
      <c r="U110" t="inlineStr">
        <is>
          <t>Average</t>
        </is>
      </c>
      <c r="V110" s="469" t="n"/>
      <c r="W110" s="469" t="n"/>
      <c r="X110" s="469" t="n"/>
      <c r="Y110" s="671" t="n">
        <v>699000</v>
      </c>
      <c r="Z110" s="671" t="n"/>
      <c r="AA110" s="671" t="n">
        <v>699000</v>
      </c>
      <c r="AB110" s="671" t="n"/>
      <c r="AC110" t="inlineStr">
        <is>
          <t>0182505407033</t>
        </is>
      </c>
      <c r="AD110" t="inlineStr">
        <is>
          <t>2023000046606</t>
        </is>
      </c>
      <c r="AE110" t="inlineStr">
        <is>
          <t>2611 WEST 64TH AVENUE UNIT F LLC</t>
        </is>
      </c>
      <c r="AF110" t="inlineStr">
        <is>
          <t>DE LA CRUZ PROPERTY LLC</t>
        </is>
      </c>
      <c r="AI110" s="245">
        <f>AND(E110=Subj_OccCode,Subj_BldgSF&gt;0,L110&gt;=Subj_BldgSF*(1-Subj_SizeTol),L110&lt;=Subj_BldgSF*(1+Subj_SizeTol))</f>
        <v/>
      </c>
    </row>
    <row r="111" ht="15" customHeight="1">
      <c r="A111" s="248" t="n">
        <v>7</v>
      </c>
      <c r="B111" s="245" t="n">
        <v>103</v>
      </c>
      <c r="C111" t="inlineStr">
        <is>
          <t>R0185575</t>
        </is>
      </c>
      <c r="D111" t="inlineStr">
        <is>
          <t>2149 BRIDGE ST</t>
        </is>
      </c>
      <c r="E111" t="n">
        <v>344</v>
      </c>
      <c r="F111" t="inlineStr">
        <is>
          <t>BRIGHTON</t>
        </is>
      </c>
      <c r="G111" t="inlineStr">
        <is>
          <t>2</t>
        </is>
      </c>
      <c r="H111" s="669">
        <f>Y111/J111</f>
        <v/>
      </c>
      <c r="I111" s="472" t="n">
        <v>44985</v>
      </c>
      <c r="J111" t="n">
        <v>2880</v>
      </c>
      <c r="K111" s="669" t="n"/>
      <c r="L111" t="n">
        <v>2880</v>
      </c>
      <c r="M111" t="n">
        <v>1984</v>
      </c>
      <c r="P111" t="inlineStr">
        <is>
          <t>PUD-Bri</t>
        </is>
      </c>
      <c r="R111" t="inlineStr">
        <is>
          <t>Average</t>
        </is>
      </c>
      <c r="S111" t="n">
        <v>11805</v>
      </c>
      <c r="T111" s="469">
        <f>S111/L111</f>
        <v/>
      </c>
      <c r="U111" t="inlineStr">
        <is>
          <t>Average</t>
        </is>
      </c>
      <c r="V111" s="469" t="n"/>
      <c r="W111" s="469" t="n"/>
      <c r="X111" s="469" t="n"/>
      <c r="Y111" s="671" t="n">
        <v>740000</v>
      </c>
      <c r="Z111" s="671" t="n"/>
      <c r="AA111" s="671" t="n">
        <v>740000</v>
      </c>
      <c r="AB111" s="671" t="n"/>
      <c r="AC111" t="inlineStr">
        <is>
          <t>0156905402099</t>
        </is>
      </c>
      <c r="AD111" t="inlineStr">
        <is>
          <t>2023000010526</t>
        </is>
      </c>
      <c r="AE111" t="inlineStr">
        <is>
          <t>POOR BOY PROPERTIES LLC</t>
        </is>
      </c>
      <c r="AF111" t="inlineStr">
        <is>
          <t>JAIMBE LLC</t>
        </is>
      </c>
      <c r="AI111" s="245">
        <f>AND(E111=Subj_OccCode,Subj_BldgSF&gt;0,L111&gt;=Subj_BldgSF*(1-Subj_SizeTol),L111&lt;=Subj_BldgSF*(1+Subj_SizeTol))</f>
        <v/>
      </c>
    </row>
    <row r="112" ht="15" customHeight="1">
      <c r="A112" s="248" t="n">
        <v>7</v>
      </c>
      <c r="B112" s="245" t="n">
        <v>104</v>
      </c>
      <c r="C112" t="inlineStr">
        <is>
          <t>R0003324</t>
        </is>
      </c>
      <c r="D112" t="inlineStr">
        <is>
          <t>429 BRIDGE ST</t>
        </is>
      </c>
      <c r="E112" t="n">
        <v>3441</v>
      </c>
      <c r="F112" t="inlineStr">
        <is>
          <t>BRIGHTON</t>
        </is>
      </c>
      <c r="G112" t="inlineStr">
        <is>
          <t>2</t>
        </is>
      </c>
      <c r="H112" s="669">
        <f>Y112/J112</f>
        <v/>
      </c>
      <c r="I112" s="472" t="n">
        <v>44848</v>
      </c>
      <c r="J112" t="n">
        <v>1619</v>
      </c>
      <c r="K112" s="669" t="n"/>
      <c r="L112" t="n">
        <v>1619</v>
      </c>
      <c r="M112" t="n">
        <v>1951</v>
      </c>
      <c r="P112" t="inlineStr">
        <is>
          <t>C-1-Bri</t>
        </is>
      </c>
      <c r="R112" t="inlineStr">
        <is>
          <t>Low</t>
        </is>
      </c>
      <c r="S112" t="n">
        <v>6500</v>
      </c>
      <c r="T112" s="469">
        <f>S112/L112</f>
        <v/>
      </c>
      <c r="U112" t="inlineStr">
        <is>
          <t>Low</t>
        </is>
      </c>
      <c r="V112" s="469" t="n"/>
      <c r="W112" s="469" t="n"/>
      <c r="X112" s="469" t="n"/>
      <c r="Y112" s="671" t="n">
        <v>474000</v>
      </c>
      <c r="Z112" s="671" t="n"/>
      <c r="AA112" s="671" t="n">
        <v>474000</v>
      </c>
      <c r="AB112" s="671" t="n"/>
      <c r="AC112" t="inlineStr">
        <is>
          <t>0156906423006</t>
        </is>
      </c>
      <c r="AD112" t="inlineStr">
        <is>
          <t>2022000084809</t>
        </is>
      </c>
      <c r="AE112" t="inlineStr">
        <is>
          <t>429 BRIDGE STREET LLC</t>
        </is>
      </c>
      <c r="AF112" t="inlineStr">
        <is>
          <t>VIGIL JENIFER D.</t>
        </is>
      </c>
      <c r="AI112" s="245">
        <f>AND(E112=Subj_OccCode,Subj_BldgSF&gt;0,L112&gt;=Subj_BldgSF*(1-Subj_SizeTol),L112&lt;=Subj_BldgSF*(1+Subj_SizeTol))</f>
        <v/>
      </c>
    </row>
    <row r="113" ht="15" customHeight="1">
      <c r="A113" s="248" t="n">
        <v>7</v>
      </c>
      <c r="B113" s="245" t="n">
        <v>105</v>
      </c>
      <c r="C113" t="inlineStr">
        <is>
          <t>R0003859</t>
        </is>
      </c>
      <c r="D113" t="inlineStr">
        <is>
          <t>75 S 3RD AVE</t>
        </is>
      </c>
      <c r="E113" t="n">
        <v>100</v>
      </c>
      <c r="F113" t="inlineStr">
        <is>
          <t>BRIGHTON</t>
        </is>
      </c>
      <c r="G113" t="inlineStr">
        <is>
          <t>2</t>
        </is>
      </c>
      <c r="H113" s="669">
        <f>Y113/J113</f>
        <v/>
      </c>
      <c r="I113" s="472" t="n">
        <v>44959</v>
      </c>
      <c r="J113" t="n">
        <v>1820</v>
      </c>
      <c r="K113" s="669" t="n"/>
      <c r="L113" t="n">
        <v>1820</v>
      </c>
      <c r="M113" t="n">
        <v>1916</v>
      </c>
      <c r="P113" t="inlineStr">
        <is>
          <t>C-1-Bri</t>
        </is>
      </c>
      <c r="R113" t="inlineStr">
        <is>
          <t>Average</t>
        </is>
      </c>
      <c r="S113" t="n">
        <v>7500</v>
      </c>
      <c r="T113" s="469">
        <f>S113/L113</f>
        <v/>
      </c>
      <c r="U113" t="inlineStr">
        <is>
          <t>Average</t>
        </is>
      </c>
      <c r="V113" s="469" t="n"/>
      <c r="W113" s="469" t="n"/>
      <c r="X113" s="469" t="n"/>
      <c r="Y113" s="671" t="n">
        <v>575000</v>
      </c>
      <c r="Z113" s="671" t="n"/>
      <c r="AA113" s="671" t="n">
        <v>575000</v>
      </c>
      <c r="AB113" s="671" t="n"/>
      <c r="AC113" t="inlineStr">
        <is>
          <t>0156907202009</t>
        </is>
      </c>
      <c r="AD113" t="inlineStr">
        <is>
          <t>2023000006812</t>
        </is>
      </c>
      <c r="AE113" t="inlineStr">
        <is>
          <t>75 PARTNERSHIP LLC</t>
        </is>
      </c>
      <c r="AF113" t="inlineStr">
        <is>
          <t>VIGIL JENIFER D</t>
        </is>
      </c>
      <c r="AI113" s="245">
        <f>AND(E113=Subj_OccCode,Subj_BldgSF&gt;0,L113&gt;=Subj_BldgSF*(1-Subj_SizeTol),L113&lt;=Subj_BldgSF*(1+Subj_SizeTol))</f>
        <v/>
      </c>
    </row>
    <row r="114" ht="15" customHeight="1">
      <c r="A114" s="248" t="n">
        <v>7</v>
      </c>
      <c r="B114" s="245" t="n">
        <v>106</v>
      </c>
      <c r="C114" t="inlineStr">
        <is>
          <t>R0037731</t>
        </is>
      </c>
      <c r="D114" t="inlineStr">
        <is>
          <t>1907 LEROY DR</t>
        </is>
      </c>
      <c r="E114" t="n">
        <v>210</v>
      </c>
      <c r="F114" t="inlineStr">
        <is>
          <t>NORTHGLENN</t>
        </is>
      </c>
      <c r="G114" t="inlineStr">
        <is>
          <t>4</t>
        </is>
      </c>
      <c r="H114" s="669">
        <f>Y114/J114</f>
        <v/>
      </c>
      <c r="I114" s="472" t="n">
        <v>44756</v>
      </c>
      <c r="J114" t="n">
        <v>27000</v>
      </c>
      <c r="K114" s="669" t="n"/>
      <c r="L114" t="n">
        <v>27000</v>
      </c>
      <c r="M114" t="n">
        <v>1986</v>
      </c>
      <c r="P114" t="inlineStr">
        <is>
          <t>I-2-Nor</t>
        </is>
      </c>
      <c r="R114" t="inlineStr">
        <is>
          <t>Good</t>
        </is>
      </c>
      <c r="S114" t="n">
        <v>87120</v>
      </c>
      <c r="T114" s="469">
        <f>S114/L114</f>
        <v/>
      </c>
      <c r="U114" t="inlineStr">
        <is>
          <t>Good</t>
        </is>
      </c>
      <c r="V114" s="469" t="n"/>
      <c r="W114" s="469" t="n"/>
      <c r="X114" s="469" t="n"/>
      <c r="Y114" s="671" t="n">
        <v>4100000</v>
      </c>
      <c r="Z114" s="671" t="n"/>
      <c r="AA114" s="671" t="n">
        <v>4100000</v>
      </c>
      <c r="AB114" s="671" t="n"/>
      <c r="AC114" t="inlineStr">
        <is>
          <t>0171911102048</t>
        </is>
      </c>
      <c r="AD114" t="inlineStr">
        <is>
          <t>2022000061150</t>
        </is>
      </c>
      <c r="AE114" t="inlineStr">
        <is>
          <t>133# RAIL LLC 90% INT AND, E AND K INVESTING LLC 10% INT</t>
        </is>
      </c>
      <c r="AF114" t="inlineStr">
        <is>
          <t>CALHOUN STREET INDUSTRIAL LLC</t>
        </is>
      </c>
      <c r="AI114" s="245">
        <f>AND(E114=Subj_OccCode,Subj_BldgSF&gt;0,L114&gt;=Subj_BldgSF*(1-Subj_SizeTol),L114&lt;=Subj_BldgSF*(1+Subj_SizeTol))</f>
        <v/>
      </c>
    </row>
    <row r="115" ht="15" customHeight="1">
      <c r="A115" s="248" t="n">
        <v>7</v>
      </c>
      <c r="B115" s="245" t="n">
        <v>107</v>
      </c>
      <c r="C115" t="inlineStr">
        <is>
          <t>R0037823</t>
        </is>
      </c>
      <c r="D115" t="inlineStr">
        <is>
          <t>10795 IRMA DR</t>
        </is>
      </c>
      <c r="E115" t="n">
        <v>406</v>
      </c>
      <c r="F115" t="inlineStr">
        <is>
          <t>NORTHGLENN</t>
        </is>
      </c>
      <c r="G115" t="inlineStr">
        <is>
          <t>4</t>
        </is>
      </c>
      <c r="H115" s="669">
        <f>Y115/J115</f>
        <v/>
      </c>
      <c r="I115" s="472" t="n">
        <v>44763</v>
      </c>
      <c r="J115" t="n">
        <v>4000</v>
      </c>
      <c r="K115" s="669" t="n"/>
      <c r="L115" t="n">
        <v>4000</v>
      </c>
      <c r="M115" t="n">
        <v>1974</v>
      </c>
      <c r="P115" t="inlineStr">
        <is>
          <t>I-2-Nor</t>
        </is>
      </c>
      <c r="R115" t="inlineStr">
        <is>
          <t>Average</t>
        </is>
      </c>
      <c r="S115" t="n">
        <v>35086</v>
      </c>
      <c r="T115" s="469">
        <f>S115/L115</f>
        <v/>
      </c>
      <c r="U115" t="inlineStr">
        <is>
          <t>Average</t>
        </is>
      </c>
      <c r="V115" s="469" t="n"/>
      <c r="W115" s="469" t="n"/>
      <c r="X115" s="469" t="n"/>
      <c r="Y115" s="671" t="n">
        <v>1050000</v>
      </c>
      <c r="Z115" s="671" t="n"/>
      <c r="AA115" s="671" t="n">
        <v>1050000</v>
      </c>
      <c r="AB115" s="671" t="n"/>
      <c r="AC115" t="inlineStr">
        <is>
          <t>0171911110002</t>
        </is>
      </c>
      <c r="AD115" t="inlineStr">
        <is>
          <t>2022000062987</t>
        </is>
      </c>
      <c r="AE115" t="inlineStr">
        <is>
          <t>JAMES RUSSELL PROPERTIES LLC</t>
        </is>
      </c>
      <c r="AF115" t="inlineStr">
        <is>
          <t>VITAL RE LLC</t>
        </is>
      </c>
      <c r="AI115" s="245">
        <f>AND(E115=Subj_OccCode,Subj_BldgSF&gt;0,L115&gt;=Subj_BldgSF*(1-Subj_SizeTol),L115&lt;=Subj_BldgSF*(1+Subj_SizeTol))</f>
        <v/>
      </c>
    </row>
    <row r="116" ht="15" customHeight="1">
      <c r="A116" s="248" t="n">
        <v>7</v>
      </c>
      <c r="B116" s="245" t="n">
        <v>108</v>
      </c>
      <c r="C116" t="inlineStr">
        <is>
          <t>R0038935</t>
        </is>
      </c>
      <c r="D116" t="inlineStr">
        <is>
          <t>10783 IRMA DR</t>
        </is>
      </c>
      <c r="E116" t="n">
        <v>406</v>
      </c>
      <c r="F116" t="inlineStr">
        <is>
          <t>NORTHGLENN</t>
        </is>
      </c>
      <c r="G116" t="inlineStr">
        <is>
          <t>4</t>
        </is>
      </c>
      <c r="H116" s="669">
        <f>Y116/J116</f>
        <v/>
      </c>
      <c r="I116" s="472" t="n">
        <v>45226</v>
      </c>
      <c r="J116" t="n">
        <v>4320</v>
      </c>
      <c r="K116" s="669" t="n"/>
      <c r="L116" t="n">
        <v>4320</v>
      </c>
      <c r="M116" t="n">
        <v>1998</v>
      </c>
      <c r="P116" t="inlineStr">
        <is>
          <t>I-2-Nor</t>
        </is>
      </c>
      <c r="R116" t="inlineStr">
        <is>
          <t>Average</t>
        </is>
      </c>
      <c r="S116" t="n">
        <v>14965</v>
      </c>
      <c r="T116" s="469">
        <f>S116/L116</f>
        <v/>
      </c>
      <c r="U116" t="inlineStr">
        <is>
          <t>Average</t>
        </is>
      </c>
      <c r="V116" s="469" t="n"/>
      <c r="W116" s="469" t="n"/>
      <c r="X116" s="469" t="n"/>
      <c r="Y116" s="671" t="n">
        <v>1300000</v>
      </c>
      <c r="Z116" s="671" t="n"/>
      <c r="AA116" s="671" t="n">
        <v>1300000</v>
      </c>
      <c r="AB116" s="671" t="n"/>
      <c r="AC116" t="inlineStr">
        <is>
          <t>0171911403019</t>
        </is>
      </c>
      <c r="AD116" t="inlineStr">
        <is>
          <t>2023000061132</t>
        </is>
      </c>
      <c r="AE116" t="inlineStr">
        <is>
          <t>10783 IRMA DRIVE LLC</t>
        </is>
      </c>
      <c r="AF116" t="inlineStr">
        <is>
          <t>UNIQUE PROPERTY LLC</t>
        </is>
      </c>
      <c r="AI116" s="245">
        <f>AND(E116=Subj_OccCode,Subj_BldgSF&gt;0,L116&gt;=Subj_BldgSF*(1-Subj_SizeTol),L116&lt;=Subj_BldgSF*(1+Subj_SizeTol))</f>
        <v/>
      </c>
    </row>
    <row r="117" ht="15" customHeight="1">
      <c r="A117" s="248" t="n">
        <v>7</v>
      </c>
      <c r="B117" s="245" t="n">
        <v>109</v>
      </c>
      <c r="C117" t="inlineStr">
        <is>
          <t>R0048461</t>
        </is>
      </c>
      <c r="D117" t="inlineStr">
        <is>
          <t>8801 LOWELL BLVD</t>
        </is>
      </c>
      <c r="E117" t="n">
        <v>419</v>
      </c>
      <c r="F117" t="inlineStr">
        <is>
          <t>WESTMINSTER</t>
        </is>
      </c>
      <c r="G117" t="inlineStr">
        <is>
          <t>4</t>
        </is>
      </c>
      <c r="H117" s="669">
        <f>Y117/J117</f>
        <v/>
      </c>
      <c r="I117" s="472" t="n">
        <v>45443</v>
      </c>
      <c r="J117" t="n">
        <v>1288</v>
      </c>
      <c r="K117" s="669" t="n"/>
      <c r="L117" t="n">
        <v>1288</v>
      </c>
      <c r="M117" t="n">
        <v>1961</v>
      </c>
      <c r="P117" t="inlineStr">
        <is>
          <t>B-1-Wes</t>
        </is>
      </c>
      <c r="R117" t="inlineStr">
        <is>
          <t>Average</t>
        </is>
      </c>
      <c r="S117" t="n">
        <v>16250</v>
      </c>
      <c r="T117" s="469">
        <f>S117/L117</f>
        <v/>
      </c>
      <c r="U117" t="inlineStr">
        <is>
          <t>Average</t>
        </is>
      </c>
      <c r="V117" s="469" t="n"/>
      <c r="W117" s="469" t="n"/>
      <c r="X117" s="469" t="n"/>
      <c r="Y117" s="671" t="n">
        <v>860000</v>
      </c>
      <c r="Z117" s="671" t="n"/>
      <c r="AA117" s="671" t="n">
        <v>860000</v>
      </c>
      <c r="AB117" s="671" t="n"/>
      <c r="AC117" t="inlineStr">
        <is>
          <t>0171919413006</t>
        </is>
      </c>
      <c r="AD117" t="inlineStr">
        <is>
          <t>2024000029553</t>
        </is>
      </c>
      <c r="AE117" t="inlineStr">
        <is>
          <t>THE HILLS STORE INC</t>
        </is>
      </c>
      <c r="AF117" t="inlineStr">
        <is>
          <t>8801 LOWELL BLVD LLC</t>
        </is>
      </c>
      <c r="AI117" s="245">
        <f>AND(E117=Subj_OccCode,Subj_BldgSF&gt;0,L117&gt;=Subj_BldgSF*(1-Subj_SizeTol),L117&lt;=Subj_BldgSF*(1+Subj_SizeTol))</f>
        <v/>
      </c>
    </row>
    <row r="118" ht="15" customHeight="1">
      <c r="A118" s="248" t="n">
        <v>7</v>
      </c>
      <c r="B118" s="245" t="n">
        <v>110</v>
      </c>
      <c r="C118" t="inlineStr">
        <is>
          <t>R0004004</t>
        </is>
      </c>
      <c r="D118" t="inlineStr">
        <is>
          <t>281 S MAIN ST</t>
        </is>
      </c>
      <c r="E118" t="n">
        <v>325</v>
      </c>
      <c r="F118" t="inlineStr">
        <is>
          <t>BRIGHTON</t>
        </is>
      </c>
      <c r="G118" t="inlineStr">
        <is>
          <t>2</t>
        </is>
      </c>
      <c r="H118" s="669">
        <f>Y118/J118</f>
        <v/>
      </c>
      <c r="I118" s="472" t="n">
        <v>45050</v>
      </c>
      <c r="J118" t="n">
        <v>3977</v>
      </c>
      <c r="K118" s="669" t="n"/>
      <c r="L118" t="n">
        <v>3977</v>
      </c>
      <c r="M118" t="n">
        <v>1939</v>
      </c>
      <c r="P118" t="inlineStr">
        <is>
          <t>DT</t>
        </is>
      </c>
      <c r="R118" t="inlineStr">
        <is>
          <t>Average</t>
        </is>
      </c>
      <c r="S118" t="n">
        <v>13500</v>
      </c>
      <c r="T118" s="469">
        <f>S118/L118</f>
        <v/>
      </c>
      <c r="U118" t="inlineStr">
        <is>
          <t>Average</t>
        </is>
      </c>
      <c r="V118" s="469" t="n"/>
      <c r="W118" s="469" t="n"/>
      <c r="X118" s="469" t="n"/>
      <c r="Y118" s="671" t="n">
        <v>615000</v>
      </c>
      <c r="Z118" s="671" t="n"/>
      <c r="AA118" s="671" t="n">
        <v>615000</v>
      </c>
      <c r="AB118" s="671" t="n"/>
      <c r="AC118" t="inlineStr">
        <is>
          <t>0156907215009</t>
        </is>
      </c>
      <c r="AD118" t="inlineStr">
        <is>
          <t>2023000025001</t>
        </is>
      </c>
      <c r="AE118" t="inlineStr">
        <is>
          <t>PAVILIONS PL LLC</t>
        </is>
      </c>
      <c r="AF118" t="inlineStr">
        <is>
          <t>ORNELAS MANUEL AND, ORNELAS DEBORAH A</t>
        </is>
      </c>
      <c r="AI118" s="245">
        <f>AND(E118=Subj_OccCode,Subj_BldgSF&gt;0,L118&gt;=Subj_BldgSF*(1-Subj_SizeTol),L118&lt;=Subj_BldgSF*(1+Subj_SizeTol))</f>
        <v/>
      </c>
    </row>
    <row r="119" ht="15" customHeight="1">
      <c r="A119" s="248" t="n">
        <v>7</v>
      </c>
      <c r="B119" s="245" t="n">
        <v>111</v>
      </c>
      <c r="C119" t="inlineStr">
        <is>
          <t>R0050046</t>
        </is>
      </c>
      <c r="D119" t="inlineStr">
        <is>
          <t>2890 W 92ND PL</t>
        </is>
      </c>
      <c r="E119" t="n">
        <v>100</v>
      </c>
      <c r="F119" t="inlineStr">
        <is>
          <t>FEDERAL HEIGHTS</t>
        </is>
      </c>
      <c r="G119" t="inlineStr">
        <is>
          <t>4</t>
        </is>
      </c>
      <c r="H119" s="669">
        <f>Y119/J119</f>
        <v/>
      </c>
      <c r="I119" s="472" t="n">
        <v>45078</v>
      </c>
      <c r="J119" t="n">
        <v>792</v>
      </c>
      <c r="K119" s="669" t="n"/>
      <c r="L119" t="n">
        <v>792</v>
      </c>
      <c r="M119" t="n">
        <v>1947</v>
      </c>
      <c r="P119" t="inlineStr">
        <is>
          <t>C-1-Fed</t>
        </is>
      </c>
      <c r="R119" t="inlineStr">
        <is>
          <t>Fair</t>
        </is>
      </c>
      <c r="S119" t="n">
        <v>16512</v>
      </c>
      <c r="T119" s="469">
        <f>S119/L119</f>
        <v/>
      </c>
      <c r="U119" t="inlineStr">
        <is>
          <t>Fair</t>
        </is>
      </c>
      <c r="V119" s="469" t="n"/>
      <c r="W119" s="469" t="n"/>
      <c r="X119" s="469" t="n"/>
      <c r="Y119" s="671" t="n">
        <v>605000</v>
      </c>
      <c r="Z119" s="671" t="n"/>
      <c r="AA119" s="671" t="n">
        <v>605000</v>
      </c>
      <c r="AB119" s="671" t="n"/>
      <c r="AC119" t="inlineStr">
        <is>
          <t>0171920401007</t>
        </is>
      </c>
      <c r="AD119" t="inlineStr">
        <is>
          <t>2023000031803</t>
        </is>
      </c>
      <c r="AE119" t="inlineStr">
        <is>
          <t>VILLANUEVA-MACIAS IGNACIO</t>
        </is>
      </c>
      <c r="AF119" t="inlineStr">
        <is>
          <t>2890 W 92ND AVENUE LLC</t>
        </is>
      </c>
      <c r="AI119" s="245">
        <f>AND(E119=Subj_OccCode,Subj_BldgSF&gt;0,L119&gt;=Subj_BldgSF*(1-Subj_SizeTol),L119&lt;=Subj_BldgSF*(1+Subj_SizeTol))</f>
        <v/>
      </c>
    </row>
    <row r="120" ht="15" customHeight="1">
      <c r="A120" s="248" t="n">
        <v>7</v>
      </c>
      <c r="B120" s="245" t="n">
        <v>112</v>
      </c>
      <c r="C120" t="inlineStr">
        <is>
          <t>R0079916</t>
        </is>
      </c>
      <c r="D120" t="inlineStr">
        <is>
          <t>6755 E 72ND AVE</t>
        </is>
      </c>
      <c r="E120" t="n">
        <v>344</v>
      </c>
      <c r="F120" t="inlineStr">
        <is>
          <t>COMMERCE CITY</t>
        </is>
      </c>
      <c r="G120" t="inlineStr">
        <is>
          <t>5</t>
        </is>
      </c>
      <c r="H120" s="669">
        <f>Y120/J120</f>
        <v/>
      </c>
      <c r="I120" s="472" t="n">
        <v>44958</v>
      </c>
      <c r="J120" t="n">
        <v>2400</v>
      </c>
      <c r="K120" s="669" t="n"/>
      <c r="L120" t="n">
        <v>2400</v>
      </c>
      <c r="M120" t="n">
        <v>1974</v>
      </c>
      <c r="P120" t="inlineStr">
        <is>
          <t>C-1-Com</t>
        </is>
      </c>
      <c r="R120" t="inlineStr">
        <is>
          <t>Average</t>
        </is>
      </c>
      <c r="S120" t="n">
        <v>22725</v>
      </c>
      <c r="T120" s="469">
        <f>S120/L120</f>
        <v/>
      </c>
      <c r="U120" t="inlineStr">
        <is>
          <t>Average</t>
        </is>
      </c>
      <c r="V120" s="469" t="n"/>
      <c r="W120" s="469" t="n"/>
      <c r="X120" s="469" t="n"/>
      <c r="Y120" s="671" t="n">
        <v>700000</v>
      </c>
      <c r="Z120" s="671" t="n"/>
      <c r="AA120" s="671" t="n">
        <v>700000</v>
      </c>
      <c r="AB120" s="671" t="n"/>
      <c r="AC120" t="inlineStr">
        <is>
          <t>0172132426006</t>
        </is>
      </c>
      <c r="AD120" t="inlineStr">
        <is>
          <t>2023000007360</t>
        </is>
      </c>
      <c r="AE120" t="inlineStr">
        <is>
          <t>MEDINA ART L AND, MEDINA URSULA</t>
        </is>
      </c>
      <c r="AF120" t="inlineStr">
        <is>
          <t>LUEVANO INVESTMENTS LLC</t>
        </is>
      </c>
      <c r="AI120" s="245">
        <f>AND(E120=Subj_OccCode,Subj_BldgSF&gt;0,L120&gt;=Subj_BldgSF*(1-Subj_SizeTol),L120&lt;=Subj_BldgSF*(1+Subj_SizeTol))</f>
        <v/>
      </c>
    </row>
    <row r="121" ht="15" customHeight="1">
      <c r="A121" s="248" t="n">
        <v>7</v>
      </c>
      <c r="B121" s="245" t="n">
        <v>113</v>
      </c>
      <c r="C121" t="inlineStr">
        <is>
          <t>R0091804</t>
        </is>
      </c>
      <c r="D121" t="inlineStr">
        <is>
          <t>6075 E 60TH AVE</t>
        </is>
      </c>
      <c r="E121" t="n">
        <v>344</v>
      </c>
      <c r="F121" t="inlineStr">
        <is>
          <t>COMMERCE CITY</t>
        </is>
      </c>
      <c r="G121" t="inlineStr">
        <is>
          <t>5</t>
        </is>
      </c>
      <c r="H121" s="669">
        <f>Y121/J121</f>
        <v/>
      </c>
      <c r="I121" s="472" t="n">
        <v>45230</v>
      </c>
      <c r="J121" t="n">
        <v>2080</v>
      </c>
      <c r="K121" s="669" t="n"/>
      <c r="L121" t="n">
        <v>2080</v>
      </c>
      <c r="M121" t="n">
        <v>1974</v>
      </c>
      <c r="P121" t="inlineStr">
        <is>
          <t>C-1-Com</t>
        </is>
      </c>
      <c r="R121" t="inlineStr">
        <is>
          <t>Average</t>
        </is>
      </c>
      <c r="S121" t="n">
        <v>19375</v>
      </c>
      <c r="T121" s="469">
        <f>S121/L121</f>
        <v/>
      </c>
      <c r="U121" t="inlineStr">
        <is>
          <t>Average</t>
        </is>
      </c>
      <c r="V121" s="469" t="n"/>
      <c r="W121" s="469" t="n"/>
      <c r="X121" s="469" t="n"/>
      <c r="Y121" s="671" t="n">
        <v>805000</v>
      </c>
      <c r="Z121" s="671" t="n"/>
      <c r="AA121" s="671" t="n">
        <v>805000</v>
      </c>
      <c r="AB121" s="671" t="n"/>
      <c r="AC121" t="inlineStr">
        <is>
          <t>0182308217013</t>
        </is>
      </c>
      <c r="AD121" t="inlineStr">
        <is>
          <t>2023000061807</t>
        </is>
      </c>
      <c r="AE121" t="inlineStr">
        <is>
          <t>ANYHOME INVESTMENT GROUP LLC</t>
        </is>
      </c>
      <c r="AF121" t="inlineStr">
        <is>
          <t>PROFESSIONAL FINANCIAL SERVICES CORP</t>
        </is>
      </c>
      <c r="AI121" s="245">
        <f>AND(E121=Subj_OccCode,Subj_BldgSF&gt;0,L121&gt;=Subj_BldgSF*(1-Subj_SizeTol),L121&lt;=Subj_BldgSF*(1+Subj_SizeTol))</f>
        <v/>
      </c>
    </row>
    <row r="122" ht="15" customHeight="1">
      <c r="A122" s="248" t="n">
        <v>7</v>
      </c>
      <c r="B122" s="245" t="n">
        <v>114</v>
      </c>
      <c r="C122" t="inlineStr">
        <is>
          <t>R0092166</t>
        </is>
      </c>
      <c r="D122" t="inlineStr">
        <is>
          <t>7001 E 57TH PL</t>
        </is>
      </c>
      <c r="E122" t="n">
        <v>407</v>
      </c>
      <c r="F122" t="inlineStr">
        <is>
          <t>COMMERCE CITY</t>
        </is>
      </c>
      <c r="G122" t="inlineStr">
        <is>
          <t>5</t>
        </is>
      </c>
      <c r="H122" s="669">
        <f>Y122/J122</f>
        <v/>
      </c>
      <c r="I122" s="472" t="n">
        <v>44823</v>
      </c>
      <c r="J122" t="n">
        <v>24020</v>
      </c>
      <c r="K122" s="669" t="n"/>
      <c r="L122" t="n">
        <v>24020</v>
      </c>
      <c r="M122" t="n">
        <v>1982</v>
      </c>
      <c r="P122" t="inlineStr">
        <is>
          <t>I-1-Com</t>
        </is>
      </c>
      <c r="R122" t="inlineStr">
        <is>
          <t>Average</t>
        </is>
      </c>
      <c r="S122" t="n">
        <v>80000</v>
      </c>
      <c r="T122" s="469">
        <f>S122/L122</f>
        <v/>
      </c>
      <c r="U122" t="inlineStr">
        <is>
          <t>Average</t>
        </is>
      </c>
      <c r="V122" s="469" t="n"/>
      <c r="W122" s="469" t="n"/>
      <c r="X122" s="469" t="n"/>
      <c r="Y122" s="671" t="n">
        <v>3685000</v>
      </c>
      <c r="Z122" s="671" t="n"/>
      <c r="AA122" s="671" t="n">
        <v>3685000</v>
      </c>
      <c r="AB122" s="671" t="n"/>
      <c r="AC122" t="inlineStr">
        <is>
          <t>0182308413013</t>
        </is>
      </c>
      <c r="AD122" t="inlineStr">
        <is>
          <t>2022000078168</t>
        </is>
      </c>
      <c r="AE122" t="inlineStr">
        <is>
          <t>SPEC WHEELS OF AMERICA INC</t>
        </is>
      </c>
      <c r="AF122" t="inlineStr">
        <is>
          <t>4990 PARIS STREET LLC</t>
        </is>
      </c>
      <c r="AI122" s="245">
        <f>AND(E122=Subj_OccCode,Subj_BldgSF&gt;0,L122&gt;=Subj_BldgSF*(1-Subj_SizeTol),L122&lt;=Subj_BldgSF*(1+Subj_SizeTol))</f>
        <v/>
      </c>
    </row>
    <row r="123" ht="15" customHeight="1">
      <c r="A123" s="248" t="n">
        <v>7</v>
      </c>
      <c r="B123" s="245" t="n">
        <v>115</v>
      </c>
      <c r="C123" t="inlineStr">
        <is>
          <t>R0139037</t>
        </is>
      </c>
      <c r="D123" t="inlineStr">
        <is>
          <t>920 E 120TH AVE</t>
        </is>
      </c>
      <c r="E123" t="n">
        <v>325</v>
      </c>
      <c r="F123" t="inlineStr">
        <is>
          <t>NORTHGLENN</t>
        </is>
      </c>
      <c r="G123" t="inlineStr">
        <is>
          <t>4</t>
        </is>
      </c>
      <c r="H123" s="669">
        <f>Y123/J123</f>
        <v/>
      </c>
      <c r="I123" s="472" t="n">
        <v>45392</v>
      </c>
      <c r="J123" t="n">
        <v>9197</v>
      </c>
      <c r="K123" s="669" t="n"/>
      <c r="L123" t="n">
        <v>9197</v>
      </c>
      <c r="M123" t="n">
        <v>2001</v>
      </c>
      <c r="P123" t="inlineStr">
        <is>
          <t>C-4-Nor</t>
        </is>
      </c>
      <c r="R123" t="inlineStr">
        <is>
          <t>Good</t>
        </is>
      </c>
      <c r="S123" t="n">
        <v>38839</v>
      </c>
      <c r="T123" s="469">
        <f>S123/L123</f>
        <v/>
      </c>
      <c r="U123" t="inlineStr">
        <is>
          <t>Good</t>
        </is>
      </c>
      <c r="V123" s="469" t="n"/>
      <c r="W123" s="469" t="n"/>
      <c r="X123" s="469" t="n"/>
      <c r="Y123" s="671" t="n">
        <v>2400000</v>
      </c>
      <c r="Z123" s="671" t="n"/>
      <c r="AA123" s="671" t="n">
        <v>2400000</v>
      </c>
      <c r="AB123" s="671" t="n"/>
      <c r="AC123" t="inlineStr">
        <is>
          <t>0171902209034</t>
        </is>
      </c>
      <c r="AD123" t="inlineStr">
        <is>
          <t>2024000022603</t>
        </is>
      </c>
      <c r="AE123" t="inlineStr">
        <is>
          <t>STOPA LEOPOLD ADAM FAMILY TRUST 48/68%, STOPA LEOPOLD ADAM MARITAN TRUST  et al.</t>
        </is>
      </c>
      <c r="AF123" t="inlineStr">
        <is>
          <t>MHC 920 LLC</t>
        </is>
      </c>
      <c r="AI123" s="245">
        <f>AND(E123=Subj_OccCode,Subj_BldgSF&gt;0,L123&gt;=Subj_BldgSF*(1-Subj_SizeTol),L123&lt;=Subj_BldgSF*(1+Subj_SizeTol))</f>
        <v/>
      </c>
    </row>
    <row r="124" ht="15" customHeight="1">
      <c r="A124" s="248" t="n">
        <v>7</v>
      </c>
      <c r="B124" s="245" t="n">
        <v>116</v>
      </c>
      <c r="C124" t="inlineStr">
        <is>
          <t>R0141069</t>
        </is>
      </c>
      <c r="D124" t="inlineStr">
        <is>
          <t>8400 PEARL ST</t>
        </is>
      </c>
      <c r="E124" t="n">
        <v>353</v>
      </c>
      <c r="F124" t="inlineStr">
        <is>
          <t>THORNTON</t>
        </is>
      </c>
      <c r="G124" t="inlineStr">
        <is>
          <t>4</t>
        </is>
      </c>
      <c r="H124" s="669">
        <f>Y124/J124</f>
        <v/>
      </c>
      <c r="I124" s="472" t="n">
        <v>45288</v>
      </c>
      <c r="J124" t="n">
        <v>5710</v>
      </c>
      <c r="K124" s="669" t="n"/>
      <c r="L124" t="n">
        <v>5710</v>
      </c>
      <c r="M124" t="n">
        <v>2005</v>
      </c>
      <c r="P124" t="inlineStr">
        <is>
          <t>Community Retail</t>
        </is>
      </c>
      <c r="R124" t="inlineStr">
        <is>
          <t>Average</t>
        </is>
      </c>
      <c r="S124" t="n">
        <v>34421</v>
      </c>
      <c r="T124" s="469">
        <f>S124/L124</f>
        <v/>
      </c>
      <c r="U124" t="inlineStr">
        <is>
          <t>Average</t>
        </is>
      </c>
      <c r="V124" s="469" t="n"/>
      <c r="W124" s="469" t="n"/>
      <c r="X124" s="469" t="n"/>
      <c r="Y124" s="671" t="n">
        <v>2025000</v>
      </c>
      <c r="Z124" s="671" t="n"/>
      <c r="AA124" s="671" t="n">
        <v>2025000</v>
      </c>
      <c r="AB124" s="671" t="n"/>
      <c r="AC124" t="inlineStr">
        <is>
          <t>0171927119003</t>
        </is>
      </c>
      <c r="AD124" t="inlineStr">
        <is>
          <t>2023000071728</t>
        </is>
      </c>
      <c r="AE124" t="inlineStr">
        <is>
          <t>ROZA KAYKOVA LLC</t>
        </is>
      </c>
      <c r="AF124" t="inlineStr">
        <is>
          <t>TAPIA INC</t>
        </is>
      </c>
      <c r="AI124" s="245">
        <f>AND(E124=Subj_OccCode,Subj_BldgSF&gt;0,L124&gt;=Subj_BldgSF*(1-Subj_SizeTol),L124&lt;=Subj_BldgSF*(1+Subj_SizeTol))</f>
        <v/>
      </c>
    </row>
    <row r="125" ht="15" customHeight="1">
      <c r="A125" s="248" t="n">
        <v>7</v>
      </c>
      <c r="B125" s="245" t="n">
        <v>117</v>
      </c>
      <c r="C125" t="inlineStr">
        <is>
          <t>R0178831</t>
        </is>
      </c>
      <c r="D125" t="inlineStr">
        <is>
          <t>5190 VIOLET HILL ST #D</t>
        </is>
      </c>
      <c r="E125" t="n">
        <v>328</v>
      </c>
      <c r="G125" t="inlineStr">
        <is>
          <t>1</t>
        </is>
      </c>
      <c r="H125" s="669">
        <f>Y125/J125</f>
        <v/>
      </c>
      <c r="I125" s="472" t="n">
        <v>45273</v>
      </c>
      <c r="J125" t="n">
        <v>27000</v>
      </c>
      <c r="K125" s="669" t="n"/>
      <c r="L125" t="n">
        <v>27000</v>
      </c>
      <c r="M125" t="n">
        <v>2006</v>
      </c>
      <c r="R125" t="inlineStr">
        <is>
          <t>Average</t>
        </is>
      </c>
      <c r="T125" s="469">
        <f>S125/L125</f>
        <v/>
      </c>
      <c r="U125" t="inlineStr">
        <is>
          <t>Average</t>
        </is>
      </c>
      <c r="V125" s="469" t="n"/>
      <c r="W125" s="469" t="n"/>
      <c r="X125" s="469" t="n"/>
      <c r="Y125" s="671" t="n">
        <v>600000</v>
      </c>
      <c r="Z125" s="671" t="n"/>
      <c r="AA125" s="671" t="n">
        <v>600000</v>
      </c>
      <c r="AB125" s="671" t="n"/>
      <c r="AC125" t="inlineStr">
        <is>
          <t>0181716411002</t>
        </is>
      </c>
      <c r="AD125" t="inlineStr">
        <is>
          <t>2023000069330</t>
        </is>
      </c>
      <c r="AE125" t="inlineStr">
        <is>
          <t>KLV INVESTMENTS LLC</t>
        </is>
      </c>
      <c r="AF125" t="inlineStr">
        <is>
          <t>ENZO FLYING MACHINE LLC</t>
        </is>
      </c>
      <c r="AI125" s="245">
        <f>AND(E125=Subj_OccCode,Subj_BldgSF&gt;0,L125&gt;=Subj_BldgSF*(1-Subj_SizeTol),L125&lt;=Subj_BldgSF*(1+Subj_SizeTol))</f>
        <v/>
      </c>
    </row>
    <row r="126" ht="15" customHeight="1">
      <c r="A126" s="248" t="n">
        <v>7</v>
      </c>
      <c r="B126" s="245" t="n">
        <v>118</v>
      </c>
      <c r="C126" t="inlineStr">
        <is>
          <t>R0200738</t>
        </is>
      </c>
      <c r="D126" t="inlineStr">
        <is>
          <t>1036 S 1ST ST</t>
        </is>
      </c>
      <c r="E126" t="n">
        <v>325</v>
      </c>
      <c r="F126" t="inlineStr">
        <is>
          <t>BENNETT</t>
        </is>
      </c>
      <c r="G126" t="inlineStr">
        <is>
          <t>1</t>
        </is>
      </c>
      <c r="H126" s="669">
        <f>Y126/J126</f>
        <v/>
      </c>
      <c r="I126" s="472" t="n">
        <v>45226</v>
      </c>
      <c r="J126" t="n">
        <v>9567</v>
      </c>
      <c r="K126" s="669" t="n"/>
      <c r="L126" t="n">
        <v>9567</v>
      </c>
      <c r="M126" t="n">
        <v>2023</v>
      </c>
      <c r="R126" t="inlineStr">
        <is>
          <t>Average</t>
        </is>
      </c>
      <c r="S126" t="n">
        <v>58678</v>
      </c>
      <c r="T126" s="469">
        <f>S126/L126</f>
        <v/>
      </c>
      <c r="U126" t="inlineStr">
        <is>
          <t>Average</t>
        </is>
      </c>
      <c r="V126" s="469" t="n"/>
      <c r="W126" s="469" t="n"/>
      <c r="X126" s="469" t="n"/>
      <c r="Y126" s="671" t="n">
        <v>5622000</v>
      </c>
      <c r="Z126" s="671" t="n"/>
      <c r="AA126" s="671" t="n">
        <v>5622000</v>
      </c>
      <c r="AB126" s="671" t="n"/>
      <c r="AC126" t="inlineStr">
        <is>
          <t>0181534303001</t>
        </is>
      </c>
      <c r="AD126" t="inlineStr">
        <is>
          <t>2023000061744</t>
        </is>
      </c>
      <c r="AE126" t="inlineStr">
        <is>
          <t>MMCG TNET COLORADO LLC</t>
        </is>
      </c>
      <c r="AF126" t="inlineStr">
        <is>
          <t>THE CRONIN FAMILY TRUST</t>
        </is>
      </c>
      <c r="AI126" s="245">
        <f>AND(E126=Subj_OccCode,Subj_BldgSF&gt;0,L126&gt;=Subj_BldgSF*(1-Subj_SizeTol),L126&lt;=Subj_BldgSF*(1+Subj_SizeTol))</f>
        <v/>
      </c>
    </row>
    <row r="127" ht="15" customHeight="1">
      <c r="A127" s="248" t="n">
        <v>7</v>
      </c>
      <c r="B127" s="245" t="n">
        <v>119</v>
      </c>
      <c r="C127" t="inlineStr">
        <is>
          <t>R0202864</t>
        </is>
      </c>
      <c r="D127" t="inlineStr">
        <is>
          <t>8531 ROSEMARY ST</t>
        </is>
      </c>
      <c r="E127" t="n">
        <v>406</v>
      </c>
      <c r="F127" t="inlineStr">
        <is>
          <t>COMMERCE CITY</t>
        </is>
      </c>
      <c r="G127" t="inlineStr">
        <is>
          <t>5</t>
        </is>
      </c>
      <c r="H127" s="669">
        <f>Y127/J127</f>
        <v/>
      </c>
      <c r="I127" s="472" t="n">
        <v>45097</v>
      </c>
      <c r="J127" t="n">
        <v>13172</v>
      </c>
      <c r="K127" s="669" t="n"/>
      <c r="L127" t="n">
        <v>13172</v>
      </c>
      <c r="M127" t="n">
        <v>2021</v>
      </c>
      <c r="R127" t="inlineStr">
        <is>
          <t>Good</t>
        </is>
      </c>
      <c r="S127" t="n">
        <v>33790</v>
      </c>
      <c r="T127" s="469">
        <f>S127/L127</f>
        <v/>
      </c>
      <c r="U127" t="inlineStr">
        <is>
          <t>Good</t>
        </is>
      </c>
      <c r="V127" s="469" t="n"/>
      <c r="W127" s="469" t="n"/>
      <c r="X127" s="469" t="n"/>
      <c r="Y127" s="671" t="n">
        <v>2995000</v>
      </c>
      <c r="Z127" s="671" t="n"/>
      <c r="AA127" s="671" t="n">
        <v>2995000</v>
      </c>
      <c r="AB127" s="671" t="n"/>
      <c r="AC127" t="inlineStr">
        <is>
          <t>0172128209007</t>
        </is>
      </c>
      <c r="AD127" t="inlineStr">
        <is>
          <t>2023000034883</t>
        </is>
      </c>
      <c r="AE127" t="inlineStr">
        <is>
          <t>XM HOLDINGS LLC AND, K&amp;V HOLDINGS LLC</t>
        </is>
      </c>
      <c r="AF127" t="inlineStr">
        <is>
          <t>II LAWS REAL ESTATE LLC</t>
        </is>
      </c>
      <c r="AI127" s="245">
        <f>AND(E127=Subj_OccCode,Subj_BldgSF&gt;0,L127&gt;=Subj_BldgSF*(1-Subj_SizeTol),L127&lt;=Subj_BldgSF*(1+Subj_SizeTol))</f>
        <v/>
      </c>
    </row>
    <row r="128" ht="15" customHeight="1">
      <c r="A128" s="248" t="n">
        <v>7</v>
      </c>
      <c r="B128" s="245" t="n">
        <v>120</v>
      </c>
      <c r="C128" t="inlineStr">
        <is>
          <t>R0202865</t>
        </is>
      </c>
      <c r="D128" t="inlineStr">
        <is>
          <t>8511 ROSEMARY ST</t>
        </is>
      </c>
      <c r="E128" t="n">
        <v>406</v>
      </c>
      <c r="F128" t="inlineStr">
        <is>
          <t>COMMERCE CITY</t>
        </is>
      </c>
      <c r="G128" t="inlineStr">
        <is>
          <t>5</t>
        </is>
      </c>
      <c r="H128" s="669">
        <f>Y128/J128</f>
        <v/>
      </c>
      <c r="I128" s="472" t="n">
        <v>44915</v>
      </c>
      <c r="J128" t="n">
        <v>11700</v>
      </c>
      <c r="K128" s="669" t="n"/>
      <c r="L128" t="n">
        <v>11700</v>
      </c>
      <c r="M128" t="n">
        <v>2021</v>
      </c>
      <c r="R128" t="inlineStr">
        <is>
          <t>Good</t>
        </is>
      </c>
      <c r="S128" t="n">
        <v>37615</v>
      </c>
      <c r="T128" s="469">
        <f>S128/L128</f>
        <v/>
      </c>
      <c r="U128" t="inlineStr">
        <is>
          <t>Good</t>
        </is>
      </c>
      <c r="V128" s="469" t="n"/>
      <c r="W128" s="469" t="n"/>
      <c r="X128" s="469" t="n"/>
      <c r="Y128" s="671" t="n">
        <v>2995000</v>
      </c>
      <c r="Z128" s="671" t="n"/>
      <c r="AA128" s="671" t="n">
        <v>2995000</v>
      </c>
      <c r="AB128" s="671" t="n"/>
      <c r="AC128" t="inlineStr">
        <is>
          <t>0172128209008</t>
        </is>
      </c>
      <c r="AD128" t="inlineStr">
        <is>
          <t>2022000098390</t>
        </is>
      </c>
      <c r="AE128" t="inlineStr">
        <is>
          <t>LONE STAR HOLDINGS LLC</t>
        </is>
      </c>
      <c r="AF128" t="inlineStr">
        <is>
          <t>STEEL CITY HOLDINGS LLC</t>
        </is>
      </c>
      <c r="AI128" s="245">
        <f>AND(E128=Subj_OccCode,Subj_BldgSF&gt;0,L128&gt;=Subj_BldgSF*(1-Subj_SizeTol),L128&lt;=Subj_BldgSF*(1+Subj_SizeTol))</f>
        <v/>
      </c>
    </row>
    <row r="129" ht="15" customHeight="1">
      <c r="A129" s="248" t="n">
        <v>7</v>
      </c>
      <c r="B129" s="245" t="n">
        <v>121</v>
      </c>
      <c r="C129" t="inlineStr">
        <is>
          <t>R0213027</t>
        </is>
      </c>
      <c r="D129" t="inlineStr">
        <is>
          <t>12975 QUEBEC ST</t>
        </is>
      </c>
      <c r="E129" t="n">
        <v>353</v>
      </c>
      <c r="F129" t="inlineStr">
        <is>
          <t>THORNTON</t>
        </is>
      </c>
      <c r="G129" t="inlineStr">
        <is>
          <t>3</t>
        </is>
      </c>
      <c r="H129" s="669">
        <f>Y129/J129</f>
        <v/>
      </c>
      <c r="I129" s="472" t="n">
        <v>45105</v>
      </c>
      <c r="J129" t="n">
        <v>6912</v>
      </c>
      <c r="K129" s="669" t="n"/>
      <c r="L129" t="n">
        <v>6912</v>
      </c>
      <c r="M129" t="n">
        <v>2022</v>
      </c>
      <c r="R129" t="inlineStr">
        <is>
          <t>Average</t>
        </is>
      </c>
      <c r="S129" t="n">
        <v>34869</v>
      </c>
      <c r="T129" s="469">
        <f>S129/L129</f>
        <v/>
      </c>
      <c r="U129" t="inlineStr">
        <is>
          <t>Average</t>
        </is>
      </c>
      <c r="V129" s="469" t="n"/>
      <c r="W129" s="469" t="n"/>
      <c r="X129" s="469" t="n"/>
      <c r="Y129" s="671" t="n">
        <v>3035000</v>
      </c>
      <c r="Z129" s="671" t="n"/>
      <c r="AA129" s="671" t="n">
        <v>3035000</v>
      </c>
      <c r="AB129" s="671" t="n"/>
      <c r="AC129" t="inlineStr">
        <is>
          <t>0157129417014</t>
        </is>
      </c>
      <c r="AD129" t="inlineStr">
        <is>
          <t>2023000037049</t>
        </is>
      </c>
      <c r="AE129" t="inlineStr">
        <is>
          <t>NNN 128 QUEBEC LLC</t>
        </is>
      </c>
      <c r="AF129" t="inlineStr">
        <is>
          <t>KMR REAL ESTATE LLC</t>
        </is>
      </c>
      <c r="AI129" s="245">
        <f>AND(E129=Subj_OccCode,Subj_BldgSF&gt;0,L129&gt;=Subj_BldgSF*(1-Subj_SizeTol),L129&lt;=Subj_BldgSF*(1+Subj_SizeTol))</f>
        <v/>
      </c>
    </row>
    <row r="130" ht="15" customHeight="1">
      <c r="A130" s="248" t="n">
        <v>7</v>
      </c>
      <c r="B130" s="245" t="n">
        <v>122</v>
      </c>
      <c r="C130" t="inlineStr">
        <is>
          <t>R0215747</t>
        </is>
      </c>
      <c r="D130" t="inlineStr">
        <is>
          <t>10550 CHAMBERS RD</t>
        </is>
      </c>
      <c r="E130" t="n">
        <v>426</v>
      </c>
      <c r="F130" t="inlineStr">
        <is>
          <t>COMMERCE CITY</t>
        </is>
      </c>
      <c r="G130" t="inlineStr">
        <is>
          <t>2</t>
        </is>
      </c>
      <c r="H130" s="669">
        <f>Y130/J130</f>
        <v/>
      </c>
      <c r="I130" s="472" t="n">
        <v>45267</v>
      </c>
      <c r="J130" t="n">
        <v>12842</v>
      </c>
      <c r="K130" s="669" t="n"/>
      <c r="L130" t="n">
        <v>12842</v>
      </c>
      <c r="M130" t="n">
        <v>2023</v>
      </c>
      <c r="R130" t="inlineStr">
        <is>
          <t>Average</t>
        </is>
      </c>
      <c r="S130" t="n">
        <v>94652</v>
      </c>
      <c r="T130" s="469">
        <f>S130/L130</f>
        <v/>
      </c>
      <c r="U130" t="inlineStr">
        <is>
          <t>Average</t>
        </is>
      </c>
      <c r="V130" s="469" t="n"/>
      <c r="W130" s="469" t="n"/>
      <c r="X130" s="469" t="n"/>
      <c r="Y130" s="671" t="n">
        <v>7203333</v>
      </c>
      <c r="Z130" s="671" t="n"/>
      <c r="AA130" s="671" t="n">
        <v>7203333</v>
      </c>
      <c r="AB130" s="671" t="n"/>
      <c r="AC130" t="inlineStr">
        <is>
          <t>0172308306086</t>
        </is>
      </c>
      <c r="AD130" t="inlineStr">
        <is>
          <t>2023000068152</t>
        </is>
      </c>
      <c r="AE130" t="inlineStr">
        <is>
          <t>RK EVBK COMMERCE CITY LLC, C/O READ KING, INC</t>
        </is>
      </c>
      <c r="AF130" t="inlineStr">
        <is>
          <t>REALTY INCOME PROPERTIES 26 LLC</t>
        </is>
      </c>
      <c r="AI130" s="245">
        <f>AND(E130=Subj_OccCode,Subj_BldgSF&gt;0,L130&gt;=Subj_BldgSF*(1-Subj_SizeTol),L130&lt;=Subj_BldgSF*(1+Subj_SizeTol))</f>
        <v/>
      </c>
    </row>
    <row r="131" ht="15" customHeight="1">
      <c r="A131" s="248" t="n">
        <v>7</v>
      </c>
      <c r="B131" s="245" t="n">
        <v>123</v>
      </c>
      <c r="C131" t="inlineStr">
        <is>
          <t>R0222676</t>
        </is>
      </c>
      <c r="D131" t="inlineStr">
        <is>
          <t>37851 E 51ST AVE #E10</t>
        </is>
      </c>
      <c r="E131" t="n">
        <v>328</v>
      </c>
      <c r="G131" t="inlineStr">
        <is>
          <t>1</t>
        </is>
      </c>
      <c r="H131" s="669">
        <f>Y131/J131</f>
        <v/>
      </c>
      <c r="I131" s="472" t="n">
        <v>45390</v>
      </c>
      <c r="J131" t="n">
        <v>2930</v>
      </c>
      <c r="K131" s="669" t="n"/>
      <c r="L131" t="n">
        <v>2930</v>
      </c>
      <c r="M131" t="n">
        <v>2024</v>
      </c>
      <c r="R131" t="inlineStr">
        <is>
          <t>Average</t>
        </is>
      </c>
      <c r="T131" s="469">
        <f>S131/L131</f>
        <v/>
      </c>
      <c r="U131" t="inlineStr">
        <is>
          <t>Average</t>
        </is>
      </c>
      <c r="V131" s="469" t="n"/>
      <c r="W131" s="469" t="n"/>
      <c r="X131" s="469" t="n"/>
      <c r="Y131" s="671" t="n">
        <v>296725</v>
      </c>
      <c r="Z131" s="671" t="n"/>
      <c r="AA131" s="671" t="n">
        <v>296725</v>
      </c>
      <c r="AB131" s="671" t="n"/>
      <c r="AC131" t="inlineStr">
        <is>
          <t>0181715300034</t>
        </is>
      </c>
      <c r="AD131" t="inlineStr">
        <is>
          <t>2024000024059</t>
        </is>
      </c>
      <c r="AE131" t="inlineStr">
        <is>
          <t>37851 51ST AVE HANGAR OWNERS ASSOCIATION INC</t>
        </is>
      </c>
      <c r="AF131" t="inlineStr">
        <is>
          <t>CD SYDNEY AVIATION LLC</t>
        </is>
      </c>
      <c r="AI131" s="245">
        <f>AND(E131=Subj_OccCode,Subj_BldgSF&gt;0,L131&gt;=Subj_BldgSF*(1-Subj_SizeTol),L131&lt;=Subj_BldgSF*(1+Subj_SizeTol))</f>
        <v/>
      </c>
    </row>
    <row r="132" ht="15" customHeight="1">
      <c r="A132" s="248" t="n">
        <v>7</v>
      </c>
      <c r="B132" s="245" t="n">
        <v>124</v>
      </c>
      <c r="C132" t="inlineStr">
        <is>
          <t>R0003875</t>
        </is>
      </c>
      <c r="D132" t="inlineStr">
        <is>
          <t>66 S MAIN ST</t>
        </is>
      </c>
      <c r="E132" t="n">
        <v>353</v>
      </c>
      <c r="F132" t="inlineStr">
        <is>
          <t>BRIGHTON</t>
        </is>
      </c>
      <c r="G132" t="inlineStr">
        <is>
          <t>2</t>
        </is>
      </c>
      <c r="H132" s="669">
        <f>Y132/J132</f>
        <v/>
      </c>
      <c r="I132" s="472" t="n">
        <v>45419</v>
      </c>
      <c r="J132" t="n">
        <v>1525</v>
      </c>
      <c r="K132" s="669" t="n"/>
      <c r="L132" t="n">
        <v>1525</v>
      </c>
      <c r="M132" t="n">
        <v>1957</v>
      </c>
      <c r="P132" t="inlineStr">
        <is>
          <t>DT</t>
        </is>
      </c>
      <c r="R132" t="inlineStr">
        <is>
          <t>Average</t>
        </is>
      </c>
      <c r="S132" t="n">
        <v>1775</v>
      </c>
      <c r="T132" s="469">
        <f>S132/L132</f>
        <v/>
      </c>
      <c r="U132" t="inlineStr">
        <is>
          <t>Average</t>
        </is>
      </c>
      <c r="V132" s="469" t="n"/>
      <c r="W132" s="469" t="n"/>
      <c r="X132" s="469" t="n"/>
      <c r="Y132" s="671" t="n">
        <v>319900</v>
      </c>
      <c r="Z132" s="671" t="n"/>
      <c r="AA132" s="671" t="n">
        <v>319900</v>
      </c>
      <c r="AB132" s="671" t="n"/>
      <c r="AC132" t="inlineStr">
        <is>
          <t>0156907203013</t>
        </is>
      </c>
      <c r="AD132" t="inlineStr">
        <is>
          <t>2024000024483</t>
        </is>
      </c>
      <c r="AE132" t="inlineStr">
        <is>
          <t>66 S MAIN LLC</t>
        </is>
      </c>
      <c r="AF132" t="inlineStr">
        <is>
          <t>BRENNER ERIC</t>
        </is>
      </c>
      <c r="AI132" s="245">
        <f>AND(E132=Subj_OccCode,Subj_BldgSF&gt;0,L132&gt;=Subj_BldgSF*(1-Subj_SizeTol),L132&lt;=Subj_BldgSF*(1+Subj_SizeTol))</f>
        <v/>
      </c>
    </row>
    <row r="133" ht="15" customHeight="1">
      <c r="A133" s="248" t="n">
        <v>7</v>
      </c>
      <c r="B133" s="245" t="n">
        <v>125</v>
      </c>
      <c r="C133" t="inlineStr">
        <is>
          <t>R0040581</t>
        </is>
      </c>
      <c r="D133" t="inlineStr">
        <is>
          <t>2090 E 104TH AVE</t>
        </is>
      </c>
      <c r="E133" t="n">
        <v>344</v>
      </c>
      <c r="F133" t="inlineStr">
        <is>
          <t>THORNTON</t>
        </is>
      </c>
      <c r="G133" t="inlineStr">
        <is>
          <t>4</t>
        </is>
      </c>
      <c r="H133" s="669">
        <f>Y133/J133</f>
        <v/>
      </c>
      <c r="I133" s="472" t="n">
        <v>44762</v>
      </c>
      <c r="J133" t="n">
        <v>20673</v>
      </c>
      <c r="K133" s="669" t="n"/>
      <c r="L133" t="n">
        <v>20673</v>
      </c>
      <c r="M133" t="n">
        <v>1975</v>
      </c>
      <c r="P133" t="inlineStr">
        <is>
          <t>Community Retail</t>
        </is>
      </c>
      <c r="R133" t="inlineStr">
        <is>
          <t>Average</t>
        </is>
      </c>
      <c r="S133" t="n">
        <v>90169</v>
      </c>
      <c r="T133" s="469">
        <f>S133/L133</f>
        <v/>
      </c>
      <c r="U133" t="inlineStr">
        <is>
          <t>Average</t>
        </is>
      </c>
      <c r="V133" s="469" t="n"/>
      <c r="W133" s="469" t="n"/>
      <c r="X133" s="469" t="n"/>
      <c r="Y133" s="671" t="n">
        <v>1400000</v>
      </c>
      <c r="Z133" s="671" t="n"/>
      <c r="AA133" s="671" t="n">
        <v>1400000</v>
      </c>
      <c r="AB133" s="671" t="n"/>
      <c r="AC133" t="inlineStr">
        <is>
          <t>0171914100005</t>
        </is>
      </c>
      <c r="AD133" t="inlineStr">
        <is>
          <t>2022000063474</t>
        </is>
      </c>
      <c r="AE133" t="inlineStr">
        <is>
          <t>2090 E 104TH LLC</t>
        </is>
      </c>
      <c r="AF133" t="inlineStr">
        <is>
          <t>PAUL M COHEN AND JANET A COHEN 1993 TRUST AND, WAALE LLC</t>
        </is>
      </c>
      <c r="AI133" s="245">
        <f>AND(E133=Subj_OccCode,Subj_BldgSF&gt;0,L133&gt;=Subj_BldgSF*(1-Subj_SizeTol),L133&lt;=Subj_BldgSF*(1+Subj_SizeTol))</f>
        <v/>
      </c>
    </row>
    <row r="134" ht="15" customHeight="1">
      <c r="A134" s="248" t="n">
        <v>7</v>
      </c>
      <c r="B134" s="245" t="n">
        <v>126</v>
      </c>
      <c r="C134" t="inlineStr">
        <is>
          <t>R0040815</t>
        </is>
      </c>
      <c r="D134" t="inlineStr">
        <is>
          <t>2100 E 104TH AVE</t>
        </is>
      </c>
      <c r="E134" t="n">
        <v>350</v>
      </c>
      <c r="F134" t="inlineStr">
        <is>
          <t>THORNTON</t>
        </is>
      </c>
      <c r="G134" t="inlineStr">
        <is>
          <t>4</t>
        </is>
      </c>
      <c r="H134" s="669">
        <f>Y134/J134</f>
        <v/>
      </c>
      <c r="I134" s="472" t="n">
        <v>45070</v>
      </c>
      <c r="J134" t="n">
        <v>4438</v>
      </c>
      <c r="K134" s="669" t="n"/>
      <c r="L134" t="n">
        <v>4438</v>
      </c>
      <c r="M134" t="n">
        <v>1973</v>
      </c>
      <c r="P134" t="inlineStr">
        <is>
          <t>Community Retail</t>
        </is>
      </c>
      <c r="R134" t="inlineStr">
        <is>
          <t>Average</t>
        </is>
      </c>
      <c r="S134" t="n">
        <v>34473</v>
      </c>
      <c r="T134" s="469">
        <f>S134/L134</f>
        <v/>
      </c>
      <c r="U134" t="inlineStr">
        <is>
          <t>Average</t>
        </is>
      </c>
      <c r="V134" s="469" t="n"/>
      <c r="W134" s="469" t="n"/>
      <c r="X134" s="469" t="n"/>
      <c r="Y134" s="671" t="n">
        <v>1525000</v>
      </c>
      <c r="Z134" s="671" t="n"/>
      <c r="AA134" s="671" t="n">
        <v>1525000</v>
      </c>
      <c r="AB134" s="671" t="n"/>
      <c r="AC134" t="inlineStr">
        <is>
          <t>0171914119001</t>
        </is>
      </c>
      <c r="AD134" t="inlineStr">
        <is>
          <t>2023000030020</t>
        </is>
      </c>
      <c r="AE134" t="inlineStr">
        <is>
          <t>HOLTS LLC</t>
        </is>
      </c>
      <c r="AF134" t="inlineStr">
        <is>
          <t>S&amp;P CORP</t>
        </is>
      </c>
      <c r="AI134" s="245">
        <f>AND(E134=Subj_OccCode,Subj_BldgSF&gt;0,L134&gt;=Subj_BldgSF*(1-Subj_SizeTol),L134&lt;=Subj_BldgSF*(1+Subj_SizeTol))</f>
        <v/>
      </c>
    </row>
    <row r="135" ht="15" customHeight="1">
      <c r="A135" s="248" t="n">
        <v>7</v>
      </c>
      <c r="B135" s="245" t="n">
        <v>127</v>
      </c>
      <c r="C135" t="inlineStr">
        <is>
          <t>R0077173</t>
        </is>
      </c>
      <c r="D135" t="inlineStr">
        <is>
          <t>8485 ROSLYN ST</t>
        </is>
      </c>
      <c r="E135" t="n">
        <v>406</v>
      </c>
      <c r="F135" t="inlineStr">
        <is>
          <t>COMMERCE CITY</t>
        </is>
      </c>
      <c r="G135" t="inlineStr">
        <is>
          <t>5</t>
        </is>
      </c>
      <c r="H135" s="669">
        <f>Y135/J135</f>
        <v/>
      </c>
      <c r="I135" s="472" t="n">
        <v>45085</v>
      </c>
      <c r="J135" t="n">
        <v>7500</v>
      </c>
      <c r="K135" s="669" t="n"/>
      <c r="L135" t="n">
        <v>7500</v>
      </c>
      <c r="M135" t="n">
        <v>1987</v>
      </c>
      <c r="P135" t="inlineStr">
        <is>
          <t>I-2-Com</t>
        </is>
      </c>
      <c r="R135" t="inlineStr">
        <is>
          <t>Average</t>
        </is>
      </c>
      <c r="S135" t="n">
        <v>49295</v>
      </c>
      <c r="T135" s="469">
        <f>S135/L135</f>
        <v/>
      </c>
      <c r="U135" t="inlineStr">
        <is>
          <t>Average</t>
        </is>
      </c>
      <c r="V135" s="469" t="n"/>
      <c r="W135" s="469" t="n"/>
      <c r="X135" s="469" t="n"/>
      <c r="Y135" s="671" t="n">
        <v>2025000</v>
      </c>
      <c r="Z135" s="671" t="n"/>
      <c r="AA135" s="671" t="n">
        <v>2025000</v>
      </c>
      <c r="AB135" s="671" t="n"/>
      <c r="AC135" t="inlineStr">
        <is>
          <t>0172128200024</t>
        </is>
      </c>
      <c r="AD135" t="inlineStr">
        <is>
          <t>2023000032617</t>
        </is>
      </c>
      <c r="AE135" t="inlineStr">
        <is>
          <t>BRAZZELL DAVID R AND, BRAZZELL BRIAN J</t>
        </is>
      </c>
      <c r="AF135" t="inlineStr">
        <is>
          <t>IMPRESSION CARPET CLEANING LLC</t>
        </is>
      </c>
      <c r="AI135" s="245">
        <f>AND(E135=Subj_OccCode,Subj_BldgSF&gt;0,L135&gt;=Subj_BldgSF*(1-Subj_SizeTol),L135&lt;=Subj_BldgSF*(1+Subj_SizeTol))</f>
        <v/>
      </c>
    </row>
    <row r="136" ht="15" customHeight="1">
      <c r="A136" s="248" t="n">
        <v>7</v>
      </c>
      <c r="B136" s="245" t="n">
        <v>128</v>
      </c>
      <c r="C136" t="inlineStr">
        <is>
          <t>R0085963</t>
        </is>
      </c>
      <c r="D136" t="inlineStr">
        <is>
          <t>1563 JASPER ST</t>
        </is>
      </c>
      <c r="E136" t="n">
        <v>386</v>
      </c>
      <c r="F136" t="inlineStr">
        <is>
          <t>AURORA</t>
        </is>
      </c>
      <c r="G136" t="inlineStr">
        <is>
          <t>6</t>
        </is>
      </c>
      <c r="H136" s="669">
        <f>Y136/J136</f>
        <v/>
      </c>
      <c r="I136" s="472" t="n">
        <v>45062</v>
      </c>
      <c r="J136" t="n">
        <v>29650</v>
      </c>
      <c r="K136" s="669" t="n"/>
      <c r="L136" t="n">
        <v>29650</v>
      </c>
      <c r="M136" t="n">
        <v>1985</v>
      </c>
      <c r="P136" t="inlineStr">
        <is>
          <t>B-4-Aur</t>
        </is>
      </c>
      <c r="R136" t="inlineStr">
        <is>
          <t>Average</t>
        </is>
      </c>
      <c r="S136" t="n">
        <v>62929</v>
      </c>
      <c r="T136" s="469">
        <f>S136/L136</f>
        <v/>
      </c>
      <c r="U136" t="inlineStr">
        <is>
          <t>Average</t>
        </is>
      </c>
      <c r="V136" s="469" t="n"/>
      <c r="W136" s="469" t="n"/>
      <c r="X136" s="469" t="n"/>
      <c r="Y136" s="671" t="n">
        <v>2712500</v>
      </c>
      <c r="Z136" s="671" t="n"/>
      <c r="AA136" s="671" t="n">
        <v>2712500</v>
      </c>
      <c r="AB136" s="671" t="n"/>
      <c r="AC136" t="inlineStr">
        <is>
          <t>0182132315052</t>
        </is>
      </c>
      <c r="AD136" t="inlineStr">
        <is>
          <t>2023000027674</t>
        </is>
      </c>
      <c r="AE136" t="inlineStr">
        <is>
          <t>CTTW HOLDINGS LLC AND MARSCH NICHOLAS AND, MARSCH &amp; BAKOUCHE RENTALS LLC ET AL</t>
        </is>
      </c>
      <c r="AF136" t="inlineStr">
        <is>
          <t>LOCK AWAY COLORADO LLC</t>
        </is>
      </c>
      <c r="AI136" s="245">
        <f>AND(E136=Subj_OccCode,Subj_BldgSF&gt;0,L136&gt;=Subj_BldgSF*(1-Subj_SizeTol),L136&lt;=Subj_BldgSF*(1+Subj_SizeTol))</f>
        <v/>
      </c>
    </row>
    <row r="137" ht="15" customHeight="1">
      <c r="A137" s="248" t="n">
        <v>7</v>
      </c>
      <c r="B137" s="245" t="n">
        <v>129</v>
      </c>
      <c r="C137" t="inlineStr">
        <is>
          <t>R0090660</t>
        </is>
      </c>
      <c r="D137" t="inlineStr">
        <is>
          <t>4981 E 64TH AVE</t>
        </is>
      </c>
      <c r="E137" t="n">
        <v>419</v>
      </c>
      <c r="F137" t="inlineStr">
        <is>
          <t>COMMERCE CITY</t>
        </is>
      </c>
      <c r="G137" t="inlineStr">
        <is>
          <t>5</t>
        </is>
      </c>
      <c r="H137" s="669">
        <f>Y137/J137</f>
        <v/>
      </c>
      <c r="I137" s="472" t="n">
        <v>44858</v>
      </c>
      <c r="J137" t="n">
        <v>2709</v>
      </c>
      <c r="K137" s="669" t="n"/>
      <c r="L137" t="n">
        <v>2709</v>
      </c>
      <c r="M137" t="n">
        <v>1995</v>
      </c>
      <c r="P137" t="inlineStr">
        <is>
          <t>C-2-Com</t>
        </is>
      </c>
      <c r="R137" t="inlineStr">
        <is>
          <t>Average</t>
        </is>
      </c>
      <c r="S137" t="n">
        <v>50268</v>
      </c>
      <c r="T137" s="469">
        <f>S137/L137</f>
        <v/>
      </c>
      <c r="U137" t="inlineStr">
        <is>
          <t>Average</t>
        </is>
      </c>
      <c r="V137" s="469" t="n"/>
      <c r="W137" s="469" t="n"/>
      <c r="X137" s="469" t="n"/>
      <c r="Y137" s="671" t="n">
        <v>2341930</v>
      </c>
      <c r="Z137" s="671" t="n"/>
      <c r="AA137" s="671" t="n">
        <v>2341930</v>
      </c>
      <c r="AB137" s="671" t="n"/>
      <c r="AC137" t="inlineStr">
        <is>
          <t>0182306407031</t>
        </is>
      </c>
      <c r="AD137" t="inlineStr">
        <is>
          <t>2022000086638</t>
        </is>
      </c>
      <c r="AE137" t="inlineStr">
        <is>
          <t>DCW FAMILY HOLDINGS LLC</t>
        </is>
      </c>
      <c r="AF137" t="inlineStr">
        <is>
          <t>SKYLINE PRINCIPAL INVESTORS II LLC</t>
        </is>
      </c>
      <c r="AI137" s="245">
        <f>AND(E137=Subj_OccCode,Subj_BldgSF&gt;0,L137&gt;=Subj_BldgSF*(1-Subj_SizeTol),L137&lt;=Subj_BldgSF*(1+Subj_SizeTol))</f>
        <v/>
      </c>
    </row>
    <row r="138" ht="15" customHeight="1">
      <c r="A138" s="248" t="n">
        <v>7</v>
      </c>
      <c r="B138" s="245" t="n">
        <v>130</v>
      </c>
      <c r="C138" t="inlineStr">
        <is>
          <t>R0092838</t>
        </is>
      </c>
      <c r="D138" t="inlineStr">
        <is>
          <t>5565 E 52ND AVE</t>
        </is>
      </c>
      <c r="E138" t="n">
        <v>334</v>
      </c>
      <c r="F138" t="inlineStr">
        <is>
          <t>COMMERCE CITY</t>
        </is>
      </c>
      <c r="G138" t="inlineStr">
        <is>
          <t>5</t>
        </is>
      </c>
      <c r="H138" s="669">
        <f>Y138/J138</f>
        <v/>
      </c>
      <c r="I138" s="472" t="n">
        <v>45275</v>
      </c>
      <c r="J138" t="n">
        <v>11200</v>
      </c>
      <c r="K138" s="669" t="n"/>
      <c r="L138" t="n">
        <v>11200</v>
      </c>
      <c r="M138" t="n">
        <v>1974</v>
      </c>
      <c r="P138" t="inlineStr">
        <is>
          <t>I-2-Com</t>
        </is>
      </c>
      <c r="R138" t="inlineStr">
        <is>
          <t>Average</t>
        </is>
      </c>
      <c r="S138" t="n">
        <v>145011</v>
      </c>
      <c r="T138" s="469">
        <f>S138/L138</f>
        <v/>
      </c>
      <c r="U138" t="inlineStr">
        <is>
          <t>Average</t>
        </is>
      </c>
      <c r="V138" s="469" t="n"/>
      <c r="W138" s="469" t="n"/>
      <c r="X138" s="469" t="n"/>
      <c r="Y138" s="671" t="n">
        <v>5192000</v>
      </c>
      <c r="Z138" s="671" t="n"/>
      <c r="AA138" s="671" t="n">
        <v>5192000</v>
      </c>
      <c r="AB138" s="671" t="n"/>
      <c r="AC138" t="inlineStr">
        <is>
          <t>0182318107003</t>
        </is>
      </c>
      <c r="AD138" t="inlineStr">
        <is>
          <t>2023000069418</t>
        </is>
      </c>
      <c r="AE138" t="inlineStr">
        <is>
          <t>FIVEKC LLC</t>
        </is>
      </c>
      <c r="AF138" t="inlineStr">
        <is>
          <t>CAH CO COMMERCE CITY LLC</t>
        </is>
      </c>
      <c r="AI138" s="245">
        <f>AND(E138=Subj_OccCode,Subj_BldgSF&gt;0,L138&gt;=Subj_BldgSF*(1-Subj_SizeTol),L138&lt;=Subj_BldgSF*(1+Subj_SizeTol))</f>
        <v/>
      </c>
    </row>
    <row r="139" ht="15" customHeight="1">
      <c r="A139" s="248" t="n">
        <v>7</v>
      </c>
      <c r="B139" s="245" t="n">
        <v>131</v>
      </c>
      <c r="C139" t="inlineStr">
        <is>
          <t>R0099963</t>
        </is>
      </c>
      <c r="D139" t="inlineStr">
        <is>
          <t>3190 W 72ND AVE</t>
        </is>
      </c>
      <c r="E139" t="n">
        <v>350</v>
      </c>
      <c r="F139" t="inlineStr">
        <is>
          <t>WESTMINSTER</t>
        </is>
      </c>
      <c r="G139" t="inlineStr">
        <is>
          <t>4</t>
        </is>
      </c>
      <c r="H139" s="669">
        <f>Y139/J139</f>
        <v/>
      </c>
      <c r="I139" s="472" t="n">
        <v>45166</v>
      </c>
      <c r="J139" t="n">
        <v>1163</v>
      </c>
      <c r="K139" s="669" t="n"/>
      <c r="L139" t="n">
        <v>1163</v>
      </c>
      <c r="M139" t="n">
        <v>1964</v>
      </c>
      <c r="P139" t="inlineStr">
        <is>
          <t>SPD</t>
        </is>
      </c>
      <c r="R139" t="inlineStr">
        <is>
          <t>Average</t>
        </is>
      </c>
      <c r="S139" t="n">
        <v>14556</v>
      </c>
      <c r="T139" s="469">
        <f>S139/L139</f>
        <v/>
      </c>
      <c r="U139" t="inlineStr">
        <is>
          <t>Average</t>
        </is>
      </c>
      <c r="V139" s="469" t="n"/>
      <c r="W139" s="469" t="n"/>
      <c r="X139" s="469" t="n"/>
      <c r="Y139" s="671" t="n">
        <v>600000</v>
      </c>
      <c r="Z139" s="671" t="n"/>
      <c r="AA139" s="671" t="n">
        <v>600000</v>
      </c>
      <c r="AB139" s="671" t="n"/>
      <c r="AC139" t="inlineStr">
        <is>
          <t>0182505201001</t>
        </is>
      </c>
      <c r="AD139" t="inlineStr">
        <is>
          <t>2023000051057</t>
        </is>
      </c>
      <c r="AE139" t="inlineStr">
        <is>
          <t>NORMAN GAUGER INC</t>
        </is>
      </c>
      <c r="AF139" t="inlineStr">
        <is>
          <t>72 AVE LLC, C/O SHI BING KE</t>
        </is>
      </c>
      <c r="AI139" s="245">
        <f>AND(E139=Subj_OccCode,Subj_BldgSF&gt;0,L139&gt;=Subj_BldgSF*(1-Subj_SizeTol),L139&lt;=Subj_BldgSF*(1+Subj_SizeTol))</f>
        <v/>
      </c>
    </row>
    <row r="140" ht="15" customHeight="1">
      <c r="A140" s="248" t="n">
        <v>7</v>
      </c>
      <c r="B140" s="245" t="n">
        <v>132</v>
      </c>
      <c r="C140" t="inlineStr">
        <is>
          <t>R0103017</t>
        </is>
      </c>
      <c r="D140" t="inlineStr">
        <is>
          <t>2896 W 64TH AVE</t>
        </is>
      </c>
      <c r="E140" t="n">
        <v>407</v>
      </c>
      <c r="G140" t="inlineStr">
        <is>
          <t>5</t>
        </is>
      </c>
      <c r="H140" s="669">
        <f>Y140/J140</f>
        <v/>
      </c>
      <c r="I140" s="472" t="n">
        <v>45117</v>
      </c>
      <c r="J140" t="n">
        <v>13613</v>
      </c>
      <c r="K140" s="669" t="n"/>
      <c r="L140" t="n">
        <v>13613</v>
      </c>
      <c r="M140" t="n">
        <v>1973</v>
      </c>
      <c r="P140" t="inlineStr">
        <is>
          <t>Industrial</t>
        </is>
      </c>
      <c r="R140" t="inlineStr">
        <is>
          <t>Average</t>
        </is>
      </c>
      <c r="S140" t="n">
        <v>41382</v>
      </c>
      <c r="T140" s="469">
        <f>S140/L140</f>
        <v/>
      </c>
      <c r="U140" t="inlineStr">
        <is>
          <t>Average</t>
        </is>
      </c>
      <c r="V140" s="469" t="n"/>
      <c r="W140" s="469" t="n"/>
      <c r="X140" s="469" t="n"/>
      <c r="Y140" s="671" t="n">
        <v>2225000</v>
      </c>
      <c r="Z140" s="671" t="n"/>
      <c r="AA140" s="671" t="n">
        <v>2225000</v>
      </c>
      <c r="AB140" s="671" t="n"/>
      <c r="AC140" t="inlineStr">
        <is>
          <t>0182508100004</t>
        </is>
      </c>
      <c r="AD140" t="inlineStr">
        <is>
          <t>2023000038899</t>
        </is>
      </c>
      <c r="AE140" t="inlineStr">
        <is>
          <t>2896 W 64TH AVE LLC</t>
        </is>
      </c>
      <c r="AF140" t="inlineStr">
        <is>
          <t>THE MCC AMIGOS LLC</t>
        </is>
      </c>
      <c r="AI140" s="245">
        <f>AND(E140=Subj_OccCode,Subj_BldgSF&gt;0,L140&gt;=Subj_BldgSF*(1-Subj_SizeTol),L140&lt;=Subj_BldgSF*(1+Subj_SizeTol))</f>
        <v/>
      </c>
    </row>
    <row r="141" ht="15" customHeight="1">
      <c r="A141" s="248" t="n">
        <v>7</v>
      </c>
      <c r="B141" s="245" t="n">
        <v>133</v>
      </c>
      <c r="C141" t="inlineStr">
        <is>
          <t>R0142646</t>
        </is>
      </c>
      <c r="D141" t="inlineStr">
        <is>
          <t>10160 GRANT ST</t>
        </is>
      </c>
      <c r="E141" t="n">
        <v>325</v>
      </c>
      <c r="F141" t="inlineStr">
        <is>
          <t>THORNTON</t>
        </is>
      </c>
      <c r="G141" t="inlineStr">
        <is>
          <t>4</t>
        </is>
      </c>
      <c r="H141" s="669">
        <f>Y141/J141</f>
        <v/>
      </c>
      <c r="I141" s="472" t="n">
        <v>45442</v>
      </c>
      <c r="J141" t="n">
        <v>6440</v>
      </c>
      <c r="K141" s="669" t="n"/>
      <c r="L141" t="n">
        <v>6440</v>
      </c>
      <c r="M141" t="n">
        <v>2002</v>
      </c>
      <c r="P141" t="inlineStr">
        <is>
          <t>Planned Development</t>
        </is>
      </c>
      <c r="R141" t="inlineStr">
        <is>
          <t>Average</t>
        </is>
      </c>
      <c r="S141" t="n">
        <v>52276</v>
      </c>
      <c r="T141" s="469">
        <f>S141/L141</f>
        <v/>
      </c>
      <c r="U141" t="inlineStr">
        <is>
          <t>Average</t>
        </is>
      </c>
      <c r="V141" s="469" t="n"/>
      <c r="W141" s="469" t="n"/>
      <c r="X141" s="469" t="n"/>
      <c r="Y141" s="671" t="n">
        <v>2500000</v>
      </c>
      <c r="Z141" s="671" t="n"/>
      <c r="AA141" s="671" t="n">
        <v>2500000</v>
      </c>
      <c r="AB141" s="671" t="n"/>
      <c r="AC141" t="inlineStr">
        <is>
          <t>0171915102026</t>
        </is>
      </c>
      <c r="AD141" t="inlineStr">
        <is>
          <t>2024000031475</t>
        </is>
      </c>
      <c r="AE141" t="inlineStr">
        <is>
          <t>NG21 LP</t>
        </is>
      </c>
      <c r="AF141" t="inlineStr">
        <is>
          <t>BRAKES PLUS LLC</t>
        </is>
      </c>
      <c r="AI141" s="245">
        <f>AND(E141=Subj_OccCode,Subj_BldgSF&gt;0,L141&gt;=Subj_BldgSF*(1-Subj_SizeTol),L141&lt;=Subj_BldgSF*(1+Subj_SizeTol))</f>
        <v/>
      </c>
    </row>
    <row r="142" ht="15" customHeight="1">
      <c r="A142" s="248" t="n">
        <v>7</v>
      </c>
      <c r="B142" s="245" t="n">
        <v>134</v>
      </c>
      <c r="C142" t="inlineStr">
        <is>
          <t>R0037692</t>
        </is>
      </c>
      <c r="D142" t="inlineStr">
        <is>
          <t>10880 LEROY DR</t>
        </is>
      </c>
      <c r="E142" t="n">
        <v>407</v>
      </c>
      <c r="F142" t="inlineStr">
        <is>
          <t>NORTHGLENN</t>
        </is>
      </c>
      <c r="G142" t="inlineStr">
        <is>
          <t>4</t>
        </is>
      </c>
      <c r="H142" s="669">
        <f>Y142/J142</f>
        <v/>
      </c>
      <c r="I142" s="472" t="n">
        <v>45362</v>
      </c>
      <c r="J142" t="n">
        <v>29000</v>
      </c>
      <c r="K142" s="669" t="n"/>
      <c r="L142" t="n">
        <v>29000</v>
      </c>
      <c r="M142" t="n">
        <v>1977</v>
      </c>
      <c r="P142" t="inlineStr">
        <is>
          <t>I-2-Nor</t>
        </is>
      </c>
      <c r="R142" t="inlineStr">
        <is>
          <t>Average</t>
        </is>
      </c>
      <c r="S142" t="n">
        <v>92434</v>
      </c>
      <c r="T142" s="469">
        <f>S142/L142</f>
        <v/>
      </c>
      <c r="U142" t="inlineStr">
        <is>
          <t>Average</t>
        </is>
      </c>
      <c r="V142" s="469" t="n"/>
      <c r="W142" s="469" t="n"/>
      <c r="X142" s="469" t="n"/>
      <c r="Y142" s="671" t="n">
        <v>4850000</v>
      </c>
      <c r="Z142" s="671" t="n"/>
      <c r="AA142" s="671" t="n">
        <v>4850000</v>
      </c>
      <c r="AB142" s="671" t="n"/>
      <c r="AC142" t="inlineStr">
        <is>
          <t>0171911101018</t>
        </is>
      </c>
      <c r="AD142" t="inlineStr">
        <is>
          <t>2024000012846</t>
        </is>
      </c>
      <c r="AE142" t="inlineStr">
        <is>
          <t>KICKBUSH DOM AND, KICKBUSH ANA</t>
        </is>
      </c>
      <c r="AF142" t="inlineStr">
        <is>
          <t>SLLI PROPERTIES LLC</t>
        </is>
      </c>
      <c r="AI142" s="245">
        <f>AND(E142=Subj_OccCode,Subj_BldgSF&gt;0,L142&gt;=Subj_BldgSF*(1-Subj_SizeTol),L142&lt;=Subj_BldgSF*(1+Subj_SizeTol))</f>
        <v/>
      </c>
    </row>
    <row r="143" ht="15" customHeight="1">
      <c r="A143" s="248" t="n">
        <v>7</v>
      </c>
      <c r="B143" s="245" t="n">
        <v>135</v>
      </c>
      <c r="C143" t="inlineStr">
        <is>
          <t>R0037816</t>
        </is>
      </c>
      <c r="D143" t="inlineStr">
        <is>
          <t>10911 IRMA DR</t>
        </is>
      </c>
      <c r="E143" t="n">
        <v>325</v>
      </c>
      <c r="F143" t="inlineStr">
        <is>
          <t>NORTHGLENN</t>
        </is>
      </c>
      <c r="G143" t="inlineStr">
        <is>
          <t>4</t>
        </is>
      </c>
      <c r="H143" s="669">
        <f>Y143/J143</f>
        <v/>
      </c>
      <c r="I143" s="472" t="n">
        <v>45051</v>
      </c>
      <c r="J143" t="n">
        <v>2592</v>
      </c>
      <c r="K143" s="669" t="n"/>
      <c r="L143" t="n">
        <v>2592</v>
      </c>
      <c r="M143" t="n">
        <v>1975</v>
      </c>
      <c r="P143" t="inlineStr">
        <is>
          <t>I-2-Nor</t>
        </is>
      </c>
      <c r="R143" t="inlineStr">
        <is>
          <t>Average</t>
        </is>
      </c>
      <c r="S143" t="n">
        <v>22500</v>
      </c>
      <c r="T143" s="469">
        <f>S143/L143</f>
        <v/>
      </c>
      <c r="U143" t="inlineStr">
        <is>
          <t>Average</t>
        </is>
      </c>
      <c r="V143" s="469" t="n"/>
      <c r="W143" s="469" t="n"/>
      <c r="X143" s="469" t="n"/>
      <c r="Y143" s="671" t="n">
        <v>850000</v>
      </c>
      <c r="Z143" s="671" t="n"/>
      <c r="AA143" s="671" t="n">
        <v>850000</v>
      </c>
      <c r="AB143" s="671" t="n"/>
      <c r="AC143" t="inlineStr">
        <is>
          <t>0171911109017</t>
        </is>
      </c>
      <c r="AD143" t="inlineStr">
        <is>
          <t>2023000031537</t>
        </is>
      </c>
      <c r="AE143" t="inlineStr">
        <is>
          <t>JACKSON LARRY DEAN</t>
        </is>
      </c>
      <c r="AF143" t="inlineStr">
        <is>
          <t>RBF ENTERPRISES LLC</t>
        </is>
      </c>
      <c r="AI143" s="245">
        <f>AND(E143=Subj_OccCode,Subj_BldgSF&gt;0,L143&gt;=Subj_BldgSF*(1-Subj_SizeTol),L143&lt;=Subj_BldgSF*(1+Subj_SizeTol))</f>
        <v/>
      </c>
    </row>
    <row r="144" ht="15" customHeight="1">
      <c r="A144" s="248" t="n">
        <v>7</v>
      </c>
      <c r="B144" s="245" t="n">
        <v>136</v>
      </c>
      <c r="C144" t="inlineStr">
        <is>
          <t>R0064415</t>
        </is>
      </c>
      <c r="D144" t="inlineStr">
        <is>
          <t>7901 ZENOBIA ST</t>
        </is>
      </c>
      <c r="E144" t="n">
        <v>1344</v>
      </c>
      <c r="F144" t="inlineStr">
        <is>
          <t>WESTMINSTER</t>
        </is>
      </c>
      <c r="G144" t="inlineStr">
        <is>
          <t>4</t>
        </is>
      </c>
      <c r="H144" s="669">
        <f>Y144/J144</f>
        <v/>
      </c>
      <c r="I144" s="472" t="n">
        <v>45436</v>
      </c>
      <c r="J144" t="n">
        <v>5700</v>
      </c>
      <c r="K144" s="669" t="n"/>
      <c r="L144" t="n">
        <v>5700</v>
      </c>
      <c r="M144" t="n">
        <v>1981</v>
      </c>
      <c r="P144" t="inlineStr">
        <is>
          <t>B-1-Wes</t>
        </is>
      </c>
      <c r="R144" t="inlineStr">
        <is>
          <t>Average</t>
        </is>
      </c>
      <c r="S144" t="n">
        <v>720</v>
      </c>
      <c r="T144" s="469">
        <f>S144/L144</f>
        <v/>
      </c>
      <c r="U144" t="inlineStr">
        <is>
          <t>Average</t>
        </is>
      </c>
      <c r="V144" s="469" t="n"/>
      <c r="W144" s="469" t="n"/>
      <c r="X144" s="469" t="n"/>
      <c r="Y144" s="671" t="n">
        <v>325000</v>
      </c>
      <c r="Z144" s="671" t="n"/>
      <c r="AA144" s="671" t="n">
        <v>325000</v>
      </c>
      <c r="AB144" s="671" t="n"/>
      <c r="AC144" t="inlineStr">
        <is>
          <t>0171931213021</t>
        </is>
      </c>
      <c r="AD144" t="inlineStr">
        <is>
          <t>2024000029819</t>
        </is>
      </c>
      <c r="AE144" t="inlineStr">
        <is>
          <t>CMS HOLDINGS LLC</t>
        </is>
      </c>
      <c r="AF144" t="inlineStr">
        <is>
          <t>REINVENTION J HOLDINGS LLC</t>
        </is>
      </c>
      <c r="AI144" s="245">
        <f>AND(E144=Subj_OccCode,Subj_BldgSF&gt;0,L144&gt;=Subj_BldgSF*(1-Subj_SizeTol),L144&lt;=Subj_BldgSF*(1+Subj_SizeTol))</f>
        <v/>
      </c>
    </row>
    <row r="145" ht="15" customHeight="1">
      <c r="A145" s="248" t="n">
        <v>7</v>
      </c>
      <c r="B145" s="245" t="n">
        <v>137</v>
      </c>
      <c r="C145" t="inlineStr">
        <is>
          <t>R0065356</t>
        </is>
      </c>
      <c r="D145" t="inlineStr">
        <is>
          <t>7205 MEADE ST</t>
        </is>
      </c>
      <c r="E145" t="n">
        <v>344</v>
      </c>
      <c r="F145" t="inlineStr">
        <is>
          <t>WESTMINSTER</t>
        </is>
      </c>
      <c r="G145" t="inlineStr">
        <is>
          <t>4</t>
        </is>
      </c>
      <c r="H145" s="669">
        <f>Y145/J145</f>
        <v/>
      </c>
      <c r="I145" s="472" t="n">
        <v>45457</v>
      </c>
      <c r="J145" t="n">
        <v>1880</v>
      </c>
      <c r="K145" s="669" t="n"/>
      <c r="L145" t="n">
        <v>1880</v>
      </c>
      <c r="M145" t="n">
        <v>1952</v>
      </c>
      <c r="P145" t="inlineStr">
        <is>
          <t>B-1-Wes</t>
        </is>
      </c>
      <c r="R145" t="inlineStr">
        <is>
          <t>Average</t>
        </is>
      </c>
      <c r="S145" t="n">
        <v>4800</v>
      </c>
      <c r="T145" s="469">
        <f>S145/L145</f>
        <v/>
      </c>
      <c r="U145" t="inlineStr">
        <is>
          <t>Average</t>
        </is>
      </c>
      <c r="V145" s="469" t="n"/>
      <c r="W145" s="469" t="n"/>
      <c r="X145" s="469" t="n"/>
      <c r="Y145" s="671" t="n">
        <v>300000</v>
      </c>
      <c r="Z145" s="671" t="n"/>
      <c r="AA145" s="671" t="n">
        <v>300000</v>
      </c>
      <c r="AB145" s="671" t="n"/>
      <c r="AC145" t="inlineStr">
        <is>
          <t>0171931417024</t>
        </is>
      </c>
      <c r="AD145" t="inlineStr">
        <is>
          <t>2024000032236</t>
        </is>
      </c>
      <c r="AE145" t="inlineStr">
        <is>
          <t>7205 MEADE LLC</t>
        </is>
      </c>
      <c r="AF145" t="inlineStr">
        <is>
          <t>COLLECTIVE CULTURE LLC</t>
        </is>
      </c>
      <c r="AI145" s="245">
        <f>AND(E145=Subj_OccCode,Subj_BldgSF&gt;0,L145&gt;=Subj_BldgSF*(1-Subj_SizeTol),L145&lt;=Subj_BldgSF*(1+Subj_SizeTol))</f>
        <v/>
      </c>
    </row>
    <row r="146" ht="15" customHeight="1">
      <c r="A146" s="248" t="n">
        <v>7</v>
      </c>
      <c r="B146" s="245" t="n">
        <v>138</v>
      </c>
      <c r="C146" t="inlineStr">
        <is>
          <t>R0077024</t>
        </is>
      </c>
      <c r="D146" t="inlineStr">
        <is>
          <t>9152 YOSEMITE ST</t>
        </is>
      </c>
      <c r="E146" t="n">
        <v>407</v>
      </c>
      <c r="F146" t="inlineStr">
        <is>
          <t>COMMERCE CITY</t>
        </is>
      </c>
      <c r="G146" t="inlineStr">
        <is>
          <t>5</t>
        </is>
      </c>
      <c r="H146" s="669">
        <f>Y146/J146</f>
        <v/>
      </c>
      <c r="I146" s="472" t="n">
        <v>45231</v>
      </c>
      <c r="J146" t="n">
        <v>60209</v>
      </c>
      <c r="K146" s="669" t="n"/>
      <c r="L146" t="n">
        <v>60209</v>
      </c>
      <c r="M146" t="n">
        <v>1992</v>
      </c>
      <c r="P146" t="inlineStr">
        <is>
          <t>I-3-Com</t>
        </is>
      </c>
      <c r="R146" t="inlineStr">
        <is>
          <t>Average</t>
        </is>
      </c>
      <c r="S146" t="n">
        <v>491008</v>
      </c>
      <c r="T146" s="469">
        <f>S146/L146</f>
        <v/>
      </c>
      <c r="U146" t="inlineStr">
        <is>
          <t>Average</t>
        </is>
      </c>
      <c r="V146" s="469" t="n"/>
      <c r="W146" s="469" t="n"/>
      <c r="X146" s="469" t="n"/>
      <c r="Y146" s="671" t="n">
        <v>8300000</v>
      </c>
      <c r="Z146" s="671" t="n"/>
      <c r="AA146" s="671" t="n">
        <v>8300000</v>
      </c>
      <c r="AB146" s="671" t="n"/>
      <c r="AC146" t="inlineStr">
        <is>
          <t>0172122006007</t>
        </is>
      </c>
      <c r="AD146" t="inlineStr">
        <is>
          <t>2023000061749</t>
        </is>
      </c>
      <c r="AE146" t="inlineStr">
        <is>
          <t>WARD REALTY CORPORATION</t>
        </is>
      </c>
      <c r="AF146" t="inlineStr">
        <is>
          <t>GVII-ZS YOSEMITE OWNER LLC</t>
        </is>
      </c>
      <c r="AI146" s="245">
        <f>AND(E146=Subj_OccCode,Subj_BldgSF&gt;0,L146&gt;=Subj_BldgSF*(1-Subj_SizeTol),L146&lt;=Subj_BldgSF*(1+Subj_SizeTol))</f>
        <v/>
      </c>
    </row>
    <row r="147" ht="15" customHeight="1">
      <c r="A147" s="248" t="n">
        <v>7</v>
      </c>
      <c r="B147" s="245" t="n">
        <v>139</v>
      </c>
      <c r="C147" t="inlineStr">
        <is>
          <t>R0077223</t>
        </is>
      </c>
      <c r="D147" t="inlineStr">
        <is>
          <t>7920 E 88TH AVE</t>
        </is>
      </c>
      <c r="E147" t="n">
        <v>325</v>
      </c>
      <c r="F147" t="inlineStr">
        <is>
          <t>COMMERCE CITY</t>
        </is>
      </c>
      <c r="G147" t="inlineStr">
        <is>
          <t>5</t>
        </is>
      </c>
      <c r="H147" s="669">
        <f>Y147/J147</f>
        <v/>
      </c>
      <c r="I147" s="472" t="n">
        <v>44770</v>
      </c>
      <c r="J147" t="n">
        <v>6500</v>
      </c>
      <c r="K147" s="669" t="n"/>
      <c r="L147" t="n">
        <v>6500</v>
      </c>
      <c r="M147" t="n">
        <v>1984</v>
      </c>
      <c r="P147" t="inlineStr">
        <is>
          <t>I-2-Com</t>
        </is>
      </c>
      <c r="R147" t="inlineStr">
        <is>
          <t>Average</t>
        </is>
      </c>
      <c r="S147" t="n">
        <v>50060</v>
      </c>
      <c r="T147" s="469">
        <f>S147/L147</f>
        <v/>
      </c>
      <c r="U147" t="inlineStr">
        <is>
          <t>Average</t>
        </is>
      </c>
      <c r="V147" s="469" t="n"/>
      <c r="W147" s="469" t="n"/>
      <c r="X147" s="469" t="n"/>
      <c r="Y147" s="671" t="n">
        <v>2550000</v>
      </c>
      <c r="Z147" s="671" t="n"/>
      <c r="AA147" s="671" t="n">
        <v>2550000</v>
      </c>
      <c r="AB147" s="671" t="n"/>
      <c r="AC147" t="inlineStr">
        <is>
          <t>0172128213001</t>
        </is>
      </c>
      <c r="AD147" t="inlineStr">
        <is>
          <t>2022000065029</t>
        </is>
      </c>
      <c r="AE147" t="inlineStr">
        <is>
          <t xml:space="preserve">BEGLEY OTHEL BAXTER AND , KOZA JEFFREY P </t>
        </is>
      </c>
      <c r="AF147" t="inlineStr">
        <is>
          <t>NCW GROUP LLC</t>
        </is>
      </c>
      <c r="AI147" s="245">
        <f>AND(E147=Subj_OccCode,Subj_BldgSF&gt;0,L147&gt;=Subj_BldgSF*(1-Subj_SizeTol),L147&lt;=Subj_BldgSF*(1+Subj_SizeTol))</f>
        <v/>
      </c>
    </row>
    <row r="148" ht="15" customHeight="1">
      <c r="A148" s="248" t="n">
        <v>7</v>
      </c>
      <c r="B148" s="245" t="n">
        <v>140</v>
      </c>
      <c r="C148" t="inlineStr">
        <is>
          <t>R0077393</t>
        </is>
      </c>
      <c r="D148" t="inlineStr">
        <is>
          <t>8451 BRIGHTON DR</t>
        </is>
      </c>
      <c r="E148" t="n">
        <v>344</v>
      </c>
      <c r="G148" t="inlineStr">
        <is>
          <t>5</t>
        </is>
      </c>
      <c r="H148" s="669">
        <f>Y148/J148</f>
        <v/>
      </c>
      <c r="I148" s="472" t="n">
        <v>45149</v>
      </c>
      <c r="J148" t="n">
        <v>13600</v>
      </c>
      <c r="K148" s="669" t="n"/>
      <c r="L148" t="n">
        <v>13600</v>
      </c>
      <c r="M148" t="n">
        <v>1968</v>
      </c>
      <c r="P148" t="inlineStr">
        <is>
          <t>Industrial</t>
        </is>
      </c>
      <c r="R148" t="inlineStr">
        <is>
          <t>Average</t>
        </is>
      </c>
      <c r="S148" t="n">
        <v>39334</v>
      </c>
      <c r="T148" s="469">
        <f>S148/L148</f>
        <v/>
      </c>
      <c r="U148" t="inlineStr">
        <is>
          <t>Average</t>
        </is>
      </c>
      <c r="V148" s="469" t="n"/>
      <c r="W148" s="469" t="n"/>
      <c r="X148" s="469" t="n"/>
      <c r="Y148" s="671" t="n">
        <v>2789000</v>
      </c>
      <c r="Z148" s="671" t="n"/>
      <c r="AA148" s="671" t="n">
        <v>2789000</v>
      </c>
      <c r="AB148" s="671" t="n"/>
      <c r="AC148" t="inlineStr">
        <is>
          <t>0172129200027</t>
        </is>
      </c>
      <c r="AD148" t="inlineStr">
        <is>
          <t>2023000046196</t>
        </is>
      </c>
      <c r="AE148" t="inlineStr">
        <is>
          <t>BDM HOLDINGS LLC</t>
        </is>
      </c>
      <c r="AF148" t="inlineStr">
        <is>
          <t>8451 BRIGHTON ROAD INC</t>
        </is>
      </c>
      <c r="AI148" s="245">
        <f>AND(E148=Subj_OccCode,Subj_BldgSF&gt;0,L148&gt;=Subj_BldgSF*(1-Subj_SizeTol),L148&lt;=Subj_BldgSF*(1+Subj_SizeTol))</f>
        <v/>
      </c>
    </row>
    <row r="149" ht="15" customHeight="1">
      <c r="A149" s="248" t="n">
        <v>7</v>
      </c>
      <c r="B149" s="245" t="n">
        <v>141</v>
      </c>
      <c r="C149" t="inlineStr">
        <is>
          <t>R0098079</t>
        </is>
      </c>
      <c r="D149" t="inlineStr">
        <is>
          <t>851 HWY 224 #A3</t>
        </is>
      </c>
      <c r="E149" t="n">
        <v>425</v>
      </c>
      <c r="G149" t="inlineStr">
        <is>
          <t>5</t>
        </is>
      </c>
      <c r="H149" s="669">
        <f>Y149/J149</f>
        <v/>
      </c>
      <c r="I149" s="472" t="n">
        <v>44817</v>
      </c>
      <c r="J149" t="n">
        <v>26500</v>
      </c>
      <c r="K149" s="669" t="n"/>
      <c r="L149" t="n">
        <v>26500</v>
      </c>
      <c r="M149" t="n">
        <v>1984</v>
      </c>
      <c r="P149" t="inlineStr">
        <is>
          <t>Industrial</t>
        </is>
      </c>
      <c r="R149" t="inlineStr">
        <is>
          <t>Average</t>
        </is>
      </c>
      <c r="S149" t="n">
        <v>4340</v>
      </c>
      <c r="T149" s="469">
        <f>S149/L149</f>
        <v/>
      </c>
      <c r="U149" t="inlineStr">
        <is>
          <t>Average</t>
        </is>
      </c>
      <c r="V149" s="469" t="n"/>
      <c r="W149" s="469" t="n"/>
      <c r="X149" s="469" t="n"/>
      <c r="Y149" s="671" t="n">
        <v>410000</v>
      </c>
      <c r="Z149" s="671" t="n"/>
      <c r="AA149" s="671" t="n">
        <v>410000</v>
      </c>
      <c r="AB149" s="671" t="n"/>
      <c r="AC149" t="inlineStr">
        <is>
          <t>0182502203043</t>
        </is>
      </c>
      <c r="AD149" t="inlineStr">
        <is>
          <t>2022000076798</t>
        </is>
      </c>
      <c r="AE149" t="inlineStr">
        <is>
          <t>BLUE ROOF RENTALS LLC</t>
        </is>
      </c>
      <c r="AF149" t="inlineStr">
        <is>
          <t>RALEIGH LUCAS</t>
        </is>
      </c>
      <c r="AI149" s="245">
        <f>AND(E149=Subj_OccCode,Subj_BldgSF&gt;0,L149&gt;=Subj_BldgSF*(1-Subj_SizeTol),L149&lt;=Subj_BldgSF*(1+Subj_SizeTol))</f>
        <v/>
      </c>
    </row>
    <row r="150" ht="15" customHeight="1">
      <c r="A150" s="248" t="n">
        <v>7</v>
      </c>
      <c r="B150" s="245" t="n">
        <v>142</v>
      </c>
      <c r="C150" t="inlineStr">
        <is>
          <t>R0114828</t>
        </is>
      </c>
      <c r="D150" t="inlineStr">
        <is>
          <t>8700 GRANT ST</t>
        </is>
      </c>
      <c r="E150" t="n">
        <v>344</v>
      </c>
      <c r="F150" t="inlineStr">
        <is>
          <t>THORNTON</t>
        </is>
      </c>
      <c r="G150" t="inlineStr">
        <is>
          <t>4</t>
        </is>
      </c>
      <c r="H150" s="669">
        <f>Y150/J150</f>
        <v/>
      </c>
      <c r="I150" s="472" t="n">
        <v>44838</v>
      </c>
      <c r="J150" t="n">
        <v>20636</v>
      </c>
      <c r="K150" s="669" t="n"/>
      <c r="L150" t="n">
        <v>20636</v>
      </c>
      <c r="M150" t="n">
        <v>1985</v>
      </c>
      <c r="P150" t="inlineStr">
        <is>
          <t>Business Park</t>
        </is>
      </c>
      <c r="R150" t="inlineStr">
        <is>
          <t>Average</t>
        </is>
      </c>
      <c r="S150" t="n">
        <v>54189</v>
      </c>
      <c r="T150" s="469">
        <f>S150/L150</f>
        <v/>
      </c>
      <c r="U150" t="inlineStr">
        <is>
          <t>Average</t>
        </is>
      </c>
      <c r="V150" s="469" t="n"/>
      <c r="W150" s="469" t="n"/>
      <c r="X150" s="469" t="n"/>
      <c r="Y150" s="671" t="n">
        <v>2500000</v>
      </c>
      <c r="Z150" s="671" t="n"/>
      <c r="AA150" s="671" t="n">
        <v>2500000</v>
      </c>
      <c r="AB150" s="671" t="n"/>
      <c r="AC150" t="inlineStr">
        <is>
          <t>0171927114006</t>
        </is>
      </c>
      <c r="AD150" t="inlineStr">
        <is>
          <t>2022000082393</t>
        </is>
      </c>
      <c r="AE150" t="inlineStr">
        <is>
          <t>MLS PROPERTIES LLC</t>
        </is>
      </c>
      <c r="AF150" t="inlineStr">
        <is>
          <t>GRANT PROPERTY LLC</t>
        </is>
      </c>
      <c r="AI150" s="245">
        <f>AND(E150=Subj_OccCode,Subj_BldgSF&gt;0,L150&gt;=Subj_BldgSF*(1-Subj_SizeTol),L150&lt;=Subj_BldgSF*(1+Subj_SizeTol))</f>
        <v/>
      </c>
    </row>
    <row r="151" ht="15" customHeight="1">
      <c r="A151" s="248" t="n">
        <v>7</v>
      </c>
      <c r="B151" s="245" t="n">
        <v>143</v>
      </c>
      <c r="C151" t="inlineStr">
        <is>
          <t>R0133774</t>
        </is>
      </c>
      <c r="D151" t="inlineStr">
        <is>
          <t>6301 BROADWAY ST</t>
        </is>
      </c>
      <c r="E151" t="n">
        <v>407</v>
      </c>
      <c r="G151" t="inlineStr">
        <is>
          <t>5</t>
        </is>
      </c>
      <c r="H151" s="669">
        <f>Y151/J151</f>
        <v/>
      </c>
      <c r="I151" s="472" t="n">
        <v>44909</v>
      </c>
      <c r="J151" t="n">
        <v>38808</v>
      </c>
      <c r="K151" s="669" t="n"/>
      <c r="L151" t="n">
        <v>38808</v>
      </c>
      <c r="M151" t="n">
        <v>1972</v>
      </c>
      <c r="P151" t="inlineStr">
        <is>
          <t>Industrial</t>
        </is>
      </c>
      <c r="R151" t="inlineStr">
        <is>
          <t>Average</t>
        </is>
      </c>
      <c r="S151" t="n">
        <v>139566.24</v>
      </c>
      <c r="T151" s="469">
        <f>S151/L151</f>
        <v/>
      </c>
      <c r="U151" t="inlineStr">
        <is>
          <t>Average</t>
        </is>
      </c>
      <c r="V151" s="469" t="n"/>
      <c r="W151" s="469" t="n"/>
      <c r="X151" s="469" t="n"/>
      <c r="Y151" s="671" t="n">
        <v>6500000</v>
      </c>
      <c r="Z151" s="671" t="n"/>
      <c r="AA151" s="671" t="n">
        <v>6500000</v>
      </c>
      <c r="AB151" s="671" t="n"/>
      <c r="AC151" t="inlineStr">
        <is>
          <t>0182510204003</t>
        </is>
      </c>
      <c r="AD151" t="inlineStr">
        <is>
          <t>2022000097182</t>
        </is>
      </c>
      <c r="AE151" t="inlineStr">
        <is>
          <t>DIESEL FORWARD INC</t>
        </is>
      </c>
      <c r="AF151" t="inlineStr">
        <is>
          <t>6301 BROADWAY INVESTMENT LLC</t>
        </is>
      </c>
      <c r="AI151" s="245">
        <f>AND(E151=Subj_OccCode,Subj_BldgSF&gt;0,L151&gt;=Subj_BldgSF*(1-Subj_SizeTol),L151&lt;=Subj_BldgSF*(1+Subj_SizeTol))</f>
        <v/>
      </c>
    </row>
    <row r="152" ht="15" customHeight="1">
      <c r="A152" s="248" t="n">
        <v>7</v>
      </c>
      <c r="B152" s="245" t="n">
        <v>144</v>
      </c>
      <c r="C152" t="inlineStr">
        <is>
          <t>R0051129</t>
        </is>
      </c>
      <c r="D152" t="inlineStr">
        <is>
          <t>9150 HURON ST</t>
        </is>
      </c>
      <c r="E152" t="n">
        <v>442</v>
      </c>
      <c r="F152" t="inlineStr">
        <is>
          <t>THORNTON</t>
        </is>
      </c>
      <c r="G152" t="inlineStr">
        <is>
          <t>4</t>
        </is>
      </c>
      <c r="H152" s="669">
        <f>Y152/J152</f>
        <v/>
      </c>
      <c r="I152" s="472" t="n">
        <v>44974</v>
      </c>
      <c r="J152" t="n">
        <v>3050</v>
      </c>
      <c r="K152" s="669" t="n"/>
      <c r="L152" t="n">
        <v>3050</v>
      </c>
      <c r="M152" t="n">
        <v>1970</v>
      </c>
      <c r="P152" t="inlineStr">
        <is>
          <t>Community Retail</t>
        </is>
      </c>
      <c r="R152" t="inlineStr">
        <is>
          <t>Average</t>
        </is>
      </c>
      <c r="S152" t="n">
        <v>33000</v>
      </c>
      <c r="T152" s="469">
        <f>S152/L152</f>
        <v/>
      </c>
      <c r="U152" t="inlineStr">
        <is>
          <t>Average</t>
        </is>
      </c>
      <c r="V152" s="469" t="n"/>
      <c r="W152" s="469" t="n"/>
      <c r="X152" s="469" t="n"/>
      <c r="Y152" s="671" t="n">
        <v>1350000</v>
      </c>
      <c r="Z152" s="671" t="n"/>
      <c r="AA152" s="671" t="n">
        <v>1350000</v>
      </c>
      <c r="AB152" s="671" t="n"/>
      <c r="AC152" t="inlineStr">
        <is>
          <t>0171922302004</t>
        </is>
      </c>
      <c r="AD152" t="inlineStr">
        <is>
          <t>2023000009052</t>
        </is>
      </c>
      <c r="AE152" t="inlineStr">
        <is>
          <t>RUBY AMOR INVESTMENTS LLC</t>
        </is>
      </c>
      <c r="AF152" t="inlineStr">
        <is>
          <t>GOMEZ PRICSILIANO</t>
        </is>
      </c>
      <c r="AI152" s="245">
        <f>AND(E152=Subj_OccCode,Subj_BldgSF&gt;0,L152&gt;=Subj_BldgSF*(1-Subj_SizeTol),L152&lt;=Subj_BldgSF*(1+Subj_SizeTol))</f>
        <v/>
      </c>
    </row>
    <row r="153" ht="15" customHeight="1">
      <c r="A153" s="248" t="n">
        <v>7</v>
      </c>
      <c r="B153" s="245" t="n">
        <v>145</v>
      </c>
      <c r="C153" t="inlineStr">
        <is>
          <t>R0063286</t>
        </is>
      </c>
      <c r="D153" t="inlineStr">
        <is>
          <t>8020 SHERIDAN BLVD</t>
        </is>
      </c>
      <c r="E153" t="n">
        <v>381</v>
      </c>
      <c r="F153" t="inlineStr">
        <is>
          <t>WESTMINSTER</t>
        </is>
      </c>
      <c r="G153" t="inlineStr">
        <is>
          <t>4</t>
        </is>
      </c>
      <c r="H153" s="669">
        <f>Y153/J153</f>
        <v/>
      </c>
      <c r="I153" s="472" t="n">
        <v>45033</v>
      </c>
      <c r="J153" t="n">
        <v>2000</v>
      </c>
      <c r="K153" s="669" t="n"/>
      <c r="L153" t="n">
        <v>2000</v>
      </c>
      <c r="M153" t="n">
        <v>1979</v>
      </c>
      <c r="P153" t="inlineStr">
        <is>
          <t>C-1-Wes</t>
        </is>
      </c>
      <c r="R153" t="inlineStr">
        <is>
          <t>Average</t>
        </is>
      </c>
      <c r="S153" t="n">
        <v>7195</v>
      </c>
      <c r="T153" s="469">
        <f>S153/L153</f>
        <v/>
      </c>
      <c r="U153" t="inlineStr">
        <is>
          <t>Average</t>
        </is>
      </c>
      <c r="V153" s="469" t="n"/>
      <c r="W153" s="469" t="n"/>
      <c r="X153" s="469" t="n"/>
      <c r="Y153" s="671" t="n">
        <v>850000</v>
      </c>
      <c r="Z153" s="671" t="n"/>
      <c r="AA153" s="671" t="n">
        <v>850000</v>
      </c>
      <c r="AB153" s="671" t="n"/>
      <c r="AC153" t="inlineStr">
        <is>
          <t>0171930320007</t>
        </is>
      </c>
      <c r="AD153" t="inlineStr">
        <is>
          <t>2023000021042</t>
        </is>
      </c>
      <c r="AE153" t="inlineStr">
        <is>
          <t>BERMAN ANDREW P</t>
        </is>
      </c>
      <c r="AF153" t="inlineStr">
        <is>
          <t>WF-CA SHERIDAN &amp; 80TH LLC</t>
        </is>
      </c>
      <c r="AI153" s="245">
        <f>AND(E153=Subj_OccCode,Subj_BldgSF&gt;0,L153&gt;=Subj_BldgSF*(1-Subj_SizeTol),L153&lt;=Subj_BldgSF*(1+Subj_SizeTol))</f>
        <v/>
      </c>
    </row>
    <row r="154" ht="15" customHeight="1">
      <c r="A154" s="248" t="n">
        <v>7</v>
      </c>
      <c r="B154" s="245" t="n">
        <v>146</v>
      </c>
      <c r="C154" t="inlineStr">
        <is>
          <t>R0095571</t>
        </is>
      </c>
      <c r="D154" t="inlineStr">
        <is>
          <t>9848 E 17TH AVE</t>
        </is>
      </c>
      <c r="E154" t="n">
        <v>309</v>
      </c>
      <c r="F154" t="inlineStr">
        <is>
          <t>AURORA</t>
        </is>
      </c>
      <c r="G154" t="inlineStr">
        <is>
          <t>6</t>
        </is>
      </c>
      <c r="H154" s="669">
        <f>Y154/J154</f>
        <v/>
      </c>
      <c r="I154" s="472" t="n">
        <v>45184</v>
      </c>
      <c r="J154" t="n">
        <v>1352</v>
      </c>
      <c r="K154" s="669" t="n"/>
      <c r="L154" t="n">
        <v>1352</v>
      </c>
      <c r="M154" t="n">
        <v>1930</v>
      </c>
      <c r="P154" t="inlineStr">
        <is>
          <t>OA-MS</t>
        </is>
      </c>
      <c r="R154" t="inlineStr">
        <is>
          <t>Good</t>
        </is>
      </c>
      <c r="S154" t="n">
        <v>10357</v>
      </c>
      <c r="T154" s="469">
        <f>S154/L154</f>
        <v/>
      </c>
      <c r="U154" t="inlineStr">
        <is>
          <t>Good</t>
        </is>
      </c>
      <c r="V154" s="469" t="n"/>
      <c r="W154" s="469" t="n"/>
      <c r="X154" s="469" t="n"/>
      <c r="Y154" s="671" t="n">
        <v>599000</v>
      </c>
      <c r="Z154" s="671" t="n"/>
      <c r="AA154" s="671" t="n">
        <v>599000</v>
      </c>
      <c r="AB154" s="671" t="n"/>
      <c r="AC154" t="inlineStr">
        <is>
          <t>0182334422006</t>
        </is>
      </c>
      <c r="AD154" t="inlineStr">
        <is>
          <t>2023000053044</t>
        </is>
      </c>
      <c r="AE154" t="inlineStr">
        <is>
          <t>IGLESIA DE DIOS PENTECOSTAL M. I.</t>
        </is>
      </c>
      <c r="AF154" t="inlineStr">
        <is>
          <t>ELLA AURORA LLC</t>
        </is>
      </c>
      <c r="AI154" s="245">
        <f>AND(E154=Subj_OccCode,Subj_BldgSF&gt;0,L154&gt;=Subj_BldgSF*(1-Subj_SizeTol),L154&lt;=Subj_BldgSF*(1+Subj_SizeTol))</f>
        <v/>
      </c>
    </row>
    <row r="155" ht="15" customHeight="1">
      <c r="A155" s="248" t="n">
        <v>7</v>
      </c>
      <c r="B155" s="245" t="n">
        <v>147</v>
      </c>
      <c r="C155" t="inlineStr">
        <is>
          <t>R0113805</t>
        </is>
      </c>
      <c r="D155" t="inlineStr">
        <is>
          <t>17 N 12TH AVE</t>
        </is>
      </c>
      <c r="E155" t="n">
        <v>353</v>
      </c>
      <c r="F155" t="inlineStr">
        <is>
          <t>BRIGHTON</t>
        </is>
      </c>
      <c r="G155" t="inlineStr">
        <is>
          <t>2</t>
        </is>
      </c>
      <c r="H155" s="669">
        <f>Y155/J155</f>
        <v/>
      </c>
      <c r="I155" s="472" t="n">
        <v>45174</v>
      </c>
      <c r="J155" t="n">
        <v>4612</v>
      </c>
      <c r="K155" s="669" t="n"/>
      <c r="L155" t="n">
        <v>4612</v>
      </c>
      <c r="M155" t="n">
        <v>1944</v>
      </c>
      <c r="P155" t="inlineStr">
        <is>
          <t>C-2-Bri</t>
        </is>
      </c>
      <c r="R155" t="inlineStr">
        <is>
          <t>Average</t>
        </is>
      </c>
      <c r="S155" t="n">
        <v>12624</v>
      </c>
      <c r="T155" s="469">
        <f>S155/L155</f>
        <v/>
      </c>
      <c r="U155" t="inlineStr">
        <is>
          <t>Average</t>
        </is>
      </c>
      <c r="V155" s="469" t="n"/>
      <c r="W155" s="469" t="n"/>
      <c r="X155" s="469" t="n"/>
      <c r="Y155" s="671" t="n">
        <v>900000</v>
      </c>
      <c r="Z155" s="671" t="n"/>
      <c r="AA155" s="671" t="n">
        <v>900000</v>
      </c>
      <c r="AB155" s="671" t="n"/>
      <c r="AC155" t="inlineStr">
        <is>
          <t>0156905300036</t>
        </is>
      </c>
      <c r="AD155" t="inlineStr">
        <is>
          <t>2023000050942</t>
        </is>
      </c>
      <c r="AE155" t="inlineStr">
        <is>
          <t>17 N 12 LLC</t>
        </is>
      </c>
      <c r="AF155" t="inlineStr">
        <is>
          <t>CBCB HOLDINDS LLC</t>
        </is>
      </c>
      <c r="AI155" s="245">
        <f>AND(E155=Subj_OccCode,Subj_BldgSF&gt;0,L155&gt;=Subj_BldgSF*(1-Subj_SizeTol),L155&lt;=Subj_BldgSF*(1+Subj_SizeTol))</f>
        <v/>
      </c>
    </row>
    <row r="156" ht="15" customHeight="1">
      <c r="A156" s="248" t="n">
        <v>7</v>
      </c>
      <c r="B156" s="245" t="n">
        <v>148</v>
      </c>
      <c r="C156" t="inlineStr">
        <is>
          <t>R0147985</t>
        </is>
      </c>
      <c r="D156" t="inlineStr">
        <is>
          <t>15800 E 40TH AVE</t>
        </is>
      </c>
      <c r="E156" t="n">
        <v>407</v>
      </c>
      <c r="F156" t="inlineStr">
        <is>
          <t>AURORA</t>
        </is>
      </c>
      <c r="G156" t="inlineStr">
        <is>
          <t>6</t>
        </is>
      </c>
      <c r="H156" s="669">
        <f>Y156/J156</f>
        <v/>
      </c>
      <c r="I156" s="472" t="n">
        <v>45412</v>
      </c>
      <c r="J156" t="n">
        <v>75000</v>
      </c>
      <c r="K156" s="669" t="n"/>
      <c r="L156" t="n">
        <v>75000</v>
      </c>
      <c r="M156" t="n">
        <v>2003</v>
      </c>
      <c r="P156" t="inlineStr">
        <is>
          <t>PD</t>
        </is>
      </c>
      <c r="R156" t="inlineStr">
        <is>
          <t>Average</t>
        </is>
      </c>
      <c r="S156" t="n">
        <v>415287.97</v>
      </c>
      <c r="T156" s="469">
        <f>S156/L156</f>
        <v/>
      </c>
      <c r="U156" t="inlineStr">
        <is>
          <t>Average</t>
        </is>
      </c>
      <c r="V156" s="469" t="n"/>
      <c r="W156" s="469" t="n"/>
      <c r="X156" s="469" t="n"/>
      <c r="Y156" s="671" t="n">
        <v>11625000</v>
      </c>
      <c r="Z156" s="671" t="n"/>
      <c r="AA156" s="671" t="n">
        <v>11625000</v>
      </c>
      <c r="AB156" s="671" t="n"/>
      <c r="AC156" t="inlineStr">
        <is>
          <t>0182120301001</t>
        </is>
      </c>
      <c r="AD156" t="inlineStr">
        <is>
          <t>2024000022608</t>
        </is>
      </c>
      <c r="AE156" t="inlineStr">
        <is>
          <t>SHALOM REALTY  (AURORA CENTER I AT GATEWAY COLORADO), C/O DALFEN INDUSTRIAL LLC</t>
        </is>
      </c>
      <c r="AF156" t="inlineStr">
        <is>
          <t>JAMM PROPERTIES LIMITED LLC</t>
        </is>
      </c>
      <c r="AI156" s="245">
        <f>AND(E156=Subj_OccCode,Subj_BldgSF&gt;0,L156&gt;=Subj_BldgSF*(1-Subj_SizeTol),L156&lt;=Subj_BldgSF*(1+Subj_SizeTol))</f>
        <v/>
      </c>
    </row>
    <row r="157" ht="15" customHeight="1">
      <c r="A157" s="248" t="n">
        <v>7</v>
      </c>
      <c r="B157" s="245" t="n">
        <v>149</v>
      </c>
      <c r="C157" t="inlineStr">
        <is>
          <t>R0191667</t>
        </is>
      </c>
      <c r="D157" t="inlineStr">
        <is>
          <t>8799 BRIGHTON BLVD</t>
        </is>
      </c>
      <c r="E157" t="n">
        <v>531</v>
      </c>
      <c r="F157" t="inlineStr">
        <is>
          <t>COMMERCE CITY</t>
        </is>
      </c>
      <c r="G157" t="inlineStr">
        <is>
          <t>5</t>
        </is>
      </c>
      <c r="H157" s="669">
        <f>Y157/J157</f>
        <v/>
      </c>
      <c r="I157" s="472" t="n">
        <v>44750</v>
      </c>
      <c r="J157" t="n">
        <v>1242</v>
      </c>
      <c r="K157" s="669" t="n"/>
      <c r="L157" t="n">
        <v>1242</v>
      </c>
      <c r="M157" t="n">
        <v>2017</v>
      </c>
      <c r="R157" t="inlineStr">
        <is>
          <t>Average</t>
        </is>
      </c>
      <c r="S157" t="n">
        <v>70867</v>
      </c>
      <c r="T157" s="469">
        <f>S157/L157</f>
        <v/>
      </c>
      <c r="U157" t="inlineStr">
        <is>
          <t>Average</t>
        </is>
      </c>
      <c r="V157" s="469" t="n"/>
      <c r="W157" s="469" t="n"/>
      <c r="X157" s="469" t="n"/>
      <c r="Y157" s="671" t="n">
        <v>1925000</v>
      </c>
      <c r="Z157" s="671" t="n"/>
      <c r="AA157" s="671" t="n">
        <v>1925000</v>
      </c>
      <c r="AB157" s="671" t="n"/>
      <c r="AC157" t="inlineStr">
        <is>
          <t>0172120403001</t>
        </is>
      </c>
      <c r="AD157" t="inlineStr">
        <is>
          <t>2022000059892</t>
        </is>
      </c>
      <c r="AE157" t="inlineStr">
        <is>
          <t>ACA 88 LLC</t>
        </is>
      </c>
      <c r="AF157" t="inlineStr">
        <is>
          <t>JEREMY FEIN INC</t>
        </is>
      </c>
      <c r="AI157" s="245">
        <f>AND(E157=Subj_OccCode,Subj_BldgSF&gt;0,L157&gt;=Subj_BldgSF*(1-Subj_SizeTol),L157&lt;=Subj_BldgSF*(1+Subj_SizeTol))</f>
        <v/>
      </c>
    </row>
    <row r="158" ht="15" customHeight="1">
      <c r="A158" s="248" t="n">
        <v>7</v>
      </c>
      <c r="B158" s="245" t="n">
        <v>150</v>
      </c>
      <c r="C158" t="inlineStr">
        <is>
          <t>R0208790</t>
        </is>
      </c>
      <c r="D158" t="inlineStr">
        <is>
          <t>5120 VIOLET HILL #N1-3</t>
        </is>
      </c>
      <c r="E158" t="n">
        <v>328</v>
      </c>
      <c r="G158" t="inlineStr">
        <is>
          <t>1</t>
        </is>
      </c>
      <c r="H158" s="669">
        <f>Y158/J158</f>
        <v/>
      </c>
      <c r="I158" s="472" t="n">
        <v>45106</v>
      </c>
      <c r="J158" t="n">
        <v>2270</v>
      </c>
      <c r="K158" s="669" t="n"/>
      <c r="L158" t="n">
        <v>2270</v>
      </c>
      <c r="R158" t="inlineStr">
        <is>
          <t>Average</t>
        </is>
      </c>
      <c r="T158" s="469">
        <f>S158/L158</f>
        <v/>
      </c>
      <c r="U158" t="inlineStr">
        <is>
          <t>Average</t>
        </is>
      </c>
      <c r="V158" s="469" t="n"/>
      <c r="W158" s="469" t="n"/>
      <c r="X158" s="469" t="n"/>
      <c r="Y158" s="671" t="n">
        <v>240000</v>
      </c>
      <c r="Z158" s="671" t="n"/>
      <c r="AA158" s="671" t="n">
        <v>240000</v>
      </c>
      <c r="AB158" s="671" t="n"/>
      <c r="AC158" t="inlineStr">
        <is>
          <t>0181716411020</t>
        </is>
      </c>
      <c r="AD158" t="inlineStr">
        <is>
          <t>2023000036702</t>
        </is>
      </c>
      <c r="AE158" t="inlineStr">
        <is>
          <t>GEE KYLE</t>
        </is>
      </c>
      <c r="AF158" t="inlineStr">
        <is>
          <t>AMUNDSON JEFFREY AND, AMUNDSON RICHELLE</t>
        </is>
      </c>
      <c r="AI158" s="245">
        <f>AND(E158=Subj_OccCode,Subj_BldgSF&gt;0,L158&gt;=Subj_BldgSF*(1-Subj_SizeTol),L158&lt;=Subj_BldgSF*(1+Subj_SizeTol))</f>
        <v/>
      </c>
    </row>
    <row r="159" ht="15" customHeight="1">
      <c r="A159" s="248" t="n">
        <v>7</v>
      </c>
      <c r="B159" s="245" t="n">
        <v>151</v>
      </c>
      <c r="C159" t="inlineStr">
        <is>
          <t>R0213028</t>
        </is>
      </c>
      <c r="D159" t="inlineStr">
        <is>
          <t>903 S 8TH AVE</t>
        </is>
      </c>
      <c r="E159" t="n">
        <v>446</v>
      </c>
      <c r="F159" t="inlineStr">
        <is>
          <t>BRIGHTON</t>
        </is>
      </c>
      <c r="G159" t="inlineStr">
        <is>
          <t>2</t>
        </is>
      </c>
      <c r="H159" s="669">
        <f>Y159/J159</f>
        <v/>
      </c>
      <c r="I159" s="472" t="n">
        <v>44854</v>
      </c>
      <c r="J159" t="n">
        <v>13108</v>
      </c>
      <c r="K159" s="669" t="n"/>
      <c r="L159" t="n">
        <v>13108</v>
      </c>
      <c r="M159" t="n">
        <v>2022</v>
      </c>
      <c r="R159" t="inlineStr">
        <is>
          <t>Average</t>
        </is>
      </c>
      <c r="S159" t="n">
        <v>57805</v>
      </c>
      <c r="T159" s="469">
        <f>S159/L159</f>
        <v/>
      </c>
      <c r="U159" t="inlineStr">
        <is>
          <t>Average</t>
        </is>
      </c>
      <c r="V159" s="469" t="n"/>
      <c r="W159" s="469" t="n"/>
      <c r="X159" s="469" t="n"/>
      <c r="Y159" s="671" t="n">
        <v>7200000</v>
      </c>
      <c r="Z159" s="671" t="n"/>
      <c r="AA159" s="671" t="n">
        <v>7200000</v>
      </c>
      <c r="AB159" s="671" t="n"/>
      <c r="AC159" t="inlineStr">
        <is>
          <t>0156918102011</t>
        </is>
      </c>
      <c r="AD159" t="inlineStr">
        <is>
          <t>2022000086189</t>
        </is>
      </c>
      <c r="AE159" t="inlineStr">
        <is>
          <t>EVC BRIGHTON LLC</t>
        </is>
      </c>
      <c r="AF159" t="inlineStr">
        <is>
          <t>NG BRIGHTON HOLDINGS LLC</t>
        </is>
      </c>
      <c r="AI159" s="245">
        <f>AND(E159=Subj_OccCode,Subj_BldgSF&gt;0,L159&gt;=Subj_BldgSF*(1-Subj_SizeTol),L159&lt;=Subj_BldgSF*(1+Subj_SizeTol))</f>
        <v/>
      </c>
    </row>
    <row r="160" ht="15" customHeight="1">
      <c r="A160" s="248" t="n">
        <v>7</v>
      </c>
      <c r="B160" s="245" t="n">
        <v>152</v>
      </c>
      <c r="C160" t="inlineStr">
        <is>
          <t>R0217175</t>
        </is>
      </c>
      <c r="D160" t="inlineStr">
        <is>
          <t>13551 QUEBEC ST</t>
        </is>
      </c>
      <c r="E160" t="n">
        <v>353</v>
      </c>
      <c r="F160" t="inlineStr">
        <is>
          <t>THORNTON</t>
        </is>
      </c>
      <c r="G160" t="inlineStr">
        <is>
          <t>3</t>
        </is>
      </c>
      <c r="H160" s="669">
        <f>Y160/J160</f>
        <v/>
      </c>
      <c r="I160" s="472" t="n">
        <v>45470</v>
      </c>
      <c r="J160" t="n">
        <v>4183</v>
      </c>
      <c r="K160" s="669" t="n"/>
      <c r="L160" t="n">
        <v>4183</v>
      </c>
      <c r="M160" t="n">
        <v>2023</v>
      </c>
      <c r="R160" t="inlineStr">
        <is>
          <t>Average</t>
        </is>
      </c>
      <c r="S160" t="n">
        <v>25512</v>
      </c>
      <c r="T160" s="469">
        <f>S160/L160</f>
        <v/>
      </c>
      <c r="U160" t="inlineStr">
        <is>
          <t>Average</t>
        </is>
      </c>
      <c r="V160" s="469" t="n"/>
      <c r="W160" s="469" t="n"/>
      <c r="X160" s="469" t="n"/>
      <c r="Y160" s="671" t="n">
        <v>3175000</v>
      </c>
      <c r="Z160" s="671" t="n"/>
      <c r="AA160" s="671" t="n">
        <v>3175000</v>
      </c>
      <c r="AB160" s="671" t="n"/>
      <c r="AC160" t="inlineStr">
        <is>
          <t>0157129113126</t>
        </is>
      </c>
      <c r="AD160" t="inlineStr">
        <is>
          <t>2024000035541</t>
        </is>
      </c>
      <c r="AE160" t="inlineStr">
        <is>
          <t>WDG AMBER CREEK LLC</t>
        </is>
      </c>
      <c r="AF160" t="inlineStr">
        <is>
          <t>BOERE JOHN AND, BOERE DENISE</t>
        </is>
      </c>
      <c r="AI160" s="245">
        <f>AND(E160=Subj_OccCode,Subj_BldgSF&gt;0,L160&gt;=Subj_BldgSF*(1-Subj_SizeTol),L160&lt;=Subj_BldgSF*(1+Subj_SizeTol))</f>
        <v/>
      </c>
    </row>
    <row r="161" ht="15" customHeight="1">
      <c r="A161" s="248" t="n">
        <v>7</v>
      </c>
      <c r="B161" s="245" t="n">
        <v>153</v>
      </c>
      <c r="C161" t="inlineStr">
        <is>
          <t>R0222670</t>
        </is>
      </c>
      <c r="D161" t="inlineStr">
        <is>
          <t>37851 E 51ST AVE #W3</t>
        </is>
      </c>
      <c r="E161" t="n">
        <v>328</v>
      </c>
      <c r="G161" t="inlineStr">
        <is>
          <t>1</t>
        </is>
      </c>
      <c r="H161" s="669">
        <f>Y161/J161</f>
        <v/>
      </c>
      <c r="I161" s="472" t="n">
        <v>45390</v>
      </c>
      <c r="J161" t="n">
        <v>2930</v>
      </c>
      <c r="K161" s="669" t="n"/>
      <c r="L161" t="n">
        <v>2930</v>
      </c>
      <c r="M161" t="n">
        <v>2024</v>
      </c>
      <c r="R161" t="inlineStr">
        <is>
          <t>Average</t>
        </is>
      </c>
      <c r="T161" s="469">
        <f>S161/L161</f>
        <v/>
      </c>
      <c r="U161" t="inlineStr">
        <is>
          <t>Average</t>
        </is>
      </c>
      <c r="V161" s="469" t="n"/>
      <c r="W161" s="469" t="n"/>
      <c r="X161" s="469" t="n"/>
      <c r="Y161" s="671" t="n">
        <v>318611</v>
      </c>
      <c r="Z161" s="671" t="n"/>
      <c r="AA161" s="671" t="n">
        <v>318611</v>
      </c>
      <c r="AB161" s="671" t="n"/>
      <c r="AC161" t="inlineStr">
        <is>
          <t>0181715300028</t>
        </is>
      </c>
      <c r="AD161" t="inlineStr">
        <is>
          <t>2024000024056</t>
        </is>
      </c>
      <c r="AE161" t="inlineStr">
        <is>
          <t>37851 51ST AVE HANGAR OWNERS ASSOCIATION INC</t>
        </is>
      </c>
      <c r="AF161" t="inlineStr">
        <is>
          <t>ROMEO HANGAR ASSOCIATION LLC</t>
        </is>
      </c>
      <c r="AI161" s="245">
        <f>AND(E161=Subj_OccCode,Subj_BldgSF&gt;0,L161&gt;=Subj_BldgSF*(1-Subj_SizeTol),L161&lt;=Subj_BldgSF*(1+Subj_SizeTol))</f>
        <v/>
      </c>
    </row>
    <row r="162" ht="15" customHeight="1">
      <c r="A162" s="248" t="n">
        <v>7</v>
      </c>
      <c r="B162" s="245" t="n">
        <v>154</v>
      </c>
      <c r="C162" t="inlineStr">
        <is>
          <t>R0222677</t>
        </is>
      </c>
      <c r="D162" t="inlineStr">
        <is>
          <t>37851 E 51ST AVE #E8</t>
        </is>
      </c>
      <c r="E162" t="n">
        <v>328</v>
      </c>
      <c r="G162" t="inlineStr">
        <is>
          <t>1</t>
        </is>
      </c>
      <c r="H162" s="669">
        <f>Y162/J162</f>
        <v/>
      </c>
      <c r="I162" s="472" t="n">
        <v>45390</v>
      </c>
      <c r="J162" t="n">
        <v>2930</v>
      </c>
      <c r="K162" s="669" t="n"/>
      <c r="L162" t="n">
        <v>2930</v>
      </c>
      <c r="M162" t="n">
        <v>2024</v>
      </c>
      <c r="R162" t="inlineStr">
        <is>
          <t>Average</t>
        </is>
      </c>
      <c r="T162" s="469">
        <f>S162/L162</f>
        <v/>
      </c>
      <c r="U162" t="inlineStr">
        <is>
          <t>Average</t>
        </is>
      </c>
      <c r="V162" s="469" t="n"/>
      <c r="W162" s="469" t="n"/>
      <c r="X162" s="469" t="n"/>
      <c r="Y162" s="671" t="n">
        <v>305259</v>
      </c>
      <c r="Z162" s="671" t="n"/>
      <c r="AA162" s="671" t="n">
        <v>305259</v>
      </c>
      <c r="AB162" s="671" t="n"/>
      <c r="AC162" t="inlineStr">
        <is>
          <t>0181715300035</t>
        </is>
      </c>
      <c r="AD162" t="inlineStr">
        <is>
          <t>2024000022635</t>
        </is>
      </c>
      <c r="AE162" t="inlineStr">
        <is>
          <t>37851 51ST AVE HANGAR OWNERS ASSOCIATION INC</t>
        </is>
      </c>
      <c r="AF162" t="inlineStr">
        <is>
          <t>HASH WILLARD G</t>
        </is>
      </c>
      <c r="AI162" s="245">
        <f>AND(E162=Subj_OccCode,Subj_BldgSF&gt;0,L162&gt;=Subj_BldgSF*(1-Subj_SizeTol),L162&lt;=Subj_BldgSF*(1+Subj_SizeTol))</f>
        <v/>
      </c>
    </row>
    <row r="163" ht="15" customHeight="1">
      <c r="A163" s="248" t="n">
        <v>7</v>
      </c>
      <c r="B163" s="245" t="n">
        <v>155</v>
      </c>
      <c r="C163" t="inlineStr">
        <is>
          <t>R0222679</t>
        </is>
      </c>
      <c r="D163" t="inlineStr">
        <is>
          <t>37851 E 51ST AVE #E4</t>
        </is>
      </c>
      <c r="E163" t="n">
        <v>328</v>
      </c>
      <c r="G163" t="inlineStr">
        <is>
          <t>1</t>
        </is>
      </c>
      <c r="H163" s="669">
        <f>Y163/J163</f>
        <v/>
      </c>
      <c r="I163" s="472" t="n">
        <v>45390</v>
      </c>
      <c r="J163" t="n">
        <v>2930</v>
      </c>
      <c r="K163" s="669" t="n"/>
      <c r="L163" t="n">
        <v>2930</v>
      </c>
      <c r="M163" t="n">
        <v>2024</v>
      </c>
      <c r="R163" t="inlineStr">
        <is>
          <t>Average</t>
        </is>
      </c>
      <c r="T163" s="469">
        <f>S163/L163</f>
        <v/>
      </c>
      <c r="U163" t="inlineStr">
        <is>
          <t>Average</t>
        </is>
      </c>
      <c r="V163" s="469" t="n"/>
      <c r="W163" s="469" t="n"/>
      <c r="X163" s="469" t="n"/>
      <c r="Y163" s="671" t="n">
        <v>336119</v>
      </c>
      <c r="Z163" s="671" t="n"/>
      <c r="AA163" s="671" t="n">
        <v>336119</v>
      </c>
      <c r="AB163" s="671" t="n"/>
      <c r="AC163" t="inlineStr">
        <is>
          <t>0181715300037</t>
        </is>
      </c>
      <c r="AD163" t="inlineStr">
        <is>
          <t>2024000024080</t>
        </is>
      </c>
      <c r="AE163" t="inlineStr">
        <is>
          <t>37851 51ST AVE HANGAR OWNERS ASSOCIATION INC</t>
        </is>
      </c>
      <c r="AF163" t="inlineStr">
        <is>
          <t>THE FISH AND MARYC LIVING TRUST</t>
        </is>
      </c>
      <c r="AI163" s="245">
        <f>AND(E163=Subj_OccCode,Subj_BldgSF&gt;0,L163&gt;=Subj_BldgSF*(1-Subj_SizeTol),L163&lt;=Subj_BldgSF*(1+Subj_SizeTol))</f>
        <v/>
      </c>
    </row>
    <row r="164" ht="15" customHeight="1">
      <c r="A164" s="248" t="n">
        <v>7</v>
      </c>
      <c r="B164" s="245" t="n">
        <v>156</v>
      </c>
      <c r="C164" t="inlineStr">
        <is>
          <t>R0222680</t>
        </is>
      </c>
      <c r="D164" t="inlineStr">
        <is>
          <t>37851 E 51ST AVE #E2</t>
        </is>
      </c>
      <c r="E164" t="n">
        <v>328</v>
      </c>
      <c r="G164" t="inlineStr">
        <is>
          <t>1</t>
        </is>
      </c>
      <c r="H164" s="669">
        <f>Y164/J164</f>
        <v/>
      </c>
      <c r="I164" s="472" t="n">
        <v>45390</v>
      </c>
      <c r="J164" t="n">
        <v>2930</v>
      </c>
      <c r="K164" s="669" t="n"/>
      <c r="L164" t="n">
        <v>2930</v>
      </c>
      <c r="M164" t="n">
        <v>2024</v>
      </c>
      <c r="R164" t="inlineStr">
        <is>
          <t>Average</t>
        </is>
      </c>
      <c r="T164" s="469">
        <f>S164/L164</f>
        <v/>
      </c>
      <c r="U164" t="inlineStr">
        <is>
          <t>Average</t>
        </is>
      </c>
      <c r="V164" s="469" t="n"/>
      <c r="W164" s="469" t="n"/>
      <c r="X164" s="469" t="n"/>
      <c r="Y164" s="671" t="n">
        <v>294174</v>
      </c>
      <c r="Z164" s="671" t="n"/>
      <c r="AA164" s="671" t="n">
        <v>294174</v>
      </c>
      <c r="AB164" s="671" t="n"/>
      <c r="AC164" t="inlineStr">
        <is>
          <t>0181715300038</t>
        </is>
      </c>
      <c r="AD164" t="inlineStr">
        <is>
          <t>2024000022536</t>
        </is>
      </c>
      <c r="AE164" t="inlineStr">
        <is>
          <t>37851 51ST AVE HANGAR OWNERS ASSOCIATION INC</t>
        </is>
      </c>
      <c r="AF164" t="inlineStr">
        <is>
          <t>HORIZON AVIATION LLC</t>
        </is>
      </c>
      <c r="AI164" s="245">
        <f>AND(E164=Subj_OccCode,Subj_BldgSF&gt;0,L164&gt;=Subj_BldgSF*(1-Subj_SizeTol),L164&lt;=Subj_BldgSF*(1+Subj_SizeTol))</f>
        <v/>
      </c>
    </row>
    <row r="165" ht="15" customHeight="1">
      <c r="A165" s="248" t="n">
        <v>7</v>
      </c>
      <c r="B165" s="245" t="n">
        <v>157</v>
      </c>
      <c r="C165" t="inlineStr">
        <is>
          <t>R0223485</t>
        </is>
      </c>
      <c r="D165" t="inlineStr">
        <is>
          <t>9658 HAVANA ST #B06</t>
        </is>
      </c>
      <c r="E165" t="n">
        <v>425</v>
      </c>
      <c r="F165" t="inlineStr">
        <is>
          <t>COMMERCE CITY</t>
        </is>
      </c>
      <c r="G165" t="inlineStr">
        <is>
          <t>5</t>
        </is>
      </c>
      <c r="H165" s="669">
        <f>Y165/J165</f>
        <v/>
      </c>
      <c r="I165" s="472" t="n">
        <v>45377</v>
      </c>
      <c r="J165" t="n">
        <v>16800</v>
      </c>
      <c r="K165" s="669" t="n"/>
      <c r="L165" t="n">
        <v>16800</v>
      </c>
      <c r="M165" t="n">
        <v>2023</v>
      </c>
      <c r="R165" t="inlineStr">
        <is>
          <t>Average</t>
        </is>
      </c>
      <c r="S165" t="n">
        <v>2674</v>
      </c>
      <c r="T165" s="469">
        <f>S165/L165</f>
        <v/>
      </c>
      <c r="U165" t="inlineStr">
        <is>
          <t>Average</t>
        </is>
      </c>
      <c r="V165" s="469" t="n"/>
      <c r="W165" s="469" t="n"/>
      <c r="X165" s="469" t="n"/>
      <c r="Y165" s="671" t="n">
        <v>282000</v>
      </c>
      <c r="Z165" s="671" t="n"/>
      <c r="AA165" s="671" t="n">
        <v>282000</v>
      </c>
      <c r="AB165" s="671" t="n"/>
      <c r="AC165" t="inlineStr">
        <is>
          <t>0172115405046</t>
        </is>
      </c>
      <c r="AD165" t="inlineStr">
        <is>
          <t>2024000015534</t>
        </is>
      </c>
      <c r="AE165" t="inlineStr">
        <is>
          <t>THE GARAGE SOCIETY HOLDINGS LLC</t>
        </is>
      </c>
      <c r="AF165" t="inlineStr">
        <is>
          <t xml:space="preserve">ZHANG ZI SHAO AND, CHEUNG JENNY WEI </t>
        </is>
      </c>
      <c r="AI165" s="245">
        <f>AND(E165=Subj_OccCode,Subj_BldgSF&gt;0,L165&gt;=Subj_BldgSF*(1-Subj_SizeTol),L165&lt;=Subj_BldgSF*(1+Subj_SizeTol))</f>
        <v/>
      </c>
    </row>
    <row r="166" ht="15" customHeight="1">
      <c r="A166" s="248" t="n">
        <v>7</v>
      </c>
      <c r="B166" s="245" t="n">
        <v>158</v>
      </c>
      <c r="C166" t="inlineStr">
        <is>
          <t>R0001910</t>
        </is>
      </c>
      <c r="D166" t="inlineStr">
        <is>
          <t>1181 BRIDGE ST</t>
        </is>
      </c>
      <c r="E166" t="n">
        <v>3441</v>
      </c>
      <c r="F166" t="inlineStr">
        <is>
          <t>BRIGHTON</t>
        </is>
      </c>
      <c r="G166" t="inlineStr">
        <is>
          <t>2</t>
        </is>
      </c>
      <c r="H166" s="669">
        <f>Y166/J166</f>
        <v/>
      </c>
      <c r="I166" s="472" t="n">
        <v>45078</v>
      </c>
      <c r="J166" t="n">
        <v>890</v>
      </c>
      <c r="K166" s="669" t="n"/>
      <c r="L166" t="n">
        <v>890</v>
      </c>
      <c r="M166" t="n">
        <v>1949</v>
      </c>
      <c r="P166" t="inlineStr">
        <is>
          <t>C-2-Bri</t>
        </is>
      </c>
      <c r="R166" t="inlineStr">
        <is>
          <t>Average</t>
        </is>
      </c>
      <c r="S166" t="n">
        <v>6098</v>
      </c>
      <c r="T166" s="469">
        <f>S166/L166</f>
        <v/>
      </c>
      <c r="U166" t="inlineStr">
        <is>
          <t>Average</t>
        </is>
      </c>
      <c r="V166" s="469" t="n"/>
      <c r="W166" s="469" t="n"/>
      <c r="X166" s="469" t="n"/>
      <c r="Y166" s="671" t="n">
        <v>345000</v>
      </c>
      <c r="Z166" s="671" t="n"/>
      <c r="AA166" s="671" t="n">
        <v>344000</v>
      </c>
      <c r="AB166" s="671" t="n"/>
      <c r="AC166" t="inlineStr">
        <is>
          <t>0156905300011</t>
        </is>
      </c>
      <c r="AD166" t="inlineStr">
        <is>
          <t>2023000031295</t>
        </is>
      </c>
      <c r="AE166" t="inlineStr">
        <is>
          <t>GREYSON HOLDINGS LLC</t>
        </is>
      </c>
      <c r="AF166" t="inlineStr">
        <is>
          <t>PEAK RE HOLDINGS LLC</t>
        </is>
      </c>
      <c r="AI166" s="245">
        <f>AND(E166=Subj_OccCode,Subj_BldgSF&gt;0,L166&gt;=Subj_BldgSF*(1-Subj_SizeTol),L166&lt;=Subj_BldgSF*(1+Subj_SizeTol))</f>
        <v/>
      </c>
    </row>
    <row r="167" ht="15" customHeight="1">
      <c r="A167" s="248" t="n">
        <v>7</v>
      </c>
      <c r="B167" s="245" t="n">
        <v>159</v>
      </c>
      <c r="C167" t="inlineStr">
        <is>
          <t>R0037116</t>
        </is>
      </c>
      <c r="D167" t="inlineStr">
        <is>
          <t>11184 HURON ST #16</t>
        </is>
      </c>
      <c r="E167" t="n">
        <v>1344</v>
      </c>
      <c r="F167" t="inlineStr">
        <is>
          <t>NORTHGLENN</t>
        </is>
      </c>
      <c r="G167" t="inlineStr">
        <is>
          <t>4</t>
        </is>
      </c>
      <c r="H167" s="669">
        <f>Y167/J167</f>
        <v/>
      </c>
      <c r="I167" s="472" t="n">
        <v>44816</v>
      </c>
      <c r="J167" t="n">
        <v>84375</v>
      </c>
      <c r="K167" s="669" t="n"/>
      <c r="L167" t="n">
        <v>84375</v>
      </c>
      <c r="M167" t="n">
        <v>1984</v>
      </c>
      <c r="P167" t="inlineStr">
        <is>
          <t>C-3-Nor</t>
        </is>
      </c>
      <c r="R167" t="inlineStr">
        <is>
          <t>Average</t>
        </is>
      </c>
      <c r="S167" t="n">
        <v>1108</v>
      </c>
      <c r="T167" s="469">
        <f>S167/L167</f>
        <v/>
      </c>
      <c r="U167" t="inlineStr">
        <is>
          <t>Average</t>
        </is>
      </c>
      <c r="V167" s="469" t="n"/>
      <c r="W167" s="469" t="n"/>
      <c r="X167" s="469" t="n"/>
      <c r="Y167" s="671" t="n">
        <v>285000</v>
      </c>
      <c r="Z167" s="671" t="n"/>
      <c r="AA167" s="671" t="n">
        <v>285000</v>
      </c>
      <c r="AB167" s="671" t="n"/>
      <c r="AC167" t="inlineStr">
        <is>
          <t>0171910217016</t>
        </is>
      </c>
      <c r="AD167" t="inlineStr">
        <is>
          <t>2022000076569</t>
        </is>
      </c>
      <c r="AE167" t="inlineStr">
        <is>
          <t>CONNER PAUL S</t>
        </is>
      </c>
      <c r="AF167" t="inlineStr">
        <is>
          <t>BELK DENISE L</t>
        </is>
      </c>
      <c r="AI167" s="245">
        <f>AND(E167=Subj_OccCode,Subj_BldgSF&gt;0,L167&gt;=Subj_BldgSF*(1-Subj_SizeTol),L167&lt;=Subj_BldgSF*(1+Subj_SizeTol))</f>
        <v/>
      </c>
    </row>
    <row r="168" ht="15" customHeight="1">
      <c r="A168" s="248" t="n">
        <v>7</v>
      </c>
      <c r="B168" s="245" t="n">
        <v>160</v>
      </c>
      <c r="C168" t="inlineStr">
        <is>
          <t>R0058375</t>
        </is>
      </c>
      <c r="D168" t="inlineStr">
        <is>
          <t>8451 DELAWARE ST</t>
        </is>
      </c>
      <c r="E168" t="n">
        <v>344</v>
      </c>
      <c r="F168" t="inlineStr">
        <is>
          <t>THORNTON</t>
        </is>
      </c>
      <c r="G168" t="inlineStr">
        <is>
          <t>4</t>
        </is>
      </c>
      <c r="H168" s="669">
        <f>Y168/J168</f>
        <v/>
      </c>
      <c r="I168" s="472" t="n">
        <v>45415</v>
      </c>
      <c r="J168" t="n">
        <v>2250</v>
      </c>
      <c r="K168" s="669" t="n"/>
      <c r="L168" t="n">
        <v>2250</v>
      </c>
      <c r="M168" t="n">
        <v>1964</v>
      </c>
      <c r="P168" t="inlineStr">
        <is>
          <t>Community Retail</t>
        </is>
      </c>
      <c r="R168" t="inlineStr">
        <is>
          <t>Average</t>
        </is>
      </c>
      <c r="S168" t="n">
        <v>16335</v>
      </c>
      <c r="T168" s="469">
        <f>S168/L168</f>
        <v/>
      </c>
      <c r="U168" t="inlineStr">
        <is>
          <t>Average</t>
        </is>
      </c>
      <c r="V168" s="469" t="n"/>
      <c r="W168" s="469" t="n"/>
      <c r="X168" s="469" t="n"/>
      <c r="Y168" s="671" t="n">
        <v>465000</v>
      </c>
      <c r="Z168" s="671" t="n"/>
      <c r="AA168" s="671" t="n">
        <v>465000</v>
      </c>
      <c r="AB168" s="671" t="n"/>
      <c r="AC168" t="inlineStr">
        <is>
          <t>0171927211001</t>
        </is>
      </c>
      <c r="AD168" t="inlineStr">
        <is>
          <t>2024000024013</t>
        </is>
      </c>
      <c r="AE168" t="inlineStr">
        <is>
          <t>8451 DELAWARE STREET LLC</t>
        </is>
      </c>
      <c r="AF168" t="inlineStr">
        <is>
          <t>SAELEE THORNTON LLC</t>
        </is>
      </c>
      <c r="AI168" s="245">
        <f>AND(E168=Subj_OccCode,Subj_BldgSF&gt;0,L168&gt;=Subj_BldgSF*(1-Subj_SizeTol),L168&lt;=Subj_BldgSF*(1+Subj_SizeTol))</f>
        <v/>
      </c>
    </row>
    <row r="169" ht="15" customHeight="1">
      <c r="A169" s="248" t="n">
        <v>7</v>
      </c>
      <c r="B169" s="245" t="n">
        <v>161</v>
      </c>
      <c r="C169" t="inlineStr">
        <is>
          <t>R0141094</t>
        </is>
      </c>
      <c r="D169" t="inlineStr">
        <is>
          <t>37700 CESNA WAY #6W</t>
        </is>
      </c>
      <c r="E169" t="n">
        <v>328</v>
      </c>
      <c r="G169" t="inlineStr">
        <is>
          <t>1</t>
        </is>
      </c>
      <c r="H169" s="669">
        <f>Y169/J169</f>
        <v/>
      </c>
      <c r="I169" s="472" t="n">
        <v>45065</v>
      </c>
      <c r="J169" t="n">
        <v>2900</v>
      </c>
      <c r="K169" s="669" t="n"/>
      <c r="L169" t="n">
        <v>2900</v>
      </c>
      <c r="M169" t="n">
        <v>2001</v>
      </c>
      <c r="R169" t="inlineStr">
        <is>
          <t>Average</t>
        </is>
      </c>
      <c r="T169" s="469">
        <f>S169/L169</f>
        <v/>
      </c>
      <c r="U169" t="inlineStr">
        <is>
          <t>Average</t>
        </is>
      </c>
      <c r="V169" s="469" t="n"/>
      <c r="W169" s="469" t="n"/>
      <c r="X169" s="469" t="n"/>
      <c r="Y169" s="671" t="n">
        <v>362500</v>
      </c>
      <c r="Z169" s="671" t="n"/>
      <c r="AA169" s="671" t="n">
        <v>362500</v>
      </c>
      <c r="AB169" s="671" t="n"/>
      <c r="AC169" t="inlineStr">
        <is>
          <t>0181715201010</t>
        </is>
      </c>
      <c r="AD169" t="inlineStr">
        <is>
          <t>2023000030516</t>
        </is>
      </c>
      <c r="AE169" t="inlineStr">
        <is>
          <t>MUTZIG STEVEN M</t>
        </is>
      </c>
      <c r="AF169" t="inlineStr">
        <is>
          <t>KODIAK BRANDS INC</t>
        </is>
      </c>
      <c r="AI169" s="245">
        <f>AND(E169=Subj_OccCode,Subj_BldgSF&gt;0,L169&gt;=Subj_BldgSF*(1-Subj_SizeTol),L169&lt;=Subj_BldgSF*(1+Subj_SizeTol))</f>
        <v/>
      </c>
    </row>
    <row r="170" ht="15" customHeight="1">
      <c r="A170" s="248" t="n">
        <v>7</v>
      </c>
      <c r="B170" s="245" t="n">
        <v>162</v>
      </c>
      <c r="C170" t="inlineStr">
        <is>
          <t>R0161867</t>
        </is>
      </c>
      <c r="D170" t="inlineStr">
        <is>
          <t>37701 E 51ST AVE #3E</t>
        </is>
      </c>
      <c r="E170" t="n">
        <v>328</v>
      </c>
      <c r="G170" t="inlineStr">
        <is>
          <t>1</t>
        </is>
      </c>
      <c r="H170" s="669">
        <f>Y170/J170</f>
        <v/>
      </c>
      <c r="I170" s="472" t="n">
        <v>45176</v>
      </c>
      <c r="J170" t="n">
        <v>2875</v>
      </c>
      <c r="K170" s="669" t="n"/>
      <c r="L170" t="n">
        <v>2875</v>
      </c>
      <c r="M170" t="n">
        <v>2004</v>
      </c>
      <c r="R170" t="inlineStr">
        <is>
          <t>Average</t>
        </is>
      </c>
      <c r="T170" s="469">
        <f>S170/L170</f>
        <v/>
      </c>
      <c r="U170" t="inlineStr">
        <is>
          <t>Average</t>
        </is>
      </c>
      <c r="V170" s="469" t="n"/>
      <c r="W170" s="469" t="n"/>
      <c r="X170" s="469" t="n"/>
      <c r="Y170" s="671" t="n">
        <v>310000</v>
      </c>
      <c r="Z170" s="671" t="n"/>
      <c r="AA170" s="671" t="n">
        <v>310000</v>
      </c>
      <c r="AB170" s="671" t="n"/>
      <c r="AC170" t="inlineStr">
        <is>
          <t>0181715307006</t>
        </is>
      </c>
      <c r="AD170" t="inlineStr">
        <is>
          <t>2023000051510</t>
        </is>
      </c>
      <c r="AE170" t="inlineStr">
        <is>
          <t>E AND E INVESTMENTS INC, C/O DAVID ENGBRECHT</t>
        </is>
      </c>
      <c r="AF170" t="inlineStr">
        <is>
          <t>SPACEPORT 3 EAST LLC</t>
        </is>
      </c>
      <c r="AI170" s="245">
        <f>AND(E170=Subj_OccCode,Subj_BldgSF&gt;0,L170&gt;=Subj_BldgSF*(1-Subj_SizeTol),L170&lt;=Subj_BldgSF*(1+Subj_SizeTol))</f>
        <v/>
      </c>
    </row>
    <row r="171" ht="15" customHeight="1">
      <c r="A171" s="248" t="n">
        <v>7</v>
      </c>
      <c r="B171" s="245" t="n">
        <v>163</v>
      </c>
      <c r="C171" t="inlineStr">
        <is>
          <t>R0178320</t>
        </is>
      </c>
      <c r="D171" t="inlineStr">
        <is>
          <t>2551 E 120TH AVE</t>
        </is>
      </c>
      <c r="E171" t="n">
        <v>353</v>
      </c>
      <c r="F171" t="inlineStr">
        <is>
          <t>THORNTON</t>
        </is>
      </c>
      <c r="G171" t="inlineStr">
        <is>
          <t>3</t>
        </is>
      </c>
      <c r="H171" s="669">
        <f>Y171/J171</f>
        <v/>
      </c>
      <c r="I171" s="472" t="n">
        <v>45033</v>
      </c>
      <c r="J171" t="n">
        <v>4050</v>
      </c>
      <c r="K171" s="669" t="n"/>
      <c r="L171" t="n">
        <v>4050</v>
      </c>
      <c r="M171" t="n">
        <v>2000</v>
      </c>
      <c r="P171" t="inlineStr">
        <is>
          <t>Community Retail</t>
        </is>
      </c>
      <c r="R171" t="inlineStr">
        <is>
          <t>Average</t>
        </is>
      </c>
      <c r="S171" t="n">
        <v>19306</v>
      </c>
      <c r="T171" s="469">
        <f>S171/L171</f>
        <v/>
      </c>
      <c r="U171" t="inlineStr">
        <is>
          <t>Average</t>
        </is>
      </c>
      <c r="V171" s="469" t="n"/>
      <c r="W171" s="469" t="n"/>
      <c r="X171" s="469" t="n"/>
      <c r="Y171" s="671" t="n">
        <v>1125000</v>
      </c>
      <c r="Z171" s="671" t="n"/>
      <c r="AA171" s="671" t="n">
        <v>1125000</v>
      </c>
      <c r="AB171" s="671" t="n"/>
      <c r="AC171" t="inlineStr">
        <is>
          <t>0157336309073</t>
        </is>
      </c>
      <c r="AD171" t="inlineStr">
        <is>
          <t>2023000022215</t>
        </is>
      </c>
      <c r="AE171" t="inlineStr">
        <is>
          <t>PAC PROPERTIES LLC</t>
        </is>
      </c>
      <c r="AF171" t="inlineStr">
        <is>
          <t>DADDY DANKZ INC</t>
        </is>
      </c>
      <c r="AI171" s="245">
        <f>AND(E171=Subj_OccCode,Subj_BldgSF&gt;0,L171&gt;=Subj_BldgSF*(1-Subj_SizeTol),L171&lt;=Subj_BldgSF*(1+Subj_SizeTol))</f>
        <v/>
      </c>
    </row>
    <row r="172" ht="15" customHeight="1">
      <c r="A172" s="248" t="n">
        <v>7</v>
      </c>
      <c r="B172" s="245" t="n">
        <v>164</v>
      </c>
      <c r="C172" t="inlineStr">
        <is>
          <t>R0181762</t>
        </is>
      </c>
      <c r="D172" t="inlineStr">
        <is>
          <t>100 E 120TH AVE</t>
        </is>
      </c>
      <c r="E172" t="n">
        <v>350</v>
      </c>
      <c r="F172" t="inlineStr">
        <is>
          <t>NORTHGLENN</t>
        </is>
      </c>
      <c r="G172" t="inlineStr">
        <is>
          <t>4</t>
        </is>
      </c>
      <c r="H172" s="669">
        <f>Y172/J172</f>
        <v/>
      </c>
      <c r="I172" s="472" t="n">
        <v>44797</v>
      </c>
      <c r="J172" t="n">
        <v>5246</v>
      </c>
      <c r="K172" s="669" t="n"/>
      <c r="L172" t="n">
        <v>5246</v>
      </c>
      <c r="M172" t="n">
        <v>2014</v>
      </c>
      <c r="P172" t="inlineStr">
        <is>
          <t>PUD-Nor</t>
        </is>
      </c>
      <c r="R172" t="inlineStr">
        <is>
          <t>Good</t>
        </is>
      </c>
      <c r="S172" t="n">
        <v>61903</v>
      </c>
      <c r="T172" s="469">
        <f>S172/L172</f>
        <v/>
      </c>
      <c r="U172" t="inlineStr">
        <is>
          <t>Good</t>
        </is>
      </c>
      <c r="V172" s="469" t="n"/>
      <c r="W172" s="469" t="n"/>
      <c r="X172" s="469" t="n"/>
      <c r="Y172" s="671" t="n">
        <v>1650000</v>
      </c>
      <c r="Z172" s="671" t="n"/>
      <c r="AA172" s="671" t="n">
        <v>1650000</v>
      </c>
      <c r="AB172" s="671" t="n"/>
      <c r="AC172" t="inlineStr">
        <is>
          <t>0171903109009</t>
        </is>
      </c>
      <c r="AD172" t="inlineStr">
        <is>
          <t>2022000071951</t>
        </is>
      </c>
      <c r="AE172" t="inlineStr">
        <is>
          <t>J AND N DENVER IV LLC</t>
        </is>
      </c>
      <c r="AF172" t="inlineStr">
        <is>
          <t>LOS DOS POTRILLOS COCINA Y CANTINA-NORTHGLENN LLC</t>
        </is>
      </c>
      <c r="AI172" s="245">
        <f>AND(E172=Subj_OccCode,Subj_BldgSF&gt;0,L172&gt;=Subj_BldgSF*(1-Subj_SizeTol),L172&lt;=Subj_BldgSF*(1+Subj_SizeTol))</f>
        <v/>
      </c>
    </row>
    <row r="173" ht="15" customHeight="1">
      <c r="A173" s="248" t="n">
        <v>7</v>
      </c>
      <c r="B173" s="245" t="n">
        <v>165</v>
      </c>
      <c r="C173" t="inlineStr">
        <is>
          <t>R0207368</t>
        </is>
      </c>
      <c r="D173" t="inlineStr">
        <is>
          <t>9551 WILLOW ST</t>
        </is>
      </c>
      <c r="E173" t="n">
        <v>325</v>
      </c>
      <c r="F173" t="inlineStr">
        <is>
          <t>COMMERCE CITY</t>
        </is>
      </c>
      <c r="G173" t="inlineStr">
        <is>
          <t>5</t>
        </is>
      </c>
      <c r="H173" s="669">
        <f>Y173/J173</f>
        <v/>
      </c>
      <c r="I173" s="472" t="n">
        <v>45107</v>
      </c>
      <c r="J173" t="n">
        <v>47558</v>
      </c>
      <c r="K173" s="669" t="n"/>
      <c r="L173" t="n">
        <v>47558</v>
      </c>
      <c r="M173" t="n">
        <v>2019</v>
      </c>
      <c r="R173" t="inlineStr">
        <is>
          <t>Average</t>
        </is>
      </c>
      <c r="S173" t="n">
        <v>454723</v>
      </c>
      <c r="T173" s="469">
        <f>S173/L173</f>
        <v/>
      </c>
      <c r="U173" t="inlineStr">
        <is>
          <t>Average</t>
        </is>
      </c>
      <c r="V173" s="469" t="n"/>
      <c r="W173" s="469" t="n"/>
      <c r="X173" s="469" t="n"/>
      <c r="Y173" s="671" t="n">
        <v>10500000</v>
      </c>
      <c r="Z173" s="671" t="n"/>
      <c r="AA173" s="671" t="n">
        <v>10500000</v>
      </c>
      <c r="AB173" s="671" t="n"/>
      <c r="AC173" t="inlineStr">
        <is>
          <t>0172121102015</t>
        </is>
      </c>
      <c r="AD173" t="inlineStr">
        <is>
          <t>2023000037358</t>
        </is>
      </c>
      <c r="AE173" t="inlineStr">
        <is>
          <t>SDW FAMILY PROEPRTIES LLC</t>
        </is>
      </c>
      <c r="AF173" t="inlineStr">
        <is>
          <t>DIVERSIFIED RE HOLDINGS LLC</t>
        </is>
      </c>
      <c r="AI173" s="245">
        <f>AND(E173=Subj_OccCode,Subj_BldgSF&gt;0,L173&gt;=Subj_BldgSF*(1-Subj_SizeTol),L173&lt;=Subj_BldgSF*(1+Subj_SizeTol))</f>
        <v/>
      </c>
    </row>
    <row r="174" ht="15" customHeight="1">
      <c r="A174" s="248" t="n">
        <v>7</v>
      </c>
      <c r="B174" s="245" t="n">
        <v>166</v>
      </c>
      <c r="C174" t="inlineStr">
        <is>
          <t>R0213043</t>
        </is>
      </c>
      <c r="D174" t="inlineStr">
        <is>
          <t>9658 HAVANA ST #1B</t>
        </is>
      </c>
      <c r="E174" t="n">
        <v>425</v>
      </c>
      <c r="F174" t="inlineStr">
        <is>
          <t>COMMERCE CITY</t>
        </is>
      </c>
      <c r="G174" t="inlineStr">
        <is>
          <t>5</t>
        </is>
      </c>
      <c r="H174" s="669">
        <f>Y174/J174</f>
        <v/>
      </c>
      <c r="I174" s="472" t="n">
        <v>45029</v>
      </c>
      <c r="J174" t="n">
        <v>7560</v>
      </c>
      <c r="K174" s="669" t="n"/>
      <c r="L174" t="n">
        <v>7560</v>
      </c>
      <c r="M174" t="n">
        <v>2022</v>
      </c>
      <c r="R174" t="inlineStr">
        <is>
          <t>Average</t>
        </is>
      </c>
      <c r="S174" t="n">
        <v>5076</v>
      </c>
      <c r="T174" s="469">
        <f>S174/L174</f>
        <v/>
      </c>
      <c r="U174" t="inlineStr">
        <is>
          <t>Average</t>
        </is>
      </c>
      <c r="V174" s="469" t="n"/>
      <c r="W174" s="469" t="n"/>
      <c r="X174" s="469" t="n"/>
      <c r="Y174" s="671" t="n">
        <v>245000</v>
      </c>
      <c r="Z174" s="671" t="n"/>
      <c r="AA174" s="671" t="n">
        <v>245000</v>
      </c>
      <c r="AB174" s="671" t="n"/>
      <c r="AC174" t="inlineStr">
        <is>
          <t>0172115405001</t>
        </is>
      </c>
      <c r="AD174" t="inlineStr">
        <is>
          <t>2023000020171</t>
        </is>
      </c>
      <c r="AE174" t="inlineStr">
        <is>
          <t>MCAVIN ENTERPRISES LLC</t>
        </is>
      </c>
      <c r="AF174" t="inlineStr">
        <is>
          <t>FISHER DESIGNWORKS LLC DBA, SAWHORSE DEVELOPMENT LLC</t>
        </is>
      </c>
      <c r="AI174" s="245">
        <f>AND(E174=Subj_OccCode,Subj_BldgSF&gt;0,L174&gt;=Subj_BldgSF*(1-Subj_SizeTol),L174&lt;=Subj_BldgSF*(1+Subj_SizeTol))</f>
        <v/>
      </c>
    </row>
    <row r="175" ht="15" customHeight="1">
      <c r="A175" s="248" t="n">
        <v>7</v>
      </c>
      <c r="B175" s="245" t="n">
        <v>167</v>
      </c>
      <c r="C175" t="inlineStr">
        <is>
          <t>R0213044</t>
        </is>
      </c>
      <c r="D175" t="inlineStr">
        <is>
          <t>9658 HAVAN ST #1C</t>
        </is>
      </c>
      <c r="E175" t="n">
        <v>425</v>
      </c>
      <c r="F175" t="inlineStr">
        <is>
          <t>COMMERCE CITY</t>
        </is>
      </c>
      <c r="G175" t="inlineStr">
        <is>
          <t>5</t>
        </is>
      </c>
      <c r="H175" s="669">
        <f>Y175/J175</f>
        <v/>
      </c>
      <c r="I175" s="472" t="n">
        <v>44760</v>
      </c>
      <c r="J175" t="n">
        <v>7560</v>
      </c>
      <c r="K175" s="669" t="n"/>
      <c r="L175" t="n">
        <v>7560</v>
      </c>
      <c r="M175" t="n">
        <v>2022</v>
      </c>
      <c r="R175" t="inlineStr">
        <is>
          <t>Average</t>
        </is>
      </c>
      <c r="S175" t="n">
        <v>0</v>
      </c>
      <c r="T175" s="469">
        <f>S175/L175</f>
        <v/>
      </c>
      <c r="U175" t="inlineStr">
        <is>
          <t>Average</t>
        </is>
      </c>
      <c r="V175" s="469" t="n"/>
      <c r="W175" s="469" t="n"/>
      <c r="X175" s="469" t="n"/>
      <c r="Y175" s="671" t="n">
        <v>270000</v>
      </c>
      <c r="Z175" s="671" t="n"/>
      <c r="AA175" s="671" t="n">
        <v>270000</v>
      </c>
      <c r="AB175" s="671" t="n"/>
      <c r="AC175" t="inlineStr">
        <is>
          <t>0172115405002</t>
        </is>
      </c>
      <c r="AD175" t="inlineStr">
        <is>
          <t>2022000062002</t>
        </is>
      </c>
      <c r="AE175" t="inlineStr">
        <is>
          <t>THE GARAGE SOCIETY HOLDINGS LLC</t>
        </is>
      </c>
      <c r="AF175" t="inlineStr">
        <is>
          <t>SLAVIC CHRISTIAN CHURCH</t>
        </is>
      </c>
      <c r="AI175" s="245">
        <f>AND(E175=Subj_OccCode,Subj_BldgSF&gt;0,L175&gt;=Subj_BldgSF*(1-Subj_SizeTol),L175&lt;=Subj_BldgSF*(1+Subj_SizeTol))</f>
        <v/>
      </c>
    </row>
    <row r="176" ht="15" customHeight="1">
      <c r="A176" s="248" t="n">
        <v>7</v>
      </c>
      <c r="B176" s="245" t="n">
        <v>168</v>
      </c>
      <c r="C176" t="inlineStr">
        <is>
          <t>R0213046</t>
        </is>
      </c>
      <c r="D176" t="inlineStr">
        <is>
          <t>9658 HAVANA ST #1E</t>
        </is>
      </c>
      <c r="E176" t="n">
        <v>425</v>
      </c>
      <c r="F176" t="inlineStr">
        <is>
          <t>COMMERCE CITY</t>
        </is>
      </c>
      <c r="G176" t="inlineStr">
        <is>
          <t>5</t>
        </is>
      </c>
      <c r="H176" s="669">
        <f>Y176/J176</f>
        <v/>
      </c>
      <c r="I176" s="472" t="n">
        <v>44755</v>
      </c>
      <c r="J176" t="n">
        <v>7560</v>
      </c>
      <c r="K176" s="669" t="n"/>
      <c r="L176" t="n">
        <v>7560</v>
      </c>
      <c r="M176" t="n">
        <v>2022</v>
      </c>
      <c r="R176" t="inlineStr">
        <is>
          <t>Average</t>
        </is>
      </c>
      <c r="S176" t="n">
        <v>0</v>
      </c>
      <c r="T176" s="469">
        <f>S176/L176</f>
        <v/>
      </c>
      <c r="U176" t="inlineStr">
        <is>
          <t>Average</t>
        </is>
      </c>
      <c r="V176" s="469" t="n"/>
      <c r="W176" s="469" t="n"/>
      <c r="X176" s="469" t="n"/>
      <c r="Y176" s="671" t="n">
        <v>249750</v>
      </c>
      <c r="Z176" s="671" t="n"/>
      <c r="AA176" s="671" t="n">
        <v>249750</v>
      </c>
      <c r="AB176" s="671" t="n"/>
      <c r="AC176" t="inlineStr">
        <is>
          <t>0172115405004</t>
        </is>
      </c>
      <c r="AD176" t="inlineStr">
        <is>
          <t>2022000061238</t>
        </is>
      </c>
      <c r="AE176" t="inlineStr">
        <is>
          <t>THE GARAGE SOCIETY HOLDINGS LLC</t>
        </is>
      </c>
      <c r="AF176" t="inlineStr">
        <is>
          <t xml:space="preserve">E&amp;P QUALITY PLUMBING INC AND , E&amp;P QUALITY PLUMBING </t>
        </is>
      </c>
      <c r="AI176" s="245">
        <f>AND(E176=Subj_OccCode,Subj_BldgSF&gt;0,L176&gt;=Subj_BldgSF*(1-Subj_SizeTol),L176&lt;=Subj_BldgSF*(1+Subj_SizeTol))</f>
        <v/>
      </c>
    </row>
    <row r="177" ht="15" customHeight="1">
      <c r="A177" s="248" t="n">
        <v>7</v>
      </c>
      <c r="B177" s="245" t="n">
        <v>169</v>
      </c>
      <c r="C177" t="inlineStr">
        <is>
          <t>R0222669</t>
        </is>
      </c>
      <c r="D177" t="inlineStr">
        <is>
          <t>37851 E 51ST AVE #W1</t>
        </is>
      </c>
      <c r="E177" t="n">
        <v>328</v>
      </c>
      <c r="G177" t="inlineStr">
        <is>
          <t>1</t>
        </is>
      </c>
      <c r="H177" s="669">
        <f>Y177/J177</f>
        <v/>
      </c>
      <c r="I177" s="472" t="n">
        <v>45390</v>
      </c>
      <c r="J177" t="n">
        <v>2930</v>
      </c>
      <c r="K177" s="669" t="n"/>
      <c r="L177" t="n">
        <v>2930</v>
      </c>
      <c r="M177" t="n">
        <v>2024</v>
      </c>
      <c r="R177" t="inlineStr">
        <is>
          <t>Average</t>
        </is>
      </c>
      <c r="T177" s="469">
        <f>S177/L177</f>
        <v/>
      </c>
      <c r="U177" t="inlineStr">
        <is>
          <t>Average</t>
        </is>
      </c>
      <c r="V177" s="469" t="n"/>
      <c r="W177" s="469" t="n"/>
      <c r="X177" s="469" t="n"/>
      <c r="Y177" s="671" t="n">
        <v>339243</v>
      </c>
      <c r="Z177" s="671" t="n"/>
      <c r="AA177" s="671" t="n">
        <v>339243</v>
      </c>
      <c r="AB177" s="671" t="n"/>
      <c r="AC177" t="inlineStr">
        <is>
          <t>0181715300027</t>
        </is>
      </c>
      <c r="AD177" t="inlineStr">
        <is>
          <t>2024000024075</t>
        </is>
      </c>
      <c r="AE177" t="inlineStr">
        <is>
          <t>37851 51ST AVE HANGAR OWNERS ASSOCIATION INC</t>
        </is>
      </c>
      <c r="AF177" t="inlineStr">
        <is>
          <t>ACCRETION MANAGEMENT LLC</t>
        </is>
      </c>
      <c r="AI177" s="245">
        <f>AND(E177=Subj_OccCode,Subj_BldgSF&gt;0,L177&gt;=Subj_BldgSF*(1-Subj_SizeTol),L177&lt;=Subj_BldgSF*(1+Subj_SizeTol))</f>
        <v/>
      </c>
    </row>
    <row r="178" ht="15" customHeight="1">
      <c r="A178" s="248" t="n">
        <v>7</v>
      </c>
      <c r="B178" s="245" t="n">
        <v>170</v>
      </c>
      <c r="C178" t="inlineStr">
        <is>
          <t>R0222673</t>
        </is>
      </c>
      <c r="D178" t="inlineStr">
        <is>
          <t>37851 E 51ST AVE #W9</t>
        </is>
      </c>
      <c r="E178" t="n">
        <v>328</v>
      </c>
      <c r="G178" t="inlineStr">
        <is>
          <t>1</t>
        </is>
      </c>
      <c r="H178" s="669">
        <f>Y178/J178</f>
        <v/>
      </c>
      <c r="I178" s="472" t="n">
        <v>45390</v>
      </c>
      <c r="J178" t="n">
        <v>2930</v>
      </c>
      <c r="K178" s="669" t="n"/>
      <c r="L178" t="n">
        <v>2930</v>
      </c>
      <c r="M178" t="n">
        <v>2024</v>
      </c>
      <c r="R178" t="inlineStr">
        <is>
          <t>Average</t>
        </is>
      </c>
      <c r="T178" s="469">
        <f>S178/L178</f>
        <v/>
      </c>
      <c r="U178" t="inlineStr">
        <is>
          <t>Average</t>
        </is>
      </c>
      <c r="V178" s="469" t="n"/>
      <c r="W178" s="469" t="n"/>
      <c r="X178" s="469" t="n"/>
      <c r="Y178" s="671" t="n">
        <v>300259</v>
      </c>
      <c r="Z178" s="671" t="n"/>
      <c r="AA178" s="671" t="n">
        <v>300259</v>
      </c>
      <c r="AB178" s="671" t="n"/>
      <c r="AC178" t="inlineStr">
        <is>
          <t>0181715300031</t>
        </is>
      </c>
      <c r="AD178" t="inlineStr">
        <is>
          <t>2024000024085</t>
        </is>
      </c>
      <c r="AE178" t="inlineStr">
        <is>
          <t>37851 51ST AVE HANGAR OWNERS ASSOCIATION INC</t>
        </is>
      </c>
      <c r="AF178" t="inlineStr">
        <is>
          <t>COLBYCO JET MANAGEMENT LLC</t>
        </is>
      </c>
      <c r="AI178" s="245">
        <f>AND(E178=Subj_OccCode,Subj_BldgSF&gt;0,L178&gt;=Subj_BldgSF*(1-Subj_SizeTol),L178&lt;=Subj_BldgSF*(1+Subj_SizeTol))</f>
        <v/>
      </c>
    </row>
    <row r="179" ht="15" customHeight="1">
      <c r="A179" s="248" t="n">
        <v>7</v>
      </c>
      <c r="B179" s="245" t="n">
        <v>171</v>
      </c>
      <c r="C179" t="inlineStr">
        <is>
          <t>R0222674</t>
        </is>
      </c>
      <c r="D179" t="inlineStr">
        <is>
          <t>37851 E 51ST AVE #W11</t>
        </is>
      </c>
      <c r="E179" t="n">
        <v>328</v>
      </c>
      <c r="G179" t="inlineStr">
        <is>
          <t>1</t>
        </is>
      </c>
      <c r="H179" s="669">
        <f>Y179/J179</f>
        <v/>
      </c>
      <c r="I179" s="472" t="n">
        <v>45390</v>
      </c>
      <c r="J179" t="n">
        <v>2930</v>
      </c>
      <c r="K179" s="669" t="n"/>
      <c r="L179" t="n">
        <v>2930</v>
      </c>
      <c r="M179" t="n">
        <v>2024</v>
      </c>
      <c r="R179" t="inlineStr">
        <is>
          <t>Average</t>
        </is>
      </c>
      <c r="T179" s="469">
        <f>S179/L179</f>
        <v/>
      </c>
      <c r="U179" t="inlineStr">
        <is>
          <t>Average</t>
        </is>
      </c>
      <c r="V179" s="469" t="n"/>
      <c r="W179" s="469" t="n"/>
      <c r="X179" s="469" t="n"/>
      <c r="Y179" s="671" t="n">
        <v>310778</v>
      </c>
      <c r="Z179" s="671" t="n"/>
      <c r="AA179" s="671" t="n">
        <v>310778</v>
      </c>
      <c r="AB179" s="671" t="n"/>
      <c r="AC179" t="inlineStr">
        <is>
          <t>0181715300032</t>
        </is>
      </c>
      <c r="AD179" t="inlineStr">
        <is>
          <t>2024000024068</t>
        </is>
      </c>
      <c r="AE179" t="inlineStr">
        <is>
          <t>37851 51ST AVE HANGAR OWNERS ASSOCIATION INC</t>
        </is>
      </c>
      <c r="AF179" t="inlineStr">
        <is>
          <t>MUELLER HANGARS LLC</t>
        </is>
      </c>
      <c r="AI179" s="245">
        <f>AND(E179=Subj_OccCode,Subj_BldgSF&gt;0,L179&gt;=Subj_BldgSF*(1-Subj_SizeTol),L179&lt;=Subj_BldgSF*(1+Subj_SizeTol))</f>
        <v/>
      </c>
    </row>
    <row r="180" ht="15" customHeight="1">
      <c r="A180" s="248" t="n">
        <v>7</v>
      </c>
      <c r="B180" s="245" t="n">
        <v>172</v>
      </c>
      <c r="C180" t="inlineStr">
        <is>
          <t>R0222675</t>
        </is>
      </c>
      <c r="D180" t="inlineStr">
        <is>
          <t>37851 E 51ST AVE #E12</t>
        </is>
      </c>
      <c r="E180" t="n">
        <v>328</v>
      </c>
      <c r="G180" t="inlineStr">
        <is>
          <t>1</t>
        </is>
      </c>
      <c r="H180" s="669">
        <f>Y180/J180</f>
        <v/>
      </c>
      <c r="I180" s="472" t="n">
        <v>45390</v>
      </c>
      <c r="J180" t="n">
        <v>2930</v>
      </c>
      <c r="K180" s="669" t="n"/>
      <c r="L180" t="n">
        <v>2930</v>
      </c>
      <c r="M180" t="n">
        <v>2024</v>
      </c>
      <c r="R180" t="inlineStr">
        <is>
          <t>Average</t>
        </is>
      </c>
      <c r="T180" s="469">
        <f>S180/L180</f>
        <v/>
      </c>
      <c r="U180" t="inlineStr">
        <is>
          <t>Average</t>
        </is>
      </c>
      <c r="V180" s="469" t="n"/>
      <c r="W180" s="469" t="n"/>
      <c r="X180" s="469" t="n"/>
      <c r="Y180" s="671" t="n">
        <v>310778</v>
      </c>
      <c r="Z180" s="671" t="n"/>
      <c r="AA180" s="671" t="n">
        <v>310778</v>
      </c>
      <c r="AB180" s="671" t="n"/>
      <c r="AC180" t="inlineStr">
        <is>
          <t>0181715300033</t>
        </is>
      </c>
      <c r="AD180" t="inlineStr">
        <is>
          <t>2024000024063</t>
        </is>
      </c>
      <c r="AE180" t="inlineStr">
        <is>
          <t>37851 51ST AVE HANGAR OWNERS ASSOCIATION INC</t>
        </is>
      </c>
      <c r="AF180" t="inlineStr">
        <is>
          <t>MUELLER HANGARS LLC</t>
        </is>
      </c>
      <c r="AI180" s="245">
        <f>AND(E180=Subj_OccCode,Subj_BldgSF&gt;0,L180&gt;=Subj_BldgSF*(1-Subj_SizeTol),L180&lt;=Subj_BldgSF*(1+Subj_SizeTol))</f>
        <v/>
      </c>
    </row>
    <row r="181" ht="15" customHeight="1">
      <c r="A181" s="248" t="n">
        <v>7</v>
      </c>
      <c r="B181" s="245" t="n">
        <v>173</v>
      </c>
      <c r="C181" t="inlineStr">
        <is>
          <t>R0223501</t>
        </is>
      </c>
      <c r="D181" t="inlineStr">
        <is>
          <t>9658 HAVAN ST #C03</t>
        </is>
      </c>
      <c r="E181" t="n">
        <v>425</v>
      </c>
      <c r="F181" t="inlineStr">
        <is>
          <t>COMMERCE CITY</t>
        </is>
      </c>
      <c r="G181" t="inlineStr">
        <is>
          <t>5</t>
        </is>
      </c>
      <c r="H181" s="669">
        <f>Y181/J181</f>
        <v/>
      </c>
      <c r="I181" s="472" t="n">
        <v>45377</v>
      </c>
      <c r="J181" t="n">
        <v>21266</v>
      </c>
      <c r="K181" s="669" t="n"/>
      <c r="L181" t="n">
        <v>21266</v>
      </c>
      <c r="M181" t="n">
        <v>2023</v>
      </c>
      <c r="R181" t="inlineStr">
        <is>
          <t>Average</t>
        </is>
      </c>
      <c r="S181" t="n">
        <v>3398</v>
      </c>
      <c r="T181" s="469">
        <f>S181/L181</f>
        <v/>
      </c>
      <c r="U181" t="inlineStr">
        <is>
          <t>Average</t>
        </is>
      </c>
      <c r="V181" s="469" t="n"/>
      <c r="W181" s="469" t="n"/>
      <c r="X181" s="469" t="n"/>
      <c r="Y181" s="671" t="n">
        <v>370360</v>
      </c>
      <c r="Z181" s="671" t="n"/>
      <c r="AA181" s="671" t="n">
        <v>370360</v>
      </c>
      <c r="AB181" s="671" t="n"/>
      <c r="AC181" t="inlineStr">
        <is>
          <t>0172115405062</t>
        </is>
      </c>
      <c r="AD181" t="inlineStr">
        <is>
          <t>2024000015431</t>
        </is>
      </c>
      <c r="AE181" t="inlineStr">
        <is>
          <t>THE GARAGE SOCIETY HOLDINGS LLC</t>
        </is>
      </c>
      <c r="AF181" t="inlineStr">
        <is>
          <t>MAVES AEDRENA</t>
        </is>
      </c>
      <c r="AI181" s="245">
        <f>AND(E181=Subj_OccCode,Subj_BldgSF&gt;0,L181&gt;=Subj_BldgSF*(1-Subj_SizeTol),L181&lt;=Subj_BldgSF*(1+Subj_SizeTol))</f>
        <v/>
      </c>
    </row>
    <row r="182" ht="15" customHeight="1">
      <c r="A182" s="248" t="n">
        <v>7</v>
      </c>
      <c r="B182" s="245" t="n">
        <v>174</v>
      </c>
      <c r="C182" t="inlineStr">
        <is>
          <t>R0224264</t>
        </is>
      </c>
      <c r="D182" t="inlineStr">
        <is>
          <t>2861 W 120TH AVE</t>
        </is>
      </c>
      <c r="E182" t="n">
        <v>344</v>
      </c>
      <c r="F182" t="inlineStr">
        <is>
          <t>COMMERCE CITY</t>
        </is>
      </c>
      <c r="G182" t="inlineStr">
        <is>
          <t>3</t>
        </is>
      </c>
      <c r="H182" s="669">
        <f>Y182/J182</f>
        <v/>
      </c>
      <c r="I182" s="472" t="n">
        <v>45405</v>
      </c>
      <c r="J182" t="n">
        <v>57173</v>
      </c>
      <c r="K182" s="669" t="n"/>
      <c r="L182" t="n">
        <v>57173</v>
      </c>
      <c r="M182" t="n">
        <v>2007</v>
      </c>
      <c r="R182" t="inlineStr">
        <is>
          <t>Average</t>
        </is>
      </c>
      <c r="T182" s="469">
        <f>S182/L182</f>
        <v/>
      </c>
      <c r="U182" t="inlineStr">
        <is>
          <t>Average</t>
        </is>
      </c>
      <c r="V182" s="469" t="n"/>
      <c r="W182" s="469" t="n"/>
      <c r="X182" s="469" t="n"/>
      <c r="Y182" s="671" t="n">
        <v>1120978</v>
      </c>
      <c r="Z182" s="671" t="n"/>
      <c r="AA182" s="671" t="n">
        <v>1120978</v>
      </c>
      <c r="AB182" s="671" t="n"/>
      <c r="AC182" t="inlineStr">
        <is>
          <t>0157332401029</t>
        </is>
      </c>
      <c r="AD182" t="inlineStr">
        <is>
          <t>2024000021262</t>
        </is>
      </c>
      <c r="AE182" t="inlineStr">
        <is>
          <t>2861 FINANCIAL LLC</t>
        </is>
      </c>
      <c r="AF182" t="inlineStr">
        <is>
          <t>FINAN PROPERTIES LLC</t>
        </is>
      </c>
      <c r="AI182" s="245">
        <f>AND(E182=Subj_OccCode,Subj_BldgSF&gt;0,L182&gt;=Subj_BldgSF*(1-Subj_SizeTol),L182&lt;=Subj_BldgSF*(1+Subj_SizeTol))</f>
        <v/>
      </c>
    </row>
    <row r="183" ht="15" customHeight="1">
      <c r="A183" s="248" t="n">
        <v>7</v>
      </c>
      <c r="B183" s="245" t="n">
        <v>175</v>
      </c>
      <c r="C183" t="inlineStr">
        <is>
          <t>R0002840</t>
        </is>
      </c>
      <c r="D183" t="inlineStr">
        <is>
          <t>5 N MAIN ST</t>
        </is>
      </c>
      <c r="E183" t="n">
        <v>344</v>
      </c>
      <c r="F183" t="inlineStr">
        <is>
          <t>BRIGHTON</t>
        </is>
      </c>
      <c r="G183" t="inlineStr">
        <is>
          <t>2</t>
        </is>
      </c>
      <c r="H183" s="669">
        <f>Y183/J183</f>
        <v/>
      </c>
      <c r="I183" s="472" t="n">
        <v>44995</v>
      </c>
      <c r="J183" t="n">
        <v>5068</v>
      </c>
      <c r="K183" s="669" t="n"/>
      <c r="L183" t="n">
        <v>5068</v>
      </c>
      <c r="M183" t="n">
        <v>1917</v>
      </c>
      <c r="P183" t="inlineStr">
        <is>
          <t>DT</t>
        </is>
      </c>
      <c r="R183" t="inlineStr">
        <is>
          <t>Average</t>
        </is>
      </c>
      <c r="S183" t="n">
        <v>3185</v>
      </c>
      <c r="T183" s="469">
        <f>S183/L183</f>
        <v/>
      </c>
      <c r="U183" t="inlineStr">
        <is>
          <t>Average</t>
        </is>
      </c>
      <c r="V183" s="469" t="n"/>
      <c r="W183" s="469" t="n"/>
      <c r="X183" s="469" t="n"/>
      <c r="Y183" s="671" t="n">
        <v>650000</v>
      </c>
      <c r="Z183" s="671" t="n"/>
      <c r="AA183" s="671" t="n">
        <v>650000</v>
      </c>
      <c r="AB183" s="671" t="n"/>
      <c r="AC183" t="inlineStr">
        <is>
          <t>0156906314014</t>
        </is>
      </c>
      <c r="AD183" t="inlineStr">
        <is>
          <t>2023000013109</t>
        </is>
      </c>
      <c r="AE183" t="inlineStr">
        <is>
          <t>1382 BOSTON LLC</t>
        </is>
      </c>
      <c r="AF183" t="inlineStr">
        <is>
          <t>ROTH ERIC</t>
        </is>
      </c>
      <c r="AI183" s="245">
        <f>AND(E183=Subj_OccCode,Subj_BldgSF&gt;0,L183&gt;=Subj_BldgSF*(1-Subj_SizeTol),L183&lt;=Subj_BldgSF*(1+Subj_SizeTol))</f>
        <v/>
      </c>
    </row>
    <row r="184" ht="15" customHeight="1">
      <c r="A184" s="248" t="n">
        <v>7</v>
      </c>
      <c r="B184" s="245" t="n">
        <v>176</v>
      </c>
      <c r="C184" t="inlineStr">
        <is>
          <t>R0037106</t>
        </is>
      </c>
      <c r="D184" t="inlineStr">
        <is>
          <t>11178 HURON ST #6</t>
        </is>
      </c>
      <c r="E184" t="n">
        <v>1344</v>
      </c>
      <c r="F184" t="inlineStr">
        <is>
          <t>NORTHGLENN</t>
        </is>
      </c>
      <c r="G184" t="inlineStr">
        <is>
          <t>4</t>
        </is>
      </c>
      <c r="H184" s="669">
        <f>Y184/J184</f>
        <v/>
      </c>
      <c r="I184" s="472" t="n">
        <v>45104</v>
      </c>
      <c r="J184" t="n">
        <v>84375</v>
      </c>
      <c r="K184" s="669" t="n"/>
      <c r="L184" t="n">
        <v>84375</v>
      </c>
      <c r="M184" t="n">
        <v>1984</v>
      </c>
      <c r="P184" t="inlineStr">
        <is>
          <t>C-3-Nor</t>
        </is>
      </c>
      <c r="R184" t="inlineStr">
        <is>
          <t>Average</t>
        </is>
      </c>
      <c r="S184" t="n">
        <v>1108</v>
      </c>
      <c r="T184" s="469">
        <f>S184/L184</f>
        <v/>
      </c>
      <c r="U184" t="inlineStr">
        <is>
          <t>Average</t>
        </is>
      </c>
      <c r="V184" s="469" t="n"/>
      <c r="W184" s="469" t="n"/>
      <c r="X184" s="469" t="n"/>
      <c r="Y184" s="671" t="n">
        <v>250000</v>
      </c>
      <c r="Z184" s="671" t="n"/>
      <c r="AA184" s="671" t="n">
        <v>250000</v>
      </c>
      <c r="AB184" s="671" t="n"/>
      <c r="AC184" t="inlineStr">
        <is>
          <t>0171910217006</t>
        </is>
      </c>
      <c r="AD184" t="inlineStr">
        <is>
          <t>2023000036437</t>
        </is>
      </c>
      <c r="AE184" t="inlineStr">
        <is>
          <t>BRUNSON REAL ESTATE HOLDINGS LLC</t>
        </is>
      </c>
      <c r="AF184" t="inlineStr">
        <is>
          <t>REAL ESTATE MATTERS CORP</t>
        </is>
      </c>
      <c r="AI184" s="245">
        <f>AND(E184=Subj_OccCode,Subj_BldgSF&gt;0,L184&gt;=Subj_BldgSF*(1-Subj_SizeTol),L184&lt;=Subj_BldgSF*(1+Subj_SizeTol))</f>
        <v/>
      </c>
    </row>
    <row r="185" ht="15" customHeight="1">
      <c r="A185" s="248" t="n">
        <v>7</v>
      </c>
      <c r="B185" s="245" t="n">
        <v>177</v>
      </c>
      <c r="C185" t="inlineStr">
        <is>
          <t>R0037108</t>
        </is>
      </c>
      <c r="D185" t="inlineStr">
        <is>
          <t>11184 HURON ST #8</t>
        </is>
      </c>
      <c r="E185" t="n">
        <v>1344</v>
      </c>
      <c r="F185" t="inlineStr">
        <is>
          <t>NORTHGLENN</t>
        </is>
      </c>
      <c r="G185" t="inlineStr">
        <is>
          <t>4</t>
        </is>
      </c>
      <c r="H185" s="669">
        <f>Y185/J185</f>
        <v/>
      </c>
      <c r="I185" s="472" t="n">
        <v>45044</v>
      </c>
      <c r="J185" t="n">
        <v>84375</v>
      </c>
      <c r="K185" s="669" t="n"/>
      <c r="L185" t="n">
        <v>84375</v>
      </c>
      <c r="M185" t="n">
        <v>1984</v>
      </c>
      <c r="P185" t="inlineStr">
        <is>
          <t>C-3-Nor</t>
        </is>
      </c>
      <c r="R185" t="inlineStr">
        <is>
          <t>Average</t>
        </is>
      </c>
      <c r="S185" t="n">
        <v>1108</v>
      </c>
      <c r="T185" s="469">
        <f>S185/L185</f>
        <v/>
      </c>
      <c r="U185" t="inlineStr">
        <is>
          <t>Average</t>
        </is>
      </c>
      <c r="V185" s="469" t="n"/>
      <c r="W185" s="469" t="n"/>
      <c r="X185" s="469" t="n"/>
      <c r="Y185" s="671" t="n">
        <v>300000</v>
      </c>
      <c r="Z185" s="671" t="n"/>
      <c r="AA185" s="671" t="n">
        <v>300000</v>
      </c>
      <c r="AB185" s="671" t="n"/>
      <c r="AC185" t="inlineStr">
        <is>
          <t>0171910217008</t>
        </is>
      </c>
      <c r="AD185" t="inlineStr">
        <is>
          <t>2023000024002</t>
        </is>
      </c>
      <c r="AE185" t="inlineStr">
        <is>
          <t>BTC VISIONS LLC</t>
        </is>
      </c>
      <c r="AF185" t="inlineStr">
        <is>
          <t>GLOBAL PROPERTIES AND MANAGEMENT LLC</t>
        </is>
      </c>
      <c r="AI185" s="245">
        <f>AND(E185=Subj_OccCode,Subj_BldgSF&gt;0,L185&gt;=Subj_BldgSF*(1-Subj_SizeTol),L185&lt;=Subj_BldgSF*(1+Subj_SizeTol))</f>
        <v/>
      </c>
    </row>
    <row r="186" ht="15" customHeight="1">
      <c r="A186" s="248" t="n">
        <v>7</v>
      </c>
      <c r="B186" s="245" t="n">
        <v>178</v>
      </c>
      <c r="C186" t="inlineStr">
        <is>
          <t>R0176439</t>
        </is>
      </c>
      <c r="D186" t="inlineStr">
        <is>
          <t>804 E 78TH AVE</t>
        </is>
      </c>
      <c r="E186" t="n">
        <v>425</v>
      </c>
      <c r="G186" t="inlineStr">
        <is>
          <t>5</t>
        </is>
      </c>
      <c r="H186" s="669">
        <f>Y186/J186</f>
        <v/>
      </c>
      <c r="I186" s="472" t="n">
        <v>45135</v>
      </c>
      <c r="J186" t="n">
        <v>37592</v>
      </c>
      <c r="K186" s="669" t="n"/>
      <c r="L186" t="n">
        <v>37592</v>
      </c>
      <c r="M186" t="n">
        <v>2006</v>
      </c>
      <c r="P186" t="inlineStr">
        <is>
          <t>Industrial</t>
        </is>
      </c>
      <c r="R186" t="inlineStr">
        <is>
          <t>Average</t>
        </is>
      </c>
      <c r="S186" t="n">
        <v>5399</v>
      </c>
      <c r="T186" s="469">
        <f>S186/L186</f>
        <v/>
      </c>
      <c r="U186" t="inlineStr">
        <is>
          <t>Average</t>
        </is>
      </c>
      <c r="V186" s="469" t="n"/>
      <c r="W186" s="469" t="n"/>
      <c r="X186" s="469" t="n"/>
      <c r="Y186" s="671" t="n">
        <v>375000</v>
      </c>
      <c r="Z186" s="671" t="n"/>
      <c r="AA186" s="671" t="n">
        <v>375000</v>
      </c>
      <c r="AB186" s="671" t="n"/>
      <c r="AC186" t="inlineStr">
        <is>
          <t>0171935233022</t>
        </is>
      </c>
      <c r="AD186" t="inlineStr">
        <is>
          <t>2023000047316</t>
        </is>
      </c>
      <c r="AE186" t="inlineStr">
        <is>
          <t>BOOMHAUSER EDDIE LLC</t>
        </is>
      </c>
      <c r="AF186" t="inlineStr">
        <is>
          <t>BAHRAINI MOHAMMAD YOUSOF</t>
        </is>
      </c>
      <c r="AI186" s="245">
        <f>AND(E186=Subj_OccCode,Subj_BldgSF&gt;0,L186&gt;=Subj_BldgSF*(1-Subj_SizeTol),L186&lt;=Subj_BldgSF*(1+Subj_SizeTol))</f>
        <v/>
      </c>
    </row>
    <row r="187" ht="15" customHeight="1">
      <c r="A187" s="248" t="n">
        <v>7</v>
      </c>
      <c r="B187" s="245" t="n">
        <v>179</v>
      </c>
      <c r="C187" t="inlineStr">
        <is>
          <t>R0184690</t>
        </is>
      </c>
      <c r="D187" t="inlineStr">
        <is>
          <t>4155 E 128TH AVE</t>
        </is>
      </c>
      <c r="E187" t="n">
        <v>426</v>
      </c>
      <c r="F187" t="inlineStr">
        <is>
          <t>THORNTON</t>
        </is>
      </c>
      <c r="G187" t="inlineStr">
        <is>
          <t>3</t>
        </is>
      </c>
      <c r="H187" s="669">
        <f>Y187/J187</f>
        <v/>
      </c>
      <c r="I187" s="472" t="n">
        <v>45225</v>
      </c>
      <c r="J187" t="n">
        <v>26048</v>
      </c>
      <c r="K187" s="669" t="n"/>
      <c r="L187" t="n">
        <v>26048</v>
      </c>
      <c r="M187" t="n">
        <v>2015</v>
      </c>
      <c r="P187" t="inlineStr">
        <is>
          <t>Planned Development</t>
        </is>
      </c>
      <c r="R187" t="inlineStr">
        <is>
          <t>Good</t>
        </is>
      </c>
      <c r="S187" t="n">
        <v>89095</v>
      </c>
      <c r="T187" s="469">
        <f>S187/L187</f>
        <v/>
      </c>
      <c r="U187" t="inlineStr">
        <is>
          <t>Good</t>
        </is>
      </c>
      <c r="V187" s="469" t="n"/>
      <c r="W187" s="469" t="n"/>
      <c r="X187" s="469" t="n"/>
      <c r="Y187" s="671" t="n">
        <v>4750000</v>
      </c>
      <c r="Z187" s="671" t="n"/>
      <c r="AA187" s="671" t="n">
        <v>4750000</v>
      </c>
      <c r="AB187" s="671" t="n"/>
      <c r="AC187" t="inlineStr">
        <is>
          <t>0157130321022</t>
        </is>
      </c>
      <c r="AD187" t="inlineStr">
        <is>
          <t>2023000060719</t>
        </is>
      </c>
      <c r="AE187" t="inlineStr">
        <is>
          <t>ECE I LLC, ATTN ASSET MANAGER</t>
        </is>
      </c>
      <c r="AF187" t="inlineStr">
        <is>
          <t>KARTER REALTY THORNTON LLC</t>
        </is>
      </c>
      <c r="AI187" s="245">
        <f>AND(E187=Subj_OccCode,Subj_BldgSF&gt;0,L187&gt;=Subj_BldgSF*(1-Subj_SizeTol),L187&lt;=Subj_BldgSF*(1+Subj_SizeTol))</f>
        <v/>
      </c>
    </row>
    <row r="188" ht="15" customHeight="1">
      <c r="A188" s="248" t="n">
        <v>7</v>
      </c>
      <c r="B188" s="245" t="n">
        <v>180</v>
      </c>
      <c r="C188" t="inlineStr">
        <is>
          <t>R0103418</t>
        </is>
      </c>
      <c r="D188" t="inlineStr">
        <is>
          <t>5678 PECOS ST</t>
        </is>
      </c>
      <c r="E188" t="n">
        <v>406</v>
      </c>
      <c r="G188" t="inlineStr">
        <is>
          <t>5</t>
        </is>
      </c>
      <c r="H188" s="669">
        <f>Y188/J188</f>
        <v/>
      </c>
      <c r="I188" s="472" t="n">
        <v>45317</v>
      </c>
      <c r="J188" t="n">
        <v>4800</v>
      </c>
      <c r="K188" s="669" t="n"/>
      <c r="L188" t="n">
        <v>4800</v>
      </c>
      <c r="M188" t="n">
        <v>2007</v>
      </c>
      <c r="P188" t="inlineStr">
        <is>
          <t>Industrial</t>
        </is>
      </c>
      <c r="R188" t="inlineStr">
        <is>
          <t>Average</t>
        </is>
      </c>
      <c r="S188" t="n">
        <v>13316</v>
      </c>
      <c r="T188" s="469">
        <f>S188/L188</f>
        <v/>
      </c>
      <c r="U188" t="inlineStr">
        <is>
          <t>Average</t>
        </is>
      </c>
      <c r="V188" s="469" t="n"/>
      <c r="W188" s="469" t="n"/>
      <c r="X188" s="469" t="n"/>
      <c r="Y188" s="671" t="n">
        <v>850000</v>
      </c>
      <c r="Z188" s="671" t="n"/>
      <c r="AA188" s="671" t="n">
        <v>850000</v>
      </c>
      <c r="AB188" s="671" t="n"/>
      <c r="AC188" t="inlineStr">
        <is>
          <t>0182509400017</t>
        </is>
      </c>
      <c r="AD188" t="inlineStr">
        <is>
          <t>2024000004872</t>
        </is>
      </c>
      <c r="AE188" t="inlineStr">
        <is>
          <t>BANG ENTERPRIZE INC</t>
        </is>
      </c>
      <c r="AF188" t="inlineStr">
        <is>
          <t>PECOS REAL ESTATE LLC, C/O AUTO CHLOR SYSTEM</t>
        </is>
      </c>
      <c r="AI188" s="245">
        <f>AND(E188=Subj_OccCode,Subj_BldgSF&gt;0,L188&gt;=Subj_BldgSF*(1-Subj_SizeTol),L188&lt;=Subj_BldgSF*(1+Subj_SizeTol))</f>
        <v/>
      </c>
    </row>
    <row r="189" ht="15" customHeight="1">
      <c r="A189" s="248" t="n">
        <v>7</v>
      </c>
      <c r="B189" s="245" t="n">
        <v>181</v>
      </c>
      <c r="C189" t="inlineStr">
        <is>
          <t>R0118777</t>
        </is>
      </c>
      <c r="D189" t="inlineStr">
        <is>
          <t>6091 E 72ND AVE</t>
        </is>
      </c>
      <c r="E189" t="n">
        <v>353</v>
      </c>
      <c r="F189" t="inlineStr">
        <is>
          <t>COMMERCE CITY</t>
        </is>
      </c>
      <c r="G189" t="inlineStr">
        <is>
          <t>5</t>
        </is>
      </c>
      <c r="H189" s="669">
        <f>Y189/J189</f>
        <v/>
      </c>
      <c r="I189" s="472" t="n">
        <v>44960</v>
      </c>
      <c r="J189" t="n">
        <v>7000</v>
      </c>
      <c r="K189" s="669" t="n"/>
      <c r="L189" t="n">
        <v>7000</v>
      </c>
      <c r="M189" t="n">
        <v>1999</v>
      </c>
      <c r="P189" t="inlineStr">
        <is>
          <t>C-2-Com</t>
        </is>
      </c>
      <c r="R189" t="inlineStr">
        <is>
          <t>Average</t>
        </is>
      </c>
      <c r="S189" t="n">
        <v>37592.28</v>
      </c>
      <c r="T189" s="469">
        <f>S189/L189</f>
        <v/>
      </c>
      <c r="U189" t="inlineStr">
        <is>
          <t>Average</t>
        </is>
      </c>
      <c r="V189" s="469" t="n"/>
      <c r="W189" s="469" t="n"/>
      <c r="X189" s="469" t="n"/>
      <c r="Y189" s="671" t="n">
        <v>1800000</v>
      </c>
      <c r="Z189" s="671" t="n"/>
      <c r="AA189" s="671" t="n">
        <v>1800000</v>
      </c>
      <c r="AB189" s="671" t="n"/>
      <c r="AC189" t="inlineStr">
        <is>
          <t>0172132309022</t>
        </is>
      </c>
      <c r="AD189" t="inlineStr">
        <is>
          <t>2023000006247</t>
        </is>
      </c>
      <c r="AE189" t="inlineStr">
        <is>
          <t>THEODORA CHECKERS LLC</t>
        </is>
      </c>
      <c r="AF189" t="inlineStr">
        <is>
          <t>MTK MANAGEMENT LLC, LMK MANAGEMENT LLC</t>
        </is>
      </c>
      <c r="AI189" s="245">
        <f>AND(E189=Subj_OccCode,Subj_BldgSF&gt;0,L189&gt;=Subj_BldgSF*(1-Subj_SizeTol),L189&lt;=Subj_BldgSF*(1+Subj_SizeTol))</f>
        <v/>
      </c>
    </row>
    <row r="190" ht="15" customHeight="1">
      <c r="A190" s="248" t="n">
        <v>7</v>
      </c>
      <c r="B190" s="245" t="n">
        <v>182</v>
      </c>
      <c r="C190" t="inlineStr">
        <is>
          <t>R0125137</t>
        </is>
      </c>
      <c r="D190" t="inlineStr">
        <is>
          <t>9670 DALLAS ST #7</t>
        </is>
      </c>
      <c r="E190" t="n">
        <v>425</v>
      </c>
      <c r="F190" t="inlineStr">
        <is>
          <t>COMMERCE CITY</t>
        </is>
      </c>
      <c r="G190" t="inlineStr">
        <is>
          <t>5</t>
        </is>
      </c>
      <c r="H190" s="669">
        <f>Y190/J190</f>
        <v/>
      </c>
      <c r="I190" s="472" t="n">
        <v>45159</v>
      </c>
      <c r="J190" t="n">
        <v>30000</v>
      </c>
      <c r="K190" s="669" t="n"/>
      <c r="L190" t="n">
        <v>30000</v>
      </c>
      <c r="M190" t="n">
        <v>2000</v>
      </c>
      <c r="P190" t="inlineStr">
        <is>
          <t>I-3-Com</t>
        </is>
      </c>
      <c r="R190" t="inlineStr">
        <is>
          <t>Average</t>
        </is>
      </c>
      <c r="S190" t="n">
        <v>7949</v>
      </c>
      <c r="T190" s="469">
        <f>S190/L190</f>
        <v/>
      </c>
      <c r="U190" t="inlineStr">
        <is>
          <t>Average</t>
        </is>
      </c>
      <c r="V190" s="469" t="n"/>
      <c r="W190" s="469" t="n"/>
      <c r="X190" s="469" t="n"/>
      <c r="Y190" s="671" t="n">
        <v>480000</v>
      </c>
      <c r="Z190" s="671" t="n"/>
      <c r="AA190" s="671" t="n">
        <v>480000</v>
      </c>
      <c r="AB190" s="671" t="n"/>
      <c r="AC190" t="inlineStr">
        <is>
          <t>0172115303007</t>
        </is>
      </c>
      <c r="AD190" t="inlineStr">
        <is>
          <t>2023000050900</t>
        </is>
      </c>
      <c r="AE190" t="inlineStr">
        <is>
          <t>TRIPLE L PROPERTIES LLC</t>
        </is>
      </c>
      <c r="AF190" t="inlineStr">
        <is>
          <t>THE HOLDING COMPANY LTD</t>
        </is>
      </c>
      <c r="AI190" s="245">
        <f>AND(E190=Subj_OccCode,Subj_BldgSF&gt;0,L190&gt;=Subj_BldgSF*(1-Subj_SizeTol),L190&lt;=Subj_BldgSF*(1+Subj_SizeTol))</f>
        <v/>
      </c>
    </row>
    <row r="191" ht="15" customHeight="1">
      <c r="A191" s="248" t="n">
        <v>7</v>
      </c>
      <c r="B191" s="245" t="n">
        <v>183</v>
      </c>
      <c r="C191" t="inlineStr">
        <is>
          <t>R0168582</t>
        </is>
      </c>
      <c r="D191" t="inlineStr">
        <is>
          <t>6195 CLERMONT ST</t>
        </is>
      </c>
      <c r="E191" t="n">
        <v>407</v>
      </c>
      <c r="F191" t="inlineStr">
        <is>
          <t>COMMERCE CITY</t>
        </is>
      </c>
      <c r="G191" t="inlineStr">
        <is>
          <t>5</t>
        </is>
      </c>
      <c r="H191" s="669">
        <f>Y191/J191</f>
        <v/>
      </c>
      <c r="I191" s="472" t="n">
        <v>45301</v>
      </c>
      <c r="J191" t="n">
        <v>80138</v>
      </c>
      <c r="K191" s="669" t="n"/>
      <c r="L191" t="n">
        <v>80138</v>
      </c>
      <c r="M191" t="n">
        <v>1994</v>
      </c>
      <c r="P191" t="inlineStr">
        <is>
          <t>I-3-Com</t>
        </is>
      </c>
      <c r="R191" t="inlineStr">
        <is>
          <t>Average</t>
        </is>
      </c>
      <c r="S191" t="n">
        <v>136035</v>
      </c>
      <c r="T191" s="469">
        <f>S191/L191</f>
        <v/>
      </c>
      <c r="U191" t="inlineStr">
        <is>
          <t>Average</t>
        </is>
      </c>
      <c r="V191" s="469" t="n"/>
      <c r="W191" s="469" t="n"/>
      <c r="X191" s="469" t="n"/>
      <c r="Y191" s="671" t="n">
        <v>12200000</v>
      </c>
      <c r="Z191" s="671" t="n"/>
      <c r="AA191" s="671" t="n">
        <v>12200000</v>
      </c>
      <c r="AB191" s="671" t="n"/>
      <c r="AC191" t="inlineStr">
        <is>
          <t>0182307204001</t>
        </is>
      </c>
      <c r="AD191" t="inlineStr">
        <is>
          <t>2024000001735</t>
        </is>
      </c>
      <c r="AE191" t="inlineStr">
        <is>
          <t>6195 CLERMONT LLC</t>
        </is>
      </c>
      <c r="AF191" t="inlineStr">
        <is>
          <t>INTERMOUNTAIN ELECTRONICS INC OF PRICE UTAH</t>
        </is>
      </c>
      <c r="AI191" s="245">
        <f>AND(E191=Subj_OccCode,Subj_BldgSF&gt;0,L191&gt;=Subj_BldgSF*(1-Subj_SizeTol),L191&lt;=Subj_BldgSF*(1+Subj_SizeTol))</f>
        <v/>
      </c>
    </row>
    <row r="192" ht="15" customHeight="1">
      <c r="A192" s="248" t="n">
        <v>7</v>
      </c>
      <c r="B192" s="245" t="n">
        <v>184</v>
      </c>
      <c r="C192" t="inlineStr">
        <is>
          <t>R0174676</t>
        </is>
      </c>
      <c r="D192" t="inlineStr">
        <is>
          <t>13701 COLORADO BLVD</t>
        </is>
      </c>
      <c r="E192" t="n">
        <v>353</v>
      </c>
      <c r="F192" t="inlineStr">
        <is>
          <t>THORNTON</t>
        </is>
      </c>
      <c r="G192" t="inlineStr">
        <is>
          <t>3</t>
        </is>
      </c>
      <c r="H192" s="669">
        <f>Y192/J192</f>
        <v/>
      </c>
      <c r="I192" s="472" t="n">
        <v>45280</v>
      </c>
      <c r="J192" t="n">
        <v>7060</v>
      </c>
      <c r="K192" s="669" t="n"/>
      <c r="L192" t="n">
        <v>7060</v>
      </c>
      <c r="M192" t="n">
        <v>2007</v>
      </c>
      <c r="P192" t="inlineStr">
        <is>
          <t>Planned Development</t>
        </is>
      </c>
      <c r="R192" t="inlineStr">
        <is>
          <t>Average</t>
        </is>
      </c>
      <c r="S192" t="n">
        <v>33043</v>
      </c>
      <c r="T192" s="469">
        <f>S192/L192</f>
        <v/>
      </c>
      <c r="U192" t="inlineStr">
        <is>
          <t>Average</t>
        </is>
      </c>
      <c r="V192" s="469" t="n"/>
      <c r="W192" s="469" t="n"/>
      <c r="X192" s="469" t="n"/>
      <c r="Y192" s="671" t="n">
        <v>2847323</v>
      </c>
      <c r="Z192" s="671" t="n"/>
      <c r="AA192" s="671" t="n">
        <v>2847323</v>
      </c>
      <c r="AB192" s="671" t="n"/>
      <c r="AC192" t="inlineStr">
        <is>
          <t>0157324418010</t>
        </is>
      </c>
      <c r="AD192" t="inlineStr">
        <is>
          <t>2023000070206</t>
        </is>
      </c>
      <c r="AE192" t="inlineStr">
        <is>
          <t>THE 2023 COUSSAN CRUT 6</t>
        </is>
      </c>
      <c r="AF192" t="inlineStr">
        <is>
          <t>ELZE LLC</t>
        </is>
      </c>
      <c r="AI192" s="245">
        <f>AND(E192=Subj_OccCode,Subj_BldgSF&gt;0,L192&gt;=Subj_BldgSF*(1-Subj_SizeTol),L192&lt;=Subj_BldgSF*(1+Subj_SizeTol))</f>
        <v/>
      </c>
    </row>
    <row r="193" ht="15" customHeight="1">
      <c r="A193" s="248" t="n">
        <v>7</v>
      </c>
      <c r="B193" s="245" t="n">
        <v>185</v>
      </c>
      <c r="C193" t="inlineStr">
        <is>
          <t>R0175483</t>
        </is>
      </c>
      <c r="D193" t="inlineStr">
        <is>
          <t>5590 E 55TH AVE</t>
        </is>
      </c>
      <c r="E193" t="n">
        <v>325</v>
      </c>
      <c r="F193" t="inlineStr">
        <is>
          <t>COMMERCE CITY</t>
        </is>
      </c>
      <c r="G193" t="inlineStr">
        <is>
          <t>5</t>
        </is>
      </c>
      <c r="H193" s="669">
        <f>Y193/J193</f>
        <v/>
      </c>
      <c r="I193" s="472" t="n">
        <v>44887</v>
      </c>
      <c r="J193" t="n">
        <v>27280</v>
      </c>
      <c r="K193" s="669" t="n"/>
      <c r="L193" t="n">
        <v>27280</v>
      </c>
      <c r="M193" t="n">
        <v>1981</v>
      </c>
      <c r="P193" t="inlineStr">
        <is>
          <t>I-2-Com</t>
        </is>
      </c>
      <c r="R193" t="inlineStr">
        <is>
          <t>Average</t>
        </is>
      </c>
      <c r="S193" t="n">
        <v>236242</v>
      </c>
      <c r="T193" s="469">
        <f>S193/L193</f>
        <v/>
      </c>
      <c r="U193" t="inlineStr">
        <is>
          <t>Average</t>
        </is>
      </c>
      <c r="V193" s="469" t="n"/>
      <c r="W193" s="469" t="n"/>
      <c r="X193" s="469" t="n"/>
      <c r="Y193" s="671" t="n">
        <v>7000000</v>
      </c>
      <c r="Z193" s="671" t="n"/>
      <c r="AA193" s="671" t="n">
        <v>7000000</v>
      </c>
      <c r="AB193" s="671" t="n"/>
      <c r="AC193" t="inlineStr">
        <is>
          <t>0182318101003</t>
        </is>
      </c>
      <c r="AD193" t="inlineStr">
        <is>
          <t>2022000092835</t>
        </is>
      </c>
      <c r="AE193" t="inlineStr">
        <is>
          <t>KONN RICHARD AND , ADINOLFE MICHAEL</t>
        </is>
      </c>
      <c r="AF193" t="inlineStr">
        <is>
          <t>5590 EAST PARTNERS LLC</t>
        </is>
      </c>
      <c r="AI193" s="245">
        <f>AND(E193=Subj_OccCode,Subj_BldgSF&gt;0,L193&gt;=Subj_BldgSF*(1-Subj_SizeTol),L193&lt;=Subj_BldgSF*(1+Subj_SizeTol))</f>
        <v/>
      </c>
    </row>
    <row r="194" ht="15" customHeight="1">
      <c r="A194" s="248" t="n">
        <v>7</v>
      </c>
      <c r="B194" s="245" t="n">
        <v>186</v>
      </c>
      <c r="C194" t="inlineStr">
        <is>
          <t>R0180899</t>
        </is>
      </c>
      <c r="D194" t="inlineStr">
        <is>
          <t>2360 BRIDGE ST</t>
        </is>
      </c>
      <c r="E194" t="n">
        <v>412</v>
      </c>
      <c r="F194" t="inlineStr">
        <is>
          <t>BRIGHTON</t>
        </is>
      </c>
      <c r="G194" t="inlineStr">
        <is>
          <t>2</t>
        </is>
      </c>
      <c r="H194" s="669">
        <f>Y194/J194</f>
        <v/>
      </c>
      <c r="I194" s="472" t="n">
        <v>45001</v>
      </c>
      <c r="J194" t="n">
        <v>20043</v>
      </c>
      <c r="K194" s="669" t="n"/>
      <c r="L194" t="n">
        <v>20043</v>
      </c>
      <c r="M194" t="n">
        <v>1973</v>
      </c>
      <c r="P194" t="inlineStr">
        <is>
          <t>PUD-Bri</t>
        </is>
      </c>
      <c r="R194" t="inlineStr">
        <is>
          <t>Good</t>
        </is>
      </c>
      <c r="S194" t="n">
        <v>124760</v>
      </c>
      <c r="T194" s="469">
        <f>S194/L194</f>
        <v/>
      </c>
      <c r="U194" t="inlineStr">
        <is>
          <t>Good</t>
        </is>
      </c>
      <c r="V194" s="469" t="n"/>
      <c r="W194" s="469" t="n"/>
      <c r="X194" s="469" t="n"/>
      <c r="Y194" s="671" t="n">
        <v>3790000</v>
      </c>
      <c r="Z194" s="671" t="n"/>
      <c r="AA194" s="671" t="n">
        <v>3790000</v>
      </c>
      <c r="AB194" s="671" t="n"/>
      <c r="AC194" t="inlineStr">
        <is>
          <t>0156908105121</t>
        </is>
      </c>
      <c r="AD194" t="inlineStr">
        <is>
          <t>2023000014041</t>
        </is>
      </c>
      <c r="AE194" t="inlineStr">
        <is>
          <t>VILLAGE CENTER PARTNERS LLC</t>
        </is>
      </c>
      <c r="AF194" t="inlineStr">
        <is>
          <t>JYS VILLAGE INC</t>
        </is>
      </c>
      <c r="AI194" s="245">
        <f>AND(E194=Subj_OccCode,Subj_BldgSF&gt;0,L194&gt;=Subj_BldgSF*(1-Subj_SizeTol),L194&lt;=Subj_BldgSF*(1+Subj_SizeTol))</f>
        <v/>
      </c>
    </row>
    <row r="195" ht="15" customHeight="1">
      <c r="A195" s="248" t="n">
        <v>7</v>
      </c>
      <c r="B195" s="245" t="n">
        <v>187</v>
      </c>
      <c r="C195" t="inlineStr">
        <is>
          <t>R0050171</t>
        </is>
      </c>
      <c r="D195" t="inlineStr">
        <is>
          <t>8950 FEDERAL BLVD</t>
        </is>
      </c>
      <c r="E195" t="n">
        <v>325</v>
      </c>
      <c r="F195" t="inlineStr">
        <is>
          <t>FEDERAL HEIGHTS</t>
        </is>
      </c>
      <c r="G195" t="inlineStr">
        <is>
          <t>4</t>
        </is>
      </c>
      <c r="H195" s="669">
        <f>Y195/J195</f>
        <v/>
      </c>
      <c r="I195" s="472" t="n">
        <v>45299</v>
      </c>
      <c r="J195" t="n">
        <v>4200</v>
      </c>
      <c r="K195" s="669" t="n"/>
      <c r="L195" t="n">
        <v>4200</v>
      </c>
      <c r="M195" t="n">
        <v>1985</v>
      </c>
      <c r="P195" t="inlineStr">
        <is>
          <t>C-1-Fed</t>
        </is>
      </c>
      <c r="R195" t="inlineStr">
        <is>
          <t>Average</t>
        </is>
      </c>
      <c r="S195" t="n">
        <v>35719</v>
      </c>
      <c r="T195" s="469">
        <f>S195/L195</f>
        <v/>
      </c>
      <c r="U195" t="inlineStr">
        <is>
          <t>Average</t>
        </is>
      </c>
      <c r="V195" s="469" t="n"/>
      <c r="W195" s="469" t="n"/>
      <c r="X195" s="469" t="n"/>
      <c r="Y195" s="671" t="n">
        <v>1100000</v>
      </c>
      <c r="Z195" s="671" t="n"/>
      <c r="AA195" s="671" t="n">
        <v>1100000</v>
      </c>
      <c r="AB195" s="671" t="n"/>
      <c r="AC195" t="inlineStr">
        <is>
          <t>0171920415003</t>
        </is>
      </c>
      <c r="AD195" t="inlineStr">
        <is>
          <t>2024000001132</t>
        </is>
      </c>
      <c r="AE195" t="inlineStr">
        <is>
          <t>AMERICAN LAND CRUISERS INC</t>
        </is>
      </c>
      <c r="AF195" t="inlineStr">
        <is>
          <t>WIDHALM PROPERTIES LLC</t>
        </is>
      </c>
      <c r="AI195" s="245">
        <f>AND(E195=Subj_OccCode,Subj_BldgSF&gt;0,L195&gt;=Subj_BldgSF*(1-Subj_SizeTol),L195&lt;=Subj_BldgSF*(1+Subj_SizeTol))</f>
        <v/>
      </c>
    </row>
    <row r="196" ht="15" customHeight="1">
      <c r="A196" s="248" t="n">
        <v>7</v>
      </c>
      <c r="B196" s="245" t="n">
        <v>188</v>
      </c>
      <c r="C196" t="inlineStr">
        <is>
          <t>R0095050</t>
        </is>
      </c>
      <c r="D196" t="inlineStr">
        <is>
          <t>1535 CHESTER ST</t>
        </is>
      </c>
      <c r="E196" t="n">
        <v>325</v>
      </c>
      <c r="F196" t="inlineStr">
        <is>
          <t>AURORA</t>
        </is>
      </c>
      <c r="G196" t="inlineStr">
        <is>
          <t>6</t>
        </is>
      </c>
      <c r="H196" s="669">
        <f>Y196/J196</f>
        <v/>
      </c>
      <c r="I196" s="472" t="n">
        <v>45054</v>
      </c>
      <c r="J196" t="n">
        <v>3766</v>
      </c>
      <c r="K196" s="669" t="n"/>
      <c r="L196" t="n">
        <v>3766</v>
      </c>
      <c r="M196" t="n">
        <v>1964</v>
      </c>
      <c r="P196" t="inlineStr">
        <is>
          <t>OA-MS</t>
        </is>
      </c>
      <c r="R196" t="inlineStr">
        <is>
          <t>Average</t>
        </is>
      </c>
      <c r="S196" t="n">
        <v>9375</v>
      </c>
      <c r="T196" s="469">
        <f>S196/L196</f>
        <v/>
      </c>
      <c r="U196" t="inlineStr">
        <is>
          <t>Average</t>
        </is>
      </c>
      <c r="V196" s="469" t="n"/>
      <c r="W196" s="469" t="n"/>
      <c r="X196" s="469" t="n"/>
      <c r="Y196" s="671" t="n">
        <v>539000</v>
      </c>
      <c r="Z196" s="671" t="n"/>
      <c r="AA196" s="671" t="n">
        <v>539000</v>
      </c>
      <c r="AB196" s="671" t="n"/>
      <c r="AC196" t="inlineStr">
        <is>
          <t>0182334328012</t>
        </is>
      </c>
      <c r="AD196" t="inlineStr">
        <is>
          <t>2023000027439</t>
        </is>
      </c>
      <c r="AE196" t="inlineStr">
        <is>
          <t>MARTINEZ ORLANDO UND 80% INT AND, MUNOZ LUIS UND 20% INT</t>
        </is>
      </c>
      <c r="AF196" t="inlineStr">
        <is>
          <t>DURAN GUILLEN FABIOLA</t>
        </is>
      </c>
      <c r="AI196" s="245">
        <f>AND(E196=Subj_OccCode,Subj_BldgSF&gt;0,L196&gt;=Subj_BldgSF*(1-Subj_SizeTol),L196&lt;=Subj_BldgSF*(1+Subj_SizeTol))</f>
        <v/>
      </c>
    </row>
    <row r="197" ht="15" customHeight="1">
      <c r="A197" s="248" t="n">
        <v>7</v>
      </c>
      <c r="B197" s="245" t="n">
        <v>189</v>
      </c>
      <c r="C197" t="inlineStr">
        <is>
          <t>R0095648</t>
        </is>
      </c>
      <c r="D197" t="inlineStr">
        <is>
          <t>1540 GALENA ST</t>
        </is>
      </c>
      <c r="E197" t="n">
        <v>344</v>
      </c>
      <c r="F197" t="inlineStr">
        <is>
          <t>AURORA</t>
        </is>
      </c>
      <c r="G197" t="inlineStr">
        <is>
          <t>6</t>
        </is>
      </c>
      <c r="H197" s="669">
        <f>Y197/J197</f>
        <v/>
      </c>
      <c r="I197" s="472" t="n">
        <v>44778</v>
      </c>
      <c r="J197" t="n">
        <v>1041</v>
      </c>
      <c r="K197" s="669" t="n"/>
      <c r="L197" t="n">
        <v>1041</v>
      </c>
      <c r="M197" t="n">
        <v>1918</v>
      </c>
      <c r="P197" t="inlineStr">
        <is>
          <t>OA-MS</t>
        </is>
      </c>
      <c r="R197" t="inlineStr">
        <is>
          <t>Average</t>
        </is>
      </c>
      <c r="S197" t="n">
        <v>6350</v>
      </c>
      <c r="T197" s="469">
        <f>S197/L197</f>
        <v/>
      </c>
      <c r="U197" t="inlineStr">
        <is>
          <t>Average</t>
        </is>
      </c>
      <c r="V197" s="469" t="n"/>
      <c r="W197" s="469" t="n"/>
      <c r="X197" s="469" t="n"/>
      <c r="Y197" s="671" t="n">
        <v>351500</v>
      </c>
      <c r="Z197" s="671" t="n"/>
      <c r="AA197" s="671" t="n">
        <v>351500</v>
      </c>
      <c r="AB197" s="671" t="n"/>
      <c r="AC197" t="inlineStr">
        <is>
          <t>0182334428006</t>
        </is>
      </c>
      <c r="AD197" t="inlineStr">
        <is>
          <t>2022000068436</t>
        </is>
      </c>
      <c r="AE197" t="inlineStr">
        <is>
          <t>BEFORT PLUMBING AND HEATING COMPANY INC</t>
        </is>
      </c>
      <c r="AF197" t="inlineStr">
        <is>
          <t>DE HARO MARIA M.</t>
        </is>
      </c>
      <c r="AI197" s="245">
        <f>AND(E197=Subj_OccCode,Subj_BldgSF&gt;0,L197&gt;=Subj_BldgSF*(1-Subj_SizeTol),L197&lt;=Subj_BldgSF*(1+Subj_SizeTol))</f>
        <v/>
      </c>
    </row>
    <row r="198" ht="15" customHeight="1">
      <c r="A198" s="248" t="n">
        <v>7</v>
      </c>
      <c r="B198" s="245" t="n">
        <v>190</v>
      </c>
      <c r="C198" t="inlineStr">
        <is>
          <t>R0109567</t>
        </is>
      </c>
      <c r="D198" t="inlineStr">
        <is>
          <t>8879 FOX DR</t>
        </is>
      </c>
      <c r="E198" t="n">
        <v>406</v>
      </c>
      <c r="F198" t="inlineStr">
        <is>
          <t>THORNTON</t>
        </is>
      </c>
      <c r="G198" t="inlineStr">
        <is>
          <t>4</t>
        </is>
      </c>
      <c r="H198" s="669">
        <f>Y198/J198</f>
        <v/>
      </c>
      <c r="I198" s="472" t="n">
        <v>44981</v>
      </c>
      <c r="J198" t="n">
        <v>13516</v>
      </c>
      <c r="K198" s="669" t="n"/>
      <c r="L198" t="n">
        <v>13516</v>
      </c>
      <c r="M198" t="n">
        <v>1997</v>
      </c>
      <c r="P198" t="inlineStr">
        <is>
          <t>Community Retail</t>
        </is>
      </c>
      <c r="R198" t="inlineStr">
        <is>
          <t>Average</t>
        </is>
      </c>
      <c r="S198" t="n">
        <v>50790.9609</v>
      </c>
      <c r="T198" s="469">
        <f>S198/L198</f>
        <v/>
      </c>
      <c r="U198" t="inlineStr">
        <is>
          <t>Average</t>
        </is>
      </c>
      <c r="V198" s="469" t="n"/>
      <c r="W198" s="469" t="n"/>
      <c r="X198" s="469" t="n"/>
      <c r="Y198" s="671" t="n">
        <v>2600000</v>
      </c>
      <c r="Z198" s="671" t="n"/>
      <c r="AA198" s="671" t="n">
        <v>2600000</v>
      </c>
      <c r="AB198" s="671" t="n"/>
      <c r="AC198" t="inlineStr">
        <is>
          <t>0171922304015</t>
        </is>
      </c>
      <c r="AD198" t="inlineStr">
        <is>
          <t>2023000010580</t>
        </is>
      </c>
      <c r="AE198" t="inlineStr">
        <is>
          <t>WEPRIN PROPERTIES LLC</t>
        </is>
      </c>
      <c r="AF198" t="inlineStr">
        <is>
          <t>8879 FOX DRIVE LLC</t>
        </is>
      </c>
      <c r="AI198" s="245">
        <f>AND(E198=Subj_OccCode,Subj_BldgSF&gt;0,L198&gt;=Subj_BldgSF*(1-Subj_SizeTol),L198&lt;=Subj_BldgSF*(1+Subj_SizeTol))</f>
        <v/>
      </c>
    </row>
    <row r="199" ht="15" customHeight="1">
      <c r="A199" s="248" t="n">
        <v>7</v>
      </c>
      <c r="B199" s="245" t="n">
        <v>191</v>
      </c>
      <c r="C199" t="inlineStr">
        <is>
          <t>R0129930</t>
        </is>
      </c>
      <c r="D199" t="inlineStr">
        <is>
          <t>37550 ASTRA WAY #3E</t>
        </is>
      </c>
      <c r="E199" t="n">
        <v>328</v>
      </c>
      <c r="G199" t="inlineStr">
        <is>
          <t>1</t>
        </is>
      </c>
      <c r="H199" s="669">
        <f>Y199/J199</f>
        <v/>
      </c>
      <c r="I199" s="472" t="n">
        <v>45191</v>
      </c>
      <c r="J199" t="n">
        <v>2900</v>
      </c>
      <c r="K199" s="669" t="n"/>
      <c r="L199" t="n">
        <v>2900</v>
      </c>
      <c r="M199" t="n">
        <v>2000</v>
      </c>
      <c r="R199" t="inlineStr">
        <is>
          <t>Average</t>
        </is>
      </c>
      <c r="T199" s="469">
        <f>S199/L199</f>
        <v/>
      </c>
      <c r="U199" t="inlineStr">
        <is>
          <t>Average</t>
        </is>
      </c>
      <c r="V199" s="469" t="n"/>
      <c r="W199" s="469" t="n"/>
      <c r="X199" s="469" t="n"/>
      <c r="Y199" s="671" t="n">
        <v>525000</v>
      </c>
      <c r="Z199" s="671" t="n"/>
      <c r="AA199" s="671" t="n">
        <v>525000</v>
      </c>
      <c r="AB199" s="671" t="n"/>
      <c r="AC199" t="inlineStr">
        <is>
          <t>0181716405008</t>
        </is>
      </c>
      <c r="AD199" t="inlineStr">
        <is>
          <t>2023000056284</t>
        </is>
      </c>
      <c r="AE199" t="inlineStr">
        <is>
          <t>GUSTTE PHILIP O AND, GUSTTE TIFFANY A</t>
        </is>
      </c>
      <c r="AF199" t="inlineStr">
        <is>
          <t>BECK KEN AND, BECK ADRIENNE</t>
        </is>
      </c>
      <c r="AI199" s="245">
        <f>AND(E199=Subj_OccCode,Subj_BldgSF&gt;0,L199&gt;=Subj_BldgSF*(1-Subj_SizeTol),L199&lt;=Subj_BldgSF*(1+Subj_SizeTol))</f>
        <v/>
      </c>
    </row>
    <row r="200" ht="15" customHeight="1">
      <c r="A200" s="248" t="n">
        <v>7</v>
      </c>
      <c r="B200" s="245" t="n">
        <v>192</v>
      </c>
      <c r="C200" t="inlineStr">
        <is>
          <t>R0178958</t>
        </is>
      </c>
      <c r="D200" t="inlineStr">
        <is>
          <t>37650 ASTRA WAY</t>
        </is>
      </c>
      <c r="E200" t="n">
        <v>328</v>
      </c>
      <c r="G200" t="inlineStr">
        <is>
          <t>1</t>
        </is>
      </c>
      <c r="H200" s="669">
        <f>Y200/J200</f>
        <v/>
      </c>
      <c r="I200" s="472" t="n">
        <v>44854</v>
      </c>
      <c r="J200" t="n">
        <v>4900</v>
      </c>
      <c r="K200" s="669" t="n"/>
      <c r="L200" t="n">
        <v>4900</v>
      </c>
      <c r="M200" t="n">
        <v>1997</v>
      </c>
      <c r="R200" t="inlineStr">
        <is>
          <t>Average</t>
        </is>
      </c>
      <c r="T200" s="469">
        <f>S200/L200</f>
        <v/>
      </c>
      <c r="U200" t="inlineStr">
        <is>
          <t>Average</t>
        </is>
      </c>
      <c r="V200" s="469" t="n"/>
      <c r="W200" s="469" t="n"/>
      <c r="X200" s="469" t="n"/>
      <c r="Y200" s="671" t="n">
        <v>533000</v>
      </c>
      <c r="Z200" s="671" t="n"/>
      <c r="AA200" s="671" t="n">
        <v>533000</v>
      </c>
      <c r="AB200" s="671" t="n"/>
      <c r="AC200" t="inlineStr">
        <is>
          <t>0181716400040</t>
        </is>
      </c>
      <c r="AD200" t="inlineStr">
        <is>
          <t>2022000087700</t>
        </is>
      </c>
      <c r="AE200" t="inlineStr">
        <is>
          <t>END-IRA INC FBO RODNEY W LUECK IRA</t>
        </is>
      </c>
      <c r="AF200" t="inlineStr">
        <is>
          <t>RANDEL VERNON E AND, RANDEL CHERYL V</t>
        </is>
      </c>
      <c r="AI200" s="245">
        <f>AND(E200=Subj_OccCode,Subj_BldgSF&gt;0,L200&gt;=Subj_BldgSF*(1-Subj_SizeTol),L200&lt;=Subj_BldgSF*(1+Subj_SizeTol))</f>
        <v/>
      </c>
    </row>
    <row r="201" ht="15" customHeight="1">
      <c r="A201" s="248" t="n">
        <v>7</v>
      </c>
      <c r="B201" s="245" t="n">
        <v>193</v>
      </c>
      <c r="C201" t="inlineStr">
        <is>
          <t>R0180591</t>
        </is>
      </c>
      <c r="D201" t="inlineStr">
        <is>
          <t>780 W 84TH AVE</t>
        </is>
      </c>
      <c r="E201" t="n">
        <v>408</v>
      </c>
      <c r="F201" t="inlineStr">
        <is>
          <t>THORNTON</t>
        </is>
      </c>
      <c r="G201" t="inlineStr">
        <is>
          <t>4</t>
        </is>
      </c>
      <c r="H201" s="669">
        <f>Y201/J201</f>
        <v/>
      </c>
      <c r="I201" s="472" t="n">
        <v>45218</v>
      </c>
      <c r="J201" t="n">
        <v>1920</v>
      </c>
      <c r="K201" s="669" t="n"/>
      <c r="L201" t="n">
        <v>1920</v>
      </c>
      <c r="M201" t="n">
        <v>1963</v>
      </c>
      <c r="P201" t="inlineStr">
        <is>
          <t>Community Retail</t>
        </is>
      </c>
      <c r="R201" t="inlineStr">
        <is>
          <t>Average</t>
        </is>
      </c>
      <c r="S201" t="n">
        <v>16563</v>
      </c>
      <c r="T201" s="469">
        <f>S201/L201</f>
        <v/>
      </c>
      <c r="U201" t="inlineStr">
        <is>
          <t>Average</t>
        </is>
      </c>
      <c r="V201" s="469" t="n"/>
      <c r="W201" s="469" t="n"/>
      <c r="X201" s="469" t="n"/>
      <c r="Y201" s="671" t="n">
        <v>788889</v>
      </c>
      <c r="Z201" s="671" t="n"/>
      <c r="AA201" s="671" t="n">
        <v>788889</v>
      </c>
      <c r="AB201" s="671" t="n"/>
      <c r="AC201" t="inlineStr">
        <is>
          <t>0171927306015</t>
        </is>
      </c>
      <c r="AD201" t="inlineStr">
        <is>
          <t>2023000060514</t>
        </is>
      </c>
      <c r="AE201" t="inlineStr">
        <is>
          <t>RRS HOLDINGS LLC</t>
        </is>
      </c>
      <c r="AF201" t="inlineStr">
        <is>
          <t>FOXFIELD GEARS HOLDINGS LLC</t>
        </is>
      </c>
      <c r="AI201" s="245">
        <f>AND(E201=Subj_OccCode,Subj_BldgSF&gt;0,L201&gt;=Subj_BldgSF*(1-Subj_SizeTol),L201&lt;=Subj_BldgSF*(1+Subj_SizeTol))</f>
        <v/>
      </c>
    </row>
    <row r="202" ht="15" customHeight="1">
      <c r="A202" s="248" t="n">
        <v>7</v>
      </c>
      <c r="B202" s="245" t="n">
        <v>194</v>
      </c>
      <c r="C202" t="inlineStr">
        <is>
          <t>R0204250</t>
        </is>
      </c>
      <c r="D202" t="inlineStr">
        <is>
          <t>2205 E 104TH AVE</t>
        </is>
      </c>
      <c r="E202" t="n">
        <v>419</v>
      </c>
      <c r="F202" t="inlineStr">
        <is>
          <t>NORTHGLENN</t>
        </is>
      </c>
      <c r="G202" t="inlineStr">
        <is>
          <t>4</t>
        </is>
      </c>
      <c r="H202" s="669">
        <f>Y202/J202</f>
        <v/>
      </c>
      <c r="I202" s="472" t="n">
        <v>44924</v>
      </c>
      <c r="J202" t="n">
        <v>3479</v>
      </c>
      <c r="K202" s="669" t="n"/>
      <c r="L202" t="n">
        <v>3479</v>
      </c>
      <c r="M202" t="n">
        <v>2022</v>
      </c>
      <c r="R202" t="inlineStr">
        <is>
          <t>Average</t>
        </is>
      </c>
      <c r="S202" t="n">
        <v>42879</v>
      </c>
      <c r="T202" s="469">
        <f>S202/L202</f>
        <v/>
      </c>
      <c r="U202" t="inlineStr">
        <is>
          <t>Average</t>
        </is>
      </c>
      <c r="V202" s="469" t="n"/>
      <c r="W202" s="469" t="n"/>
      <c r="X202" s="469" t="n"/>
      <c r="Y202" s="671" t="n">
        <v>6715000</v>
      </c>
      <c r="Z202" s="671" t="n"/>
      <c r="AA202" s="671" t="n">
        <v>6715000</v>
      </c>
      <c r="AB202" s="671" t="n"/>
      <c r="AC202" t="inlineStr">
        <is>
          <t>0171911405022</t>
        </is>
      </c>
      <c r="AD202" t="inlineStr">
        <is>
          <t>2022000100096</t>
        </is>
      </c>
      <c r="AE202" t="inlineStr">
        <is>
          <t>41581 NORTHGLENN CO LLC</t>
        </is>
      </c>
      <c r="AF202" t="inlineStr">
        <is>
          <t>WPMO INVESTMENTS LLC</t>
        </is>
      </c>
      <c r="AI202" s="245">
        <f>AND(E202=Subj_OccCode,Subj_BldgSF&gt;0,L202&gt;=Subj_BldgSF*(1-Subj_SizeTol),L202&lt;=Subj_BldgSF*(1+Subj_SizeTol))</f>
        <v/>
      </c>
    </row>
    <row r="203" ht="15" customHeight="1">
      <c r="A203" s="248" t="n">
        <v>7</v>
      </c>
      <c r="B203" s="245" t="n">
        <v>195</v>
      </c>
      <c r="C203" t="inlineStr">
        <is>
          <t>R0208122</t>
        </is>
      </c>
      <c r="D203" t="inlineStr">
        <is>
          <t>14190 ORCHARD PKWY</t>
        </is>
      </c>
      <c r="E203" t="n">
        <v>341</v>
      </c>
      <c r="F203" t="inlineStr">
        <is>
          <t>WESTMINSTER</t>
        </is>
      </c>
      <c r="G203" t="inlineStr">
        <is>
          <t>3</t>
        </is>
      </c>
      <c r="H203" s="669">
        <f>Y203/J203</f>
        <v/>
      </c>
      <c r="I203" s="472" t="n">
        <v>45401</v>
      </c>
      <c r="J203" t="n">
        <v>74610</v>
      </c>
      <c r="K203" s="669" t="n"/>
      <c r="L203" t="n">
        <v>74610</v>
      </c>
      <c r="M203" t="n">
        <v>2021</v>
      </c>
      <c r="R203" t="inlineStr">
        <is>
          <t>Good</t>
        </is>
      </c>
      <c r="S203" t="n">
        <v>67984</v>
      </c>
      <c r="T203" s="469">
        <f>S203/L203</f>
        <v/>
      </c>
      <c r="U203" t="inlineStr">
        <is>
          <t>Good</t>
        </is>
      </c>
      <c r="V203" s="469" t="n"/>
      <c r="W203" s="469" t="n"/>
      <c r="X203" s="469" t="n"/>
      <c r="Y203" s="671" t="n">
        <v>30550000</v>
      </c>
      <c r="Z203" s="671" t="n"/>
      <c r="AA203" s="671" t="n">
        <v>30550000</v>
      </c>
      <c r="AB203" s="671" t="n"/>
      <c r="AC203" t="inlineStr">
        <is>
          <t>0157322201010</t>
        </is>
      </c>
      <c r="AD203" t="inlineStr">
        <is>
          <t>2024000023645</t>
        </is>
      </c>
      <c r="AE203" t="inlineStr">
        <is>
          <t>NORTH DENVER MOB LLC</t>
        </is>
      </c>
      <c r="AF203" t="inlineStr">
        <is>
          <t>WESTMINSTER 14190 MP RK6 LLC, C/O REMEDY MEDICAL PROPERTIES</t>
        </is>
      </c>
      <c r="AI203" s="245">
        <f>AND(E203=Subj_OccCode,Subj_BldgSF&gt;0,L203&gt;=Subj_BldgSF*(1-Subj_SizeTol),L203&lt;=Subj_BldgSF*(1+Subj_SizeTol))</f>
        <v/>
      </c>
    </row>
    <row r="204" ht="15" customHeight="1">
      <c r="A204" s="248" t="n">
        <v>7</v>
      </c>
      <c r="B204" s="245" t="n">
        <v>196</v>
      </c>
      <c r="C204" t="inlineStr">
        <is>
          <t>R0208788</t>
        </is>
      </c>
      <c r="D204" t="inlineStr">
        <is>
          <t>5140 VIOLET HILL ST #S2</t>
        </is>
      </c>
      <c r="E204" t="n">
        <v>328</v>
      </c>
      <c r="G204" t="inlineStr">
        <is>
          <t>1</t>
        </is>
      </c>
      <c r="H204" s="669">
        <f>Y204/J204</f>
        <v/>
      </c>
      <c r="I204" s="472" t="n">
        <v>45107</v>
      </c>
      <c r="J204" t="n">
        <v>2465</v>
      </c>
      <c r="K204" s="669" t="n"/>
      <c r="L204" t="n">
        <v>2465</v>
      </c>
      <c r="R204" t="inlineStr">
        <is>
          <t>Average</t>
        </is>
      </c>
      <c r="T204" s="469">
        <f>S204/L204</f>
        <v/>
      </c>
      <c r="U204" t="inlineStr">
        <is>
          <t>Average</t>
        </is>
      </c>
      <c r="V204" s="469" t="n"/>
      <c r="W204" s="469" t="n"/>
      <c r="X204" s="469" t="n"/>
      <c r="Y204" s="671" t="n">
        <v>240000</v>
      </c>
      <c r="Z204" s="671" t="n"/>
      <c r="AA204" s="671" t="n">
        <v>240000</v>
      </c>
      <c r="AB204" s="671" t="n"/>
      <c r="AC204" t="inlineStr">
        <is>
          <t>0181716411018</t>
        </is>
      </c>
      <c r="AD204" t="inlineStr">
        <is>
          <t>2023000038486</t>
        </is>
      </c>
      <c r="AE204" t="inlineStr">
        <is>
          <t>TBM 03X LLC</t>
        </is>
      </c>
      <c r="AF204" t="inlineStr">
        <is>
          <t>WINDERMERE PROPERTIES LLC</t>
        </is>
      </c>
      <c r="AI204" s="245">
        <f>AND(E204=Subj_OccCode,Subj_BldgSF&gt;0,L204&gt;=Subj_BldgSF*(1-Subj_SizeTol),L204&lt;=Subj_BldgSF*(1+Subj_SizeTol))</f>
        <v/>
      </c>
    </row>
    <row r="205" ht="15" customHeight="1">
      <c r="A205" s="248" t="n">
        <v>7</v>
      </c>
      <c r="B205" s="245" t="n">
        <v>197</v>
      </c>
      <c r="C205" t="inlineStr">
        <is>
          <t>R0213047</t>
        </is>
      </c>
      <c r="D205" t="inlineStr">
        <is>
          <t>9658 HAVANA ST #1F</t>
        </is>
      </c>
      <c r="E205" t="n">
        <v>425</v>
      </c>
      <c r="F205" t="inlineStr">
        <is>
          <t>COMMERCE CITY</t>
        </is>
      </c>
      <c r="G205" t="inlineStr">
        <is>
          <t>5</t>
        </is>
      </c>
      <c r="H205" s="669">
        <f>Y205/J205</f>
        <v/>
      </c>
      <c r="I205" s="472" t="n">
        <v>44762</v>
      </c>
      <c r="J205" t="n">
        <v>7560</v>
      </c>
      <c r="K205" s="669" t="n"/>
      <c r="L205" t="n">
        <v>7560</v>
      </c>
      <c r="M205" t="n">
        <v>2022</v>
      </c>
      <c r="R205" t="inlineStr">
        <is>
          <t>Average</t>
        </is>
      </c>
      <c r="S205" t="n">
        <v>0</v>
      </c>
      <c r="T205" s="469">
        <f>S205/L205</f>
        <v/>
      </c>
      <c r="U205" t="inlineStr">
        <is>
          <t>Average</t>
        </is>
      </c>
      <c r="V205" s="469" t="n"/>
      <c r="W205" s="469" t="n"/>
      <c r="X205" s="469" t="n"/>
      <c r="Y205" s="671" t="n">
        <v>249750</v>
      </c>
      <c r="Z205" s="671" t="n"/>
      <c r="AA205" s="671" t="n">
        <v>249750</v>
      </c>
      <c r="AB205" s="671" t="n"/>
      <c r="AC205" t="inlineStr">
        <is>
          <t>0172115405005</t>
        </is>
      </c>
      <c r="AD205" t="inlineStr">
        <is>
          <t>2022000063858</t>
        </is>
      </c>
      <c r="AE205" t="inlineStr">
        <is>
          <t>THE GARAGE SOCIETY HOLDINGS LLC</t>
        </is>
      </c>
      <c r="AF205" t="inlineStr">
        <is>
          <t>O'HARA SEAN M AND, O'HARA STEPHANIE H</t>
        </is>
      </c>
      <c r="AI205" s="245">
        <f>AND(E205=Subj_OccCode,Subj_BldgSF&gt;0,L205&gt;=Subj_BldgSF*(1-Subj_SizeTol),L205&lt;=Subj_BldgSF*(1+Subj_SizeTol))</f>
        <v/>
      </c>
    </row>
    <row r="206" ht="15" customHeight="1">
      <c r="A206" s="248" t="n">
        <v>7</v>
      </c>
      <c r="B206" s="245" t="n">
        <v>198</v>
      </c>
      <c r="C206" t="inlineStr">
        <is>
          <t>R0222671</t>
        </is>
      </c>
      <c r="D206" t="inlineStr">
        <is>
          <t>37851 E 51ST AVE #W5</t>
        </is>
      </c>
      <c r="E206" t="n">
        <v>328</v>
      </c>
      <c r="G206" t="inlineStr">
        <is>
          <t>1</t>
        </is>
      </c>
      <c r="H206" s="669">
        <f>Y206/J206</f>
        <v/>
      </c>
      <c r="I206" s="472" t="n">
        <v>45390</v>
      </c>
      <c r="J206" t="n">
        <v>2930</v>
      </c>
      <c r="K206" s="669" t="n"/>
      <c r="L206" t="n">
        <v>2930</v>
      </c>
      <c r="M206" t="n">
        <v>2024</v>
      </c>
      <c r="R206" t="inlineStr">
        <is>
          <t>Average</t>
        </is>
      </c>
      <c r="T206" s="469">
        <f>S206/L206</f>
        <v/>
      </c>
      <c r="U206" t="inlineStr">
        <is>
          <t>Average</t>
        </is>
      </c>
      <c r="V206" s="469" t="n"/>
      <c r="W206" s="469" t="n"/>
      <c r="X206" s="469" t="n"/>
      <c r="Y206" s="671" t="n">
        <v>313711</v>
      </c>
      <c r="Z206" s="671" t="n"/>
      <c r="AA206" s="671" t="n">
        <v>313711</v>
      </c>
      <c r="AB206" s="671" t="n"/>
      <c r="AC206" t="inlineStr">
        <is>
          <t>0181715300029</t>
        </is>
      </c>
      <c r="AD206" t="inlineStr">
        <is>
          <t>2024000024071</t>
        </is>
      </c>
      <c r="AE206" t="inlineStr">
        <is>
          <t>37851 51ST AVE HANGAR OWNERS ASSOCIATION INC</t>
        </is>
      </c>
      <c r="AF206" t="inlineStr">
        <is>
          <t>SPIRIT LIFE INC</t>
        </is>
      </c>
      <c r="AI206" s="245">
        <f>AND(E206=Subj_OccCode,Subj_BldgSF&gt;0,L206&gt;=Subj_BldgSF*(1-Subj_SizeTol),L206&lt;=Subj_BldgSF*(1+Subj_SizeTol))</f>
        <v/>
      </c>
    </row>
    <row r="207" ht="15" customHeight="1">
      <c r="A207" s="248" t="n">
        <v>7</v>
      </c>
      <c r="B207" s="245" t="n">
        <v>199</v>
      </c>
      <c r="C207" t="inlineStr">
        <is>
          <t>R0222672</t>
        </is>
      </c>
      <c r="D207" t="inlineStr">
        <is>
          <t>37851 E 51ST AVE #W7</t>
        </is>
      </c>
      <c r="E207" t="n">
        <v>328</v>
      </c>
      <c r="G207" t="inlineStr">
        <is>
          <t>1</t>
        </is>
      </c>
      <c r="H207" s="669">
        <f>Y207/J207</f>
        <v/>
      </c>
      <c r="I207" s="472" t="n">
        <v>45390</v>
      </c>
      <c r="J207" t="n">
        <v>2930</v>
      </c>
      <c r="K207" s="669" t="n"/>
      <c r="L207" t="n">
        <v>2930</v>
      </c>
      <c r="M207" t="n">
        <v>2024</v>
      </c>
      <c r="R207" t="inlineStr">
        <is>
          <t>Average</t>
        </is>
      </c>
      <c r="T207" s="469">
        <f>S207/L207</f>
        <v/>
      </c>
      <c r="U207" t="inlineStr">
        <is>
          <t>Average</t>
        </is>
      </c>
      <c r="V207" s="469" t="n"/>
      <c r="W207" s="469" t="n"/>
      <c r="X207" s="469" t="n"/>
      <c r="Y207" s="671" t="n">
        <v>311587</v>
      </c>
      <c r="Z207" s="671" t="n"/>
      <c r="AA207" s="671" t="n">
        <v>311587</v>
      </c>
      <c r="AB207" s="671" t="n"/>
      <c r="AC207" t="inlineStr">
        <is>
          <t>0181715300030</t>
        </is>
      </c>
      <c r="AD207" t="inlineStr">
        <is>
          <t>2024000022564</t>
        </is>
      </c>
      <c r="AE207" t="inlineStr">
        <is>
          <t>37851 51ST AVE HANGAR OWNERS ASSOCIATION INC</t>
        </is>
      </c>
      <c r="AF207" t="inlineStr">
        <is>
          <t>KODIAK BRANDS INC</t>
        </is>
      </c>
      <c r="AI207" s="245">
        <f>AND(E207=Subj_OccCode,Subj_BldgSF&gt;0,L207&gt;=Subj_BldgSF*(1-Subj_SizeTol),L207&lt;=Subj_BldgSF*(1+Subj_SizeTol))</f>
        <v/>
      </c>
    </row>
    <row r="208" ht="15" customHeight="1">
      <c r="A208" s="248" t="n">
        <v>7</v>
      </c>
      <c r="B208" s="245" t="n">
        <v>200</v>
      </c>
      <c r="C208" t="inlineStr">
        <is>
          <t>R0101615</t>
        </is>
      </c>
      <c r="D208" t="inlineStr">
        <is>
          <t>5190 W 65TH AVE</t>
        </is>
      </c>
      <c r="E208" t="n">
        <v>408</v>
      </c>
      <c r="F208" t="inlineStr">
        <is>
          <t>ARVADA</t>
        </is>
      </c>
      <c r="G208" t="inlineStr">
        <is>
          <t>5</t>
        </is>
      </c>
      <c r="H208" s="669">
        <f>Y208/J208</f>
        <v/>
      </c>
      <c r="I208" s="472" t="n">
        <v>44762</v>
      </c>
      <c r="J208" t="n">
        <v>1584</v>
      </c>
      <c r="L208" t="n">
        <v>1584</v>
      </c>
      <c r="M208" t="n">
        <v>1969</v>
      </c>
      <c r="P208" t="inlineStr">
        <is>
          <t>B-2-Arv</t>
        </is>
      </c>
      <c r="R208" t="inlineStr">
        <is>
          <t>Average</t>
        </is>
      </c>
      <c r="S208" t="n">
        <v>21875</v>
      </c>
      <c r="T208" s="469">
        <f>S208/L208</f>
        <v/>
      </c>
      <c r="U208" t="inlineStr">
        <is>
          <t>Average</t>
        </is>
      </c>
      <c r="Y208" s="671" t="n">
        <v>540000</v>
      </c>
      <c r="AA208" s="671" t="n">
        <v>540000</v>
      </c>
      <c r="AC208" t="inlineStr">
        <is>
          <t>0182506316001</t>
        </is>
      </c>
      <c r="AD208" t="inlineStr">
        <is>
          <t>2022000062407</t>
        </is>
      </c>
      <c r="AE208" t="inlineStr">
        <is>
          <t>JOSHNIK CO LLLP</t>
        </is>
      </c>
      <c r="AF208" t="inlineStr">
        <is>
          <t>OCHOA RUBIO LUIS AND, OCHOA JOSE LUIS AND RUBIO MARIO D</t>
        </is>
      </c>
      <c r="AI208" s="245">
        <f>AND(E208=Subj_OccCode,Subj_BldgSF&gt;0,L208&gt;=Subj_BldgSF*(1-Subj_SizeTol),L208&lt;=Subj_BldgSF*(1+Subj_SizeTol))</f>
        <v/>
      </c>
    </row>
    <row r="209" ht="15" customHeight="1">
      <c r="A209" s="248" t="n">
        <v>7</v>
      </c>
      <c r="B209" s="245" t="n">
        <v>201</v>
      </c>
      <c r="C209" t="inlineStr">
        <is>
          <t>R0200738</t>
        </is>
      </c>
      <c r="D209" t="inlineStr">
        <is>
          <t xml:space="preserve">1036 S 1ST ST </t>
        </is>
      </c>
      <c r="E209" t="n">
        <v>325</v>
      </c>
      <c r="F209" t="inlineStr">
        <is>
          <t>BENNETT</t>
        </is>
      </c>
      <c r="G209" t="inlineStr">
        <is>
          <t>1</t>
        </is>
      </c>
      <c r="H209" s="669">
        <f>Y209/J209</f>
        <v/>
      </c>
      <c r="I209" s="472" t="n">
        <v>44769</v>
      </c>
      <c r="J209" t="n">
        <v>9567</v>
      </c>
      <c r="L209" t="n">
        <v>9567</v>
      </c>
      <c r="M209" t="n">
        <v>2023</v>
      </c>
      <c r="R209" t="inlineStr">
        <is>
          <t>Average</t>
        </is>
      </c>
      <c r="S209" t="n">
        <v>58678</v>
      </c>
      <c r="T209" s="469">
        <f>S209/L209</f>
        <v/>
      </c>
      <c r="U209" t="inlineStr">
        <is>
          <t>Average</t>
        </is>
      </c>
      <c r="Y209" s="671" t="n">
        <v>997526</v>
      </c>
      <c r="AA209" s="671" t="n">
        <v>997526</v>
      </c>
      <c r="AC209" t="inlineStr">
        <is>
          <t>0181534303001</t>
        </is>
      </c>
      <c r="AD209" t="inlineStr">
        <is>
          <t>2022000064811</t>
        </is>
      </c>
      <c r="AE209" t="inlineStr">
        <is>
          <t>GAYESKI CAPITAL EQUITIES LLC</t>
        </is>
      </c>
      <c r="AF209" t="inlineStr">
        <is>
          <t>MMCG TNET COLORADO LLC</t>
        </is>
      </c>
      <c r="AI209" s="245">
        <f>AND(E209=Subj_OccCode,Subj_BldgSF&gt;0,L209&gt;=Subj_BldgSF*(1-Subj_SizeTol),L209&lt;=Subj_BldgSF*(1+Subj_SizeTol))</f>
        <v/>
      </c>
    </row>
    <row r="210" ht="15" customHeight="1">
      <c r="A210" s="248" t="n">
        <v>7</v>
      </c>
      <c r="B210" s="245" t="n">
        <v>202</v>
      </c>
      <c r="C210" t="inlineStr">
        <is>
          <t>R0168582</t>
        </is>
      </c>
      <c r="D210" t="inlineStr">
        <is>
          <t>6195  CLERMONT ST</t>
        </is>
      </c>
      <c r="E210" t="n">
        <v>407</v>
      </c>
      <c r="F210" t="inlineStr">
        <is>
          <t>COMMERCE CITY</t>
        </is>
      </c>
      <c r="G210" t="inlineStr">
        <is>
          <t>5</t>
        </is>
      </c>
      <c r="H210" s="669">
        <f>Y210/J210</f>
        <v/>
      </c>
      <c r="I210" s="472" t="n">
        <v>44775</v>
      </c>
      <c r="J210" t="n">
        <v>80138</v>
      </c>
      <c r="L210" t="n">
        <v>80138</v>
      </c>
      <c r="M210" t="n">
        <v>1994</v>
      </c>
      <c r="P210" t="inlineStr">
        <is>
          <t>I-3-Com</t>
        </is>
      </c>
      <c r="R210" t="inlineStr">
        <is>
          <t>Average</t>
        </is>
      </c>
      <c r="S210" t="n">
        <v>136035</v>
      </c>
      <c r="T210" s="469">
        <f>S210/L210</f>
        <v/>
      </c>
      <c r="U210" t="inlineStr">
        <is>
          <t>Average</t>
        </is>
      </c>
      <c r="Y210" s="671" t="n">
        <v>8618000</v>
      </c>
      <c r="AA210" s="671" t="n">
        <v>8618000</v>
      </c>
      <c r="AC210" t="inlineStr">
        <is>
          <t>0182307204001</t>
        </is>
      </c>
      <c r="AD210" t="inlineStr">
        <is>
          <t>2022000066244</t>
        </is>
      </c>
      <c r="AE210" t="inlineStr">
        <is>
          <t>MCCALLIN REAL ESTATE LLC</t>
        </is>
      </c>
      <c r="AF210" t="inlineStr">
        <is>
          <t>6195 CLERMONT LLC</t>
        </is>
      </c>
      <c r="AI210" s="245">
        <f>AND(E210=Subj_OccCode,Subj_BldgSF&gt;0,L210&gt;=Subj_BldgSF*(1-Subj_SizeTol),L210&lt;=Subj_BldgSF*(1+Subj_SizeTol))</f>
        <v/>
      </c>
    </row>
    <row r="211" ht="15" customHeight="1">
      <c r="A211" s="248" t="n">
        <v>7</v>
      </c>
      <c r="B211" s="245" t="n">
        <v>203</v>
      </c>
      <c r="C211" t="inlineStr">
        <is>
          <t>R0003857</t>
        </is>
      </c>
      <c r="D211" t="inlineStr">
        <is>
          <t xml:space="preserve">49 S 3RD AVE </t>
        </is>
      </c>
      <c r="E211" t="n">
        <v>100</v>
      </c>
      <c r="F211" t="inlineStr">
        <is>
          <t>BRIGHTON</t>
        </is>
      </c>
      <c r="G211" t="inlineStr">
        <is>
          <t>2</t>
        </is>
      </c>
      <c r="H211" s="669">
        <f>Y211/J211</f>
        <v/>
      </c>
      <c r="I211" s="472" t="n">
        <v>44804</v>
      </c>
      <c r="J211" t="n">
        <v>1318</v>
      </c>
      <c r="L211" t="n">
        <v>1318</v>
      </c>
      <c r="M211" t="n">
        <v>1956</v>
      </c>
      <c r="P211" t="inlineStr">
        <is>
          <t>C-1-Bri</t>
        </is>
      </c>
      <c r="R211" t="inlineStr">
        <is>
          <t>Average</t>
        </is>
      </c>
      <c r="S211" t="n">
        <v>7500</v>
      </c>
      <c r="T211" s="469">
        <f>S211/L211</f>
        <v/>
      </c>
      <c r="U211" t="inlineStr">
        <is>
          <t>Average</t>
        </is>
      </c>
      <c r="Y211" s="671" t="n">
        <v>560000</v>
      </c>
      <c r="AA211" s="671" t="n">
        <v>560000</v>
      </c>
      <c r="AC211" t="inlineStr">
        <is>
          <t>0156907202007</t>
        </is>
      </c>
      <c r="AD211" t="inlineStr">
        <is>
          <t>2022000074132</t>
        </is>
      </c>
      <c r="AE211" t="inlineStr">
        <is>
          <t>GORDON GROUP INVESTMENTS LLC</t>
        </is>
      </c>
      <c r="AF211" t="inlineStr">
        <is>
          <t>49 SOUTH THIRD AVE LLC</t>
        </is>
      </c>
      <c r="AI211" s="245">
        <f>AND(E211=Subj_OccCode,Subj_BldgSF&gt;0,L211&gt;=Subj_BldgSF*(1-Subj_SizeTol),L211&lt;=Subj_BldgSF*(1+Subj_SizeTol))</f>
        <v/>
      </c>
    </row>
    <row r="212" ht="15" customHeight="1">
      <c r="A212" s="248" t="n">
        <v>7</v>
      </c>
      <c r="B212" s="245" t="n">
        <v>204</v>
      </c>
      <c r="C212" t="inlineStr">
        <is>
          <t>R0131360</t>
        </is>
      </c>
      <c r="D212" t="inlineStr">
        <is>
          <t xml:space="preserve">1821  BRIDGE ST </t>
        </is>
      </c>
      <c r="E212" t="n">
        <v>353</v>
      </c>
      <c r="F212" t="inlineStr">
        <is>
          <t>BRIGHTON</t>
        </is>
      </c>
      <c r="G212" t="inlineStr">
        <is>
          <t>2</t>
        </is>
      </c>
      <c r="H212" s="669">
        <f>Y212/J212</f>
        <v/>
      </c>
      <c r="I212" s="472" t="n">
        <v>44799</v>
      </c>
      <c r="J212" t="n">
        <v>14418</v>
      </c>
      <c r="L212" t="n">
        <v>14418</v>
      </c>
      <c r="M212" t="n">
        <v>2001</v>
      </c>
      <c r="P212" t="inlineStr">
        <is>
          <t>C-2-Bri</t>
        </is>
      </c>
      <c r="R212" t="inlineStr">
        <is>
          <t>Average</t>
        </is>
      </c>
      <c r="S212" t="n">
        <v>94394.52</v>
      </c>
      <c r="T212" s="469">
        <f>S212/L212</f>
        <v/>
      </c>
      <c r="U212" t="inlineStr">
        <is>
          <t>Good</t>
        </is>
      </c>
      <c r="Y212" s="671" t="n">
        <v>6316234</v>
      </c>
      <c r="AA212" s="671" t="n">
        <v>6316234</v>
      </c>
      <c r="AC212" t="inlineStr">
        <is>
          <t>0156905335003</t>
        </is>
      </c>
      <c r="AD212" t="inlineStr">
        <is>
          <t>2022000075125</t>
        </is>
      </c>
      <c r="AE212" t="inlineStr">
        <is>
          <t>WALGREEN CO</t>
        </is>
      </c>
      <c r="AF212" t="inlineStr">
        <is>
          <t>CP THUNDER FS LLC</t>
        </is>
      </c>
      <c r="AI212" s="245">
        <f>AND(E212=Subj_OccCode,Subj_BldgSF&gt;0,L212&gt;=Subj_BldgSF*(1-Subj_SizeTol),L212&lt;=Subj_BldgSF*(1+Subj_SizeTol))</f>
        <v/>
      </c>
    </row>
    <row r="213" ht="15" customHeight="1">
      <c r="A213" s="248" t="n">
        <v>7</v>
      </c>
      <c r="B213" s="245" t="n">
        <v>205</v>
      </c>
      <c r="C213" t="inlineStr">
        <is>
          <t>R0142646</t>
        </is>
      </c>
      <c r="D213" t="inlineStr">
        <is>
          <t xml:space="preserve">10160  GRANT ST </t>
        </is>
      </c>
      <c r="E213" t="n">
        <v>325</v>
      </c>
      <c r="F213" t="inlineStr">
        <is>
          <t>THORNTON</t>
        </is>
      </c>
      <c r="G213" t="inlineStr">
        <is>
          <t>4</t>
        </is>
      </c>
      <c r="H213" s="669">
        <f>Y213/J213</f>
        <v/>
      </c>
      <c r="I213" s="472" t="n">
        <v>44830</v>
      </c>
      <c r="J213" t="n">
        <v>6440</v>
      </c>
      <c r="L213" t="n">
        <v>6440</v>
      </c>
      <c r="M213" t="n">
        <v>2002</v>
      </c>
      <c r="P213" t="inlineStr">
        <is>
          <t>Planned Development</t>
        </is>
      </c>
      <c r="R213" t="inlineStr">
        <is>
          <t>Average</t>
        </is>
      </c>
      <c r="S213" t="n">
        <v>52276</v>
      </c>
      <c r="T213" s="469">
        <f>S213/L213</f>
        <v/>
      </c>
      <c r="U213" t="inlineStr">
        <is>
          <t>Average</t>
        </is>
      </c>
      <c r="Y213" s="671" t="n">
        <v>1930000</v>
      </c>
      <c r="AA213" s="671" t="n">
        <v>1930000</v>
      </c>
      <c r="AC213" t="inlineStr">
        <is>
          <t>0171915102026</t>
        </is>
      </c>
      <c r="AD213" t="inlineStr">
        <is>
          <t>2022000081534</t>
        </is>
      </c>
      <c r="AE213" t="inlineStr">
        <is>
          <t>RC COLORADO ENTERPRISES LLC</t>
        </is>
      </c>
      <c r="AF213" t="inlineStr">
        <is>
          <t>NG21 LP</t>
        </is>
      </c>
      <c r="AI213" s="245">
        <f>AND(E213=Subj_OccCode,Subj_BldgSF&gt;0,L213&gt;=Subj_BldgSF*(1-Subj_SizeTol),L213&lt;=Subj_BldgSF*(1+Subj_SizeTol))</f>
        <v/>
      </c>
    </row>
    <row r="214" ht="15" customHeight="1">
      <c r="A214" s="248" t="n">
        <v>7</v>
      </c>
      <c r="B214" s="245" t="n">
        <v>206</v>
      </c>
      <c r="C214" t="inlineStr">
        <is>
          <t>R0109570</t>
        </is>
      </c>
      <c r="D214" t="inlineStr">
        <is>
          <t xml:space="preserve">1257 W 120TH AVE </t>
        </is>
      </c>
      <c r="E214" t="n">
        <v>350</v>
      </c>
      <c r="F214" t="inlineStr">
        <is>
          <t>WESTMINSTER</t>
        </is>
      </c>
      <c r="G214" t="inlineStr">
        <is>
          <t>3</t>
        </is>
      </c>
      <c r="H214" s="669">
        <f>Y214/J214</f>
        <v/>
      </c>
      <c r="I214" s="472" t="n">
        <v>44838</v>
      </c>
      <c r="J214" t="n">
        <v>10380</v>
      </c>
      <c r="L214" t="n">
        <v>10380</v>
      </c>
      <c r="M214" t="n">
        <v>1997</v>
      </c>
      <c r="P214" t="inlineStr">
        <is>
          <t>PUD-Wes</t>
        </is>
      </c>
      <c r="R214" t="inlineStr">
        <is>
          <t>Average</t>
        </is>
      </c>
      <c r="S214" t="n">
        <v>98968.32000000001</v>
      </c>
      <c r="T214" s="469">
        <f>S214/L214</f>
        <v/>
      </c>
      <c r="U214" t="inlineStr">
        <is>
          <t>Average</t>
        </is>
      </c>
      <c r="Y214" s="671" t="n">
        <v>2650000</v>
      </c>
      <c r="AA214" s="671" t="n">
        <v>2650000</v>
      </c>
      <c r="AC214" t="inlineStr">
        <is>
          <t>0157333005008</t>
        </is>
      </c>
      <c r="AD214" t="inlineStr">
        <is>
          <t>2022000082331</t>
        </is>
      </c>
      <c r="AE214" t="inlineStr">
        <is>
          <t>HD ALAMEDA LLC</t>
        </is>
      </c>
      <c r="AF214" t="inlineStr">
        <is>
          <t>1257 120TH RE LLC</t>
        </is>
      </c>
      <c r="AI214" s="245">
        <f>AND(E214=Subj_OccCode,Subj_BldgSF&gt;0,L214&gt;=Subj_BldgSF*(1-Subj_SizeTol),L214&lt;=Subj_BldgSF*(1+Subj_SizeTol))</f>
        <v/>
      </c>
    </row>
    <row r="215" ht="15" customHeight="1">
      <c r="A215" s="248" t="n">
        <v>7</v>
      </c>
      <c r="B215" s="245" t="n">
        <v>207</v>
      </c>
      <c r="C215" t="inlineStr">
        <is>
          <t>R0114709</t>
        </is>
      </c>
      <c r="D215" t="inlineStr">
        <is>
          <t>120TH AVE  WESTMINSTER</t>
        </is>
      </c>
      <c r="E215" t="n">
        <v>1111</v>
      </c>
      <c r="F215" t="inlineStr">
        <is>
          <t>WESTMINSTER</t>
        </is>
      </c>
      <c r="G215" t="inlineStr">
        <is>
          <t>3</t>
        </is>
      </c>
      <c r="H215" s="669">
        <f>Y215/J215</f>
        <v/>
      </c>
      <c r="I215" s="472" t="n">
        <v>44838</v>
      </c>
      <c r="J215" t="n">
        <v>1</v>
      </c>
      <c r="L215" t="n">
        <v>1</v>
      </c>
      <c r="M215" t="n">
        <v>2000</v>
      </c>
      <c r="P215" t="inlineStr">
        <is>
          <t>PUD-Wes</t>
        </is>
      </c>
      <c r="R215" t="inlineStr">
        <is>
          <t>Average</t>
        </is>
      </c>
      <c r="S215" t="n">
        <v>17859.5996</v>
      </c>
      <c r="T215" s="469">
        <f>S215/L215</f>
        <v/>
      </c>
      <c r="U215" t="inlineStr">
        <is>
          <t>Average</t>
        </is>
      </c>
      <c r="Y215" s="671" t="n">
        <v>2650000</v>
      </c>
      <c r="AA215" s="671" t="n">
        <v>2650000</v>
      </c>
      <c r="AC215" t="inlineStr">
        <is>
          <t>0157333005014</t>
        </is>
      </c>
      <c r="AD215" t="inlineStr">
        <is>
          <t>2022000082331</t>
        </is>
      </c>
      <c r="AE215" t="inlineStr">
        <is>
          <t>HD ALAMEDA LLC</t>
        </is>
      </c>
      <c r="AF215" t="inlineStr">
        <is>
          <t>1257 120TH RE LLC</t>
        </is>
      </c>
      <c r="AI215" s="245">
        <f>AND(E215=Subj_OccCode,Subj_BldgSF&gt;0,L215&gt;=Subj_BldgSF*(1-Subj_SizeTol),L215&lt;=Subj_BldgSF*(1+Subj_SizeTol))</f>
        <v/>
      </c>
    </row>
    <row r="216" ht="15" customHeight="1">
      <c r="A216" s="248" t="n">
        <v>7</v>
      </c>
      <c r="B216" s="245" t="n">
        <v>208</v>
      </c>
      <c r="C216" t="inlineStr">
        <is>
          <t>R0150304</t>
        </is>
      </c>
      <c r="D216" t="inlineStr">
        <is>
          <t xml:space="preserve">7140  IVY ST B </t>
        </is>
      </c>
      <c r="E216" t="n">
        <v>425</v>
      </c>
      <c r="F216" t="inlineStr">
        <is>
          <t>COMMERCE CITY</t>
        </is>
      </c>
      <c r="G216" t="inlineStr">
        <is>
          <t>5</t>
        </is>
      </c>
      <c r="H216" s="669">
        <f>Y216/J216</f>
        <v/>
      </c>
      <c r="I216" s="472" t="n">
        <v>44855</v>
      </c>
      <c r="J216" t="n">
        <v>9000</v>
      </c>
      <c r="L216" t="n">
        <v>9000</v>
      </c>
      <c r="M216" t="n">
        <v>2002</v>
      </c>
      <c r="P216" t="inlineStr">
        <is>
          <t>I-1-Com</t>
        </is>
      </c>
      <c r="R216" t="inlineStr">
        <is>
          <t>Average</t>
        </is>
      </c>
      <c r="S216" t="n">
        <v>6448</v>
      </c>
      <c r="T216" s="469">
        <f>S216/L216</f>
        <v/>
      </c>
      <c r="U216" t="inlineStr">
        <is>
          <t>Average</t>
        </is>
      </c>
      <c r="Y216" s="671" t="n">
        <v>325000</v>
      </c>
      <c r="AA216" s="671" t="n">
        <v>325000</v>
      </c>
      <c r="AC216" t="inlineStr">
        <is>
          <t>0182305221045</t>
        </is>
      </c>
      <c r="AD216" t="inlineStr">
        <is>
          <t>2022000086743</t>
        </is>
      </c>
      <c r="AE216" t="inlineStr">
        <is>
          <t>GROWEST PROPERTIES LLC</t>
        </is>
      </c>
      <c r="AF216" t="inlineStr">
        <is>
          <t>DHK ENTERPRISES LLC</t>
        </is>
      </c>
      <c r="AI216" s="245">
        <f>AND(E216=Subj_OccCode,Subj_BldgSF&gt;0,L216&gt;=Subj_BldgSF*(1-Subj_SizeTol),L216&lt;=Subj_BldgSF*(1+Subj_SizeTol))</f>
        <v/>
      </c>
    </row>
    <row r="217" ht="15" customHeight="1">
      <c r="A217" s="248" t="n">
        <v>7</v>
      </c>
      <c r="B217" s="245" t="n">
        <v>209</v>
      </c>
      <c r="C217" t="inlineStr">
        <is>
          <t>R0004233</t>
        </is>
      </c>
      <c r="D217" t="inlineStr">
        <is>
          <t>479 S 4TH AVE</t>
        </is>
      </c>
      <c r="E217" t="n">
        <v>350</v>
      </c>
      <c r="F217" t="inlineStr">
        <is>
          <t>BRIGHTON</t>
        </is>
      </c>
      <c r="G217" t="inlineStr">
        <is>
          <t>2</t>
        </is>
      </c>
      <c r="H217" s="669">
        <f>Y217/J217</f>
        <v/>
      </c>
      <c r="I217" s="472" t="n">
        <v>44860</v>
      </c>
      <c r="J217" t="n">
        <v>3272</v>
      </c>
      <c r="L217" t="n">
        <v>3272</v>
      </c>
      <c r="M217" t="n">
        <v>1912</v>
      </c>
      <c r="P217" t="inlineStr">
        <is>
          <t>C-1-Bri</t>
        </is>
      </c>
      <c r="R217" t="inlineStr">
        <is>
          <t>Average</t>
        </is>
      </c>
      <c r="S217" t="n">
        <v>7500</v>
      </c>
      <c r="T217" s="469">
        <f>S217/L217</f>
        <v/>
      </c>
      <c r="U217" t="inlineStr">
        <is>
          <t>Average</t>
        </is>
      </c>
      <c r="Y217" s="671" t="n">
        <v>630000</v>
      </c>
      <c r="AA217" s="671" t="n">
        <v>630000</v>
      </c>
      <c r="AC217" t="inlineStr">
        <is>
          <t>0156907301004</t>
        </is>
      </c>
      <c r="AD217" t="inlineStr">
        <is>
          <t>2022000088389</t>
        </is>
      </c>
      <c r="AE217" t="inlineStr">
        <is>
          <t>NAN ZHI ZHONG</t>
        </is>
      </c>
      <c r="AF217" t="inlineStr">
        <is>
          <t>NANS RESTAURANT LLC</t>
        </is>
      </c>
      <c r="AI217" s="245">
        <f>AND(E217=Subj_OccCode,Subj_BldgSF&gt;0,L217&gt;=Subj_BldgSF*(1-Subj_SizeTol),L217&lt;=Subj_BldgSF*(1+Subj_SizeTol))</f>
        <v/>
      </c>
    </row>
    <row r="218" ht="15" customHeight="1">
      <c r="A218" s="248" t="n">
        <v>7</v>
      </c>
      <c r="B218" s="245" t="n">
        <v>210</v>
      </c>
      <c r="C218" t="inlineStr">
        <is>
          <t>R0160167</t>
        </is>
      </c>
      <c r="D218" t="inlineStr">
        <is>
          <t xml:space="preserve">14651 E COLFAX AVE </t>
        </is>
      </c>
      <c r="E218" t="n">
        <v>353</v>
      </c>
      <c r="F218" t="inlineStr">
        <is>
          <t>AURORA</t>
        </is>
      </c>
      <c r="G218" t="inlineStr">
        <is>
          <t>6</t>
        </is>
      </c>
      <c r="H218" s="669">
        <f>Y218/J218</f>
        <v/>
      </c>
      <c r="I218" s="472" t="n">
        <v>44872</v>
      </c>
      <c r="J218" t="n">
        <v>6742</v>
      </c>
      <c r="L218" t="n">
        <v>6742</v>
      </c>
      <c r="M218" t="n">
        <v>2004</v>
      </c>
      <c r="P218" t="inlineStr">
        <is>
          <t>B-4-Aur</t>
        </is>
      </c>
      <c r="R218" t="inlineStr">
        <is>
          <t>Average</t>
        </is>
      </c>
      <c r="S218" t="n">
        <v>41537</v>
      </c>
      <c r="T218" s="469">
        <f>S218/L218</f>
        <v/>
      </c>
      <c r="U218" t="inlineStr">
        <is>
          <t>Average</t>
        </is>
      </c>
      <c r="Y218" s="671" t="n">
        <v>2400000</v>
      </c>
      <c r="AA218" s="671" t="n">
        <v>2400000</v>
      </c>
      <c r="AC218" t="inlineStr">
        <is>
          <t>0182131413004</t>
        </is>
      </c>
      <c r="AD218" t="inlineStr">
        <is>
          <t>2022000089834</t>
        </is>
      </c>
      <c r="AE218" t="inlineStr">
        <is>
          <t>ASTRO REALTY LLC</t>
        </is>
      </c>
      <c r="AF218" t="inlineStr">
        <is>
          <t>DEEMS LEGACY LLC</t>
        </is>
      </c>
      <c r="AI218" s="245">
        <f>AND(E218=Subj_OccCode,Subj_BldgSF&gt;0,L218&gt;=Subj_BldgSF*(1-Subj_SizeTol),L218&lt;=Subj_BldgSF*(1+Subj_SizeTol))</f>
        <v/>
      </c>
    </row>
    <row r="219" ht="15" customHeight="1">
      <c r="A219" s="248" t="n">
        <v>7</v>
      </c>
      <c r="B219" s="245" t="n">
        <v>211</v>
      </c>
      <c r="C219" t="inlineStr">
        <is>
          <t>R0129253</t>
        </is>
      </c>
      <c r="D219" t="inlineStr">
        <is>
          <t xml:space="preserve">12900  ZUNI ST  </t>
        </is>
      </c>
      <c r="E219" t="n">
        <v>340</v>
      </c>
      <c r="F219" t="inlineStr">
        <is>
          <t>WESTMINSTER</t>
        </is>
      </c>
      <c r="G219" t="inlineStr">
        <is>
          <t>3</t>
        </is>
      </c>
      <c r="H219" s="669">
        <f>Y219/J219</f>
        <v/>
      </c>
      <c r="I219" s="472" t="n">
        <v>44872</v>
      </c>
      <c r="J219" t="n">
        <v>55944</v>
      </c>
      <c r="L219" t="n">
        <v>55944</v>
      </c>
      <c r="M219" t="n">
        <v>2000</v>
      </c>
      <c r="P219" t="inlineStr">
        <is>
          <t>PUD-Wes</t>
        </is>
      </c>
      <c r="R219" t="inlineStr">
        <is>
          <t>Average</t>
        </is>
      </c>
      <c r="S219" t="n">
        <v>419391.32</v>
      </c>
      <c r="T219" s="469">
        <f>S219/L219</f>
        <v/>
      </c>
      <c r="U219" t="inlineStr">
        <is>
          <t>Good</t>
        </is>
      </c>
      <c r="Y219" s="671" t="n">
        <v>10918545</v>
      </c>
      <c r="AA219" s="671" t="n">
        <v>10918545</v>
      </c>
      <c r="AC219" t="inlineStr">
        <is>
          <t>0157328301001</t>
        </is>
      </c>
      <c r="AD219" t="inlineStr">
        <is>
          <t>2022000089861</t>
        </is>
      </c>
      <c r="AE219" t="inlineStr">
        <is>
          <t>WILLOW RUN INVESTORS LLC</t>
        </is>
      </c>
      <c r="AF219" t="inlineStr">
        <is>
          <t xml:space="preserve">PNW INVESTMENTS LLC, CPP 12FIVE INVESTMENTS LLC, </t>
        </is>
      </c>
      <c r="AI219" s="245">
        <f>AND(E219=Subj_OccCode,Subj_BldgSF&gt;0,L219&gt;=Subj_BldgSF*(1-Subj_SizeTol),L219&lt;=Subj_BldgSF*(1+Subj_SizeTol))</f>
        <v/>
      </c>
    </row>
    <row r="220" ht="15" customHeight="1">
      <c r="A220" s="248" t="n">
        <v>7</v>
      </c>
      <c r="B220" s="245" t="n">
        <v>212</v>
      </c>
      <c r="C220" t="inlineStr">
        <is>
          <t>R0092667</t>
        </is>
      </c>
      <c r="D220" t="inlineStr">
        <is>
          <t xml:space="preserve">4901  LOCUST ST </t>
        </is>
      </c>
      <c r="E220" t="n">
        <v>407</v>
      </c>
      <c r="F220" t="inlineStr">
        <is>
          <t>COMMERCE CITY</t>
        </is>
      </c>
      <c r="G220" t="inlineStr">
        <is>
          <t>5</t>
        </is>
      </c>
      <c r="H220" s="669">
        <f>Y220/J220</f>
        <v/>
      </c>
      <c r="I220" s="472" t="n">
        <v>44875</v>
      </c>
      <c r="J220" t="n">
        <v>16200</v>
      </c>
      <c r="L220" t="n">
        <v>16200</v>
      </c>
      <c r="M220" t="n">
        <v>1970</v>
      </c>
      <c r="P220" t="inlineStr">
        <is>
          <t>I-1S</t>
        </is>
      </c>
      <c r="R220" t="inlineStr">
        <is>
          <t>Average</t>
        </is>
      </c>
      <c r="S220" t="n">
        <v>59734</v>
      </c>
      <c r="T220" s="469">
        <f>S220/L220</f>
        <v/>
      </c>
      <c r="U220" t="inlineStr">
        <is>
          <t>Average</t>
        </is>
      </c>
      <c r="Y220" s="671" t="n">
        <v>3843337</v>
      </c>
      <c r="AA220" s="671" t="n">
        <v>3843337</v>
      </c>
      <c r="AC220" t="inlineStr">
        <is>
          <t>0182317302009</t>
        </is>
      </c>
      <c r="AD220" t="inlineStr">
        <is>
          <t>2022000090754</t>
        </is>
      </c>
      <c r="AE220" t="inlineStr">
        <is>
          <t>HIGHLAND PROPERTIES 1222 LLC</t>
        </is>
      </c>
      <c r="AF220" t="inlineStr">
        <is>
          <t>PAVCO GROUP LLC</t>
        </is>
      </c>
      <c r="AI220" s="245">
        <f>AND(E220=Subj_OccCode,Subj_BldgSF&gt;0,L220&gt;=Subj_BldgSF*(1-Subj_SizeTol),L220&lt;=Subj_BldgSF*(1+Subj_SizeTol))</f>
        <v/>
      </c>
    </row>
    <row r="221" ht="15" customHeight="1">
      <c r="A221" s="248" t="n">
        <v>7</v>
      </c>
      <c r="B221" s="245" t="n">
        <v>213</v>
      </c>
      <c r="C221" t="inlineStr">
        <is>
          <t>R0024453</t>
        </is>
      </c>
      <c r="D221" t="inlineStr">
        <is>
          <t xml:space="preserve">650 E 124TH AVE  </t>
        </is>
      </c>
      <c r="E221" t="n">
        <v>309</v>
      </c>
      <c r="F221" t="inlineStr">
        <is>
          <t>THORNTON</t>
        </is>
      </c>
      <c r="G221" t="inlineStr">
        <is>
          <t>3</t>
        </is>
      </c>
      <c r="H221" s="669">
        <f>Y221/J221</f>
        <v/>
      </c>
      <c r="I221" s="472" t="n">
        <v>44897</v>
      </c>
      <c r="J221" t="n">
        <v>18718</v>
      </c>
      <c r="L221" t="n">
        <v>18718</v>
      </c>
      <c r="M221" t="n">
        <v>2003</v>
      </c>
      <c r="P221" t="inlineStr">
        <is>
          <t>Business Park</t>
        </is>
      </c>
      <c r="R221" t="inlineStr">
        <is>
          <t>Good</t>
        </is>
      </c>
      <c r="S221" t="n">
        <v>268983</v>
      </c>
      <c r="T221" s="469">
        <f>S221/L221</f>
        <v/>
      </c>
      <c r="U221" t="inlineStr">
        <is>
          <t>Average</t>
        </is>
      </c>
      <c r="Y221" s="671" t="n">
        <v>5000000</v>
      </c>
      <c r="AA221" s="671" t="n">
        <v>5000000</v>
      </c>
      <c r="AC221" t="inlineStr">
        <is>
          <t>0157334003016</t>
        </is>
      </c>
      <c r="AD221" t="inlineStr">
        <is>
          <t>2022000095330</t>
        </is>
      </c>
      <c r="AE221" t="inlineStr">
        <is>
          <t>MIDWEST BUILDING PROFESSIONALS LLC</t>
        </is>
      </c>
      <c r="AF221" t="inlineStr">
        <is>
          <t>WORD ALIVE CHURCH</t>
        </is>
      </c>
      <c r="AI221" s="245">
        <f>AND(E221=Subj_OccCode,Subj_BldgSF&gt;0,L221&gt;=Subj_BldgSF*(1-Subj_SizeTol),L221&lt;=Subj_BldgSF*(1+Subj_SizeTol))</f>
        <v/>
      </c>
    </row>
    <row r="222" ht="15" customHeight="1">
      <c r="A222" s="248" t="n">
        <v>7</v>
      </c>
      <c r="B222" s="245" t="n">
        <v>214</v>
      </c>
      <c r="C222" t="inlineStr">
        <is>
          <t>R0121751</t>
        </is>
      </c>
      <c r="D222" t="inlineStr">
        <is>
          <t>605 W 62ND AVE</t>
        </is>
      </c>
      <c r="E222" t="n">
        <v>325</v>
      </c>
      <c r="G222" t="inlineStr">
        <is>
          <t>5</t>
        </is>
      </c>
      <c r="H222" s="669">
        <f>Y222/J222</f>
        <v/>
      </c>
      <c r="I222" s="472" t="n">
        <v>44903</v>
      </c>
      <c r="J222" t="n">
        <v>1600</v>
      </c>
      <c r="L222" t="n">
        <v>1600</v>
      </c>
      <c r="M222" t="n">
        <v>1988</v>
      </c>
      <c r="P222" t="inlineStr">
        <is>
          <t>Industrial</t>
        </is>
      </c>
      <c r="R222" t="inlineStr">
        <is>
          <t>Average</t>
        </is>
      </c>
      <c r="S222" t="n">
        <v>378972</v>
      </c>
      <c r="T222" s="469">
        <f>S222/L222</f>
        <v/>
      </c>
      <c r="U222" t="inlineStr">
        <is>
          <t>Average</t>
        </is>
      </c>
      <c r="Y222" s="671" t="n">
        <v>9000000</v>
      </c>
      <c r="AA222" s="671" t="n">
        <v>9000000</v>
      </c>
      <c r="AC222" t="inlineStr">
        <is>
          <t>0182510201006</t>
        </is>
      </c>
      <c r="AD222" t="inlineStr">
        <is>
          <t>2022000096205</t>
        </is>
      </c>
      <c r="AE222" t="inlineStr">
        <is>
          <t>WEST 62ND AVE LLC, GRAND JUNCTION VENTURE LLC</t>
        </is>
      </c>
      <c r="AF222" t="inlineStr">
        <is>
          <t>IOS-PVB-605 WEST 62ND AVENUE LLC</t>
        </is>
      </c>
      <c r="AI222" s="245">
        <f>AND(E222=Subj_OccCode,Subj_BldgSF&gt;0,L222&gt;=Subj_BldgSF*(1-Subj_SizeTol),L222&lt;=Subj_BldgSF*(1+Subj_SizeTol))</f>
        <v/>
      </c>
    </row>
    <row r="223" ht="15" customHeight="1">
      <c r="A223" s="248" t="n">
        <v>7</v>
      </c>
      <c r="B223" s="245" t="n">
        <v>215</v>
      </c>
      <c r="C223" t="inlineStr">
        <is>
          <t>R0216734</t>
        </is>
      </c>
      <c r="D223" t="inlineStr">
        <is>
          <t>7100 E 136TH AVE</t>
        </is>
      </c>
      <c r="E223" t="n">
        <v>304</v>
      </c>
      <c r="F223" t="inlineStr">
        <is>
          <t>THORNTON</t>
        </is>
      </c>
      <c r="G223" t="inlineStr">
        <is>
          <t>3</t>
        </is>
      </c>
      <c r="H223" s="669">
        <f>Y223/J223</f>
        <v/>
      </c>
      <c r="I223" s="472" t="n">
        <v>44904</v>
      </c>
      <c r="J223" t="n">
        <v>4203</v>
      </c>
      <c r="L223" t="n">
        <v>4203</v>
      </c>
      <c r="S223" t="n">
        <v>58375</v>
      </c>
      <c r="T223" s="469">
        <f>S223/L223</f>
        <v/>
      </c>
      <c r="Y223" s="671" t="n">
        <v>1900000</v>
      </c>
      <c r="AA223" s="671" t="n">
        <v>1900000</v>
      </c>
      <c r="AC223" t="inlineStr">
        <is>
          <t>0157129113122</t>
        </is>
      </c>
      <c r="AD223" t="inlineStr">
        <is>
          <t>2022000096279</t>
        </is>
      </c>
      <c r="AE223" t="inlineStr">
        <is>
          <t>STRATUS AMBER CREEK LLC</t>
        </is>
      </c>
      <c r="AF223" t="inlineStr">
        <is>
          <t>BANK OF AMERICA NATIONAL ASSOCIATION</t>
        </is>
      </c>
      <c r="AI223" s="245">
        <f>AND(E223=Subj_OccCode,Subj_BldgSF&gt;0,L223&gt;=Subj_BldgSF*(1-Subj_SizeTol),L223&lt;=Subj_BldgSF*(1+Subj_SizeTol))</f>
        <v/>
      </c>
    </row>
    <row r="224" ht="15" customHeight="1">
      <c r="A224" s="248" t="n">
        <v>7</v>
      </c>
      <c r="B224" s="245" t="n">
        <v>216</v>
      </c>
      <c r="C224" t="inlineStr">
        <is>
          <t>R0217166</t>
        </is>
      </c>
      <c r="D224" t="inlineStr">
        <is>
          <t>16521 E 16TH PL</t>
        </is>
      </c>
      <c r="E224" t="n">
        <v>118</v>
      </c>
      <c r="F224" t="inlineStr">
        <is>
          <t>AURORA</t>
        </is>
      </c>
      <c r="G224" t="inlineStr">
        <is>
          <t>6</t>
        </is>
      </c>
      <c r="H224" s="669">
        <f>Y224/J224</f>
        <v/>
      </c>
      <c r="I224" s="472" t="n">
        <v>44907</v>
      </c>
      <c r="J224" t="n">
        <v>41943</v>
      </c>
      <c r="L224" t="n">
        <v>41943</v>
      </c>
      <c r="S224" t="n">
        <v>482743</v>
      </c>
      <c r="T224" s="469">
        <f>S224/L224</f>
        <v/>
      </c>
      <c r="Y224" s="671" t="n">
        <v>1416667</v>
      </c>
      <c r="AA224" s="671" t="n">
        <v>1416667</v>
      </c>
      <c r="AC224" t="inlineStr">
        <is>
          <t>0182132414001</t>
        </is>
      </c>
      <c r="AD224" t="inlineStr">
        <is>
          <t>2022000097611</t>
        </is>
      </c>
      <c r="AE224" t="inlineStr">
        <is>
          <t>QUIKTRIP CORPORATION</t>
        </is>
      </c>
      <c r="AF224" t="inlineStr">
        <is>
          <t>ROERS AURORA APARTMENTS OWNER LLC</t>
        </is>
      </c>
      <c r="AI224" s="245">
        <f>AND(E224=Subj_OccCode,Subj_BldgSF&gt;0,L224&gt;=Subj_BldgSF*(1-Subj_SizeTol),L224&lt;=Subj_BldgSF*(1+Subj_SizeTol))</f>
        <v/>
      </c>
    </row>
    <row r="225" ht="15" customHeight="1">
      <c r="A225" s="248" t="n">
        <v>7</v>
      </c>
      <c r="B225" s="245" t="n">
        <v>217</v>
      </c>
      <c r="C225" t="inlineStr">
        <is>
          <t>R0077138</t>
        </is>
      </c>
      <c r="D225" t="inlineStr">
        <is>
          <t>8488  UINTA ST</t>
        </is>
      </c>
      <c r="E225" t="n">
        <v>3441</v>
      </c>
      <c r="F225" t="inlineStr">
        <is>
          <t>COMMERCE CITY</t>
        </is>
      </c>
      <c r="G225" t="inlineStr">
        <is>
          <t>5</t>
        </is>
      </c>
      <c r="H225" s="669">
        <f>Y225/J225</f>
        <v/>
      </c>
      <c r="I225" s="472" t="n">
        <v>44930</v>
      </c>
      <c r="J225" t="n">
        <v>1000</v>
      </c>
      <c r="L225" t="n">
        <v>1000</v>
      </c>
      <c r="M225" t="n">
        <v>1986</v>
      </c>
      <c r="P225" t="inlineStr">
        <is>
          <t>I-1-Com</t>
        </is>
      </c>
      <c r="R225" t="inlineStr">
        <is>
          <t>Average</t>
        </is>
      </c>
      <c r="S225" t="n">
        <v>8347.5</v>
      </c>
      <c r="T225" s="469">
        <f>S225/L225</f>
        <v/>
      </c>
      <c r="U225" t="inlineStr">
        <is>
          <t>Average</t>
        </is>
      </c>
      <c r="Y225" s="671" t="n">
        <v>695000</v>
      </c>
      <c r="AA225" s="671" t="n">
        <v>695000</v>
      </c>
      <c r="AC225" t="inlineStr">
        <is>
          <t>0172128109002</t>
        </is>
      </c>
      <c r="AD225" t="inlineStr">
        <is>
          <t>2023000000846</t>
        </is>
      </c>
      <c r="AE225" t="inlineStr">
        <is>
          <t xml:space="preserve">GOLDEN HILLS LLC AND , REAL PROPERTY ACQUISITIONS INITIATIVES LLC </t>
        </is>
      </c>
      <c r="AF225" t="inlineStr">
        <is>
          <t>HUMPTY DUMP ROLL OFF SERVICES LLC</t>
        </is>
      </c>
      <c r="AI225" s="245">
        <f>AND(E225=Subj_OccCode,Subj_BldgSF&gt;0,L225&gt;=Subj_BldgSF*(1-Subj_SizeTol),L225&lt;=Subj_BldgSF*(1+Subj_SizeTol))</f>
        <v/>
      </c>
    </row>
    <row r="226" ht="15" customHeight="1">
      <c r="A226" s="248" t="n">
        <v>7</v>
      </c>
      <c r="B226" s="245" t="n">
        <v>218</v>
      </c>
      <c r="C226" t="inlineStr">
        <is>
          <t>R0039059</t>
        </is>
      </c>
      <c r="D226" t="inlineStr">
        <is>
          <t xml:space="preserve">10475  IRMA DR 1 </t>
        </is>
      </c>
      <c r="E226" t="n">
        <v>425</v>
      </c>
      <c r="F226" t="inlineStr">
        <is>
          <t>NORTHGLENN</t>
        </is>
      </c>
      <c r="G226" t="inlineStr">
        <is>
          <t>4</t>
        </is>
      </c>
      <c r="H226" s="669">
        <f>Y226/J226</f>
        <v/>
      </c>
      <c r="I226" s="472" t="n">
        <v>44932</v>
      </c>
      <c r="J226" t="n">
        <v>25500</v>
      </c>
      <c r="L226" t="n">
        <v>25500</v>
      </c>
      <c r="M226" t="n">
        <v>1984</v>
      </c>
      <c r="P226" t="inlineStr">
        <is>
          <t>I-2-Nor</t>
        </is>
      </c>
      <c r="R226" t="inlineStr">
        <is>
          <t>Average</t>
        </is>
      </c>
      <c r="S226" t="n">
        <v>4655</v>
      </c>
      <c r="T226" s="469">
        <f>S226/L226</f>
        <v/>
      </c>
      <c r="U226" t="inlineStr">
        <is>
          <t>Average</t>
        </is>
      </c>
      <c r="Y226" s="671" t="n">
        <v>546000</v>
      </c>
      <c r="AA226" s="671" t="n">
        <v>546000</v>
      </c>
      <c r="AC226" t="inlineStr">
        <is>
          <t>0171911411020</t>
        </is>
      </c>
      <c r="AD226" t="inlineStr">
        <is>
          <t>2023000000922</t>
        </is>
      </c>
      <c r="AE226" t="inlineStr">
        <is>
          <t>STEWART DON W LIVING TRUST 1/2 INT, STEWART DON W MARITAL TRUST 1/2 INT</t>
        </is>
      </c>
      <c r="AF226" t="inlineStr">
        <is>
          <t>JOHNS ERIC</t>
        </is>
      </c>
      <c r="AI226" s="245">
        <f>AND(E226=Subj_OccCode,Subj_BldgSF&gt;0,L226&gt;=Subj_BldgSF*(1-Subj_SizeTol),L226&lt;=Subj_BldgSF*(1+Subj_SizeTol))</f>
        <v/>
      </c>
    </row>
    <row r="227" ht="15" customHeight="1">
      <c r="A227" s="248" t="n">
        <v>7</v>
      </c>
      <c r="B227" s="245" t="n">
        <v>219</v>
      </c>
      <c r="C227" t="inlineStr">
        <is>
          <t>R0039060</t>
        </is>
      </c>
      <c r="D227" t="inlineStr">
        <is>
          <t xml:space="preserve">10475  IRMA DR 2 </t>
        </is>
      </c>
      <c r="E227" t="n">
        <v>425</v>
      </c>
      <c r="F227" t="inlineStr">
        <is>
          <t>NORTHGLENN</t>
        </is>
      </c>
      <c r="G227" t="inlineStr">
        <is>
          <t>4</t>
        </is>
      </c>
      <c r="H227" s="669">
        <f>Y227/J227</f>
        <v/>
      </c>
      <c r="I227" s="472" t="n">
        <v>44932</v>
      </c>
      <c r="J227" t="n">
        <v>25500</v>
      </c>
      <c r="L227" t="n">
        <v>25500</v>
      </c>
      <c r="M227" t="n">
        <v>1984</v>
      </c>
      <c r="P227" t="inlineStr">
        <is>
          <t>I-2-Nor</t>
        </is>
      </c>
      <c r="R227" t="inlineStr">
        <is>
          <t>Average</t>
        </is>
      </c>
      <c r="S227" t="n">
        <v>4655</v>
      </c>
      <c r="T227" s="469">
        <f>S227/L227</f>
        <v/>
      </c>
      <c r="U227" t="inlineStr">
        <is>
          <t>Average</t>
        </is>
      </c>
      <c r="Y227" s="671" t="n">
        <v>546000</v>
      </c>
      <c r="AA227" s="671" t="n">
        <v>546000</v>
      </c>
      <c r="AC227" t="inlineStr">
        <is>
          <t>0171911411021</t>
        </is>
      </c>
      <c r="AD227" t="inlineStr">
        <is>
          <t>2023000000922</t>
        </is>
      </c>
      <c r="AE227" t="inlineStr">
        <is>
          <t>STEWART DON W LIVING TRUST 1/2 INT, STEWART DON W MARITAL TRUST 1/2 INT</t>
        </is>
      </c>
      <c r="AF227" t="inlineStr">
        <is>
          <t>JOHNS ERIC</t>
        </is>
      </c>
      <c r="AI227" s="245">
        <f>AND(E227=Subj_OccCode,Subj_BldgSF&gt;0,L227&gt;=Subj_BldgSF*(1-Subj_SizeTol),L227&lt;=Subj_BldgSF*(1+Subj_SizeTol))</f>
        <v/>
      </c>
    </row>
    <row r="228" ht="15" customHeight="1">
      <c r="A228" s="248" t="n">
        <v>7</v>
      </c>
      <c r="B228" s="245" t="n">
        <v>220</v>
      </c>
      <c r="C228" t="inlineStr">
        <is>
          <t>R0124487</t>
        </is>
      </c>
      <c r="D228" t="inlineStr">
        <is>
          <t xml:space="preserve">4750 W 60TH AVE  </t>
        </is>
      </c>
      <c r="E228" t="n">
        <v>334</v>
      </c>
      <c r="F228" t="inlineStr">
        <is>
          <t>ARVADA</t>
        </is>
      </c>
      <c r="G228" t="inlineStr">
        <is>
          <t>5</t>
        </is>
      </c>
      <c r="H228" s="669">
        <f>Y228/J228</f>
        <v/>
      </c>
      <c r="I228" s="472" t="n">
        <v>44931</v>
      </c>
      <c r="J228" t="n">
        <v>13400</v>
      </c>
      <c r="L228" t="n">
        <v>13400</v>
      </c>
      <c r="M228" t="n">
        <v>1979</v>
      </c>
      <c r="P228" t="inlineStr">
        <is>
          <t>I-1-Arv</t>
        </is>
      </c>
      <c r="R228" t="inlineStr">
        <is>
          <t>Average</t>
        </is>
      </c>
      <c r="S228" t="n">
        <v>150608</v>
      </c>
      <c r="T228" s="469">
        <f>S228/L228</f>
        <v/>
      </c>
      <c r="U228" t="inlineStr">
        <is>
          <t>Average</t>
        </is>
      </c>
      <c r="Y228" s="671" t="n">
        <v>10000000</v>
      </c>
      <c r="AA228" s="671" t="n">
        <v>10000000</v>
      </c>
      <c r="AC228" t="inlineStr">
        <is>
          <t>0182507306013</t>
        </is>
      </c>
      <c r="AD228" t="inlineStr">
        <is>
          <t>2023000001455</t>
        </is>
      </c>
      <c r="AE228" t="inlineStr">
        <is>
          <t>MATHEWS FAMILY LLC</t>
        </is>
      </c>
      <c r="AF228" t="inlineStr">
        <is>
          <t>MARK VII EQUIPMENT INC</t>
        </is>
      </c>
      <c r="AI228" s="245">
        <f>AND(E228=Subj_OccCode,Subj_BldgSF&gt;0,L228&gt;=Subj_BldgSF*(1-Subj_SizeTol),L228&lt;=Subj_BldgSF*(1+Subj_SizeTol))</f>
        <v/>
      </c>
    </row>
    <row r="229" ht="15" customHeight="1">
      <c r="A229" s="248" t="n">
        <v>7</v>
      </c>
      <c r="B229" s="245" t="n">
        <v>221</v>
      </c>
      <c r="C229" t="inlineStr">
        <is>
          <t>R0102984</t>
        </is>
      </c>
      <c r="D229" t="inlineStr">
        <is>
          <t>5981  TENNYSON ST</t>
        </is>
      </c>
      <c r="E229" t="n">
        <v>407</v>
      </c>
      <c r="F229" t="inlineStr">
        <is>
          <t>ARVADA</t>
        </is>
      </c>
      <c r="G229" t="inlineStr">
        <is>
          <t>5</t>
        </is>
      </c>
      <c r="H229" s="669">
        <f>Y229/J229</f>
        <v/>
      </c>
      <c r="I229" s="472" t="n">
        <v>44931</v>
      </c>
      <c r="J229" t="n">
        <v>73437</v>
      </c>
      <c r="L229" t="n">
        <v>73437</v>
      </c>
      <c r="M229" t="n">
        <v>1974</v>
      </c>
      <c r="P229" t="inlineStr">
        <is>
          <t>I-1-Arv</t>
        </is>
      </c>
      <c r="R229" t="inlineStr">
        <is>
          <t>Average</t>
        </is>
      </c>
      <c r="S229" t="n">
        <v>162880</v>
      </c>
      <c r="T229" s="469">
        <f>S229/L229</f>
        <v/>
      </c>
      <c r="U229" t="inlineStr">
        <is>
          <t>Average</t>
        </is>
      </c>
      <c r="Y229" s="671" t="n">
        <v>10000000</v>
      </c>
      <c r="AA229" s="671" t="n">
        <v>10000000</v>
      </c>
      <c r="AC229" t="inlineStr">
        <is>
          <t>0182507304002</t>
        </is>
      </c>
      <c r="AD229" t="inlineStr">
        <is>
          <t>2023000001455</t>
        </is>
      </c>
      <c r="AE229" t="inlineStr">
        <is>
          <t>MATHEWS FAMILY LLC</t>
        </is>
      </c>
      <c r="AF229" t="inlineStr">
        <is>
          <t>MARK VII EQUIPMENT INC</t>
        </is>
      </c>
      <c r="AI229" s="245">
        <f>AND(E229=Subj_OccCode,Subj_BldgSF&gt;0,L229&gt;=Subj_BldgSF*(1-Subj_SizeTol),L229&lt;=Subj_BldgSF*(1+Subj_SizeTol))</f>
        <v/>
      </c>
    </row>
    <row r="230" ht="15" customHeight="1">
      <c r="A230" s="248" t="n">
        <v>7</v>
      </c>
      <c r="B230" s="245" t="n">
        <v>222</v>
      </c>
      <c r="C230" t="inlineStr">
        <is>
          <t>R0037747</t>
        </is>
      </c>
      <c r="D230" t="inlineStr">
        <is>
          <t xml:space="preserve">1680 E 112TH AVE  </t>
        </is>
      </c>
      <c r="E230" t="n">
        <v>325</v>
      </c>
      <c r="F230" t="inlineStr">
        <is>
          <t>NORTHGLENN</t>
        </is>
      </c>
      <c r="G230" t="inlineStr">
        <is>
          <t>4</t>
        </is>
      </c>
      <c r="H230" s="669">
        <f>Y230/J230</f>
        <v/>
      </c>
      <c r="I230" s="472" t="n">
        <v>44943</v>
      </c>
      <c r="J230" t="n">
        <v>1152</v>
      </c>
      <c r="L230" t="n">
        <v>1152</v>
      </c>
      <c r="M230" t="n">
        <v>1963</v>
      </c>
      <c r="P230" t="inlineStr">
        <is>
          <t>C-4-Nor</t>
        </is>
      </c>
      <c r="R230" t="inlineStr">
        <is>
          <t>Average</t>
        </is>
      </c>
      <c r="S230" t="n">
        <v>18750</v>
      </c>
      <c r="T230" s="469">
        <f>S230/L230</f>
        <v/>
      </c>
      <c r="U230" t="inlineStr">
        <is>
          <t>Average</t>
        </is>
      </c>
      <c r="Y230" s="671" t="n">
        <v>750000</v>
      </c>
      <c r="AA230" s="671" t="n">
        <v>750000</v>
      </c>
      <c r="AC230" t="inlineStr">
        <is>
          <t>0171911103017</t>
        </is>
      </c>
      <c r="AD230" t="inlineStr">
        <is>
          <t>2023000003311</t>
        </is>
      </c>
      <c r="AE230" t="inlineStr">
        <is>
          <t>COOK LISA AND DANSKY VICKI AND , PERLMUTTER JAY AND PERLMUTTER JONATHAN ET AL</t>
        </is>
      </c>
      <c r="AF230" t="inlineStr">
        <is>
          <t>NORTHGLENN URBAN RENEWAL AUTHORITY</t>
        </is>
      </c>
      <c r="AI230" s="245">
        <f>AND(E230=Subj_OccCode,Subj_BldgSF&gt;0,L230&gt;=Subj_BldgSF*(1-Subj_SizeTol),L230&lt;=Subj_BldgSF*(1+Subj_SizeTol))</f>
        <v/>
      </c>
    </row>
    <row r="231" ht="15" customHeight="1">
      <c r="A231" s="248" t="n">
        <v>7</v>
      </c>
      <c r="B231" s="245" t="n">
        <v>223</v>
      </c>
      <c r="C231" t="inlineStr">
        <is>
          <t>R0037748</t>
        </is>
      </c>
      <c r="D231" t="inlineStr">
        <is>
          <t xml:space="preserve">1660 E 112TH AVE </t>
        </is>
      </c>
      <c r="E231" t="n">
        <v>353</v>
      </c>
      <c r="F231" t="inlineStr">
        <is>
          <t>NORTHGLENN</t>
        </is>
      </c>
      <c r="G231" t="inlineStr">
        <is>
          <t>4</t>
        </is>
      </c>
      <c r="H231" s="669">
        <f>Y231/J231</f>
        <v/>
      </c>
      <c r="I231" s="472" t="n">
        <v>44943</v>
      </c>
      <c r="J231" t="n">
        <v>2400</v>
      </c>
      <c r="L231" t="n">
        <v>2400</v>
      </c>
      <c r="M231" t="n">
        <v>1964</v>
      </c>
      <c r="P231" t="inlineStr">
        <is>
          <t>R-1-C-Nor</t>
        </is>
      </c>
      <c r="R231" t="inlineStr">
        <is>
          <t>Average</t>
        </is>
      </c>
      <c r="S231" t="n">
        <v>15000</v>
      </c>
      <c r="T231" s="469">
        <f>S231/L231</f>
        <v/>
      </c>
      <c r="U231" t="inlineStr">
        <is>
          <t>Average</t>
        </is>
      </c>
      <c r="Y231" s="671" t="n">
        <v>750000</v>
      </c>
      <c r="AA231" s="671" t="n">
        <v>750000</v>
      </c>
      <c r="AC231" t="inlineStr">
        <is>
          <t>0171911103018</t>
        </is>
      </c>
      <c r="AD231" t="inlineStr">
        <is>
          <t>2023000003311</t>
        </is>
      </c>
      <c r="AE231" t="inlineStr">
        <is>
          <t>COOK LISA AND DANSKY VICKI AND , PERLMUTTER JAY AND PERLMUTTER JONATHAN ET AL</t>
        </is>
      </c>
      <c r="AF231" t="inlineStr">
        <is>
          <t>NORTHGLENN URBAN RENEWAL AUTHORITY</t>
        </is>
      </c>
      <c r="AI231" s="245">
        <f>AND(E231=Subj_OccCode,Subj_BldgSF&gt;0,L231&gt;=Subj_BldgSF*(1-Subj_SizeTol),L231&lt;=Subj_BldgSF*(1+Subj_SizeTol))</f>
        <v/>
      </c>
    </row>
    <row r="232" ht="15" customHeight="1">
      <c r="A232" s="248" t="n">
        <v>7</v>
      </c>
      <c r="B232" s="245" t="n">
        <v>224</v>
      </c>
      <c r="C232" t="inlineStr">
        <is>
          <t>R0092693</t>
        </is>
      </c>
      <c r="D232" t="inlineStr">
        <is>
          <t xml:space="preserve">6405 E 48TH AVE  </t>
        </is>
      </c>
      <c r="E232" t="n">
        <v>407</v>
      </c>
      <c r="F232" t="inlineStr">
        <is>
          <t>COMMERCE CITY</t>
        </is>
      </c>
      <c r="G232" t="inlineStr">
        <is>
          <t>5</t>
        </is>
      </c>
      <c r="H232" s="669">
        <f>Y232/J232</f>
        <v/>
      </c>
      <c r="I232" s="472" t="n">
        <v>44944</v>
      </c>
      <c r="J232" t="n">
        <v>14400</v>
      </c>
      <c r="L232" t="n">
        <v>14400</v>
      </c>
      <c r="M232" t="n">
        <v>1981</v>
      </c>
      <c r="P232" t="inlineStr">
        <is>
          <t>I-1S</t>
        </is>
      </c>
      <c r="R232" t="inlineStr">
        <is>
          <t>Average</t>
        </is>
      </c>
      <c r="S232" t="n">
        <v>62126</v>
      </c>
      <c r="T232" s="469">
        <f>S232/L232</f>
        <v/>
      </c>
      <c r="U232" t="inlineStr">
        <is>
          <t>Average</t>
        </is>
      </c>
      <c r="Y232" s="671" t="n">
        <v>4050000</v>
      </c>
      <c r="AA232" s="671" t="n">
        <v>4050000</v>
      </c>
      <c r="AC232" t="inlineStr">
        <is>
          <t>0182317304046</t>
        </is>
      </c>
      <c r="AD232" t="inlineStr">
        <is>
          <t>2023000003819</t>
        </is>
      </c>
      <c r="AE232" t="inlineStr">
        <is>
          <t>UTAH WOOD PRESERVING CO</t>
        </is>
      </c>
      <c r="AF232" t="inlineStr">
        <is>
          <t>WOOD CROSS LLC</t>
        </is>
      </c>
      <c r="AI232" s="245">
        <f>AND(E232=Subj_OccCode,Subj_BldgSF&gt;0,L232&gt;=Subj_BldgSF*(1-Subj_SizeTol),L232&lt;=Subj_BldgSF*(1+Subj_SizeTol))</f>
        <v/>
      </c>
    </row>
    <row r="233" ht="15" customHeight="1">
      <c r="A233" s="248" t="n">
        <v>7</v>
      </c>
      <c r="B233" s="245" t="n">
        <v>225</v>
      </c>
      <c r="C233" t="inlineStr">
        <is>
          <t>R0212551</t>
        </is>
      </c>
      <c r="D233" t="inlineStr">
        <is>
          <t xml:space="preserve">5805 N JACKSON GAP ST </t>
        </is>
      </c>
      <c r="E233" t="n">
        <v>325</v>
      </c>
      <c r="F233" t="inlineStr">
        <is>
          <t>AURORA</t>
        </is>
      </c>
      <c r="G233" t="inlineStr">
        <is>
          <t>6</t>
        </is>
      </c>
      <c r="H233" s="669">
        <f>Y233/J233</f>
        <v/>
      </c>
      <c r="I233" s="472" t="n">
        <v>44946</v>
      </c>
      <c r="J233" t="n">
        <v>10120</v>
      </c>
      <c r="L233" t="n">
        <v>10120</v>
      </c>
      <c r="M233" t="n">
        <v>2021</v>
      </c>
      <c r="R233" t="inlineStr">
        <is>
          <t>Average</t>
        </is>
      </c>
      <c r="S233" t="n">
        <v>2854518</v>
      </c>
      <c r="T233" s="469">
        <f>S233/L233</f>
        <v/>
      </c>
      <c r="U233" t="inlineStr">
        <is>
          <t>Average</t>
        </is>
      </c>
      <c r="Y233" s="671" t="n">
        <v>72219900</v>
      </c>
      <c r="AA233" s="671" t="n">
        <v>72219900</v>
      </c>
      <c r="AC233" t="inlineStr">
        <is>
          <t>0181908301001</t>
        </is>
      </c>
      <c r="AD233" t="inlineStr">
        <is>
          <t>2023000003867</t>
        </is>
      </c>
      <c r="AE233" t="inlineStr">
        <is>
          <t>SCANNELL PROPERTIES #505 LLC</t>
        </is>
      </c>
      <c r="AF233" t="inlineStr">
        <is>
          <t>SFG AURORA CO LLC</t>
        </is>
      </c>
      <c r="AI233" s="245">
        <f>AND(E233=Subj_OccCode,Subj_BldgSF&gt;0,L233&gt;=Subj_BldgSF*(1-Subj_SizeTol),L233&lt;=Subj_BldgSF*(1+Subj_SizeTol))</f>
        <v/>
      </c>
    </row>
    <row r="234" ht="15" customHeight="1">
      <c r="A234" s="248" t="n">
        <v>7</v>
      </c>
      <c r="B234" s="245" t="n">
        <v>226</v>
      </c>
      <c r="C234" t="inlineStr">
        <is>
          <t>R0212536</t>
        </is>
      </c>
      <c r="D234" t="inlineStr">
        <is>
          <t xml:space="preserve">8780 E 93RD PL  </t>
        </is>
      </c>
      <c r="E234" t="n">
        <v>325</v>
      </c>
      <c r="F234" t="inlineStr">
        <is>
          <t>COMMERCE CITY</t>
        </is>
      </c>
      <c r="G234" t="inlineStr">
        <is>
          <t>5</t>
        </is>
      </c>
      <c r="H234" s="669">
        <f>Y234/J234</f>
        <v/>
      </c>
      <c r="I234" s="472" t="n">
        <v>44972</v>
      </c>
      <c r="J234" t="n">
        <v>42000</v>
      </c>
      <c r="L234" t="n">
        <v>42000</v>
      </c>
      <c r="S234" t="n">
        <v>377460</v>
      </c>
      <c r="T234" s="469">
        <f>S234/L234</f>
        <v/>
      </c>
      <c r="Y234" s="671" t="n">
        <v>21000000</v>
      </c>
      <c r="AA234" s="671" t="n">
        <v>21000000</v>
      </c>
      <c r="AC234" t="inlineStr">
        <is>
          <t>0172121102016</t>
        </is>
      </c>
      <c r="AD234" t="inlineStr">
        <is>
          <t>2023000008265</t>
        </is>
      </c>
      <c r="AE234" t="inlineStr">
        <is>
          <t>IOV 8780 93RD PLACE LLC</t>
        </is>
      </c>
      <c r="AF234" t="inlineStr">
        <is>
          <t>UMDASCH REAL ESTATE USA LTD</t>
        </is>
      </c>
      <c r="AI234" s="245">
        <f>AND(E234=Subj_OccCode,Subj_BldgSF&gt;0,L234&gt;=Subj_BldgSF*(1-Subj_SizeTol),L234&lt;=Subj_BldgSF*(1+Subj_SizeTol))</f>
        <v/>
      </c>
    </row>
    <row r="235" ht="15" customHeight="1">
      <c r="A235" s="248" t="n">
        <v>7</v>
      </c>
      <c r="B235" s="245" t="n">
        <v>227</v>
      </c>
      <c r="C235" t="inlineStr">
        <is>
          <t>R0217175</t>
        </is>
      </c>
      <c r="D235" t="inlineStr">
        <is>
          <t xml:space="preserve">13551  QUEBEC ST  </t>
        </is>
      </c>
      <c r="E235" t="n">
        <v>353</v>
      </c>
      <c r="F235" t="inlineStr">
        <is>
          <t>THORNTON</t>
        </is>
      </c>
      <c r="G235" t="inlineStr">
        <is>
          <t>3</t>
        </is>
      </c>
      <c r="H235" s="669">
        <f>Y235/J235</f>
        <v/>
      </c>
      <c r="I235" s="472" t="n">
        <v>44985</v>
      </c>
      <c r="J235" t="n">
        <v>4183</v>
      </c>
      <c r="L235" t="n">
        <v>4183</v>
      </c>
      <c r="S235" t="n">
        <v>25512</v>
      </c>
      <c r="T235" s="469">
        <f>S235/L235</f>
        <v/>
      </c>
      <c r="Y235" s="671" t="n">
        <v>1758844</v>
      </c>
      <c r="AA235" s="671" t="n">
        <v>1758844</v>
      </c>
      <c r="AC235" t="inlineStr">
        <is>
          <t>0157129113126</t>
        </is>
      </c>
      <c r="AD235" t="inlineStr">
        <is>
          <t>2023000010732</t>
        </is>
      </c>
      <c r="AE235" t="inlineStr">
        <is>
          <t>STRATUS AMBER CREEK LLC</t>
        </is>
      </c>
      <c r="AF235" t="inlineStr">
        <is>
          <t>WDG AMBER CREEK LLC</t>
        </is>
      </c>
      <c r="AI235" s="245">
        <f>AND(E235=Subj_OccCode,Subj_BldgSF&gt;0,L235&gt;=Subj_BldgSF*(1-Subj_SizeTol),L235&lt;=Subj_BldgSF*(1+Subj_SizeTol))</f>
        <v/>
      </c>
    </row>
    <row r="236" ht="15" customHeight="1">
      <c r="A236" s="248" t="n">
        <v>7</v>
      </c>
      <c r="B236" s="245" t="n">
        <v>228</v>
      </c>
      <c r="C236" t="inlineStr">
        <is>
          <t>R0131307</t>
        </is>
      </c>
      <c r="D236" t="inlineStr">
        <is>
          <t xml:space="preserve">180  BROMLEY BUSINESS PKWY </t>
        </is>
      </c>
      <c r="E236" t="n">
        <v>105</v>
      </c>
      <c r="F236" t="inlineStr">
        <is>
          <t>BRIGHTON</t>
        </is>
      </c>
      <c r="G236" t="inlineStr">
        <is>
          <t>2</t>
        </is>
      </c>
      <c r="H236" s="669">
        <f>Y236/J236</f>
        <v/>
      </c>
      <c r="I236" s="472" t="n">
        <v>44986</v>
      </c>
      <c r="J236" t="n">
        <v>9600</v>
      </c>
      <c r="L236" t="n">
        <v>9600</v>
      </c>
      <c r="M236" t="n">
        <v>2003</v>
      </c>
      <c r="P236" t="inlineStr">
        <is>
          <t>PUD-Bri</t>
        </is>
      </c>
      <c r="R236" t="inlineStr">
        <is>
          <t>Average</t>
        </is>
      </c>
      <c r="S236" t="n">
        <v>309450.24</v>
      </c>
      <c r="T236" s="469">
        <f>S236/L236</f>
        <v/>
      </c>
      <c r="U236" t="inlineStr">
        <is>
          <t>Average</t>
        </is>
      </c>
      <c r="Y236" s="671" t="n">
        <v>13758500</v>
      </c>
      <c r="AA236" s="671" t="n">
        <v>13758500</v>
      </c>
      <c r="AC236" t="inlineStr">
        <is>
          <t>0156911106009</t>
        </is>
      </c>
      <c r="AD236" t="inlineStr">
        <is>
          <t>2023000011280</t>
        </is>
      </c>
      <c r="AE236" t="inlineStr">
        <is>
          <t>PONY EXPRESS MINI STORAGE II LLC</t>
        </is>
      </c>
      <c r="AF236" t="inlineStr">
        <is>
          <t>GC MP BRIGHTON LLC</t>
        </is>
      </c>
      <c r="AI236" s="245">
        <f>AND(E236=Subj_OccCode,Subj_BldgSF&gt;0,L236&gt;=Subj_BldgSF*(1-Subj_SizeTol),L236&lt;=Subj_BldgSF*(1+Subj_SizeTol))</f>
        <v/>
      </c>
    </row>
    <row r="237" ht="15" customHeight="1">
      <c r="A237" s="248" t="n">
        <v>7</v>
      </c>
      <c r="B237" s="245" t="n">
        <v>229</v>
      </c>
      <c r="C237" t="inlineStr">
        <is>
          <t>R0002838</t>
        </is>
      </c>
      <c r="D237" t="inlineStr">
        <is>
          <t xml:space="preserve">15 N MAIN ST </t>
        </is>
      </c>
      <c r="E237" t="n">
        <v>353</v>
      </c>
      <c r="F237" t="inlineStr">
        <is>
          <t>BRIGHTON</t>
        </is>
      </c>
      <c r="G237" t="inlineStr">
        <is>
          <t>2</t>
        </is>
      </c>
      <c r="H237" s="669">
        <f>Y237/J237</f>
        <v/>
      </c>
      <c r="I237" s="472" t="n">
        <v>45009</v>
      </c>
      <c r="J237" t="n">
        <v>4000</v>
      </c>
      <c r="L237" t="n">
        <v>4000</v>
      </c>
      <c r="M237" t="n">
        <v>1917</v>
      </c>
      <c r="P237" t="inlineStr">
        <is>
          <t>DT</t>
        </is>
      </c>
      <c r="R237" t="inlineStr">
        <is>
          <t>Average</t>
        </is>
      </c>
      <c r="S237" t="n">
        <v>10150</v>
      </c>
      <c r="T237" s="469">
        <f>S237/L237</f>
        <v/>
      </c>
      <c r="U237" t="inlineStr">
        <is>
          <t>Average</t>
        </is>
      </c>
      <c r="Y237" s="671" t="n">
        <v>1012000</v>
      </c>
      <c r="AA237" s="671" t="n">
        <v>1012000</v>
      </c>
      <c r="AC237" t="inlineStr">
        <is>
          <t>0156906314010</t>
        </is>
      </c>
      <c r="AD237" t="inlineStr">
        <is>
          <t>2023000015687</t>
        </is>
      </c>
      <c r="AE237" t="inlineStr">
        <is>
          <t>SHELL LLC</t>
        </is>
      </c>
      <c r="AF237" t="inlineStr">
        <is>
          <t>ROTH ERIC</t>
        </is>
      </c>
      <c r="AI237" s="245">
        <f>AND(E237=Subj_OccCode,Subj_BldgSF&gt;0,L237&gt;=Subj_BldgSF*(1-Subj_SizeTol),L237&lt;=Subj_BldgSF*(1+Subj_SizeTol))</f>
        <v/>
      </c>
    </row>
    <row r="238" ht="15" customHeight="1">
      <c r="A238" s="248" t="n">
        <v>7</v>
      </c>
      <c r="B238" s="245" t="n">
        <v>230</v>
      </c>
      <c r="C238" t="inlineStr">
        <is>
          <t>R0024505</t>
        </is>
      </c>
      <c r="D238" t="inlineStr">
        <is>
          <t xml:space="preserve">12040  MELODY DR  </t>
        </is>
      </c>
      <c r="E238" t="n">
        <v>349</v>
      </c>
      <c r="F238" t="inlineStr">
        <is>
          <t>WESTMINSTER</t>
        </is>
      </c>
      <c r="G238" t="inlineStr">
        <is>
          <t>3</t>
        </is>
      </c>
      <c r="H238" s="669">
        <f>Y238/J238</f>
        <v/>
      </c>
      <c r="I238" s="472" t="n">
        <v>44999</v>
      </c>
      <c r="J238" t="n">
        <v>2364</v>
      </c>
      <c r="L238" t="n">
        <v>2364</v>
      </c>
      <c r="M238" t="n">
        <v>1986</v>
      </c>
      <c r="P238" t="inlineStr">
        <is>
          <t>PUD-Wes</t>
        </is>
      </c>
      <c r="R238" t="inlineStr">
        <is>
          <t>Average</t>
        </is>
      </c>
      <c r="S238" t="n">
        <v>36462</v>
      </c>
      <c r="T238" s="469">
        <f>S238/L238</f>
        <v/>
      </c>
      <c r="U238" t="inlineStr">
        <is>
          <t>Average</t>
        </is>
      </c>
      <c r="Y238" s="671" t="n">
        <v>2151400</v>
      </c>
      <c r="AA238" s="671" t="n">
        <v>2151400</v>
      </c>
      <c r="AC238" t="inlineStr">
        <is>
          <t>0157334301003</t>
        </is>
      </c>
      <c r="AD238" t="inlineStr">
        <is>
          <t>2023000017021</t>
        </is>
      </c>
      <c r="AE238" t="inlineStr">
        <is>
          <t>ARCP WY WESTMINSTER CO LLC, C/O RYAN LLC-PTS</t>
        </is>
      </c>
      <c r="AF238" t="inlineStr">
        <is>
          <t>MDC COAST 29 LLC</t>
        </is>
      </c>
      <c r="AI238" s="245">
        <f>AND(E238=Subj_OccCode,Subj_BldgSF&gt;0,L238&gt;=Subj_BldgSF*(1-Subj_SizeTol),L238&lt;=Subj_BldgSF*(1+Subj_SizeTol))</f>
        <v/>
      </c>
    </row>
    <row r="239" ht="15" customHeight="1">
      <c r="A239" s="248" t="n">
        <v>7</v>
      </c>
      <c r="B239" s="245" t="n">
        <v>231</v>
      </c>
      <c r="C239" t="inlineStr">
        <is>
          <t>R0008943</t>
        </is>
      </c>
      <c r="D239" t="inlineStr">
        <is>
          <t>15040  BRIGHTON RD</t>
        </is>
      </c>
      <c r="E239" t="n">
        <v>1332</v>
      </c>
      <c r="F239" t="inlineStr">
        <is>
          <t>BRIGHTON</t>
        </is>
      </c>
      <c r="G239" t="inlineStr">
        <is>
          <t>3</t>
        </is>
      </c>
      <c r="H239" s="669">
        <f>Y239/J239</f>
        <v/>
      </c>
      <c r="I239" s="472" t="n">
        <v>45023</v>
      </c>
      <c r="J239" t="n">
        <v>39</v>
      </c>
      <c r="L239" t="n">
        <v>39</v>
      </c>
      <c r="M239" t="n">
        <v>1983</v>
      </c>
      <c r="P239" t="inlineStr">
        <is>
          <t>PUD-Bri</t>
        </is>
      </c>
      <c r="R239" t="inlineStr">
        <is>
          <t>Average</t>
        </is>
      </c>
      <c r="S239" t="n">
        <v>59459</v>
      </c>
      <c r="T239" s="469">
        <f>S239/L239</f>
        <v/>
      </c>
      <c r="U239" t="inlineStr">
        <is>
          <t>Average</t>
        </is>
      </c>
      <c r="Y239" s="671" t="n">
        <v>2150000</v>
      </c>
      <c r="AA239" s="671" t="n">
        <v>2150000</v>
      </c>
      <c r="AC239" t="inlineStr">
        <is>
          <t>0157113006005</t>
        </is>
      </c>
      <c r="AD239" t="inlineStr">
        <is>
          <t>2023000018941</t>
        </is>
      </c>
      <c r="AE239" t="inlineStr">
        <is>
          <t>HAN CHUN INC</t>
        </is>
      </c>
      <c r="AF239" t="inlineStr">
        <is>
          <t>BRIGHTON ROAD HOTEL LLC</t>
        </is>
      </c>
      <c r="AI239" s="245">
        <f>AND(E239=Subj_OccCode,Subj_BldgSF&gt;0,L239&gt;=Subj_BldgSF*(1-Subj_SizeTol),L239&lt;=Subj_BldgSF*(1+Subj_SizeTol))</f>
        <v/>
      </c>
    </row>
    <row r="240" ht="15" customHeight="1">
      <c r="A240" s="248" t="n">
        <v>7</v>
      </c>
      <c r="B240" s="245" t="n">
        <v>232</v>
      </c>
      <c r="C240" t="inlineStr">
        <is>
          <t>R0211021</t>
        </is>
      </c>
      <c r="D240" t="inlineStr">
        <is>
          <t>100  CENTENNIAL DR</t>
        </is>
      </c>
      <c r="E240" t="n">
        <v>353</v>
      </c>
      <c r="F240" t="inlineStr">
        <is>
          <t>BENNETT</t>
        </is>
      </c>
      <c r="G240" t="inlineStr">
        <is>
          <t>1</t>
        </is>
      </c>
      <c r="H240" s="669">
        <f>Y240/J240</f>
        <v/>
      </c>
      <c r="I240" s="472" t="n">
        <v>45021</v>
      </c>
      <c r="J240" t="n">
        <v>9170</v>
      </c>
      <c r="L240" t="n">
        <v>9170</v>
      </c>
      <c r="M240" t="n">
        <v>2022</v>
      </c>
      <c r="R240" t="inlineStr">
        <is>
          <t>Average</t>
        </is>
      </c>
      <c r="S240" t="n">
        <v>43050</v>
      </c>
      <c r="T240" s="469">
        <f>S240/L240</f>
        <v/>
      </c>
      <c r="U240" t="inlineStr">
        <is>
          <t>Average</t>
        </is>
      </c>
      <c r="Y240" s="671" t="n">
        <v>2482700</v>
      </c>
      <c r="AA240" s="671" t="n">
        <v>2482700</v>
      </c>
      <c r="AC240" t="inlineStr">
        <is>
          <t>0181528401016</t>
        </is>
      </c>
      <c r="AD240" t="inlineStr">
        <is>
          <t>2023000018989</t>
        </is>
      </c>
      <c r="AE240" t="inlineStr">
        <is>
          <t>BENNETT CO DG LLC</t>
        </is>
      </c>
      <c r="AF240" t="inlineStr">
        <is>
          <t>58TH LANE LLC AND, LOMA ALTA COMMONS LLC</t>
        </is>
      </c>
      <c r="AI240" s="245">
        <f>AND(E240=Subj_OccCode,Subj_BldgSF&gt;0,L240&gt;=Subj_BldgSF*(1-Subj_SizeTol),L240&lt;=Subj_BldgSF*(1+Subj_SizeTol))</f>
        <v/>
      </c>
    </row>
    <row r="241" ht="15" customHeight="1">
      <c r="A241" s="248" t="n">
        <v>7</v>
      </c>
      <c r="B241" s="245" t="n">
        <v>233</v>
      </c>
      <c r="C241" t="inlineStr">
        <is>
          <t>R0091298</t>
        </is>
      </c>
      <c r="D241" t="inlineStr">
        <is>
          <t>6171  OLIVE ST</t>
        </is>
      </c>
      <c r="E241" t="n">
        <v>309</v>
      </c>
      <c r="F241" t="inlineStr">
        <is>
          <t>COMMERCE CITY</t>
        </is>
      </c>
      <c r="G241" t="inlineStr">
        <is>
          <t>5</t>
        </is>
      </c>
      <c r="H241" s="669">
        <f>Y241/J241</f>
        <v/>
      </c>
      <c r="I241" s="472" t="n">
        <v>45051</v>
      </c>
      <c r="J241" t="n">
        <v>3338</v>
      </c>
      <c r="L241" t="n">
        <v>3338</v>
      </c>
      <c r="M241" t="n">
        <v>1942</v>
      </c>
      <c r="P241" t="inlineStr">
        <is>
          <t>R-2-Com</t>
        </is>
      </c>
      <c r="R241" t="inlineStr">
        <is>
          <t>Average</t>
        </is>
      </c>
      <c r="S241" t="n">
        <v>21150</v>
      </c>
      <c r="T241" s="469">
        <f>S241/L241</f>
        <v/>
      </c>
      <c r="U241" t="inlineStr">
        <is>
          <t>Average</t>
        </is>
      </c>
      <c r="Y241" s="671" t="n">
        <v>450000</v>
      </c>
      <c r="AA241" s="671" t="n">
        <v>450000</v>
      </c>
      <c r="AC241" t="inlineStr">
        <is>
          <t>0182308114018</t>
        </is>
      </c>
      <c r="AD241" t="inlineStr">
        <is>
          <t>2023000025227</t>
        </is>
      </c>
      <c r="AE241" t="inlineStr">
        <is>
          <t>DANKO-HOLLOWAY LLC</t>
        </is>
      </c>
      <c r="AF241" t="inlineStr">
        <is>
          <t>SALGADO RETANA MOISES AND, SALGADO RETANA MIRIAM</t>
        </is>
      </c>
      <c r="AI241" s="245">
        <f>AND(E241=Subj_OccCode,Subj_BldgSF&gt;0,L241&gt;=Subj_BldgSF*(1-Subj_SizeTol),L241&lt;=Subj_BldgSF*(1+Subj_SizeTol))</f>
        <v/>
      </c>
    </row>
    <row r="242" ht="15" customHeight="1">
      <c r="A242" s="248" t="n">
        <v>7</v>
      </c>
      <c r="B242" s="245" t="n">
        <v>234</v>
      </c>
      <c r="C242" t="inlineStr">
        <is>
          <t>R0165147</t>
        </is>
      </c>
      <c r="D242" t="inlineStr">
        <is>
          <t xml:space="preserve">4455 W 58TH AVE B </t>
        </is>
      </c>
      <c r="E242" t="n">
        <v>425</v>
      </c>
      <c r="F242" t="inlineStr">
        <is>
          <t>ARVADA</t>
        </is>
      </c>
      <c r="G242" t="inlineStr">
        <is>
          <t>5</t>
        </is>
      </c>
      <c r="H242" s="669">
        <f>Y242/J242</f>
        <v/>
      </c>
      <c r="I242" s="472" t="n">
        <v>45051</v>
      </c>
      <c r="J242" t="n">
        <v>12100</v>
      </c>
      <c r="L242" t="n">
        <v>12100</v>
      </c>
      <c r="M242" t="n">
        <v>2005</v>
      </c>
      <c r="P242" t="inlineStr">
        <is>
          <t>I-1-Arv</t>
        </is>
      </c>
      <c r="R242" t="inlineStr">
        <is>
          <t>Average</t>
        </is>
      </c>
      <c r="S242" t="n">
        <v>8395</v>
      </c>
      <c r="T242" s="469">
        <f>S242/L242</f>
        <v/>
      </c>
      <c r="U242" t="inlineStr">
        <is>
          <t>Average</t>
        </is>
      </c>
      <c r="Y242" s="671" t="n">
        <v>1150000</v>
      </c>
      <c r="AA242" s="671" t="n">
        <v>1150000</v>
      </c>
      <c r="AC242" t="inlineStr">
        <is>
          <t>0182507305007</t>
        </is>
      </c>
      <c r="AD242" t="inlineStr">
        <is>
          <t>2023000025629</t>
        </is>
      </c>
      <c r="AE242" t="inlineStr">
        <is>
          <t>WA WOOD SHOP LLC</t>
        </is>
      </c>
      <c r="AF242" t="inlineStr">
        <is>
          <t>MDSK HOLDINGS LLC</t>
        </is>
      </c>
      <c r="AI242" s="245">
        <f>AND(E242=Subj_OccCode,Subj_BldgSF&gt;0,L242&gt;=Subj_BldgSF*(1-Subj_SizeTol),L242&lt;=Subj_BldgSF*(1+Subj_SizeTol))</f>
        <v/>
      </c>
    </row>
    <row r="243" ht="15" customHeight="1">
      <c r="A243" s="248" t="n">
        <v>7</v>
      </c>
      <c r="B243" s="245" t="n">
        <v>235</v>
      </c>
      <c r="C243" t="inlineStr">
        <is>
          <t>R0165148</t>
        </is>
      </c>
      <c r="D243" t="inlineStr">
        <is>
          <t>4455 W 58TH AVE C</t>
        </is>
      </c>
      <c r="E243" t="n">
        <v>425</v>
      </c>
      <c r="F243" t="inlineStr">
        <is>
          <t>ARVADA</t>
        </is>
      </c>
      <c r="G243" t="inlineStr">
        <is>
          <t>5</t>
        </is>
      </c>
      <c r="H243" s="669">
        <f>Y243/J243</f>
        <v/>
      </c>
      <c r="I243" s="472" t="n">
        <v>45051</v>
      </c>
      <c r="J243" t="n">
        <v>12100</v>
      </c>
      <c r="L243" t="n">
        <v>12100</v>
      </c>
      <c r="M243" t="n">
        <v>2005</v>
      </c>
      <c r="P243" t="inlineStr">
        <is>
          <t>I-1-Arv</t>
        </is>
      </c>
      <c r="R243" t="inlineStr">
        <is>
          <t>Average</t>
        </is>
      </c>
      <c r="S243" t="n">
        <v>8395</v>
      </c>
      <c r="T243" s="469">
        <f>S243/L243</f>
        <v/>
      </c>
      <c r="U243" t="inlineStr">
        <is>
          <t>Average</t>
        </is>
      </c>
      <c r="Y243" s="671" t="n">
        <v>1150000</v>
      </c>
      <c r="AA243" s="671" t="n">
        <v>1150000</v>
      </c>
      <c r="AC243" t="inlineStr">
        <is>
          <t>0182507305008</t>
        </is>
      </c>
      <c r="AD243" t="inlineStr">
        <is>
          <t>2023000025629</t>
        </is>
      </c>
      <c r="AE243" t="inlineStr">
        <is>
          <t>WA WOOD SHOP LLC</t>
        </is>
      </c>
      <c r="AF243" t="inlineStr">
        <is>
          <t>MDSK HOLDINGS LLC</t>
        </is>
      </c>
      <c r="AI243" s="245">
        <f>AND(E243=Subj_OccCode,Subj_BldgSF&gt;0,L243&gt;=Subj_BldgSF*(1-Subj_SizeTol),L243&lt;=Subj_BldgSF*(1+Subj_SizeTol))</f>
        <v/>
      </c>
    </row>
    <row r="244" ht="15" customHeight="1">
      <c r="A244" s="248" t="n">
        <v>7</v>
      </c>
      <c r="B244" s="245" t="n">
        <v>236</v>
      </c>
      <c r="C244" t="inlineStr">
        <is>
          <t>R0202445</t>
        </is>
      </c>
      <c r="D244" t="inlineStr">
        <is>
          <t>1210 E 73RD AVE</t>
        </is>
      </c>
      <c r="E244" t="n">
        <v>407</v>
      </c>
      <c r="G244" t="inlineStr">
        <is>
          <t>5</t>
        </is>
      </c>
      <c r="H244" s="669">
        <f>Y244/J244</f>
        <v/>
      </c>
      <c r="I244" s="472" t="n">
        <v>45055</v>
      </c>
      <c r="J244" t="n">
        <v>41280</v>
      </c>
      <c r="L244" t="n">
        <v>41280</v>
      </c>
      <c r="M244" t="n">
        <v>2020</v>
      </c>
      <c r="R244" t="inlineStr">
        <is>
          <t>Average</t>
        </is>
      </c>
      <c r="S244" t="n">
        <v>130185</v>
      </c>
      <c r="T244" s="469">
        <f>S244/L244</f>
        <v/>
      </c>
      <c r="U244" t="inlineStr">
        <is>
          <t>Average</t>
        </is>
      </c>
      <c r="Y244" s="671" t="n">
        <v>39559000</v>
      </c>
      <c r="AA244" s="671" t="n">
        <v>39559000</v>
      </c>
      <c r="AC244" t="inlineStr">
        <is>
          <t>0171935303028</t>
        </is>
      </c>
      <c r="AD244" t="inlineStr">
        <is>
          <t>2023000026193</t>
        </is>
      </c>
      <c r="AE244" t="inlineStr">
        <is>
          <t>CENTRAL CONNECTION LLC</t>
        </is>
      </c>
      <c r="AF244" t="inlineStr">
        <is>
          <t>GFP CL DENVER 1210 + 1550 LLC AND, C/O EVERWEST ADVISORS LLC</t>
        </is>
      </c>
      <c r="AI244" s="245">
        <f>AND(E244=Subj_OccCode,Subj_BldgSF&gt;0,L244&gt;=Subj_BldgSF*(1-Subj_SizeTol),L244&lt;=Subj_BldgSF*(1+Subj_SizeTol))</f>
        <v/>
      </c>
    </row>
    <row r="245" ht="15" customHeight="1">
      <c r="A245" s="248" t="n">
        <v>7</v>
      </c>
      <c r="B245" s="245" t="n">
        <v>237</v>
      </c>
      <c r="C245" t="inlineStr">
        <is>
          <t>R0201981</t>
        </is>
      </c>
      <c r="D245" t="inlineStr">
        <is>
          <t>1550 E 73RD AVE</t>
        </is>
      </c>
      <c r="E245" t="n">
        <v>407</v>
      </c>
      <c r="G245" t="inlineStr">
        <is>
          <t>5</t>
        </is>
      </c>
      <c r="H245" s="669">
        <f>Y245/J245</f>
        <v/>
      </c>
      <c r="I245" s="472" t="n">
        <v>45055</v>
      </c>
      <c r="J245" t="n">
        <v>153300</v>
      </c>
      <c r="L245" t="n">
        <v>153300</v>
      </c>
      <c r="M245" t="n">
        <v>2020</v>
      </c>
      <c r="R245" t="inlineStr">
        <is>
          <t>Average</t>
        </is>
      </c>
      <c r="S245" t="n">
        <v>491862</v>
      </c>
      <c r="T245" s="469">
        <f>S245/L245</f>
        <v/>
      </c>
      <c r="U245" t="inlineStr">
        <is>
          <t>Average</t>
        </is>
      </c>
      <c r="Y245" s="671" t="n">
        <v>39559000</v>
      </c>
      <c r="AA245" s="671" t="n">
        <v>39559000</v>
      </c>
      <c r="AC245" t="inlineStr">
        <is>
          <t>0171935304011</t>
        </is>
      </c>
      <c r="AD245" t="inlineStr">
        <is>
          <t>2023000026193</t>
        </is>
      </c>
      <c r="AE245" t="inlineStr">
        <is>
          <t>CENTRAL CONNECTION LLC</t>
        </is>
      </c>
      <c r="AF245" t="inlineStr">
        <is>
          <t>GFP CL DENVER 1210 + 1550 LLC AND, C/O EVERWEST ADVISORS LLC</t>
        </is>
      </c>
      <c r="AI245" s="245">
        <f>AND(E245=Subj_OccCode,Subj_BldgSF&gt;0,L245&gt;=Subj_BldgSF*(1-Subj_SizeTol),L245&lt;=Subj_BldgSF*(1+Subj_SizeTol))</f>
        <v/>
      </c>
    </row>
    <row r="246" ht="15" customHeight="1">
      <c r="A246" s="248" t="n">
        <v>7</v>
      </c>
      <c r="B246" s="245" t="n">
        <v>238</v>
      </c>
      <c r="C246" t="inlineStr">
        <is>
          <t>R0099664</t>
        </is>
      </c>
      <c r="D246" t="inlineStr">
        <is>
          <t>6990  FEDERAL BLVD</t>
        </is>
      </c>
      <c r="E246" t="n">
        <v>353</v>
      </c>
      <c r="G246" t="inlineStr">
        <is>
          <t>5</t>
        </is>
      </c>
      <c r="H246" s="669">
        <f>Y246/J246</f>
        <v/>
      </c>
      <c r="I246" s="472" t="n">
        <v>45061</v>
      </c>
      <c r="J246" t="n">
        <v>1724</v>
      </c>
      <c r="L246" t="n">
        <v>1724</v>
      </c>
      <c r="M246" t="n">
        <v>1967</v>
      </c>
      <c r="P246" t="inlineStr">
        <is>
          <t>Industrial</t>
        </is>
      </c>
      <c r="R246" t="inlineStr">
        <is>
          <t>Average</t>
        </is>
      </c>
      <c r="S246" t="n">
        <v>43004</v>
      </c>
      <c r="T246" s="469">
        <f>S246/L246</f>
        <v/>
      </c>
      <c r="U246" t="inlineStr">
        <is>
          <t>Average</t>
        </is>
      </c>
      <c r="Y246" s="671" t="n">
        <v>1170550</v>
      </c>
      <c r="AA246" s="671" t="n">
        <v>1170550</v>
      </c>
      <c r="AC246" t="inlineStr">
        <is>
          <t>0182505100021</t>
        </is>
      </c>
      <c r="AD246" t="inlineStr">
        <is>
          <t>2023000027381</t>
        </is>
      </c>
      <c r="AE246" t="inlineStr">
        <is>
          <t>6990 FEDERAL BLVD LLC</t>
        </is>
      </c>
      <c r="AF246" t="inlineStr">
        <is>
          <t>DENVER FOOD &amp; GAS LLC</t>
        </is>
      </c>
      <c r="AI246" s="245">
        <f>AND(E246=Subj_OccCode,Subj_BldgSF&gt;0,L246&gt;=Subj_BldgSF*(1-Subj_SizeTol),L246&lt;=Subj_BldgSF*(1+Subj_SizeTol))</f>
        <v/>
      </c>
    </row>
    <row r="247" ht="15" customHeight="1">
      <c r="A247" s="248" t="n">
        <v>7</v>
      </c>
      <c r="B247" s="245" t="n">
        <v>239</v>
      </c>
      <c r="C247" t="inlineStr">
        <is>
          <t>R0037745</t>
        </is>
      </c>
      <c r="D247" t="inlineStr">
        <is>
          <t xml:space="preserve">11155  IRMA DR  </t>
        </is>
      </c>
      <c r="E247" t="n">
        <v>434</v>
      </c>
      <c r="F247" t="inlineStr">
        <is>
          <t>NORTHGLENN</t>
        </is>
      </c>
      <c r="G247" t="inlineStr">
        <is>
          <t>4</t>
        </is>
      </c>
      <c r="H247" s="669">
        <f>Y247/J247</f>
        <v/>
      </c>
      <c r="I247" s="472" t="n">
        <v>45098</v>
      </c>
      <c r="J247" t="n">
        <v>2640</v>
      </c>
      <c r="L247" t="n">
        <v>2640</v>
      </c>
      <c r="M247" t="n">
        <v>1970</v>
      </c>
      <c r="P247" t="inlineStr">
        <is>
          <t>R-1-C-Nor</t>
        </is>
      </c>
      <c r="R247" t="inlineStr">
        <is>
          <t>Average</t>
        </is>
      </c>
      <c r="S247" t="n">
        <v>26550</v>
      </c>
      <c r="T247" s="469">
        <f>S247/L247</f>
        <v/>
      </c>
      <c r="U247" t="inlineStr">
        <is>
          <t>Average</t>
        </is>
      </c>
      <c r="Y247" s="671" t="n">
        <v>670000</v>
      </c>
      <c r="AA247" s="671" t="n">
        <v>670000</v>
      </c>
      <c r="AC247" t="inlineStr">
        <is>
          <t>0171911103015</t>
        </is>
      </c>
      <c r="AD247" t="inlineStr">
        <is>
          <t>2023000035174</t>
        </is>
      </c>
      <c r="AE247" t="inlineStr">
        <is>
          <t>BLANCO PROPERTIES IRMA LLC</t>
        </is>
      </c>
      <c r="AF247" t="inlineStr">
        <is>
          <t>METROPOLITAN DENVER NORTH ISLAMIC CENTER</t>
        </is>
      </c>
      <c r="AI247" s="245">
        <f>AND(E247=Subj_OccCode,Subj_BldgSF&gt;0,L247&gt;=Subj_BldgSF*(1-Subj_SizeTol),L247&lt;=Subj_BldgSF*(1+Subj_SizeTol))</f>
        <v/>
      </c>
    </row>
    <row r="248" ht="15" customHeight="1">
      <c r="A248" s="248" t="n">
        <v>7</v>
      </c>
      <c r="B248" s="245" t="n">
        <v>240</v>
      </c>
      <c r="C248" t="inlineStr">
        <is>
          <t>R0040835</t>
        </is>
      </c>
      <c r="D248" t="inlineStr">
        <is>
          <t xml:space="preserve">1400 E 104TH AVE </t>
        </is>
      </c>
      <c r="E248" t="n">
        <v>319</v>
      </c>
      <c r="F248" t="inlineStr">
        <is>
          <t>THORNTON</t>
        </is>
      </c>
      <c r="G248" t="inlineStr">
        <is>
          <t>4</t>
        </is>
      </c>
      <c r="H248" s="669">
        <f>Y248/J248</f>
        <v/>
      </c>
      <c r="I248" s="472" t="n">
        <v>45107</v>
      </c>
      <c r="J248" t="n">
        <v>192532</v>
      </c>
      <c r="L248" t="n">
        <v>192532</v>
      </c>
      <c r="M248" t="n">
        <v>1994</v>
      </c>
      <c r="P248" t="inlineStr">
        <is>
          <t>Community Retail</t>
        </is>
      </c>
      <c r="R248" t="inlineStr">
        <is>
          <t>Average</t>
        </is>
      </c>
      <c r="S248" t="n">
        <v>1009721</v>
      </c>
      <c r="T248" s="469">
        <f>S248/L248</f>
        <v/>
      </c>
      <c r="U248" t="inlineStr">
        <is>
          <t>Average</t>
        </is>
      </c>
      <c r="Y248" s="671" t="n">
        <v>16500000</v>
      </c>
      <c r="AA248" s="671" t="n">
        <v>16500000</v>
      </c>
      <c r="AC248" t="inlineStr">
        <is>
          <t>0171914203002</t>
        </is>
      </c>
      <c r="AD248" t="inlineStr">
        <is>
          <t>2023000037173</t>
        </is>
      </c>
      <c r="AE248" t="inlineStr">
        <is>
          <t>SERITAGE KMT FINANCE LLC</t>
        </is>
      </c>
      <c r="AF248" t="inlineStr">
        <is>
          <t>COLORADO RETAIL STORES LLC</t>
        </is>
      </c>
      <c r="AI248" s="245">
        <f>AND(E248=Subj_OccCode,Subj_BldgSF&gt;0,L248&gt;=Subj_BldgSF*(1-Subj_SizeTol),L248&lt;=Subj_BldgSF*(1+Subj_SizeTol))</f>
        <v/>
      </c>
    </row>
    <row r="249" ht="15" customHeight="1">
      <c r="A249" s="248" t="n">
        <v>7</v>
      </c>
      <c r="B249" s="245" t="n">
        <v>241</v>
      </c>
      <c r="C249" t="inlineStr">
        <is>
          <t>R0217191</t>
        </is>
      </c>
      <c r="D249" t="inlineStr">
        <is>
          <t xml:space="preserve">9201  FEDERAL BLVD </t>
        </is>
      </c>
      <c r="E249" t="n">
        <v>419</v>
      </c>
      <c r="F249" t="inlineStr">
        <is>
          <t>WESTMINSTER</t>
        </is>
      </c>
      <c r="G249" t="inlineStr">
        <is>
          <t>4</t>
        </is>
      </c>
      <c r="H249" s="669">
        <f>Y249/J249</f>
        <v/>
      </c>
      <c r="I249" s="472" t="n">
        <v>45106</v>
      </c>
      <c r="J249" t="n">
        <v>2640</v>
      </c>
      <c r="L249" t="n">
        <v>2640</v>
      </c>
      <c r="M249" t="n">
        <v>1984</v>
      </c>
      <c r="R249" t="inlineStr">
        <is>
          <t>Average</t>
        </is>
      </c>
      <c r="T249" s="469">
        <f>S249/L249</f>
        <v/>
      </c>
      <c r="U249" t="inlineStr">
        <is>
          <t>Average</t>
        </is>
      </c>
      <c r="Y249" s="671" t="n">
        <v>1000000</v>
      </c>
      <c r="AA249" s="671" t="n">
        <v>1000000</v>
      </c>
      <c r="AC249" t="inlineStr">
        <is>
          <t>0171920218050</t>
        </is>
      </c>
      <c r="AD249" t="inlineStr">
        <is>
          <t>2023000037451</t>
        </is>
      </c>
      <c r="AE249" t="inlineStr">
        <is>
          <t>QCSIF SIX LLC, C/O IEQ MANAGEMENT INC</t>
        </is>
      </c>
      <c r="AF249" t="inlineStr">
        <is>
          <t>9201 FEDERAL LLC</t>
        </is>
      </c>
      <c r="AI249" s="245">
        <f>AND(E249=Subj_OccCode,Subj_BldgSF&gt;0,L249&gt;=Subj_BldgSF*(1-Subj_SizeTol),L249&lt;=Subj_BldgSF*(1+Subj_SizeTol))</f>
        <v/>
      </c>
    </row>
    <row r="250" ht="15" customHeight="1">
      <c r="A250" s="248" t="n">
        <v>7</v>
      </c>
      <c r="B250" s="245" t="n">
        <v>242</v>
      </c>
      <c r="C250" t="inlineStr">
        <is>
          <t>R0110788</t>
        </is>
      </c>
      <c r="D250" t="inlineStr">
        <is>
          <t xml:space="preserve">5333 E 58TH AVE  </t>
        </is>
      </c>
      <c r="E250" t="n">
        <v>387</v>
      </c>
      <c r="F250" t="inlineStr">
        <is>
          <t>COMMERCE CITY</t>
        </is>
      </c>
      <c r="G250" t="inlineStr">
        <is>
          <t>5</t>
        </is>
      </c>
      <c r="H250" s="669">
        <f>Y250/J250</f>
        <v/>
      </c>
      <c r="I250" s="472" t="n">
        <v>45114</v>
      </c>
      <c r="J250" t="n">
        <v>1102</v>
      </c>
      <c r="L250" t="n">
        <v>1102</v>
      </c>
      <c r="M250" t="n">
        <v>1974</v>
      </c>
      <c r="P250" t="inlineStr">
        <is>
          <t>I-1-Com</t>
        </is>
      </c>
      <c r="R250" t="inlineStr">
        <is>
          <t>Average</t>
        </is>
      </c>
      <c r="S250" t="n">
        <v>449287</v>
      </c>
      <c r="T250" s="469">
        <f>S250/L250</f>
        <v/>
      </c>
      <c r="U250" t="inlineStr">
        <is>
          <t>Average</t>
        </is>
      </c>
      <c r="Y250" s="671" t="n">
        <v>7300000</v>
      </c>
      <c r="AA250" s="671" t="n">
        <v>7300000</v>
      </c>
      <c r="AC250" t="inlineStr">
        <is>
          <t>0182307404007</t>
        </is>
      </c>
      <c r="AD250" t="inlineStr">
        <is>
          <t>2023000038155</t>
        </is>
      </c>
      <c r="AE250" t="inlineStr">
        <is>
          <t>OVERLAND LEASING LLC</t>
        </is>
      </c>
      <c r="AF250" t="inlineStr">
        <is>
          <t>OLD DOMINION FREIGHT LINE INC</t>
        </is>
      </c>
      <c r="AI250" s="245">
        <f>AND(E250=Subj_OccCode,Subj_BldgSF&gt;0,L250&gt;=Subj_BldgSF*(1-Subj_SizeTol),L250&lt;=Subj_BldgSF*(1+Subj_SizeTol))</f>
        <v/>
      </c>
    </row>
    <row r="251" ht="15" customHeight="1">
      <c r="A251" s="248" t="n">
        <v>7</v>
      </c>
      <c r="B251" s="245" t="n">
        <v>243</v>
      </c>
      <c r="C251" t="inlineStr">
        <is>
          <t>R0094487</t>
        </is>
      </c>
      <c r="D251" t="inlineStr">
        <is>
          <t xml:space="preserve">9655 E 25TH AVE 108 </t>
        </is>
      </c>
      <c r="E251" t="n">
        <v>425</v>
      </c>
      <c r="F251" t="inlineStr">
        <is>
          <t>AURORA</t>
        </is>
      </c>
      <c r="G251" t="inlineStr">
        <is>
          <t>6</t>
        </is>
      </c>
      <c r="H251" s="669">
        <f>Y251/J251</f>
        <v/>
      </c>
      <c r="I251" s="472" t="n">
        <v>45138</v>
      </c>
      <c r="J251" t="n">
        <v>16192</v>
      </c>
      <c r="L251" t="n">
        <v>16192</v>
      </c>
      <c r="M251" t="n">
        <v>1984</v>
      </c>
      <c r="P251" t="inlineStr">
        <is>
          <t>OA-G</t>
        </is>
      </c>
      <c r="R251" t="inlineStr">
        <is>
          <t>Average</t>
        </is>
      </c>
      <c r="S251" t="n">
        <v>5095</v>
      </c>
      <c r="T251" s="469">
        <f>S251/L251</f>
        <v/>
      </c>
      <c r="U251" t="inlineStr">
        <is>
          <t>Average</t>
        </is>
      </c>
      <c r="Y251" s="671" t="n">
        <v>900000</v>
      </c>
      <c r="AA251" s="671" t="n">
        <v>900000</v>
      </c>
      <c r="AC251" t="inlineStr">
        <is>
          <t>0182334201031</t>
        </is>
      </c>
      <c r="AD251" t="inlineStr">
        <is>
          <t>2023000043597</t>
        </is>
      </c>
      <c r="AE251" t="inlineStr">
        <is>
          <t>JOYCE JOHN</t>
        </is>
      </c>
      <c r="AF251" t="inlineStr">
        <is>
          <t>KURTEX INC</t>
        </is>
      </c>
      <c r="AI251" s="245">
        <f>AND(E251=Subj_OccCode,Subj_BldgSF&gt;0,L251&gt;=Subj_BldgSF*(1-Subj_SizeTol),L251&lt;=Subj_BldgSF*(1+Subj_SizeTol))</f>
        <v/>
      </c>
    </row>
    <row r="252" ht="15" customHeight="1">
      <c r="A252" s="248" t="n">
        <v>7</v>
      </c>
      <c r="B252" s="245" t="n">
        <v>244</v>
      </c>
      <c r="C252" t="inlineStr">
        <is>
          <t>R0094488</t>
        </is>
      </c>
      <c r="D252" t="inlineStr">
        <is>
          <t>9655 E 25TH AVE 109</t>
        </is>
      </c>
      <c r="E252" t="n">
        <v>425</v>
      </c>
      <c r="F252" t="inlineStr">
        <is>
          <t>AURORA</t>
        </is>
      </c>
      <c r="G252" t="inlineStr">
        <is>
          <t>6</t>
        </is>
      </c>
      <c r="H252" s="669">
        <f>Y252/J252</f>
        <v/>
      </c>
      <c r="I252" s="472" t="n">
        <v>45138</v>
      </c>
      <c r="J252" t="n">
        <v>16192</v>
      </c>
      <c r="L252" t="n">
        <v>16192</v>
      </c>
      <c r="M252" t="n">
        <v>1984</v>
      </c>
      <c r="P252" t="inlineStr">
        <is>
          <t>OA-G</t>
        </is>
      </c>
      <c r="R252" t="inlineStr">
        <is>
          <t>Average</t>
        </is>
      </c>
      <c r="S252" t="n">
        <v>5095</v>
      </c>
      <c r="T252" s="469">
        <f>S252/L252</f>
        <v/>
      </c>
      <c r="U252" t="inlineStr">
        <is>
          <t>Average</t>
        </is>
      </c>
      <c r="Y252" s="671" t="n">
        <v>900000</v>
      </c>
      <c r="AA252" s="671" t="n">
        <v>900000</v>
      </c>
      <c r="AC252" t="inlineStr">
        <is>
          <t>0182334201032</t>
        </is>
      </c>
      <c r="AD252" t="inlineStr">
        <is>
          <t>2023000043597</t>
        </is>
      </c>
      <c r="AE252" t="inlineStr">
        <is>
          <t>JOYCE JOHN</t>
        </is>
      </c>
      <c r="AF252" t="inlineStr">
        <is>
          <t>KURTEX INC</t>
        </is>
      </c>
      <c r="AI252" s="245">
        <f>AND(E252=Subj_OccCode,Subj_BldgSF&gt;0,L252&gt;=Subj_BldgSF*(1-Subj_SizeTol),L252&lt;=Subj_BldgSF*(1+Subj_SizeTol))</f>
        <v/>
      </c>
    </row>
    <row r="253" ht="15" customHeight="1">
      <c r="A253" s="248" t="n">
        <v>7</v>
      </c>
      <c r="B253" s="245" t="n">
        <v>245</v>
      </c>
      <c r="C253" t="inlineStr">
        <is>
          <t>R0221601</t>
        </is>
      </c>
      <c r="D253" t="inlineStr">
        <is>
          <t xml:space="preserve">11455  HURON ST </t>
        </is>
      </c>
      <c r="E253" t="n">
        <v>331</v>
      </c>
      <c r="F253" t="inlineStr">
        <is>
          <t>WESTMINSTER</t>
        </is>
      </c>
      <c r="G253" t="inlineStr">
        <is>
          <t>4</t>
        </is>
      </c>
      <c r="H253" s="669">
        <f>Y253/J253</f>
        <v/>
      </c>
      <c r="I253" s="472" t="n">
        <v>45155</v>
      </c>
      <c r="J253" t="n">
        <v>99497</v>
      </c>
      <c r="L253" t="n">
        <v>99497</v>
      </c>
      <c r="S253" t="n">
        <v>479913</v>
      </c>
      <c r="T253" s="469">
        <f>S253/L253</f>
        <v/>
      </c>
      <c r="Y253" s="671" t="n">
        <v>2740300</v>
      </c>
      <c r="AA253" s="671" t="n">
        <v>2740300</v>
      </c>
      <c r="AC253" t="inlineStr">
        <is>
          <t>0171904408004</t>
        </is>
      </c>
      <c r="AD253" t="inlineStr">
        <is>
          <t>2023000047095</t>
        </is>
      </c>
      <c r="AE253" t="inlineStr">
        <is>
          <t>TRI-STATE GENERATION AND, TRANSMISSION ASSOCIATION INC</t>
        </is>
      </c>
      <c r="AF253" t="inlineStr">
        <is>
          <t>ACADIA - SCL HEALTH JV LLC, C/O ACADIA HEALTHCARAE COMPANY INC</t>
        </is>
      </c>
      <c r="AI253" s="245">
        <f>AND(E253=Subj_OccCode,Subj_BldgSF&gt;0,L253&gt;=Subj_BldgSF*(1-Subj_SizeTol),L253&lt;=Subj_BldgSF*(1+Subj_SizeTol))</f>
        <v/>
      </c>
    </row>
    <row r="254" ht="15" customHeight="1">
      <c r="A254" s="248" t="n">
        <v>7</v>
      </c>
      <c r="B254" s="245" t="n">
        <v>246</v>
      </c>
      <c r="C254" t="inlineStr">
        <is>
          <t>R0079773</t>
        </is>
      </c>
      <c r="D254" t="inlineStr">
        <is>
          <t xml:space="preserve">7390  HIGHWAY 2 </t>
        </is>
      </c>
      <c r="E254" t="n">
        <v>442</v>
      </c>
      <c r="F254" t="inlineStr">
        <is>
          <t>COMMERCE CITY</t>
        </is>
      </c>
      <c r="G254" t="inlineStr">
        <is>
          <t>5</t>
        </is>
      </c>
      <c r="H254" s="669">
        <f>Y254/J254</f>
        <v/>
      </c>
      <c r="I254" s="472" t="n">
        <v>45159</v>
      </c>
      <c r="J254" t="n">
        <v>1740</v>
      </c>
      <c r="L254" t="n">
        <v>1740</v>
      </c>
      <c r="M254" t="n">
        <v>1933</v>
      </c>
      <c r="P254" t="inlineStr">
        <is>
          <t>PUD-Com</t>
        </is>
      </c>
      <c r="R254" t="inlineStr">
        <is>
          <t>Average</t>
        </is>
      </c>
      <c r="S254" t="n">
        <v>10500</v>
      </c>
      <c r="T254" s="469">
        <f>S254/L254</f>
        <v/>
      </c>
      <c r="U254" t="inlineStr">
        <is>
          <t>Fair</t>
        </is>
      </c>
      <c r="Y254" s="671" t="n">
        <v>400000</v>
      </c>
      <c r="AA254" s="671" t="n">
        <v>400000</v>
      </c>
      <c r="AC254" t="inlineStr">
        <is>
          <t>0172132415006</t>
        </is>
      </c>
      <c r="AD254" t="inlineStr">
        <is>
          <t>2023000047762</t>
        </is>
      </c>
      <c r="AE254" t="inlineStr">
        <is>
          <t>VANDEWEGHE BEVERLY LIVING TRUST THE</t>
        </is>
      </c>
      <c r="AF254" t="inlineStr">
        <is>
          <t>MUNOZ ROGELIO AND, MUNOZ ALICIA</t>
        </is>
      </c>
      <c r="AI254" s="245">
        <f>AND(E254=Subj_OccCode,Subj_BldgSF&gt;0,L254&gt;=Subj_BldgSF*(1-Subj_SizeTol),L254&lt;=Subj_BldgSF*(1+Subj_SizeTol))</f>
        <v/>
      </c>
    </row>
    <row r="255" ht="15" customHeight="1">
      <c r="A255" s="248" t="n">
        <v>7</v>
      </c>
      <c r="B255" s="245" t="n">
        <v>247</v>
      </c>
      <c r="C255" t="inlineStr">
        <is>
          <t>R0179853</t>
        </is>
      </c>
      <c r="D255" t="inlineStr">
        <is>
          <t>11885  BRADBURN BLVD</t>
        </is>
      </c>
      <c r="E255" t="n">
        <v>718</v>
      </c>
      <c r="F255" t="inlineStr">
        <is>
          <t>WESTMINSTER</t>
        </is>
      </c>
      <c r="G255" t="inlineStr">
        <is>
          <t>3</t>
        </is>
      </c>
      <c r="H255" s="669">
        <f>Y255/J255</f>
        <v/>
      </c>
      <c r="I255" s="472" t="n">
        <v>45184</v>
      </c>
      <c r="J255" t="n">
        <v>12824</v>
      </c>
      <c r="L255" t="n">
        <v>12824</v>
      </c>
      <c r="M255" t="n">
        <v>2012</v>
      </c>
      <c r="P255" t="inlineStr">
        <is>
          <t>PUD-Wes</t>
        </is>
      </c>
      <c r="R255" t="inlineStr">
        <is>
          <t>Average</t>
        </is>
      </c>
      <c r="S255" t="n">
        <v>96632</v>
      </c>
      <c r="T255" s="469">
        <f>S255/L255</f>
        <v/>
      </c>
      <c r="U255" t="inlineStr">
        <is>
          <t>Average</t>
        </is>
      </c>
      <c r="Y255" s="671" t="n">
        <v>3330000</v>
      </c>
      <c r="AA255" s="671" t="n">
        <v>3330000</v>
      </c>
      <c r="AC255" t="inlineStr">
        <is>
          <t>0171906107040</t>
        </is>
      </c>
      <c r="AD255" t="inlineStr">
        <is>
          <t>2023000052717</t>
        </is>
      </c>
      <c r="AE255" t="inlineStr">
        <is>
          <t>EXPLORER BRADBURN PROPERTY LLC</t>
        </is>
      </c>
      <c r="AF255" t="inlineStr">
        <is>
          <t>MANIHANI MOHINDER AND, SINGH RAVINDER</t>
        </is>
      </c>
      <c r="AI255" s="245">
        <f>AND(E255=Subj_OccCode,Subj_BldgSF&gt;0,L255&gt;=Subj_BldgSF*(1-Subj_SizeTol),L255&lt;=Subj_BldgSF*(1+Subj_SizeTol))</f>
        <v/>
      </c>
    </row>
    <row r="256" ht="15" customHeight="1">
      <c r="A256" s="248" t="n">
        <v>7</v>
      </c>
      <c r="B256" s="245" t="n">
        <v>248</v>
      </c>
      <c r="C256" t="inlineStr">
        <is>
          <t>R0003476</t>
        </is>
      </c>
      <c r="D256" t="inlineStr">
        <is>
          <t xml:space="preserve">716  BRIDGE ST </t>
        </is>
      </c>
      <c r="E256" t="n">
        <v>344</v>
      </c>
      <c r="F256" t="inlineStr">
        <is>
          <t>BRIGHTON</t>
        </is>
      </c>
      <c r="G256" t="inlineStr">
        <is>
          <t>2</t>
        </is>
      </c>
      <c r="H256" s="669">
        <f>Y256/J256</f>
        <v/>
      </c>
      <c r="I256" s="472" t="n">
        <v>45184</v>
      </c>
      <c r="J256" t="n">
        <v>2600</v>
      </c>
      <c r="L256" t="n">
        <v>2600</v>
      </c>
      <c r="M256" t="n">
        <v>1985</v>
      </c>
      <c r="P256" t="inlineStr">
        <is>
          <t>C-2-Bri</t>
        </is>
      </c>
      <c r="R256" t="inlineStr">
        <is>
          <t>Average</t>
        </is>
      </c>
      <c r="S256" t="n">
        <v>9000</v>
      </c>
      <c r="T256" s="469">
        <f>S256/L256</f>
        <v/>
      </c>
      <c r="U256" t="inlineStr">
        <is>
          <t>Average</t>
        </is>
      </c>
      <c r="Y256" s="671" t="n">
        <v>620000</v>
      </c>
      <c r="AA256" s="671" t="n">
        <v>620000</v>
      </c>
      <c r="AC256" t="inlineStr">
        <is>
          <t>0156907104020</t>
        </is>
      </c>
      <c r="AD256" t="inlineStr">
        <is>
          <t>2023000052960</t>
        </is>
      </c>
      <c r="AE256" t="inlineStr">
        <is>
          <t>GDG LLC</t>
        </is>
      </c>
      <c r="AF256" t="inlineStr">
        <is>
          <t>ATA BRIDGE HOLDINGS LLC</t>
        </is>
      </c>
      <c r="AI256" s="245">
        <f>AND(E256=Subj_OccCode,Subj_BldgSF&gt;0,L256&gt;=Subj_BldgSF*(1-Subj_SizeTol),L256&lt;=Subj_BldgSF*(1+Subj_SizeTol))</f>
        <v/>
      </c>
    </row>
    <row r="257" ht="15" customHeight="1">
      <c r="A257" s="248" t="n">
        <v>7</v>
      </c>
      <c r="B257" s="245" t="n">
        <v>249</v>
      </c>
      <c r="C257" t="inlineStr">
        <is>
          <t>R0097753</t>
        </is>
      </c>
      <c r="D257" t="inlineStr">
        <is>
          <t>1597  PEORIA ST</t>
        </is>
      </c>
      <c r="E257" t="n">
        <v>434</v>
      </c>
      <c r="F257" t="inlineStr">
        <is>
          <t>AURORA</t>
        </is>
      </c>
      <c r="G257" t="inlineStr">
        <is>
          <t>6</t>
        </is>
      </c>
      <c r="H257" s="669">
        <f>Y257/J257</f>
        <v/>
      </c>
      <c r="I257" s="472" t="n">
        <v>45187</v>
      </c>
      <c r="J257" t="n">
        <v>1400</v>
      </c>
      <c r="L257" t="n">
        <v>1400</v>
      </c>
      <c r="M257" t="n">
        <v>1960</v>
      </c>
      <c r="P257" t="inlineStr">
        <is>
          <t>FBA</t>
        </is>
      </c>
      <c r="R257" t="inlineStr">
        <is>
          <t>Average</t>
        </is>
      </c>
      <c r="S257" t="n">
        <v>3690</v>
      </c>
      <c r="T257" s="469">
        <f>S257/L257</f>
        <v/>
      </c>
      <c r="U257" t="inlineStr">
        <is>
          <t>Average</t>
        </is>
      </c>
      <c r="Y257" s="671" t="n">
        <v>730000</v>
      </c>
      <c r="AA257" s="671" t="n">
        <v>730000</v>
      </c>
      <c r="AC257" t="inlineStr">
        <is>
          <t>0182335429007</t>
        </is>
      </c>
      <c r="AD257" t="inlineStr">
        <is>
          <t>2023000052985</t>
        </is>
      </c>
      <c r="AE257" t="inlineStr">
        <is>
          <t>KH CARWASH LLC</t>
        </is>
      </c>
      <c r="AF257" t="inlineStr">
        <is>
          <t>YATES ENTERPRISES LLC</t>
        </is>
      </c>
      <c r="AI257" s="245">
        <f>AND(E257=Subj_OccCode,Subj_BldgSF&gt;0,L257&gt;=Subj_BldgSF*(1-Subj_SizeTol),L257&lt;=Subj_BldgSF*(1+Subj_SizeTol))</f>
        <v/>
      </c>
    </row>
    <row r="258" ht="15" customHeight="1">
      <c r="A258" s="248" t="n">
        <v>7</v>
      </c>
      <c r="B258" s="245" t="n">
        <v>250</v>
      </c>
      <c r="C258" t="inlineStr">
        <is>
          <t>R0165226</t>
        </is>
      </c>
      <c r="D258" t="inlineStr">
        <is>
          <t xml:space="preserve">10319  TOWER RD </t>
        </is>
      </c>
      <c r="E258" t="n">
        <v>349</v>
      </c>
      <c r="F258" t="inlineStr">
        <is>
          <t>COMMERCE CITY</t>
        </is>
      </c>
      <c r="G258" t="inlineStr">
        <is>
          <t>2</t>
        </is>
      </c>
      <c r="H258" s="669">
        <f>Y258/J258</f>
        <v/>
      </c>
      <c r="I258" s="472" t="n">
        <v>45182</v>
      </c>
      <c r="J258" t="n">
        <v>1658</v>
      </c>
      <c r="L258" t="n">
        <v>1658</v>
      </c>
      <c r="M258" t="n">
        <v>2006</v>
      </c>
      <c r="P258" t="inlineStr">
        <is>
          <t>PUD-Com</t>
        </is>
      </c>
      <c r="R258" t="inlineStr">
        <is>
          <t>Average</t>
        </is>
      </c>
      <c r="S258" t="n">
        <v>43786</v>
      </c>
      <c r="T258" s="469">
        <f>S258/L258</f>
        <v/>
      </c>
      <c r="U258" t="inlineStr">
        <is>
          <t>Average</t>
        </is>
      </c>
      <c r="Y258" s="671" t="n">
        <v>2527000</v>
      </c>
      <c r="AA258" s="671" t="n">
        <v>2527000</v>
      </c>
      <c r="AC258" t="inlineStr">
        <is>
          <t>0172316121009</t>
        </is>
      </c>
      <c r="AD258" t="inlineStr">
        <is>
          <t>2023000053054</t>
        </is>
      </c>
      <c r="AE258" t="inlineStr">
        <is>
          <t>HG FIRST VENTURE LLC</t>
        </is>
      </c>
      <c r="AF258" t="inlineStr">
        <is>
          <t>HANLON BUSH INVESTMENTS LLC, C/O TONY HANLON</t>
        </is>
      </c>
      <c r="AI258" s="245">
        <f>AND(E258=Subj_OccCode,Subj_BldgSF&gt;0,L258&gt;=Subj_BldgSF*(1-Subj_SizeTol),L258&lt;=Subj_BldgSF*(1+Subj_SizeTol))</f>
        <v/>
      </c>
    </row>
    <row r="259" ht="15" customHeight="1">
      <c r="A259" s="248" t="n">
        <v>7</v>
      </c>
      <c r="B259" s="245" t="n">
        <v>251</v>
      </c>
      <c r="C259" t="inlineStr">
        <is>
          <t>R0092272</t>
        </is>
      </c>
      <c r="D259" t="inlineStr">
        <is>
          <t xml:space="preserve">7101 E 54TH PL  </t>
        </is>
      </c>
      <c r="E259" t="n">
        <v>325</v>
      </c>
      <c r="F259" t="inlineStr">
        <is>
          <t>COMMERCE CITY</t>
        </is>
      </c>
      <c r="G259" t="inlineStr">
        <is>
          <t>5</t>
        </is>
      </c>
      <c r="H259" s="669">
        <f>Y259/J259</f>
        <v/>
      </c>
      <c r="I259" s="472" t="n">
        <v>45212</v>
      </c>
      <c r="J259" t="n">
        <v>2100</v>
      </c>
      <c r="L259" t="n">
        <v>2100</v>
      </c>
      <c r="M259" t="n">
        <v>1985</v>
      </c>
      <c r="P259" t="inlineStr">
        <is>
          <t>I-2-Com</t>
        </is>
      </c>
      <c r="R259" t="inlineStr">
        <is>
          <t>Average</t>
        </is>
      </c>
      <c r="S259" t="n">
        <v>23000</v>
      </c>
      <c r="T259" s="469">
        <f>S259/L259</f>
        <v/>
      </c>
      <c r="U259" t="inlineStr">
        <is>
          <t>Average</t>
        </is>
      </c>
      <c r="Y259" s="671" t="n">
        <v>1775000</v>
      </c>
      <c r="AA259" s="671" t="n">
        <v>1775000</v>
      </c>
      <c r="AC259" t="inlineStr">
        <is>
          <t>0182317101017</t>
        </is>
      </c>
      <c r="AD259" t="inlineStr">
        <is>
          <t>2023000058214</t>
        </is>
      </c>
      <c r="AE259" t="inlineStr">
        <is>
          <t>DETRO NADINE L</t>
        </is>
      </c>
      <c r="AF259" t="inlineStr">
        <is>
          <t>MHA INVESTMENTS LLC</t>
        </is>
      </c>
      <c r="AI259" s="245">
        <f>AND(E259=Subj_OccCode,Subj_BldgSF&gt;0,L259&gt;=Subj_BldgSF*(1-Subj_SizeTol),L259&lt;=Subj_BldgSF*(1+Subj_SizeTol))</f>
        <v/>
      </c>
    </row>
    <row r="260" ht="15" customHeight="1">
      <c r="A260" s="248" t="n">
        <v>7</v>
      </c>
      <c r="B260" s="245" t="n">
        <v>252</v>
      </c>
      <c r="C260" t="inlineStr">
        <is>
          <t>R0092271</t>
        </is>
      </c>
      <c r="D260" t="inlineStr">
        <is>
          <t xml:space="preserve">7101 E 54TH PL </t>
        </is>
      </c>
      <c r="E260" t="n">
        <v>3441</v>
      </c>
      <c r="F260" t="inlineStr">
        <is>
          <t>COMMERCE CITY</t>
        </is>
      </c>
      <c r="G260" t="inlineStr">
        <is>
          <t>5</t>
        </is>
      </c>
      <c r="H260" s="669">
        <f>Y260/J260</f>
        <v/>
      </c>
      <c r="I260" s="472" t="n">
        <v>45212</v>
      </c>
      <c r="J260" t="n">
        <v>1336</v>
      </c>
      <c r="L260" t="n">
        <v>1336</v>
      </c>
      <c r="M260" t="n">
        <v>1984</v>
      </c>
      <c r="P260" t="inlineStr">
        <is>
          <t>I-2-Com</t>
        </is>
      </c>
      <c r="R260" t="inlineStr">
        <is>
          <t>Average</t>
        </is>
      </c>
      <c r="S260" t="n">
        <v>21850</v>
      </c>
      <c r="T260" s="469">
        <f>S260/L260</f>
        <v/>
      </c>
      <c r="U260" t="inlineStr">
        <is>
          <t>Average</t>
        </is>
      </c>
      <c r="Y260" s="671" t="n">
        <v>1775000</v>
      </c>
      <c r="AA260" s="671" t="n">
        <v>1775000</v>
      </c>
      <c r="AC260" t="inlineStr">
        <is>
          <t>0182317101016</t>
        </is>
      </c>
      <c r="AD260" t="inlineStr">
        <is>
          <t>2023000058214</t>
        </is>
      </c>
      <c r="AE260" t="inlineStr">
        <is>
          <t>DETRO NADINE L</t>
        </is>
      </c>
      <c r="AF260" t="inlineStr">
        <is>
          <t>MHA INVESTMENTS LLC</t>
        </is>
      </c>
      <c r="AI260" s="245">
        <f>AND(E260=Subj_OccCode,Subj_BldgSF&gt;0,L260&gt;=Subj_BldgSF*(1-Subj_SizeTol),L260&lt;=Subj_BldgSF*(1+Subj_SizeTol))</f>
        <v/>
      </c>
    </row>
    <row r="261" ht="15" customHeight="1">
      <c r="A261" s="248" t="n">
        <v>7</v>
      </c>
      <c r="B261" s="245" t="n">
        <v>253</v>
      </c>
      <c r="C261" t="inlineStr">
        <is>
          <t>R0152780</t>
        </is>
      </c>
      <c r="D261" t="inlineStr">
        <is>
          <t xml:space="preserve">3640 W 112TH AVE  </t>
        </is>
      </c>
      <c r="E261" t="n">
        <v>344</v>
      </c>
      <c r="F261" t="inlineStr">
        <is>
          <t>WESTMINSTER</t>
        </is>
      </c>
      <c r="G261" t="inlineStr">
        <is>
          <t>3</t>
        </is>
      </c>
      <c r="H261" s="669">
        <f>Y261/J261</f>
        <v/>
      </c>
      <c r="I261" s="472" t="n">
        <v>45226</v>
      </c>
      <c r="J261" t="n">
        <v>2410</v>
      </c>
      <c r="L261" t="n">
        <v>2410</v>
      </c>
      <c r="M261" t="n">
        <v>1945</v>
      </c>
      <c r="P261" t="inlineStr">
        <is>
          <t>PUD-Wes</t>
        </is>
      </c>
      <c r="R261" t="inlineStr">
        <is>
          <t>Good</t>
        </is>
      </c>
      <c r="S261" t="n">
        <v>22330</v>
      </c>
      <c r="T261" s="469">
        <f>S261/L261</f>
        <v/>
      </c>
      <c r="U261" t="inlineStr">
        <is>
          <t>Good</t>
        </is>
      </c>
      <c r="Y261" s="671" t="n">
        <v>1000000</v>
      </c>
      <c r="AA261" s="671" t="n">
        <v>1000000</v>
      </c>
      <c r="AC261" t="inlineStr">
        <is>
          <t>0171907129018</t>
        </is>
      </c>
      <c r="AD261" t="inlineStr">
        <is>
          <t>2023000061784</t>
        </is>
      </c>
      <c r="AE261" t="inlineStr">
        <is>
          <t>ETS FAMILY HOLDINGS LLC</t>
        </is>
      </c>
      <c r="AF261" t="inlineStr">
        <is>
          <t>3640 LLC</t>
        </is>
      </c>
      <c r="AI261" s="245">
        <f>AND(E261=Subj_OccCode,Subj_BldgSF&gt;0,L261&gt;=Subj_BldgSF*(1-Subj_SizeTol),L261&lt;=Subj_BldgSF*(1+Subj_SizeTol))</f>
        <v/>
      </c>
    </row>
    <row r="262" ht="15" customHeight="1">
      <c r="A262" s="248" t="n">
        <v>7</v>
      </c>
      <c r="B262" s="245" t="n">
        <v>254</v>
      </c>
      <c r="C262" t="inlineStr">
        <is>
          <t>R0090205</t>
        </is>
      </c>
      <c r="D262" t="inlineStr">
        <is>
          <t xml:space="preserve">6655  BRIGHTON RD  </t>
        </is>
      </c>
      <c r="E262" t="n">
        <v>346</v>
      </c>
      <c r="F262" t="inlineStr">
        <is>
          <t>COMMERCE CITY</t>
        </is>
      </c>
      <c r="G262" t="inlineStr">
        <is>
          <t>5</t>
        </is>
      </c>
      <c r="H262" s="669">
        <f>Y262/J262</f>
        <v/>
      </c>
      <c r="I262" s="472" t="n">
        <v>45233</v>
      </c>
      <c r="J262" t="n">
        <v>1092</v>
      </c>
      <c r="L262" t="n">
        <v>1092</v>
      </c>
      <c r="M262" t="n">
        <v>1969</v>
      </c>
      <c r="P262" t="inlineStr">
        <is>
          <t>C-3-Com</t>
        </is>
      </c>
      <c r="R262" t="inlineStr">
        <is>
          <t>Average</t>
        </is>
      </c>
      <c r="S262" t="n">
        <v>6000</v>
      </c>
      <c r="T262" s="469">
        <f>S262/L262</f>
        <v/>
      </c>
      <c r="U262" t="inlineStr">
        <is>
          <t>Average</t>
        </is>
      </c>
      <c r="Y262" s="671" t="n">
        <v>880000</v>
      </c>
      <c r="AA262" s="671" t="n">
        <v>880000</v>
      </c>
      <c r="AC262" t="inlineStr">
        <is>
          <t>0182306301037</t>
        </is>
      </c>
      <c r="AD262" t="inlineStr">
        <is>
          <t>2023000062260</t>
        </is>
      </c>
      <c r="AE262" t="inlineStr">
        <is>
          <t>2 US 4VR LLC</t>
        </is>
      </c>
      <c r="AF262" t="inlineStr">
        <is>
          <t>AAA PROPERTY</t>
        </is>
      </c>
      <c r="AI262" s="245">
        <f>AND(E262=Subj_OccCode,Subj_BldgSF&gt;0,L262&gt;=Subj_BldgSF*(1-Subj_SizeTol),L262&lt;=Subj_BldgSF*(1+Subj_SizeTol))</f>
        <v/>
      </c>
    </row>
    <row r="263" ht="15" customHeight="1">
      <c r="A263" s="248" t="n">
        <v>7</v>
      </c>
      <c r="B263" s="245" t="n">
        <v>255</v>
      </c>
      <c r="C263" t="inlineStr">
        <is>
          <t>R0090207</t>
        </is>
      </c>
      <c r="D263" t="inlineStr">
        <is>
          <t xml:space="preserve">6671  BRIGHTON BLVD  </t>
        </is>
      </c>
      <c r="E263" t="n">
        <v>353</v>
      </c>
      <c r="F263" t="inlineStr">
        <is>
          <t>COMMERCE CITY</t>
        </is>
      </c>
      <c r="G263" t="inlineStr">
        <is>
          <t>5</t>
        </is>
      </c>
      <c r="H263" s="669">
        <f>Y263/J263</f>
        <v/>
      </c>
      <c r="I263" s="472" t="n">
        <v>45233</v>
      </c>
      <c r="J263" t="n">
        <v>6660</v>
      </c>
      <c r="L263" t="n">
        <v>6660</v>
      </c>
      <c r="M263" t="n">
        <v>1955</v>
      </c>
      <c r="P263" t="inlineStr">
        <is>
          <t>C-3-Com</t>
        </is>
      </c>
      <c r="R263" t="inlineStr">
        <is>
          <t>Average</t>
        </is>
      </c>
      <c r="S263" t="n">
        <v>54172</v>
      </c>
      <c r="T263" s="469">
        <f>S263/L263</f>
        <v/>
      </c>
      <c r="U263" t="inlineStr">
        <is>
          <t>Average</t>
        </is>
      </c>
      <c r="Y263" s="671" t="n">
        <v>880000</v>
      </c>
      <c r="AA263" s="671" t="n">
        <v>880000</v>
      </c>
      <c r="AC263" t="inlineStr">
        <is>
          <t>0182306301042</t>
        </is>
      </c>
      <c r="AD263" t="inlineStr">
        <is>
          <t>2023000062260</t>
        </is>
      </c>
      <c r="AE263" t="inlineStr">
        <is>
          <t>2 US 4VR LLC</t>
        </is>
      </c>
      <c r="AF263" t="inlineStr">
        <is>
          <t>AAA PROPERTY</t>
        </is>
      </c>
      <c r="AI263" s="245">
        <f>AND(E263=Subj_OccCode,Subj_BldgSF&gt;0,L263&gt;=Subj_BldgSF*(1-Subj_SizeTol),L263&lt;=Subj_BldgSF*(1+Subj_SizeTol))</f>
        <v/>
      </c>
    </row>
    <row r="264" ht="15" customHeight="1">
      <c r="A264" s="248" t="n">
        <v>7</v>
      </c>
      <c r="B264" s="245" t="n">
        <v>256</v>
      </c>
      <c r="C264" t="inlineStr">
        <is>
          <t>R0103294</t>
        </is>
      </c>
      <c r="D264" t="inlineStr">
        <is>
          <t>911 W 62ND AVE</t>
        </is>
      </c>
      <c r="E264" t="n">
        <v>406</v>
      </c>
      <c r="G264" t="inlineStr">
        <is>
          <t>5</t>
        </is>
      </c>
      <c r="H264" s="669">
        <f>Y264/J264</f>
        <v/>
      </c>
      <c r="I264" s="472" t="n">
        <v>45251</v>
      </c>
      <c r="J264" t="n">
        <v>2925</v>
      </c>
      <c r="L264" t="n">
        <v>2925</v>
      </c>
      <c r="M264" t="n">
        <v>2006</v>
      </c>
      <c r="P264" t="inlineStr">
        <is>
          <t>Industrial</t>
        </is>
      </c>
      <c r="R264" t="inlineStr">
        <is>
          <t>Average</t>
        </is>
      </c>
      <c r="S264" t="n">
        <v>100410</v>
      </c>
      <c r="T264" s="469">
        <f>S264/L264</f>
        <v/>
      </c>
      <c r="U264" t="inlineStr">
        <is>
          <t>Average</t>
        </is>
      </c>
      <c r="Y264" s="671" t="n">
        <v>3250000</v>
      </c>
      <c r="AA264" s="671" t="n">
        <v>3250000</v>
      </c>
      <c r="AC264" t="inlineStr">
        <is>
          <t>0182509100034</t>
        </is>
      </c>
      <c r="AD264" t="inlineStr">
        <is>
          <t>2023000065221</t>
        </is>
      </c>
      <c r="AE264" t="inlineStr">
        <is>
          <t>909W62AVE LLC</t>
        </is>
      </c>
      <c r="AF264" t="inlineStr">
        <is>
          <t>REGON2 LLC</t>
        </is>
      </c>
      <c r="AI264" s="245">
        <f>AND(E264=Subj_OccCode,Subj_BldgSF&gt;0,L264&gt;=Subj_BldgSF*(1-Subj_SizeTol),L264&lt;=Subj_BldgSF*(1+Subj_SizeTol))</f>
        <v/>
      </c>
    </row>
    <row r="265" ht="15" customHeight="1">
      <c r="A265" s="248" t="n">
        <v>7</v>
      </c>
      <c r="B265" s="245" t="n">
        <v>257</v>
      </c>
      <c r="C265" t="inlineStr">
        <is>
          <t>R0077757</t>
        </is>
      </c>
      <c r="D265" t="inlineStr">
        <is>
          <t xml:space="preserve">7630  DAHLIA ST  </t>
        </is>
      </c>
      <c r="E265" t="n">
        <v>406</v>
      </c>
      <c r="F265" t="inlineStr">
        <is>
          <t>COMMERCE CITY</t>
        </is>
      </c>
      <c r="G265" t="inlineStr">
        <is>
          <t>5</t>
        </is>
      </c>
      <c r="H265" s="669">
        <f>Y265/J265</f>
        <v/>
      </c>
      <c r="I265" s="472" t="n">
        <v>45260</v>
      </c>
      <c r="J265" t="n">
        <v>4960</v>
      </c>
      <c r="L265" t="n">
        <v>4960</v>
      </c>
      <c r="M265" t="n">
        <v>1994</v>
      </c>
      <c r="P265" t="inlineStr">
        <is>
          <t>I-2-Com</t>
        </is>
      </c>
      <c r="R265" t="inlineStr">
        <is>
          <t>Average</t>
        </is>
      </c>
      <c r="S265" t="n">
        <v>41790</v>
      </c>
      <c r="T265" s="469">
        <f>S265/L265</f>
        <v/>
      </c>
      <c r="U265" t="inlineStr">
        <is>
          <t>Average</t>
        </is>
      </c>
      <c r="Y265" s="671" t="n">
        <v>1800000</v>
      </c>
      <c r="AA265" s="671" t="n">
        <v>1800000</v>
      </c>
      <c r="AC265" t="inlineStr">
        <is>
          <t>0172131106001</t>
        </is>
      </c>
      <c r="AD265" t="inlineStr">
        <is>
          <t>2023000066282</t>
        </is>
      </c>
      <c r="AE265" t="inlineStr">
        <is>
          <t>FORTENBERRY INVESTMENT CO LLP</t>
        </is>
      </c>
      <c r="AF265" t="inlineStr">
        <is>
          <t>HILLEN HOLDINGS LLC</t>
        </is>
      </c>
      <c r="AI265" s="245">
        <f>AND(E265=Subj_OccCode,Subj_BldgSF&gt;0,L265&gt;=Subj_BldgSF*(1-Subj_SizeTol),L265&lt;=Subj_BldgSF*(1+Subj_SizeTol))</f>
        <v/>
      </c>
    </row>
    <row r="266" ht="15" customHeight="1">
      <c r="A266" s="248" t="n">
        <v>7</v>
      </c>
      <c r="B266" s="245" t="n">
        <v>258</v>
      </c>
      <c r="C266" t="inlineStr">
        <is>
          <t>R0187315</t>
        </is>
      </c>
      <c r="D266" t="inlineStr">
        <is>
          <t>868 E 78TH AVE</t>
        </is>
      </c>
      <c r="E266" t="n">
        <v>425</v>
      </c>
      <c r="G266" t="inlineStr">
        <is>
          <t>5</t>
        </is>
      </c>
      <c r="H266" s="669">
        <f>Y266/J266</f>
        <v/>
      </c>
      <c r="I266" s="472" t="n">
        <v>45286</v>
      </c>
      <c r="J266" t="n">
        <v>37592</v>
      </c>
      <c r="L266" t="n">
        <v>37592</v>
      </c>
      <c r="M266" t="n">
        <v>2006</v>
      </c>
      <c r="P266" t="inlineStr">
        <is>
          <t>Industrial</t>
        </is>
      </c>
      <c r="R266" t="inlineStr">
        <is>
          <t>Average</t>
        </is>
      </c>
      <c r="S266" t="n">
        <v>2919</v>
      </c>
      <c r="T266" s="469">
        <f>S266/L266</f>
        <v/>
      </c>
      <c r="U266" t="inlineStr">
        <is>
          <t>Average</t>
        </is>
      </c>
      <c r="Y266" s="671" t="n">
        <v>1123000</v>
      </c>
      <c r="AA266" s="671" t="n">
        <v>1123000</v>
      </c>
      <c r="AC266" t="inlineStr">
        <is>
          <t>0171935233026</t>
        </is>
      </c>
      <c r="AD266" t="inlineStr">
        <is>
          <t>2023000071142</t>
        </is>
      </c>
      <c r="AE266" t="inlineStr">
        <is>
          <t>TRANSIT MANAGEMENT LLC</t>
        </is>
      </c>
      <c r="AF266" t="inlineStr">
        <is>
          <t>BRODIGAN PROPERTIES LLC</t>
        </is>
      </c>
      <c r="AI266" s="245">
        <f>AND(E266=Subj_OccCode,Subj_BldgSF&gt;0,L266&gt;=Subj_BldgSF*(1-Subj_SizeTol),L266&lt;=Subj_BldgSF*(1+Subj_SizeTol))</f>
        <v/>
      </c>
    </row>
    <row r="267" ht="15" customHeight="1">
      <c r="A267" s="248" t="n">
        <v>7</v>
      </c>
      <c r="B267" s="245" t="n">
        <v>259</v>
      </c>
      <c r="C267" t="inlineStr">
        <is>
          <t>R0187314</t>
        </is>
      </c>
      <c r="D267" t="inlineStr">
        <is>
          <t>866 E 78TH AVE</t>
        </is>
      </c>
      <c r="E267" t="n">
        <v>425</v>
      </c>
      <c r="G267" t="inlineStr">
        <is>
          <t>5</t>
        </is>
      </c>
      <c r="H267" s="669">
        <f>Y267/J267</f>
        <v/>
      </c>
      <c r="I267" s="472" t="n">
        <v>45286</v>
      </c>
      <c r="J267" t="n">
        <v>37592</v>
      </c>
      <c r="L267" t="n">
        <v>37592</v>
      </c>
      <c r="M267" t="n">
        <v>2006</v>
      </c>
      <c r="P267" t="inlineStr">
        <is>
          <t>Industrial</t>
        </is>
      </c>
      <c r="R267" t="inlineStr">
        <is>
          <t>Average</t>
        </is>
      </c>
      <c r="S267" t="n">
        <v>7296</v>
      </c>
      <c r="T267" s="469">
        <f>S267/L267</f>
        <v/>
      </c>
      <c r="U267" t="inlineStr">
        <is>
          <t>Average</t>
        </is>
      </c>
      <c r="Y267" s="671" t="n">
        <v>1123000</v>
      </c>
      <c r="AA267" s="671" t="n">
        <v>1123000</v>
      </c>
      <c r="AC267" t="inlineStr">
        <is>
          <t>0171935233025</t>
        </is>
      </c>
      <c r="AD267" t="inlineStr">
        <is>
          <t>2023000071142</t>
        </is>
      </c>
      <c r="AE267" t="inlineStr">
        <is>
          <t>TRANSIT MANAGEMENT LLC</t>
        </is>
      </c>
      <c r="AF267" t="inlineStr">
        <is>
          <t>BRODIGAN PROPERTIES LLC</t>
        </is>
      </c>
      <c r="AI267" s="245">
        <f>AND(E267=Subj_OccCode,Subj_BldgSF&gt;0,L267&gt;=Subj_BldgSF*(1-Subj_SizeTol),L267&lt;=Subj_BldgSF*(1+Subj_SizeTol))</f>
        <v/>
      </c>
    </row>
    <row r="268" ht="15" customHeight="1">
      <c r="A268" s="248" t="n">
        <v>7</v>
      </c>
      <c r="B268" s="245" t="n">
        <v>260</v>
      </c>
      <c r="C268" t="inlineStr">
        <is>
          <t>R0187316</t>
        </is>
      </c>
      <c r="D268" t="inlineStr">
        <is>
          <t>882 E 78TH AVE</t>
        </is>
      </c>
      <c r="E268" t="n">
        <v>425</v>
      </c>
      <c r="G268" t="inlineStr">
        <is>
          <t>5</t>
        </is>
      </c>
      <c r="H268" s="669">
        <f>Y268/J268</f>
        <v/>
      </c>
      <c r="I268" s="472" t="n">
        <v>45286</v>
      </c>
      <c r="J268" t="n">
        <v>37592</v>
      </c>
      <c r="L268" t="n">
        <v>37592</v>
      </c>
      <c r="M268" t="n">
        <v>2006</v>
      </c>
      <c r="P268" t="inlineStr">
        <is>
          <t>Industrial</t>
        </is>
      </c>
      <c r="R268" t="inlineStr">
        <is>
          <t>Average</t>
        </is>
      </c>
      <c r="S268" t="n">
        <v>11382</v>
      </c>
      <c r="T268" s="469">
        <f>S268/L268</f>
        <v/>
      </c>
      <c r="U268" t="inlineStr">
        <is>
          <t>Average</t>
        </is>
      </c>
      <c r="Y268" s="671" t="n">
        <v>1123000</v>
      </c>
      <c r="AA268" s="671" t="n">
        <v>1123000</v>
      </c>
      <c r="AC268" t="inlineStr">
        <is>
          <t>0171935233027</t>
        </is>
      </c>
      <c r="AD268" t="inlineStr">
        <is>
          <t>2023000071142</t>
        </is>
      </c>
      <c r="AE268" t="inlineStr">
        <is>
          <t>TRANSIT MANAGEMENT LLC</t>
        </is>
      </c>
      <c r="AF268" t="inlineStr">
        <is>
          <t>BRODIGAN PROPERTIES LLC</t>
        </is>
      </c>
      <c r="AI268" s="245">
        <f>AND(E268=Subj_OccCode,Subj_BldgSF&gt;0,L268&gt;=Subj_BldgSF*(1-Subj_SizeTol),L268&lt;=Subj_BldgSF*(1+Subj_SizeTol))</f>
        <v/>
      </c>
    </row>
    <row r="269" ht="15" customHeight="1">
      <c r="A269" s="248" t="n">
        <v>7</v>
      </c>
      <c r="B269" s="245" t="n">
        <v>261</v>
      </c>
      <c r="C269" t="inlineStr">
        <is>
          <t>R0167015</t>
        </is>
      </c>
      <c r="D269" t="inlineStr">
        <is>
          <t>6271  BEACH ST A</t>
        </is>
      </c>
      <c r="E269" t="n">
        <v>425</v>
      </c>
      <c r="G269" t="inlineStr">
        <is>
          <t>5</t>
        </is>
      </c>
      <c r="H269" s="669">
        <f>Y269/J269</f>
        <v/>
      </c>
      <c r="I269" s="472" t="n">
        <v>45307</v>
      </c>
      <c r="J269" t="n">
        <v>22138</v>
      </c>
      <c r="L269" t="n">
        <v>22138</v>
      </c>
      <c r="M269" t="n">
        <v>2005</v>
      </c>
      <c r="P269" t="inlineStr">
        <is>
          <t>Planned Unit Development</t>
        </is>
      </c>
      <c r="R269" t="inlineStr">
        <is>
          <t>Average</t>
        </is>
      </c>
      <c r="S269" t="n">
        <v>11727</v>
      </c>
      <c r="T269" s="469">
        <f>S269/L269</f>
        <v/>
      </c>
      <c r="U269" t="inlineStr">
        <is>
          <t>Average</t>
        </is>
      </c>
      <c r="Y269" s="671" t="n">
        <v>1200000</v>
      </c>
      <c r="AA269" s="671" t="n">
        <v>1200000</v>
      </c>
      <c r="AC269" t="inlineStr">
        <is>
          <t>0182508105019</t>
        </is>
      </c>
      <c r="AD269" t="inlineStr">
        <is>
          <t>2024000002493</t>
        </is>
      </c>
      <c r="AE269" t="inlineStr">
        <is>
          <t>SDM REALTY GROUP LLC</t>
        </is>
      </c>
      <c r="AF269" t="inlineStr">
        <is>
          <t>A&amp;G HOLDINGS LTD</t>
        </is>
      </c>
      <c r="AI269" s="245">
        <f>AND(E269=Subj_OccCode,Subj_BldgSF&gt;0,L269&gt;=Subj_BldgSF*(1-Subj_SizeTol),L269&lt;=Subj_BldgSF*(1+Subj_SizeTol))</f>
        <v/>
      </c>
    </row>
    <row r="270" ht="15" customHeight="1">
      <c r="A270" s="248" t="n">
        <v>7</v>
      </c>
      <c r="B270" s="245" t="n">
        <v>262</v>
      </c>
      <c r="C270" t="inlineStr">
        <is>
          <t>R0167016</t>
        </is>
      </c>
      <c r="D270" t="inlineStr">
        <is>
          <t>6271  BEACH ST B</t>
        </is>
      </c>
      <c r="E270" t="n">
        <v>425</v>
      </c>
      <c r="G270" t="inlineStr">
        <is>
          <t>5</t>
        </is>
      </c>
      <c r="H270" s="669">
        <f>Y270/J270</f>
        <v/>
      </c>
      <c r="I270" s="472" t="n">
        <v>45307</v>
      </c>
      <c r="J270" t="n">
        <v>22138</v>
      </c>
      <c r="L270" t="n">
        <v>22138</v>
      </c>
      <c r="M270" t="n">
        <v>2005</v>
      </c>
      <c r="P270" t="inlineStr">
        <is>
          <t>Planned Unit Development</t>
        </is>
      </c>
      <c r="R270" t="inlineStr">
        <is>
          <t>Average</t>
        </is>
      </c>
      <c r="S270" t="n">
        <v>11727</v>
      </c>
      <c r="T270" s="469">
        <f>S270/L270</f>
        <v/>
      </c>
      <c r="U270" t="inlineStr">
        <is>
          <t>Average</t>
        </is>
      </c>
      <c r="Y270" s="671" t="n">
        <v>1200000</v>
      </c>
      <c r="AA270" s="671" t="n">
        <v>1200000</v>
      </c>
      <c r="AC270" t="inlineStr">
        <is>
          <t>0182508105018</t>
        </is>
      </c>
      <c r="AD270" t="inlineStr">
        <is>
          <t>2024000002493</t>
        </is>
      </c>
      <c r="AE270" t="inlineStr">
        <is>
          <t>SDM REALTY GROUP LLC</t>
        </is>
      </c>
      <c r="AF270" t="inlineStr">
        <is>
          <t>A&amp;G HOLDINGS LTD</t>
        </is>
      </c>
      <c r="AI270" s="245">
        <f>AND(E270=Subj_OccCode,Subj_BldgSF&gt;0,L270&gt;=Subj_BldgSF*(1-Subj_SizeTol),L270&lt;=Subj_BldgSF*(1+Subj_SizeTol))</f>
        <v/>
      </c>
    </row>
    <row r="271" ht="15" customHeight="1">
      <c r="A271" s="248" t="n">
        <v>7</v>
      </c>
      <c r="B271" s="245" t="n">
        <v>263</v>
      </c>
      <c r="C271" t="inlineStr">
        <is>
          <t>R0084307</t>
        </is>
      </c>
      <c r="D271" t="inlineStr">
        <is>
          <t xml:space="preserve">13903  SMITH DR </t>
        </is>
      </c>
      <c r="E271" t="n">
        <v>406</v>
      </c>
      <c r="F271" t="inlineStr">
        <is>
          <t>AURORA</t>
        </is>
      </c>
      <c r="G271" t="inlineStr">
        <is>
          <t>6</t>
        </is>
      </c>
      <c r="H271" s="669">
        <f>Y271/J271</f>
        <v/>
      </c>
      <c r="I271" s="472" t="n">
        <v>45310</v>
      </c>
      <c r="J271" t="n">
        <v>5300</v>
      </c>
      <c r="L271" t="n">
        <v>5300</v>
      </c>
      <c r="M271" t="n">
        <v>1983</v>
      </c>
      <c r="P271" t="inlineStr">
        <is>
          <t>M-1-Aur</t>
        </is>
      </c>
      <c r="R271" t="inlineStr">
        <is>
          <t>Average</t>
        </is>
      </c>
      <c r="S271" t="n">
        <v>19301</v>
      </c>
      <c r="T271" s="469">
        <f>S271/L271</f>
        <v/>
      </c>
      <c r="U271" t="inlineStr">
        <is>
          <t>Average</t>
        </is>
      </c>
      <c r="Y271" s="671" t="n">
        <v>1200000</v>
      </c>
      <c r="AA271" s="671" t="n">
        <v>1200000</v>
      </c>
      <c r="AC271" t="inlineStr">
        <is>
          <t>0182130013006</t>
        </is>
      </c>
      <c r="AD271" t="inlineStr">
        <is>
          <t>2024000003121</t>
        </is>
      </c>
      <c r="AE271" t="inlineStr">
        <is>
          <t>CROCKET RICHARD E</t>
        </is>
      </c>
      <c r="AF271" t="inlineStr">
        <is>
          <t>PATRIOT HOLDINGS SMITH DRIVE LLC</t>
        </is>
      </c>
      <c r="AI271" s="245">
        <f>AND(E271=Subj_OccCode,Subj_BldgSF&gt;0,L271&gt;=Subj_BldgSF*(1-Subj_SizeTol),L271&lt;=Subj_BldgSF*(1+Subj_SizeTol))</f>
        <v/>
      </c>
    </row>
    <row r="272" ht="15" customHeight="1">
      <c r="A272" s="248" t="n">
        <v>7</v>
      </c>
      <c r="B272" s="245" t="n">
        <v>264</v>
      </c>
      <c r="C272" t="inlineStr">
        <is>
          <t>R0103521</t>
        </is>
      </c>
      <c r="D272" t="inlineStr">
        <is>
          <t>5925  BROADWAY ST</t>
        </is>
      </c>
      <c r="E272" t="n">
        <v>407</v>
      </c>
      <c r="G272" t="inlineStr">
        <is>
          <t>5</t>
        </is>
      </c>
      <c r="H272" s="669">
        <f>Y272/J272</f>
        <v/>
      </c>
      <c r="I272" s="472" t="n">
        <v>45322</v>
      </c>
      <c r="J272" t="n">
        <v>55704</v>
      </c>
      <c r="L272" t="n">
        <v>55704</v>
      </c>
      <c r="M272" t="n">
        <v>1972</v>
      </c>
      <c r="P272" t="inlineStr">
        <is>
          <t>Industrial</t>
        </is>
      </c>
      <c r="R272" t="inlineStr">
        <is>
          <t>Average</t>
        </is>
      </c>
      <c r="S272" t="n">
        <v>137294</v>
      </c>
      <c r="T272" s="469">
        <f>S272/L272</f>
        <v/>
      </c>
      <c r="U272" t="inlineStr">
        <is>
          <t>Average</t>
        </is>
      </c>
      <c r="Y272" s="671" t="n">
        <v>9570000</v>
      </c>
      <c r="AA272" s="671" t="n">
        <v>9570000</v>
      </c>
      <c r="AC272" t="inlineStr">
        <is>
          <t>0182510301032</t>
        </is>
      </c>
      <c r="AD272" t="inlineStr">
        <is>
          <t>2024000005550</t>
        </is>
      </c>
      <c r="AE272" t="inlineStr">
        <is>
          <t>WSM INDUSTRIES INC</t>
        </is>
      </c>
      <c r="AF272" t="inlineStr">
        <is>
          <t>WSM REAL ESTATE INVESTMENTS LLC</t>
        </is>
      </c>
      <c r="AI272" s="245">
        <f>AND(E272=Subj_OccCode,Subj_BldgSF&gt;0,L272&gt;=Subj_BldgSF*(1-Subj_SizeTol),L272&lt;=Subj_BldgSF*(1+Subj_SizeTol))</f>
        <v/>
      </c>
    </row>
    <row r="273" ht="15" customHeight="1">
      <c r="A273" s="248" t="n">
        <v>7</v>
      </c>
      <c r="B273" s="245" t="n">
        <v>265</v>
      </c>
      <c r="C273" t="inlineStr">
        <is>
          <t>R0159463</t>
        </is>
      </c>
      <c r="D273" t="inlineStr">
        <is>
          <t>12001 E 33RD AVE E</t>
        </is>
      </c>
      <c r="E273" t="n">
        <v>425</v>
      </c>
      <c r="F273" t="inlineStr">
        <is>
          <t>AURORA</t>
        </is>
      </c>
      <c r="G273" t="inlineStr">
        <is>
          <t>6</t>
        </is>
      </c>
      <c r="H273" s="669">
        <f>Y273/J273</f>
        <v/>
      </c>
      <c r="I273" s="472" t="n">
        <v>45327</v>
      </c>
      <c r="J273" t="n">
        <v>32500</v>
      </c>
      <c r="L273" t="n">
        <v>32500</v>
      </c>
      <c r="M273" t="n">
        <v>2004</v>
      </c>
      <c r="P273" t="inlineStr">
        <is>
          <t>M-2</t>
        </is>
      </c>
      <c r="R273" t="inlineStr">
        <is>
          <t>Average</t>
        </is>
      </c>
      <c r="S273" t="n">
        <v>4740</v>
      </c>
      <c r="T273" s="469">
        <f>S273/L273</f>
        <v/>
      </c>
      <c r="U273" t="inlineStr">
        <is>
          <t>Average</t>
        </is>
      </c>
      <c r="Y273" s="671" t="n">
        <v>1150000</v>
      </c>
      <c r="AA273" s="671" t="n">
        <v>1150000</v>
      </c>
      <c r="AC273" t="inlineStr">
        <is>
          <t>0182326103027</t>
        </is>
      </c>
      <c r="AD273" t="inlineStr">
        <is>
          <t>2024000005872</t>
        </is>
      </c>
      <c r="AE273" t="inlineStr">
        <is>
          <t>SOUTH STREET CAPITAL PARTNERS LLC</t>
        </is>
      </c>
      <c r="AF273" t="inlineStr">
        <is>
          <t>33RD AVENUE LLC</t>
        </is>
      </c>
      <c r="AI273" s="245">
        <f>AND(E273=Subj_OccCode,Subj_BldgSF&gt;0,L273&gt;=Subj_BldgSF*(1-Subj_SizeTol),L273&lt;=Subj_BldgSF*(1+Subj_SizeTol))</f>
        <v/>
      </c>
    </row>
    <row r="274" ht="15" customHeight="1">
      <c r="A274" s="248" t="n">
        <v>7</v>
      </c>
      <c r="B274" s="245" t="n">
        <v>266</v>
      </c>
      <c r="C274" t="inlineStr">
        <is>
          <t>R0159464</t>
        </is>
      </c>
      <c r="D274" t="inlineStr">
        <is>
          <t xml:space="preserve">12001 E 33RD AVE F </t>
        </is>
      </c>
      <c r="E274" t="n">
        <v>425</v>
      </c>
      <c r="F274" t="inlineStr">
        <is>
          <t>AURORA</t>
        </is>
      </c>
      <c r="G274" t="inlineStr">
        <is>
          <t>6</t>
        </is>
      </c>
      <c r="H274" s="669">
        <f>Y274/J274</f>
        <v/>
      </c>
      <c r="I274" s="472" t="n">
        <v>45327</v>
      </c>
      <c r="J274" t="n">
        <v>32500</v>
      </c>
      <c r="L274" t="n">
        <v>32500</v>
      </c>
      <c r="M274" t="n">
        <v>2004</v>
      </c>
      <c r="P274" t="inlineStr">
        <is>
          <t>M-2</t>
        </is>
      </c>
      <c r="R274" t="inlineStr">
        <is>
          <t>Average</t>
        </is>
      </c>
      <c r="S274" t="n">
        <v>4740</v>
      </c>
      <c r="T274" s="469">
        <f>S274/L274</f>
        <v/>
      </c>
      <c r="U274" t="inlineStr">
        <is>
          <t>Average</t>
        </is>
      </c>
      <c r="Y274" s="671" t="n">
        <v>1150000</v>
      </c>
      <c r="AA274" s="671" t="n">
        <v>1150000</v>
      </c>
      <c r="AC274" t="inlineStr">
        <is>
          <t>0182326103028</t>
        </is>
      </c>
      <c r="AD274" t="inlineStr">
        <is>
          <t>2024000005872</t>
        </is>
      </c>
      <c r="AE274" t="inlineStr">
        <is>
          <t>SOUTH STREET CAPITAL PARTNERS LLC</t>
        </is>
      </c>
      <c r="AF274" t="inlineStr">
        <is>
          <t>33RD AVENUE LLC</t>
        </is>
      </c>
      <c r="AI274" s="245">
        <f>AND(E274=Subj_OccCode,Subj_BldgSF&gt;0,L274&gt;=Subj_BldgSF*(1-Subj_SizeTol),L274&lt;=Subj_BldgSF*(1+Subj_SizeTol))</f>
        <v/>
      </c>
    </row>
    <row r="275" ht="15" customHeight="1">
      <c r="A275" s="248" t="n">
        <v>7</v>
      </c>
      <c r="B275" s="245" t="n">
        <v>267</v>
      </c>
      <c r="C275" t="inlineStr">
        <is>
          <t>R0001913</t>
        </is>
      </c>
      <c r="D275" t="inlineStr">
        <is>
          <t xml:space="preserve">1205 E BRIDGE ST </t>
        </is>
      </c>
      <c r="E275" t="n">
        <v>353</v>
      </c>
      <c r="F275" t="inlineStr">
        <is>
          <t>BRIGHTON</t>
        </is>
      </c>
      <c r="G275" t="inlineStr">
        <is>
          <t>2</t>
        </is>
      </c>
      <c r="H275" s="669">
        <f>Y275/J275</f>
        <v/>
      </c>
      <c r="I275" s="472" t="n">
        <v>45328</v>
      </c>
      <c r="J275" t="n">
        <v>3650</v>
      </c>
      <c r="L275" t="n">
        <v>3650</v>
      </c>
      <c r="M275" t="n">
        <v>1961</v>
      </c>
      <c r="P275" t="inlineStr">
        <is>
          <t>C-2-Bri</t>
        </is>
      </c>
      <c r="R275" t="inlineStr">
        <is>
          <t>Average</t>
        </is>
      </c>
      <c r="S275" t="n">
        <v>13504</v>
      </c>
      <c r="T275" s="469">
        <f>S275/L275</f>
        <v/>
      </c>
      <c r="U275" t="inlineStr">
        <is>
          <t>Average</t>
        </is>
      </c>
      <c r="Y275" s="671" t="n">
        <v>688000</v>
      </c>
      <c r="AA275" s="671" t="n">
        <v>688000</v>
      </c>
      <c r="AC275" t="inlineStr">
        <is>
          <t>0156905300016</t>
        </is>
      </c>
      <c r="AD275" t="inlineStr">
        <is>
          <t>2024000006251</t>
        </is>
      </c>
      <c r="AE275" t="inlineStr">
        <is>
          <t>M-J PERRI CO</t>
        </is>
      </c>
      <c r="AF275" t="inlineStr">
        <is>
          <t>1201 E BRIDGE STREET LLC</t>
        </is>
      </c>
      <c r="AI275" s="245">
        <f>AND(E275=Subj_OccCode,Subj_BldgSF&gt;0,L275&gt;=Subj_BldgSF*(1-Subj_SizeTol),L275&lt;=Subj_BldgSF*(1+Subj_SizeTol))</f>
        <v/>
      </c>
    </row>
    <row r="276" ht="15" customHeight="1">
      <c r="A276" s="248" t="n">
        <v>7</v>
      </c>
      <c r="B276" s="245" t="n">
        <v>268</v>
      </c>
      <c r="C276" t="inlineStr">
        <is>
          <t>R0077960</t>
        </is>
      </c>
      <c r="D276" t="inlineStr">
        <is>
          <t xml:space="preserve">5055 E 72ND AVE  </t>
        </is>
      </c>
      <c r="E276" t="n">
        <v>325</v>
      </c>
      <c r="F276" t="inlineStr">
        <is>
          <t>COMMERCE CITY</t>
        </is>
      </c>
      <c r="G276" t="inlineStr">
        <is>
          <t>5</t>
        </is>
      </c>
      <c r="H276" s="669">
        <f>Y276/J276</f>
        <v/>
      </c>
      <c r="I276" s="472" t="n">
        <v>45338</v>
      </c>
      <c r="J276" t="n">
        <v>33425</v>
      </c>
      <c r="L276" t="n">
        <v>33425</v>
      </c>
      <c r="M276" t="n">
        <v>1970</v>
      </c>
      <c r="P276" t="inlineStr">
        <is>
          <t>I-2-Com</t>
        </is>
      </c>
      <c r="R276" t="inlineStr">
        <is>
          <t>Average</t>
        </is>
      </c>
      <c r="S276" t="n">
        <v>270508</v>
      </c>
      <c r="T276" s="469">
        <f>S276/L276</f>
        <v/>
      </c>
      <c r="U276" t="inlineStr">
        <is>
          <t>Average</t>
        </is>
      </c>
      <c r="Y276" s="671" t="n">
        <v>10900000</v>
      </c>
      <c r="AA276" s="671" t="n">
        <v>10900000</v>
      </c>
      <c r="AC276" t="inlineStr">
        <is>
          <t>0172131402004</t>
        </is>
      </c>
      <c r="AD276" t="inlineStr">
        <is>
          <t>2024000008744</t>
        </is>
      </c>
      <c r="AE276" t="inlineStr">
        <is>
          <t>HONNEN PARTNERS L L C</t>
        </is>
      </c>
      <c r="AF276" t="inlineStr">
        <is>
          <t>4 RIVERS PROPERTIES COMMERCE CITY I LLC</t>
        </is>
      </c>
      <c r="AI276" s="245">
        <f>AND(E276=Subj_OccCode,Subj_BldgSF&gt;0,L276&gt;=Subj_BldgSF*(1-Subj_SizeTol),L276&lt;=Subj_BldgSF*(1+Subj_SizeTol))</f>
        <v/>
      </c>
    </row>
    <row r="277" ht="15" customHeight="1">
      <c r="A277" s="248" t="n">
        <v>7</v>
      </c>
      <c r="B277" s="245" t="n">
        <v>269</v>
      </c>
      <c r="C277" t="inlineStr">
        <is>
          <t>R0151801</t>
        </is>
      </c>
      <c r="D277" t="inlineStr">
        <is>
          <t>6811  BROADWAY ST</t>
        </is>
      </c>
      <c r="E277" t="n">
        <v>425</v>
      </c>
      <c r="G277" t="inlineStr">
        <is>
          <t>5</t>
        </is>
      </c>
      <c r="H277" s="669">
        <f>Y277/J277</f>
        <v/>
      </c>
      <c r="I277" s="472" t="n">
        <v>45345</v>
      </c>
      <c r="J277" t="n">
        <v>13800</v>
      </c>
      <c r="L277" t="n">
        <v>13800</v>
      </c>
      <c r="M277" t="n">
        <v>2002</v>
      </c>
      <c r="P277" t="inlineStr">
        <is>
          <t>Planned Unit Development</t>
        </is>
      </c>
      <c r="R277" t="inlineStr">
        <is>
          <t>Very Good</t>
        </is>
      </c>
      <c r="S277" t="n">
        <v>4402</v>
      </c>
      <c r="T277" s="469">
        <f>S277/L277</f>
        <v/>
      </c>
      <c r="U277" t="inlineStr">
        <is>
          <t>Average</t>
        </is>
      </c>
      <c r="Y277" s="671" t="n">
        <v>800000</v>
      </c>
      <c r="AA277" s="671" t="n">
        <v>800000</v>
      </c>
      <c r="AC277" t="inlineStr">
        <is>
          <t>0182503218032</t>
        </is>
      </c>
      <c r="AD277" t="inlineStr">
        <is>
          <t>2024000009756</t>
        </is>
      </c>
      <c r="AE277" t="inlineStr">
        <is>
          <t>BROADWAYS LLC</t>
        </is>
      </c>
      <c r="AF277" t="inlineStr">
        <is>
          <t>DENVER FIRE PROTECTION LLC</t>
        </is>
      </c>
      <c r="AI277" s="245">
        <f>AND(E277=Subj_OccCode,Subj_BldgSF&gt;0,L277&gt;=Subj_BldgSF*(1-Subj_SizeTol),L277&lt;=Subj_BldgSF*(1+Subj_SizeTol))</f>
        <v/>
      </c>
    </row>
    <row r="278" ht="15" customHeight="1">
      <c r="A278" s="248" t="n">
        <v>7</v>
      </c>
      <c r="B278" s="245" t="n">
        <v>270</v>
      </c>
      <c r="C278" t="inlineStr">
        <is>
          <t>R0151802</t>
        </is>
      </c>
      <c r="D278" t="inlineStr">
        <is>
          <t>6815  BROADWAY ST</t>
        </is>
      </c>
      <c r="E278" t="n">
        <v>425</v>
      </c>
      <c r="G278" t="inlineStr">
        <is>
          <t>5</t>
        </is>
      </c>
      <c r="H278" s="669">
        <f>Y278/J278</f>
        <v/>
      </c>
      <c r="I278" s="472" t="n">
        <v>45345</v>
      </c>
      <c r="J278" t="n">
        <v>13800</v>
      </c>
      <c r="L278" t="n">
        <v>13800</v>
      </c>
      <c r="M278" t="n">
        <v>2002</v>
      </c>
      <c r="P278" t="inlineStr">
        <is>
          <t>Planned Unit Development</t>
        </is>
      </c>
      <c r="R278" t="inlineStr">
        <is>
          <t>Very Good</t>
        </is>
      </c>
      <c r="S278" t="n">
        <v>4402</v>
      </c>
      <c r="T278" s="469">
        <f>S278/L278</f>
        <v/>
      </c>
      <c r="U278" t="inlineStr">
        <is>
          <t>Average</t>
        </is>
      </c>
      <c r="Y278" s="671" t="n">
        <v>800000</v>
      </c>
      <c r="AA278" s="671" t="n">
        <v>800000</v>
      </c>
      <c r="AC278" t="inlineStr">
        <is>
          <t>0182503218031</t>
        </is>
      </c>
      <c r="AD278" t="inlineStr">
        <is>
          <t>2024000009756</t>
        </is>
      </c>
      <c r="AE278" t="inlineStr">
        <is>
          <t>BROADWAYS LLC</t>
        </is>
      </c>
      <c r="AF278" t="inlineStr">
        <is>
          <t>DENVER FIRE PROTECTION LLC</t>
        </is>
      </c>
      <c r="AI278" s="245">
        <f>AND(E278=Subj_OccCode,Subj_BldgSF&gt;0,L278&gt;=Subj_BldgSF*(1-Subj_SizeTol),L278&lt;=Subj_BldgSF*(1+Subj_SizeTol))</f>
        <v/>
      </c>
    </row>
    <row r="279" ht="15" customHeight="1">
      <c r="A279" s="248" t="n">
        <v>7</v>
      </c>
      <c r="B279" s="245" t="n">
        <v>271</v>
      </c>
      <c r="C279" t="inlineStr">
        <is>
          <t>R0037115</t>
        </is>
      </c>
      <c r="D279" t="inlineStr">
        <is>
          <t xml:space="preserve">11184  HURON ST 15 </t>
        </is>
      </c>
      <c r="E279" t="n">
        <v>1344</v>
      </c>
      <c r="F279" t="inlineStr">
        <is>
          <t>NORTHGLENN</t>
        </is>
      </c>
      <c r="G279" t="inlineStr">
        <is>
          <t>4</t>
        </is>
      </c>
      <c r="H279" s="669">
        <f>Y279/J279</f>
        <v/>
      </c>
      <c r="I279" s="472" t="n">
        <v>45394</v>
      </c>
      <c r="J279" t="n">
        <v>84375</v>
      </c>
      <c r="L279" t="n">
        <v>84375</v>
      </c>
      <c r="M279" t="n">
        <v>1984</v>
      </c>
      <c r="P279" t="inlineStr">
        <is>
          <t>C-3-Nor</t>
        </is>
      </c>
      <c r="R279" t="inlineStr">
        <is>
          <t>Average</t>
        </is>
      </c>
      <c r="S279" t="n">
        <v>1108</v>
      </c>
      <c r="T279" s="469">
        <f>S279/L279</f>
        <v/>
      </c>
      <c r="U279" t="inlineStr">
        <is>
          <t>Average</t>
        </is>
      </c>
      <c r="Y279" s="671" t="n">
        <v>605000</v>
      </c>
      <c r="AA279" s="671" t="n">
        <v>605000</v>
      </c>
      <c r="AC279" t="inlineStr">
        <is>
          <t>0171910217015</t>
        </is>
      </c>
      <c r="AD279" t="inlineStr">
        <is>
          <t>2024000019860</t>
        </is>
      </c>
      <c r="AE279" t="inlineStr">
        <is>
          <t>MBD ENTERPRISES LLC</t>
        </is>
      </c>
      <c r="AF279" t="inlineStr">
        <is>
          <t>GLOBAL PROPERTIES AND MANAGEMENT LLC</t>
        </is>
      </c>
      <c r="AI279" s="245">
        <f>AND(E279=Subj_OccCode,Subj_BldgSF&gt;0,L279&gt;=Subj_BldgSF*(1-Subj_SizeTol),L279&lt;=Subj_BldgSF*(1+Subj_SizeTol))</f>
        <v/>
      </c>
    </row>
    <row r="280" ht="15" customHeight="1">
      <c r="A280" s="248" t="n">
        <v>7</v>
      </c>
      <c r="B280" s="245" t="n">
        <v>272</v>
      </c>
      <c r="C280" t="inlineStr">
        <is>
          <t>R0037114</t>
        </is>
      </c>
      <c r="D280" t="inlineStr">
        <is>
          <t xml:space="preserve">11184  HURON ST 14 </t>
        </is>
      </c>
      <c r="E280" t="n">
        <v>1344</v>
      </c>
      <c r="F280" t="inlineStr">
        <is>
          <t>NORTHGLENN</t>
        </is>
      </c>
      <c r="G280" t="inlineStr">
        <is>
          <t>4</t>
        </is>
      </c>
      <c r="H280" s="669">
        <f>Y280/J280</f>
        <v/>
      </c>
      <c r="I280" s="472" t="n">
        <v>45394</v>
      </c>
      <c r="J280" t="n">
        <v>84375</v>
      </c>
      <c r="L280" t="n">
        <v>84375</v>
      </c>
      <c r="M280" t="n">
        <v>1984</v>
      </c>
      <c r="P280" t="inlineStr">
        <is>
          <t>C-3-Nor</t>
        </is>
      </c>
      <c r="R280" t="inlineStr">
        <is>
          <t>Average</t>
        </is>
      </c>
      <c r="S280" t="n">
        <v>1108</v>
      </c>
      <c r="T280" s="469">
        <f>S280/L280</f>
        <v/>
      </c>
      <c r="U280" t="inlineStr">
        <is>
          <t>Average</t>
        </is>
      </c>
      <c r="Y280" s="671" t="n">
        <v>605000</v>
      </c>
      <c r="AA280" s="671" t="n">
        <v>605000</v>
      </c>
      <c r="AC280" t="inlineStr">
        <is>
          <t>0171910217014</t>
        </is>
      </c>
      <c r="AD280" t="inlineStr">
        <is>
          <t>2024000019860</t>
        </is>
      </c>
      <c r="AE280" t="inlineStr">
        <is>
          <t>MBD ENTERPRISES LLC</t>
        </is>
      </c>
      <c r="AF280" t="inlineStr">
        <is>
          <t>GLOBAL PROPERTIES AND MANAGEMENT LLC</t>
        </is>
      </c>
      <c r="AI280" s="245">
        <f>AND(E280=Subj_OccCode,Subj_BldgSF&gt;0,L280&gt;=Subj_BldgSF*(1-Subj_SizeTol),L280&lt;=Subj_BldgSF*(1+Subj_SizeTol))</f>
        <v/>
      </c>
    </row>
    <row r="281" ht="15" customHeight="1">
      <c r="A281" s="248" t="n">
        <v>7</v>
      </c>
      <c r="B281" s="245" t="n">
        <v>273</v>
      </c>
      <c r="C281" t="inlineStr">
        <is>
          <t>R0058384</t>
        </is>
      </c>
      <c r="D281" t="inlineStr">
        <is>
          <t>461 W 84TH AVE</t>
        </is>
      </c>
      <c r="E281" t="n">
        <v>344</v>
      </c>
      <c r="F281" t="inlineStr">
        <is>
          <t>THORNTON</t>
        </is>
      </c>
      <c r="G281" t="inlineStr">
        <is>
          <t>4</t>
        </is>
      </c>
      <c r="H281" s="669">
        <f>Y281/J281</f>
        <v/>
      </c>
      <c r="I281" s="472" t="n">
        <v>45412</v>
      </c>
      <c r="J281" t="n">
        <v>6436</v>
      </c>
      <c r="L281" t="n">
        <v>6436</v>
      </c>
      <c r="M281" t="n">
        <v>1971</v>
      </c>
      <c r="P281" t="inlineStr">
        <is>
          <t>Regional Commercial</t>
        </is>
      </c>
      <c r="R281" t="inlineStr">
        <is>
          <t>Average</t>
        </is>
      </c>
      <c r="S281" t="n">
        <v>37800</v>
      </c>
      <c r="T281" s="469">
        <f>S281/L281</f>
        <v/>
      </c>
      <c r="U281" t="inlineStr">
        <is>
          <t>Average</t>
        </is>
      </c>
      <c r="Y281" s="671" t="n">
        <v>1700000</v>
      </c>
      <c r="AA281" s="671" t="n">
        <v>1700000</v>
      </c>
      <c r="AC281" t="inlineStr">
        <is>
          <t>0171927214005</t>
        </is>
      </c>
      <c r="AD281" t="inlineStr">
        <is>
          <t>2024000022581</t>
        </is>
      </c>
      <c r="AE281" t="inlineStr">
        <is>
          <t>DSE LLC</t>
        </is>
      </c>
      <c r="AF281" t="inlineStr">
        <is>
          <t>431 LLC</t>
        </is>
      </c>
      <c r="AI281" s="245">
        <f>AND(E281=Subj_OccCode,Subj_BldgSF&gt;0,L281&gt;=Subj_BldgSF*(1-Subj_SizeTol),L281&lt;=Subj_BldgSF*(1+Subj_SizeTol))</f>
        <v/>
      </c>
    </row>
    <row r="282" ht="15" customHeight="1">
      <c r="A282" s="248" t="n">
        <v>7</v>
      </c>
      <c r="B282" s="245" t="n">
        <v>274</v>
      </c>
      <c r="C282" t="inlineStr">
        <is>
          <t>R0134436</t>
        </is>
      </c>
      <c r="D282" t="inlineStr">
        <is>
          <t>5901  YORK ST</t>
        </is>
      </c>
      <c r="E282" t="n">
        <v>333</v>
      </c>
      <c r="G282" t="inlineStr">
        <is>
          <t>5</t>
        </is>
      </c>
      <c r="H282" s="669">
        <f>Y282/J282</f>
        <v/>
      </c>
      <c r="I282" s="472" t="n">
        <v>45408</v>
      </c>
      <c r="J282" t="n">
        <v>5830</v>
      </c>
      <c r="L282" t="n">
        <v>5830</v>
      </c>
      <c r="M282" t="n">
        <v>2007</v>
      </c>
      <c r="P282" t="inlineStr">
        <is>
          <t>Industrial</t>
        </is>
      </c>
      <c r="R282" t="inlineStr">
        <is>
          <t>Average</t>
        </is>
      </c>
      <c r="S282" t="n">
        <v>117612</v>
      </c>
      <c r="T282" s="469">
        <f>S282/L282</f>
        <v/>
      </c>
      <c r="U282" t="inlineStr">
        <is>
          <t>Average</t>
        </is>
      </c>
      <c r="Y282" s="671" t="n">
        <v>1200000</v>
      </c>
      <c r="AA282" s="671" t="n">
        <v>1200000</v>
      </c>
      <c r="AC282" t="inlineStr">
        <is>
          <t>0182511403004</t>
        </is>
      </c>
      <c r="AD282" t="inlineStr">
        <is>
          <t>2024000023443</t>
        </is>
      </c>
      <c r="AE282" t="inlineStr">
        <is>
          <t>BURNCO COLORADO LLC, C/O PROPERTY TAX DEPT</t>
        </is>
      </c>
      <c r="AF282" t="inlineStr">
        <is>
          <t>TRICYCLE LANE TEXAS LLC</t>
        </is>
      </c>
      <c r="AI282" s="245">
        <f>AND(E282=Subj_OccCode,Subj_BldgSF&gt;0,L282&gt;=Subj_BldgSF*(1-Subj_SizeTol),L282&lt;=Subj_BldgSF*(1+Subj_SizeTol))</f>
        <v/>
      </c>
    </row>
    <row r="283" ht="15" customHeight="1">
      <c r="A283" s="248" t="n">
        <v>7</v>
      </c>
      <c r="B283" s="245" t="n">
        <v>275</v>
      </c>
      <c r="C283" t="inlineStr">
        <is>
          <t>R0079701</t>
        </is>
      </c>
      <c r="D283" t="inlineStr">
        <is>
          <t xml:space="preserve">7576  HIGHWAY 2   </t>
        </is>
      </c>
      <c r="E283" t="n">
        <v>353</v>
      </c>
      <c r="F283" t="inlineStr">
        <is>
          <t>COMMERCE CITY</t>
        </is>
      </c>
      <c r="G283" t="inlineStr">
        <is>
          <t>5</t>
        </is>
      </c>
      <c r="H283" s="669">
        <f>Y283/J283</f>
        <v/>
      </c>
      <c r="I283" s="472" t="n">
        <v>45415</v>
      </c>
      <c r="J283" t="n">
        <v>6500</v>
      </c>
      <c r="L283" t="n">
        <v>6500</v>
      </c>
      <c r="M283" t="n">
        <v>1954</v>
      </c>
      <c r="P283" t="inlineStr">
        <is>
          <t>C-3-Com</t>
        </is>
      </c>
      <c r="R283" t="inlineStr">
        <is>
          <t>Average</t>
        </is>
      </c>
      <c r="S283" t="n">
        <v>43750</v>
      </c>
      <c r="T283" s="469">
        <f>S283/L283</f>
        <v/>
      </c>
      <c r="U283" t="inlineStr">
        <is>
          <t>Average</t>
        </is>
      </c>
      <c r="Y283" s="671" t="n">
        <v>1672000</v>
      </c>
      <c r="AA283" s="671" t="n">
        <v>1672000</v>
      </c>
      <c r="AC283" t="inlineStr">
        <is>
          <t>0172132410002</t>
        </is>
      </c>
      <c r="AD283" t="inlineStr">
        <is>
          <t>2024000024474</t>
        </is>
      </c>
      <c r="AE283" t="inlineStr">
        <is>
          <t>BONNIE K LISLE ROTH IRA</t>
        </is>
      </c>
      <c r="AF283" t="inlineStr">
        <is>
          <t>VJRE HOLDINGS LLC</t>
        </is>
      </c>
      <c r="AI283" s="245">
        <f>AND(E283=Subj_OccCode,Subj_BldgSF&gt;0,L283&gt;=Subj_BldgSF*(1-Subj_SizeTol),L283&lt;=Subj_BldgSF*(1+Subj_SizeTol))</f>
        <v/>
      </c>
    </row>
    <row r="284" ht="15" customHeight="1">
      <c r="A284" s="248" t="n">
        <v>7</v>
      </c>
      <c r="B284" s="245" t="n">
        <v>276</v>
      </c>
      <c r="C284" t="inlineStr">
        <is>
          <t>R0161514</t>
        </is>
      </c>
      <c r="D284" t="inlineStr">
        <is>
          <t xml:space="preserve">18245 E 40TH AVE  </t>
        </is>
      </c>
      <c r="E284" t="n">
        <v>407</v>
      </c>
      <c r="F284" t="inlineStr">
        <is>
          <t>AURORA</t>
        </is>
      </c>
      <c r="G284" t="inlineStr">
        <is>
          <t>6</t>
        </is>
      </c>
      <c r="H284" s="669">
        <f>Y284/J284</f>
        <v/>
      </c>
      <c r="I284" s="472" t="n">
        <v>45429</v>
      </c>
      <c r="J284" t="n">
        <v>155916</v>
      </c>
      <c r="L284" t="n">
        <v>155916</v>
      </c>
      <c r="M284" t="n">
        <v>2005</v>
      </c>
      <c r="P284" t="inlineStr">
        <is>
          <t>M-2</t>
        </is>
      </c>
      <c r="R284" t="inlineStr">
        <is>
          <t>Average</t>
        </is>
      </c>
      <c r="S284" t="n">
        <v>408696</v>
      </c>
      <c r="T284" s="469">
        <f>S284/L284</f>
        <v/>
      </c>
      <c r="U284" t="inlineStr">
        <is>
          <t>Average</t>
        </is>
      </c>
      <c r="Y284" s="671" t="n">
        <v>16000000</v>
      </c>
      <c r="AA284" s="671" t="n">
        <v>16000000</v>
      </c>
      <c r="AC284" t="inlineStr">
        <is>
          <t>0182121402001</t>
        </is>
      </c>
      <c r="AD284" t="inlineStr">
        <is>
          <t>2024000026538</t>
        </is>
      </c>
      <c r="AE284" t="inlineStr">
        <is>
          <t>40TH STREET PARTNERS LLC FKA MUHLENBERG INVESTMENT LLC</t>
        </is>
      </c>
      <c r="AF284" t="inlineStr">
        <is>
          <t>18245 40TH OWNER LLC</t>
        </is>
      </c>
      <c r="AI284" s="245">
        <f>AND(E284=Subj_OccCode,Subj_BldgSF&gt;0,L284&gt;=Subj_BldgSF*(1-Subj_SizeTol),L284&lt;=Subj_BldgSF*(1+Subj_SizeTol))</f>
        <v/>
      </c>
    </row>
    <row r="285" ht="15" customHeight="1">
      <c r="A285" s="248" t="n">
        <v>7</v>
      </c>
      <c r="B285" s="245" t="n">
        <v>277</v>
      </c>
      <c r="C285" t="inlineStr">
        <is>
          <t>R0169033</t>
        </is>
      </c>
      <c r="D285" t="inlineStr">
        <is>
          <t xml:space="preserve">9790  WASHINGTON ST  </t>
        </is>
      </c>
      <c r="E285" t="n">
        <v>349</v>
      </c>
      <c r="F285" t="inlineStr">
        <is>
          <t>THORNTON</t>
        </is>
      </c>
      <c r="G285" t="inlineStr">
        <is>
          <t>4</t>
        </is>
      </c>
      <c r="H285" s="669">
        <f>Y285/J285</f>
        <v/>
      </c>
      <c r="I285" s="472" t="n">
        <v>45435</v>
      </c>
      <c r="J285" t="n">
        <v>4726</v>
      </c>
      <c r="L285" t="n">
        <v>4726</v>
      </c>
      <c r="M285" t="n">
        <v>2006</v>
      </c>
      <c r="P285" t="inlineStr">
        <is>
          <t>Planned Development</t>
        </is>
      </c>
      <c r="R285" t="inlineStr">
        <is>
          <t>Good</t>
        </is>
      </c>
      <c r="S285" t="n">
        <v>55253</v>
      </c>
      <c r="T285" s="469">
        <f>S285/L285</f>
        <v/>
      </c>
      <c r="U285" t="inlineStr">
        <is>
          <t>Good</t>
        </is>
      </c>
      <c r="Y285" s="671" t="n">
        <v>3940000</v>
      </c>
      <c r="AA285" s="671" t="n">
        <v>3940000</v>
      </c>
      <c r="AC285" t="inlineStr">
        <is>
          <t>0171914318070</t>
        </is>
      </c>
      <c r="AD285" t="inlineStr">
        <is>
          <t>2024000027827</t>
        </is>
      </c>
      <c r="AE285" t="inlineStr">
        <is>
          <t>PHANTOM IV PARTNERS LLC</t>
        </is>
      </c>
      <c r="AF285" t="inlineStr">
        <is>
          <t>CRESTLINE INVESTMENT GROUP LLC</t>
        </is>
      </c>
      <c r="AI285" s="245">
        <f>AND(E285=Subj_OccCode,Subj_BldgSF&gt;0,L285&gt;=Subj_BldgSF*(1-Subj_SizeTol),L285&lt;=Subj_BldgSF*(1+Subj_SizeTol))</f>
        <v/>
      </c>
    </row>
    <row r="286" ht="15" customHeight="1">
      <c r="A286" s="248" t="n">
        <v>7</v>
      </c>
      <c r="B286" s="245" t="n">
        <v>278</v>
      </c>
      <c r="C286" t="inlineStr">
        <is>
          <t>R0213618</t>
        </is>
      </c>
      <c r="D286" t="inlineStr">
        <is>
          <t xml:space="preserve">9940  HAVANA ST  </t>
        </is>
      </c>
      <c r="E286" t="n">
        <v>325</v>
      </c>
      <c r="F286" t="inlineStr">
        <is>
          <t>COMMERCE CITY</t>
        </is>
      </c>
      <c r="G286" t="inlineStr">
        <is>
          <t>5</t>
        </is>
      </c>
      <c r="H286" s="669">
        <f>Y286/J286</f>
        <v/>
      </c>
      <c r="I286" s="472" t="n">
        <v>45436</v>
      </c>
      <c r="J286" t="n">
        <v>11318</v>
      </c>
      <c r="L286" t="n">
        <v>11318</v>
      </c>
      <c r="M286" t="n">
        <v>2023</v>
      </c>
      <c r="R286" t="inlineStr">
        <is>
          <t>Average</t>
        </is>
      </c>
      <c r="S286" t="n">
        <v>1151289</v>
      </c>
      <c r="T286" s="469">
        <f>S286/L286</f>
        <v/>
      </c>
      <c r="U286" t="inlineStr">
        <is>
          <t>Average</t>
        </is>
      </c>
      <c r="Y286" s="671" t="n">
        <v>72240000</v>
      </c>
      <c r="AA286" s="671" t="n">
        <v>72240000</v>
      </c>
      <c r="AC286" t="inlineStr">
        <is>
          <t>0172114309001</t>
        </is>
      </c>
      <c r="AD286" t="inlineStr">
        <is>
          <t>2024000027885</t>
        </is>
      </c>
      <c r="AE286" t="inlineStr">
        <is>
          <t>SCANNELL PROPERTIES #534 LLC</t>
        </is>
      </c>
      <c r="AF286" t="inlineStr">
        <is>
          <t>BEL COMMERCE LLC, C/O MORGAN STANLEY</t>
        </is>
      </c>
      <c r="AI286" s="245">
        <f>AND(E286=Subj_OccCode,Subj_BldgSF&gt;0,L286&gt;=Subj_BldgSF*(1-Subj_SizeTol),L286&lt;=Subj_BldgSF*(1+Subj_SizeTol))</f>
        <v/>
      </c>
    </row>
    <row r="287" ht="15" customHeight="1">
      <c r="A287" s="248" t="n">
        <v>7</v>
      </c>
      <c r="B287" s="245" t="n">
        <v>279</v>
      </c>
      <c r="C287" t="inlineStr">
        <is>
          <t>R0219436</t>
        </is>
      </c>
      <c r="D287" t="inlineStr">
        <is>
          <t>2323 W 72ND AVE</t>
        </is>
      </c>
      <c r="E287" t="n">
        <v>3441</v>
      </c>
      <c r="G287" t="inlineStr">
        <is>
          <t>4</t>
        </is>
      </c>
      <c r="H287" s="669">
        <f>Y287/J287</f>
        <v/>
      </c>
      <c r="I287" s="472" t="n">
        <v>45450</v>
      </c>
      <c r="J287" t="n">
        <v>1836</v>
      </c>
      <c r="L287" t="n">
        <v>1836</v>
      </c>
      <c r="M287" t="n">
        <v>1957</v>
      </c>
      <c r="P287" t="inlineStr">
        <is>
          <t>Commercial</t>
        </is>
      </c>
      <c r="R287" t="inlineStr">
        <is>
          <t>Average</t>
        </is>
      </c>
      <c r="S287" t="n">
        <v>22416</v>
      </c>
      <c r="T287" s="469">
        <f>S287/L287</f>
        <v/>
      </c>
      <c r="U287" t="inlineStr">
        <is>
          <t>Average</t>
        </is>
      </c>
      <c r="Y287" s="671" t="n">
        <v>655000</v>
      </c>
      <c r="AA287" s="671" t="n">
        <v>655000</v>
      </c>
      <c r="AC287" t="inlineStr">
        <is>
          <t>0171933323001</t>
        </is>
      </c>
      <c r="AD287" t="inlineStr">
        <is>
          <t>2024000031010</t>
        </is>
      </c>
      <c r="AE287" t="inlineStr">
        <is>
          <t>METRO DENVER RENTAL MANAGEMENT LLC</t>
        </is>
      </c>
      <c r="AF287" t="inlineStr">
        <is>
          <t>JM COLORADO PROPERTIES LLC</t>
        </is>
      </c>
      <c r="AI287" s="245">
        <f>AND(E287=Subj_OccCode,Subj_BldgSF&gt;0,L287&gt;=Subj_BldgSF*(1-Subj_SizeTol),L287&lt;=Subj_BldgSF*(1+Subj_SizeTol))</f>
        <v/>
      </c>
    </row>
    <row r="288" ht="15" customHeight="1">
      <c r="A288" s="248" t="n">
        <v>7</v>
      </c>
      <c r="B288" s="245" t="n">
        <v>280</v>
      </c>
      <c r="C288" t="inlineStr">
        <is>
          <t>R0178251</t>
        </is>
      </c>
      <c r="D288" t="inlineStr">
        <is>
          <t xml:space="preserve">2400 W 104TH AVE  </t>
        </is>
      </c>
      <c r="E288" t="n">
        <v>303</v>
      </c>
      <c r="F288" t="inlineStr">
        <is>
          <t>FEDERAL HEIGHTS</t>
        </is>
      </c>
      <c r="G288" t="inlineStr">
        <is>
          <t>4</t>
        </is>
      </c>
      <c r="H288" s="669">
        <f>Y288/J288</f>
        <v/>
      </c>
      <c r="I288" s="472" t="n">
        <v>45453</v>
      </c>
      <c r="J288" t="n">
        <v>11520</v>
      </c>
      <c r="L288" t="n">
        <v>11520</v>
      </c>
      <c r="M288" t="n">
        <v>1974</v>
      </c>
      <c r="P288" t="inlineStr">
        <is>
          <t>C-1-Fed</t>
        </is>
      </c>
      <c r="R288" t="inlineStr">
        <is>
          <t>Average</t>
        </is>
      </c>
      <c r="S288" t="n">
        <v>199500</v>
      </c>
      <c r="T288" s="469">
        <f>S288/L288</f>
        <v/>
      </c>
      <c r="U288" t="inlineStr">
        <is>
          <t>Average</t>
        </is>
      </c>
      <c r="Y288" s="671" t="n">
        <v>7300000</v>
      </c>
      <c r="AA288" s="671" t="n">
        <v>7300000</v>
      </c>
      <c r="AC288" t="inlineStr">
        <is>
          <t>0171917100040</t>
        </is>
      </c>
      <c r="AD288" t="inlineStr">
        <is>
          <t>2024000031386</t>
        </is>
      </c>
      <c r="AE288" t="inlineStr">
        <is>
          <t>LHM DNI LLC</t>
        </is>
      </c>
      <c r="AF288" t="inlineStr">
        <is>
          <t>DRAWE HOLDINGS LLC</t>
        </is>
      </c>
      <c r="AI288" s="245">
        <f>AND(E288=Subj_OccCode,Subj_BldgSF&gt;0,L288&gt;=Subj_BldgSF*(1-Subj_SizeTol),L288&lt;=Subj_BldgSF*(1+Subj_SizeTol))</f>
        <v/>
      </c>
    </row>
    <row r="289" ht="15" customHeight="1">
      <c r="A289" s="248" t="n">
        <v>7</v>
      </c>
      <c r="B289" s="245" t="n">
        <v>281</v>
      </c>
      <c r="C289" t="inlineStr">
        <is>
          <t>R0108277</t>
        </is>
      </c>
      <c r="D289" t="inlineStr">
        <is>
          <t>9051  I-76</t>
        </is>
      </c>
      <c r="E289" t="n">
        <v>1332</v>
      </c>
      <c r="G289" t="inlineStr">
        <is>
          <t>5</t>
        </is>
      </c>
      <c r="H289" s="669">
        <f>Y289/J289</f>
        <v/>
      </c>
      <c r="I289" s="472" t="n">
        <v>45447</v>
      </c>
      <c r="J289" t="n">
        <v>60</v>
      </c>
      <c r="L289" t="n">
        <v>60</v>
      </c>
      <c r="M289" t="n">
        <v>1993</v>
      </c>
      <c r="P289" t="inlineStr">
        <is>
          <t>Commercial</t>
        </is>
      </c>
      <c r="R289" t="inlineStr">
        <is>
          <t>Average</t>
        </is>
      </c>
      <c r="S289" t="n">
        <v>136935</v>
      </c>
      <c r="T289" s="469">
        <f>S289/L289</f>
        <v/>
      </c>
      <c r="U289" t="inlineStr">
        <is>
          <t>Average</t>
        </is>
      </c>
      <c r="Y289" s="671" t="n">
        <v>5000000</v>
      </c>
      <c r="AA289" s="671" t="n">
        <v>5000000</v>
      </c>
      <c r="AC289" t="inlineStr">
        <is>
          <t>0172120011003</t>
        </is>
      </c>
      <c r="AD289" t="inlineStr">
        <is>
          <t>2024000031967</t>
        </is>
      </c>
      <c r="AE289" t="inlineStr">
        <is>
          <t>KONG &amp; QUY PROPERTY LLC</t>
        </is>
      </c>
      <c r="AF289" t="inlineStr">
        <is>
          <t>SUNMAN TWO LLC</t>
        </is>
      </c>
      <c r="AI289" s="245">
        <f>AND(E289=Subj_OccCode,Subj_BldgSF&gt;0,L289&gt;=Subj_BldgSF*(1-Subj_SizeTol),L289&lt;=Subj_BldgSF*(1+Subj_SizeTol))</f>
        <v/>
      </c>
    </row>
    <row r="290" ht="15.75" customHeight="1">
      <c r="A290" s="248" t="n">
        <v>7</v>
      </c>
      <c r="B290" s="245" t="n">
        <v>282</v>
      </c>
      <c r="C290" t="inlineStr">
        <is>
          <t>R0160828</t>
        </is>
      </c>
      <c r="D290" t="inlineStr">
        <is>
          <t xml:space="preserve">4711 W 58TH AVE  </t>
        </is>
      </c>
      <c r="E290" t="n">
        <v>406</v>
      </c>
      <c r="F290" t="inlineStr">
        <is>
          <t>ARVADA</t>
        </is>
      </c>
      <c r="G290" t="inlineStr">
        <is>
          <t>5</t>
        </is>
      </c>
      <c r="H290" s="669">
        <f>Y290/J290</f>
        <v/>
      </c>
      <c r="I290" s="472" t="n">
        <v>45469</v>
      </c>
      <c r="J290" t="n">
        <v>18384</v>
      </c>
      <c r="L290" t="n">
        <v>18384</v>
      </c>
      <c r="M290" t="n">
        <v>1979</v>
      </c>
      <c r="P290" t="inlineStr">
        <is>
          <t>I-2-Arv</t>
        </is>
      </c>
      <c r="R290" t="inlineStr">
        <is>
          <t>Average</t>
        </is>
      </c>
      <c r="S290" t="n">
        <v>180823</v>
      </c>
      <c r="T290" s="469">
        <f>S290/L290</f>
        <v/>
      </c>
      <c r="U290" t="inlineStr">
        <is>
          <t>Average</t>
        </is>
      </c>
      <c r="Y290" s="671" t="n">
        <v>6600000</v>
      </c>
      <c r="AA290" s="671" t="n">
        <v>6600000</v>
      </c>
      <c r="AC290" t="inlineStr">
        <is>
          <t>0182507302004</t>
        </is>
      </c>
      <c r="AD290" t="inlineStr">
        <is>
          <t>2024000035779</t>
        </is>
      </c>
      <c r="AE290" t="inlineStr">
        <is>
          <t>INDUSTRIAL CHEMICALS, CORPORATION</t>
        </is>
      </c>
      <c r="AF290" t="inlineStr">
        <is>
          <t>BRENNTAG PACIFIC INC, C/O BRENNTAG NORTH AMERICA INC</t>
        </is>
      </c>
      <c r="AI290" s="245">
        <f>AND(E290=Subj_OccCode,Subj_BldgSF&gt;0,L290&gt;=Subj_BldgSF*(1-Subj_SizeTol),L290&lt;=Subj_BldgSF*(1+Subj_SizeTol))</f>
        <v/>
      </c>
      <c r="AJ290" s="370" t="n"/>
      <c r="AK290" s="370" t="n"/>
      <c r="AL290" s="370" t="n"/>
      <c r="AM290" s="370" t="n"/>
      <c r="AN290" s="370" t="n"/>
    </row>
    <row r="291" ht="15" customHeight="1">
      <c r="A291" s="248" t="n">
        <v>7</v>
      </c>
      <c r="B291" s="245" t="n">
        <v>283</v>
      </c>
      <c r="C291" t="inlineStr">
        <is>
          <t>R0160827</t>
        </is>
      </c>
      <c r="D291" t="inlineStr">
        <is>
          <t xml:space="preserve">4631 W 58TH AVE </t>
        </is>
      </c>
      <c r="E291" t="n">
        <v>407</v>
      </c>
      <c r="F291" t="inlineStr">
        <is>
          <t>ARVADA</t>
        </is>
      </c>
      <c r="G291" t="inlineStr">
        <is>
          <t>5</t>
        </is>
      </c>
      <c r="H291" s="669">
        <f>Y291/J291</f>
        <v/>
      </c>
      <c r="I291" s="472" t="n">
        <v>45469</v>
      </c>
      <c r="J291" t="n">
        <v>24960</v>
      </c>
      <c r="L291" t="n">
        <v>24960</v>
      </c>
      <c r="M291" t="n">
        <v>2004</v>
      </c>
      <c r="P291" t="inlineStr">
        <is>
          <t>I-2-Arv</t>
        </is>
      </c>
      <c r="R291" t="inlineStr">
        <is>
          <t>Average</t>
        </is>
      </c>
      <c r="S291" t="n">
        <v>140026</v>
      </c>
      <c r="T291" s="469">
        <f>S291/L291</f>
        <v/>
      </c>
      <c r="U291" t="inlineStr">
        <is>
          <t>Average</t>
        </is>
      </c>
      <c r="Y291" s="671" t="n">
        <v>7500000</v>
      </c>
      <c r="AA291" s="671" t="n">
        <v>7500000</v>
      </c>
      <c r="AC291" t="inlineStr">
        <is>
          <t>0182507302003</t>
        </is>
      </c>
      <c r="AD291" t="inlineStr">
        <is>
          <t>2024000035787</t>
        </is>
      </c>
      <c r="AE291" t="inlineStr">
        <is>
          <t>BIESEMEIER INDUSTRIAL PARK, INC</t>
        </is>
      </c>
      <c r="AF291" t="inlineStr">
        <is>
          <t>BRENNTAG PACIFIC INC, C/O BRENNTAG NORTH AMERICA INC</t>
        </is>
      </c>
      <c r="AI291" s="245">
        <f>AND(E291=Subj_OccCode,Subj_BldgSF&gt;0,L291&gt;=Subj_BldgSF*(1-Subj_SizeTol),L291&lt;=Subj_BldgSF*(1+Subj_SizeTol))</f>
        <v/>
      </c>
      <c r="AJ291" s="370" t="n"/>
      <c r="AK291" s="370" t="n"/>
      <c r="AL291" s="370" t="n"/>
      <c r="AM291" s="370" t="n"/>
      <c r="AN291" s="370" t="n"/>
    </row>
    <row r="292" ht="15" customHeight="1">
      <c r="A292" s="248" t="n">
        <v>7</v>
      </c>
      <c r="B292" s="245" t="n">
        <v>285</v>
      </c>
      <c r="C292" t="inlineStr">
        <is>
          <t>R0222678</t>
        </is>
      </c>
      <c r="D292" t="inlineStr">
        <is>
          <t>37851 E 51ST AVE #E6</t>
        </is>
      </c>
      <c r="E292" t="n">
        <v>328</v>
      </c>
      <c r="G292" t="inlineStr">
        <is>
          <t>1</t>
        </is>
      </c>
      <c r="H292" s="669">
        <f>Y292/J292</f>
        <v/>
      </c>
      <c r="I292" s="472" t="n">
        <v>45390</v>
      </c>
      <c r="J292" t="n">
        <v>2930</v>
      </c>
      <c r="K292" s="669" t="n"/>
      <c r="L292" t="n">
        <v>2930</v>
      </c>
      <c r="M292" t="n">
        <v>2024</v>
      </c>
      <c r="R292" t="inlineStr">
        <is>
          <t>Average</t>
        </is>
      </c>
      <c r="T292" s="469">
        <f>S292/L292</f>
        <v/>
      </c>
      <c r="U292" t="inlineStr">
        <is>
          <t>Average</t>
        </is>
      </c>
      <c r="V292" s="469" t="n"/>
      <c r="W292" s="469" t="n"/>
      <c r="X292" s="469" t="n"/>
      <c r="Y292" s="671" t="n">
        <v>315708</v>
      </c>
      <c r="Z292" s="671" t="n"/>
      <c r="AA292" s="671" t="n">
        <v>315708</v>
      </c>
      <c r="AB292" s="671" t="n"/>
      <c r="AC292" t="inlineStr">
        <is>
          <t>0181715300036</t>
        </is>
      </c>
      <c r="AD292" t="inlineStr">
        <is>
          <t>2024000022645</t>
        </is>
      </c>
      <c r="AE292" t="inlineStr">
        <is>
          <t>37851 51ST AVE HANGAR OWNERS ASSOCIATION INC</t>
        </is>
      </c>
      <c r="AF292" t="inlineStr">
        <is>
          <t>CRAIG RD LLC</t>
        </is>
      </c>
      <c r="AI292" s="245">
        <f>AND(E292=Subj_OccCode,Subj_BldgSF&gt;0,L292&gt;=Subj_BldgSF*(1-Subj_SizeTol),L292&lt;=Subj_BldgSF*(1+Subj_SizeTol))</f>
        <v/>
      </c>
      <c r="AJ292" s="370" t="n"/>
      <c r="AK292" s="370" t="n"/>
      <c r="AL292" s="370" t="n"/>
      <c r="AM292" s="370" t="n"/>
      <c r="AN292" s="370" t="n"/>
    </row>
    <row r="293" ht="15" customHeight="1">
      <c r="A293" s="471" t="n">
        <v>8</v>
      </c>
      <c r="B293" s="245" t="n">
        <v>286</v>
      </c>
      <c r="C293" t="inlineStr">
        <is>
          <t>R0079887</t>
        </is>
      </c>
      <c r="D293" t="inlineStr">
        <is>
          <t>7250  MONACO ST</t>
        </is>
      </c>
      <c r="E293" t="n">
        <v>353</v>
      </c>
      <c r="F293" t="inlineStr">
        <is>
          <t>COMMERCE CITY</t>
        </is>
      </c>
      <c r="G293" t="inlineStr">
        <is>
          <t>2</t>
        </is>
      </c>
      <c r="H293" s="669">
        <f>Y293/J293</f>
        <v/>
      </c>
      <c r="I293" s="670" t="n">
        <v>43405</v>
      </c>
      <c r="J293" t="n">
        <v>2592</v>
      </c>
      <c r="L293" t="n">
        <v>2592</v>
      </c>
      <c r="M293" t="n">
        <v>1953</v>
      </c>
      <c r="P293" t="inlineStr">
        <is>
          <t>PUD-Com</t>
        </is>
      </c>
      <c r="R293" t="inlineStr">
        <is>
          <t>Average</t>
        </is>
      </c>
      <c r="S293" t="n">
        <v>7075</v>
      </c>
      <c r="T293" s="467">
        <f>S293/J293</f>
        <v/>
      </c>
      <c r="U293" t="inlineStr">
        <is>
          <t>Average</t>
        </is>
      </c>
      <c r="Y293" t="n">
        <v>405000</v>
      </c>
      <c r="AA293" t="n">
        <v>405000</v>
      </c>
      <c r="AC293" t="inlineStr">
        <is>
          <t>0172132421013</t>
        </is>
      </c>
      <c r="AD293" t="inlineStr">
        <is>
          <t>2018000089106</t>
        </is>
      </c>
      <c r="AE293" t="inlineStr">
        <is>
          <t>HOME ADDENDA LLC</t>
        </is>
      </c>
      <c r="AF293" t="inlineStr">
        <is>
          <t>ML-2 LLC</t>
        </is>
      </c>
      <c r="AI293" s="245">
        <f>AND(E293=Subj_OccCode,Subj_BldgSF&gt;0,L293&gt;=Subj_BldgSF*(1-Subj_SizeTol),L293&lt;=Subj_BldgSF*(1+Subj_SizeTol))</f>
        <v/>
      </c>
      <c r="AJ293" s="370" t="n"/>
      <c r="AK293" s="370" t="n"/>
      <c r="AL293" s="370" t="n"/>
      <c r="AM293" s="370" t="n"/>
      <c r="AN293" s="370" t="n"/>
    </row>
    <row r="294" ht="15" customHeight="1">
      <c r="A294" s="471" t="n">
        <v>8</v>
      </c>
      <c r="B294" s="245" t="n">
        <v>287</v>
      </c>
      <c r="C294" t="inlineStr">
        <is>
          <t>R0092849</t>
        </is>
      </c>
      <c r="D294" t="inlineStr">
        <is>
          <t>5200  COLORADO BLVD</t>
        </is>
      </c>
      <c r="E294" t="n">
        <v>406</v>
      </c>
      <c r="F294" t="inlineStr">
        <is>
          <t>COMMERCE CITY</t>
        </is>
      </c>
      <c r="G294" t="inlineStr">
        <is>
          <t>2</t>
        </is>
      </c>
      <c r="H294" s="669">
        <f>Y294/J294</f>
        <v/>
      </c>
      <c r="I294" s="670" t="n">
        <v>43343</v>
      </c>
      <c r="J294" t="n">
        <v>27600</v>
      </c>
      <c r="L294" t="n">
        <v>27600</v>
      </c>
      <c r="M294" t="n">
        <v>1980</v>
      </c>
      <c r="P294" t="inlineStr">
        <is>
          <t>I-3-Com</t>
        </is>
      </c>
      <c r="R294" t="inlineStr">
        <is>
          <t>Average</t>
        </is>
      </c>
      <c r="S294" t="n">
        <v>176418</v>
      </c>
      <c r="T294" s="467">
        <f>S294/J294</f>
        <v/>
      </c>
      <c r="U294" t="inlineStr">
        <is>
          <t>Average</t>
        </is>
      </c>
      <c r="Y294" t="n">
        <v>2800000</v>
      </c>
      <c r="AA294" t="n">
        <v>2800000</v>
      </c>
      <c r="AC294" t="inlineStr">
        <is>
          <t>0182318200023</t>
        </is>
      </c>
      <c r="AD294" t="inlineStr">
        <is>
          <t>2018000071026</t>
        </is>
      </c>
      <c r="AE294" t="inlineStr">
        <is>
          <t>MC CREA CORA BELLE TRUST</t>
        </is>
      </c>
      <c r="AF294" t="inlineStr">
        <is>
          <t>SEG LLC</t>
        </is>
      </c>
      <c r="AI294" s="245">
        <f>AND(E294=Subj_OccCode,Subj_BldgSF&gt;0,L294&gt;=Subj_BldgSF*(1-Subj_SizeTol),L294&lt;=Subj_BldgSF*(1+Subj_SizeTol))</f>
        <v/>
      </c>
      <c r="AJ294" s="370" t="n"/>
      <c r="AK294" s="370" t="n"/>
      <c r="AL294" s="370" t="n"/>
      <c r="AM294" s="370" t="n"/>
      <c r="AN294" s="370" t="n"/>
    </row>
    <row r="295" ht="15" customHeight="1">
      <c r="A295" s="471" t="n">
        <v>8</v>
      </c>
      <c r="B295" s="245" t="n">
        <v>288</v>
      </c>
      <c r="C295" t="inlineStr">
        <is>
          <t>R0097858</t>
        </is>
      </c>
      <c r="D295" t="inlineStr">
        <is>
          <t>3700 E 68TH AVE</t>
        </is>
      </c>
      <c r="E295" t="n">
        <v>407</v>
      </c>
      <c r="F295" t="inlineStr">
        <is>
          <t>COMMERCE CITY</t>
        </is>
      </c>
      <c r="G295" t="inlineStr">
        <is>
          <t>5</t>
        </is>
      </c>
      <c r="H295" s="669">
        <f>Y295/J295</f>
        <v/>
      </c>
      <c r="I295" s="670" t="n">
        <v>43684</v>
      </c>
      <c r="J295" t="n">
        <v>32395</v>
      </c>
      <c r="L295" t="n">
        <v>32395</v>
      </c>
      <c r="M295" t="n">
        <v>1984</v>
      </c>
      <c r="P295" t="inlineStr">
        <is>
          <t>I-2-Com</t>
        </is>
      </c>
      <c r="R295" t="inlineStr">
        <is>
          <t>Average</t>
        </is>
      </c>
      <c r="S295" t="n">
        <v>111949</v>
      </c>
      <c r="T295" s="467">
        <f>S295/J295</f>
        <v/>
      </c>
      <c r="U295" t="inlineStr">
        <is>
          <t>Average</t>
        </is>
      </c>
      <c r="Y295" t="n">
        <v>2940000</v>
      </c>
      <c r="AA295" t="n">
        <v>2940000</v>
      </c>
      <c r="AC295" t="inlineStr">
        <is>
          <t>0182501103001</t>
        </is>
      </c>
      <c r="AD295" t="inlineStr">
        <is>
          <t>2019000064393</t>
        </is>
      </c>
      <c r="AE295" t="inlineStr">
        <is>
          <t xml:space="preserve">SPRING CREEK PARTNERSHIP LTD UND 85%  , AND SMITH GARY D/LINDA B UND 15% INT </t>
        </is>
      </c>
      <c r="AF295" t="inlineStr">
        <is>
          <t>INDUSTRIAL CONSTRUCTORS PROPERRTIES LLC</t>
        </is>
      </c>
      <c r="AI295" s="245">
        <f>AND(E295=Subj_OccCode,Subj_BldgSF&gt;0,L295&gt;=Subj_BldgSF*(1-Subj_SizeTol),L295&lt;=Subj_BldgSF*(1+Subj_SizeTol))</f>
        <v/>
      </c>
      <c r="AJ295" s="370" t="n"/>
      <c r="AK295" s="370" t="n"/>
      <c r="AL295" s="370" t="n"/>
      <c r="AM295" s="370" t="n"/>
      <c r="AN295" s="370" t="n"/>
    </row>
    <row r="296" ht="15" customHeight="1">
      <c r="A296" s="471" t="n">
        <v>8</v>
      </c>
      <c r="B296" s="245" t="n">
        <v>289</v>
      </c>
      <c r="C296" t="inlineStr">
        <is>
          <t>R0099989</t>
        </is>
      </c>
      <c r="D296" t="inlineStr">
        <is>
          <t>7140  HOOKER ST</t>
        </is>
      </c>
      <c r="E296" t="n">
        <v>353</v>
      </c>
      <c r="F296" t="inlineStr">
        <is>
          <t>WESTMINSTER</t>
        </is>
      </c>
      <c r="G296" t="inlineStr">
        <is>
          <t>4</t>
        </is>
      </c>
      <c r="H296" s="669">
        <f>Y296/J296</f>
        <v/>
      </c>
      <c r="I296" s="670" t="n">
        <v>44439</v>
      </c>
      <c r="J296" t="n">
        <v>7680</v>
      </c>
      <c r="L296" t="n">
        <v>7680</v>
      </c>
      <c r="M296" t="n">
        <v>1966</v>
      </c>
      <c r="P296" t="inlineStr">
        <is>
          <t>SPD</t>
        </is>
      </c>
      <c r="R296" t="inlineStr">
        <is>
          <t>Average</t>
        </is>
      </c>
      <c r="S296" t="n">
        <v>35600</v>
      </c>
      <c r="T296" s="467">
        <f>S296/J296</f>
        <v/>
      </c>
      <c r="U296" t="inlineStr">
        <is>
          <t>Average</t>
        </is>
      </c>
      <c r="Y296" t="n">
        <v>1000000</v>
      </c>
      <c r="AA296" t="n">
        <v>1000000</v>
      </c>
      <c r="AC296" t="inlineStr">
        <is>
          <t>0182505201035</t>
        </is>
      </c>
      <c r="AD296" t="inlineStr">
        <is>
          <t>2021000102768</t>
        </is>
      </c>
      <c r="AE296" t="inlineStr">
        <is>
          <t>TRAUPE RUTH</t>
        </is>
      </c>
      <c r="AF296" t="inlineStr">
        <is>
          <t>EISENSTEIN MICHAEL</t>
        </is>
      </c>
      <c r="AI296" s="245">
        <f>AND(E296=Subj_OccCode,Subj_BldgSF&gt;0,L296&gt;=Subj_BldgSF*(1-Subj_SizeTol),L296&lt;=Subj_BldgSF*(1+Subj_SizeTol))</f>
        <v/>
      </c>
      <c r="AJ296" s="370" t="n"/>
      <c r="AK296" s="370" t="n"/>
      <c r="AL296" s="370" t="n"/>
      <c r="AM296" s="370" t="n"/>
      <c r="AN296" s="370" t="n"/>
    </row>
    <row r="297" ht="15" customHeight="1">
      <c r="A297" s="471" t="n">
        <v>8</v>
      </c>
      <c r="B297" s="245" t="n">
        <v>290</v>
      </c>
      <c r="C297" t="inlineStr">
        <is>
          <t>R0003782</t>
        </is>
      </c>
      <c r="D297" t="inlineStr">
        <is>
          <t>481 S 8TH AVE</t>
        </is>
      </c>
      <c r="E297" t="n">
        <v>341</v>
      </c>
      <c r="F297" t="inlineStr">
        <is>
          <t>BRIGHTON</t>
        </is>
      </c>
      <c r="G297" t="inlineStr">
        <is>
          <t>2</t>
        </is>
      </c>
      <c r="H297" s="669">
        <f>Y297/J297</f>
        <v/>
      </c>
      <c r="I297" s="670" t="n">
        <v>44665</v>
      </c>
      <c r="J297" t="n">
        <v>2640</v>
      </c>
      <c r="L297" t="n">
        <v>2640</v>
      </c>
      <c r="M297" t="n">
        <v>1984</v>
      </c>
      <c r="P297" t="inlineStr">
        <is>
          <t>PUD-Bri</t>
        </is>
      </c>
      <c r="R297" t="inlineStr">
        <is>
          <t>Average</t>
        </is>
      </c>
      <c r="S297" t="n">
        <v>16500</v>
      </c>
      <c r="T297" s="467">
        <f>S297/J297</f>
        <v/>
      </c>
      <c r="U297" t="inlineStr">
        <is>
          <t>Average</t>
        </is>
      </c>
      <c r="Y297" t="n">
        <v>634600</v>
      </c>
      <c r="AA297" t="n">
        <v>634600</v>
      </c>
      <c r="AC297" t="inlineStr">
        <is>
          <t>0156907127006</t>
        </is>
      </c>
      <c r="AD297" t="inlineStr">
        <is>
          <t>2022000034761</t>
        </is>
      </c>
      <c r="AE297" t="inlineStr">
        <is>
          <t>MARTIN PHYLLIS M</t>
        </is>
      </c>
      <c r="AF297" t="inlineStr">
        <is>
          <t>481 S 8TH AVE BRIGHTON LLC</t>
        </is>
      </c>
      <c r="AI297" s="245">
        <f>AND(E297=Subj_OccCode,Subj_BldgSF&gt;0,L297&gt;=Subj_BldgSF*(1-Subj_SizeTol),L297&lt;=Subj_BldgSF*(1+Subj_SizeTol))</f>
        <v/>
      </c>
      <c r="AJ297" s="370" t="n"/>
      <c r="AK297" s="370" t="n"/>
      <c r="AL297" s="370" t="n"/>
      <c r="AM297" s="370" t="n"/>
      <c r="AN297" s="370" t="n"/>
    </row>
    <row r="298" ht="15" customHeight="1">
      <c r="A298" s="471" t="n">
        <v>8</v>
      </c>
      <c r="B298" s="245" t="n">
        <v>291</v>
      </c>
      <c r="C298" t="inlineStr">
        <is>
          <t>R0069032</t>
        </is>
      </c>
      <c r="D298" t="inlineStr">
        <is>
          <t>7535  HILLTOP CIR</t>
        </is>
      </c>
      <c r="E298" t="n">
        <v>344</v>
      </c>
      <c r="G298" t="inlineStr">
        <is>
          <t>4</t>
        </is>
      </c>
      <c r="H298" s="669">
        <f>Y298/J298</f>
        <v/>
      </c>
      <c r="I298" s="670" t="n">
        <v>43966</v>
      </c>
      <c r="J298" t="n">
        <v>12288</v>
      </c>
      <c r="L298" t="n">
        <v>12288</v>
      </c>
      <c r="M298" t="n">
        <v>1983</v>
      </c>
      <c r="P298" t="inlineStr">
        <is>
          <t>Commercial</t>
        </is>
      </c>
      <c r="R298" t="inlineStr">
        <is>
          <t>Average</t>
        </is>
      </c>
      <c r="S298" t="n">
        <v>42000</v>
      </c>
      <c r="T298" s="467">
        <f>S298/J298</f>
        <v/>
      </c>
      <c r="U298" t="inlineStr">
        <is>
          <t>Average</t>
        </is>
      </c>
      <c r="Y298" t="n">
        <v>1550000</v>
      </c>
      <c r="AA298" t="n">
        <v>1550000</v>
      </c>
      <c r="AC298" t="inlineStr">
        <is>
          <t>0171933413012</t>
        </is>
      </c>
      <c r="AD298" t="inlineStr">
        <is>
          <t>2020000045368</t>
        </is>
      </c>
      <c r="AE298" t="inlineStr">
        <is>
          <t>CHANNEN COMPANIES LLC</t>
        </is>
      </c>
      <c r="AF298" t="inlineStr">
        <is>
          <t>WASH SQUARE 121 LLC</t>
        </is>
      </c>
      <c r="AI298" s="245">
        <f>AND(E298=Subj_OccCode,Subj_BldgSF&gt;0,L298&gt;=Subj_BldgSF*(1-Subj_SizeTol),L298&lt;=Subj_BldgSF*(1+Subj_SizeTol))</f>
        <v/>
      </c>
      <c r="AJ298" s="370" t="n"/>
      <c r="AK298" s="370" t="n"/>
      <c r="AL298" s="370" t="n"/>
      <c r="AM298" s="370" t="n"/>
      <c r="AN298" s="370" t="n"/>
    </row>
    <row r="299" ht="15" customHeight="1">
      <c r="A299" s="471" t="n">
        <v>8</v>
      </c>
      <c r="B299" s="245" t="n">
        <v>292</v>
      </c>
      <c r="C299" t="inlineStr">
        <is>
          <t>R0065356</t>
        </is>
      </c>
      <c r="D299" t="inlineStr">
        <is>
          <t>7205  MEADE ST</t>
        </is>
      </c>
      <c r="E299" t="n">
        <v>344</v>
      </c>
      <c r="F299" t="inlineStr">
        <is>
          <t>WESTMINSTER</t>
        </is>
      </c>
      <c r="G299" t="inlineStr">
        <is>
          <t>4</t>
        </is>
      </c>
      <c r="H299" s="669">
        <f>Y299/J299</f>
        <v/>
      </c>
      <c r="I299" s="670" t="n">
        <v>43746</v>
      </c>
      <c r="J299" t="n">
        <v>1880</v>
      </c>
      <c r="L299" t="n">
        <v>1880</v>
      </c>
      <c r="M299" t="n">
        <v>1952</v>
      </c>
      <c r="P299" t="inlineStr">
        <is>
          <t>B-1-Wes</t>
        </is>
      </c>
      <c r="R299" t="inlineStr">
        <is>
          <t>Average</t>
        </is>
      </c>
      <c r="S299" t="n">
        <v>4800</v>
      </c>
      <c r="T299" s="467">
        <f>S299/J299</f>
        <v/>
      </c>
      <c r="U299" t="inlineStr">
        <is>
          <t>Average</t>
        </is>
      </c>
      <c r="Y299" t="n">
        <v>285000</v>
      </c>
      <c r="AA299" t="n">
        <v>285000</v>
      </c>
      <c r="AC299" t="inlineStr">
        <is>
          <t>0171931417024</t>
        </is>
      </c>
      <c r="AD299" t="inlineStr">
        <is>
          <t>2019000087174</t>
        </is>
      </c>
      <c r="AE299" t="inlineStr">
        <is>
          <t>WANG TONGCHEN</t>
        </is>
      </c>
      <c r="AF299" t="inlineStr">
        <is>
          <t>7205 MEADE LLC</t>
        </is>
      </c>
      <c r="AI299" s="245">
        <f>AND(E299=Subj_OccCode,Subj_BldgSF&gt;0,L299&gt;=Subj_BldgSF*(1-Subj_SizeTol),L299&lt;=Subj_BldgSF*(1+Subj_SizeTol))</f>
        <v/>
      </c>
      <c r="AJ299" s="370" t="n"/>
      <c r="AK299" s="370" t="n"/>
      <c r="AL299" s="370" t="n"/>
      <c r="AM299" s="370" t="n"/>
      <c r="AN299" s="370" t="n"/>
    </row>
    <row r="300" ht="15" customHeight="1">
      <c r="A300" s="471" t="n">
        <v>8</v>
      </c>
      <c r="B300" s="245" t="n">
        <v>293</v>
      </c>
      <c r="C300" t="inlineStr">
        <is>
          <t>R0077392</t>
        </is>
      </c>
      <c r="D300" t="inlineStr">
        <is>
          <t>8461  BRIGHTON RD</t>
        </is>
      </c>
      <c r="E300" t="n">
        <v>406</v>
      </c>
      <c r="G300" t="inlineStr">
        <is>
          <t>5</t>
        </is>
      </c>
      <c r="H300" s="669">
        <f>Y300/J300</f>
        <v/>
      </c>
      <c r="I300" s="670" t="n">
        <v>43118</v>
      </c>
      <c r="J300" t="n">
        <v>2159</v>
      </c>
      <c r="L300" t="n">
        <v>2159</v>
      </c>
      <c r="M300" t="n">
        <v>1962</v>
      </c>
      <c r="P300" t="inlineStr">
        <is>
          <t>Industrial</t>
        </is>
      </c>
      <c r="R300" t="inlineStr">
        <is>
          <t>Average</t>
        </is>
      </c>
      <c r="S300" t="n">
        <v>28183</v>
      </c>
      <c r="T300" s="467">
        <f>S300/J300</f>
        <v/>
      </c>
      <c r="U300" t="inlineStr">
        <is>
          <t>Average</t>
        </is>
      </c>
      <c r="Y300" t="n">
        <v>700000</v>
      </c>
      <c r="AA300" t="n">
        <v>700000</v>
      </c>
      <c r="AC300" t="inlineStr">
        <is>
          <t>0172129200026</t>
        </is>
      </c>
      <c r="AD300" t="inlineStr">
        <is>
          <t>2018000006104</t>
        </is>
      </c>
      <c r="AE300" t="inlineStr">
        <is>
          <t>LUNNON STEPHEN</t>
        </is>
      </c>
      <c r="AF300" t="inlineStr">
        <is>
          <t>BRIGHTON INVESTMENTS LLC</t>
        </is>
      </c>
      <c r="AI300" s="245">
        <f>AND(E300=Subj_OccCode,Subj_BldgSF&gt;0,L300&gt;=Subj_BldgSF*(1-Subj_SizeTol),L300&lt;=Subj_BldgSF*(1+Subj_SizeTol))</f>
        <v/>
      </c>
      <c r="AJ300" s="370" t="n"/>
      <c r="AK300" s="370" t="n"/>
      <c r="AL300" s="370" t="n"/>
      <c r="AM300" s="370" t="n"/>
      <c r="AN300" s="370" t="n"/>
    </row>
    <row r="301" ht="15" customHeight="1">
      <c r="A301" s="471" t="n">
        <v>8</v>
      </c>
      <c r="B301" s="245" t="n">
        <v>294</v>
      </c>
      <c r="C301" t="inlineStr">
        <is>
          <t>R0079701</t>
        </is>
      </c>
      <c r="D301" t="inlineStr">
        <is>
          <t xml:space="preserve">7576  HIGHWAY 2 </t>
        </is>
      </c>
      <c r="E301" t="n">
        <v>353</v>
      </c>
      <c r="F301" t="inlineStr">
        <is>
          <t>COMMERCE CITY</t>
        </is>
      </c>
      <c r="G301" t="inlineStr">
        <is>
          <t>5</t>
        </is>
      </c>
      <c r="H301" s="669">
        <f>Y301/J301</f>
        <v/>
      </c>
      <c r="I301" s="670" t="n">
        <v>44610</v>
      </c>
      <c r="J301" t="n">
        <v>6500</v>
      </c>
      <c r="L301" t="n">
        <v>6500</v>
      </c>
      <c r="M301" t="n">
        <v>1954</v>
      </c>
      <c r="P301" t="inlineStr">
        <is>
          <t>C-3-Com</t>
        </is>
      </c>
      <c r="R301" t="inlineStr">
        <is>
          <t>Average</t>
        </is>
      </c>
      <c r="S301" t="n">
        <v>43750</v>
      </c>
      <c r="T301" s="467">
        <f>S301/J301</f>
        <v/>
      </c>
      <c r="U301" t="inlineStr">
        <is>
          <t>Average</t>
        </is>
      </c>
      <c r="Y301" t="n">
        <v>950000</v>
      </c>
      <c r="AA301" t="n">
        <v>950000</v>
      </c>
      <c r="AC301" t="inlineStr">
        <is>
          <t>0172132410002</t>
        </is>
      </c>
      <c r="AD301" t="inlineStr">
        <is>
          <t>2022000017336</t>
        </is>
      </c>
      <c r="AE301" t="inlineStr">
        <is>
          <t>MAGNOLIA ENTERPRISES LLC</t>
        </is>
      </c>
      <c r="AF301" t="inlineStr">
        <is>
          <t>BONNIE K LISLE ROTH IRA</t>
        </is>
      </c>
      <c r="AI301" s="245">
        <f>AND(E301=Subj_OccCode,Subj_BldgSF&gt;0,L301&gt;=Subj_BldgSF*(1-Subj_SizeTol),L301&lt;=Subj_BldgSF*(1+Subj_SizeTol))</f>
        <v/>
      </c>
      <c r="AJ301" s="370" t="n"/>
      <c r="AK301" s="370" t="n"/>
      <c r="AL301" s="370" t="n"/>
      <c r="AM301" s="370" t="n"/>
      <c r="AN301" s="370" t="n"/>
    </row>
    <row r="302" ht="15" customHeight="1">
      <c r="A302" s="471" t="n">
        <v>8</v>
      </c>
      <c r="B302" s="245" t="n">
        <v>295</v>
      </c>
      <c r="C302" t="inlineStr">
        <is>
          <t>R0079858</t>
        </is>
      </c>
      <c r="D302" t="inlineStr">
        <is>
          <t>7290  MAGNOLIA ST</t>
        </is>
      </c>
      <c r="E302" t="n">
        <v>344</v>
      </c>
      <c r="F302" t="inlineStr">
        <is>
          <t>COMMERCE CITY</t>
        </is>
      </c>
      <c r="G302" t="inlineStr">
        <is>
          <t>5</t>
        </is>
      </c>
      <c r="H302" s="669">
        <f>Y302/J302</f>
        <v/>
      </c>
      <c r="I302" s="670" t="n">
        <v>44596</v>
      </c>
      <c r="J302" t="n">
        <v>1664</v>
      </c>
      <c r="L302" t="n">
        <v>1664</v>
      </c>
      <c r="M302" t="n">
        <v>1942</v>
      </c>
      <c r="P302" t="inlineStr">
        <is>
          <t>PUD-Com</t>
        </is>
      </c>
      <c r="R302" t="inlineStr">
        <is>
          <t>Average</t>
        </is>
      </c>
      <c r="S302" t="n">
        <v>7500</v>
      </c>
      <c r="T302" s="467">
        <f>S302/J302</f>
        <v/>
      </c>
      <c r="U302" t="inlineStr">
        <is>
          <t>Average</t>
        </is>
      </c>
      <c r="Y302" t="n">
        <v>400000</v>
      </c>
      <c r="AA302" t="n">
        <v>400000</v>
      </c>
      <c r="AC302" t="inlineStr">
        <is>
          <t>0172132420002</t>
        </is>
      </c>
      <c r="AD302" t="inlineStr">
        <is>
          <t>2022000011068</t>
        </is>
      </c>
      <c r="AE302" t="inlineStr">
        <is>
          <t>MAGNOLIA ENTERPRISES LLC</t>
        </is>
      </c>
      <c r="AF302" t="inlineStr">
        <is>
          <t>SOTO IRENE PANDO AND , ISAIS SALVADOR</t>
        </is>
      </c>
      <c r="AI302" s="245">
        <f>AND(E302=Subj_OccCode,Subj_BldgSF&gt;0,L302&gt;=Subj_BldgSF*(1-Subj_SizeTol),L302&lt;=Subj_BldgSF*(1+Subj_SizeTol))</f>
        <v/>
      </c>
      <c r="AJ302" s="370" t="n"/>
      <c r="AK302" s="370" t="n"/>
      <c r="AL302" s="370" t="n"/>
      <c r="AM302" s="370" t="n"/>
      <c r="AN302" s="370" t="n"/>
    </row>
    <row r="303" ht="15" customHeight="1">
      <c r="A303" s="471" t="n">
        <v>8</v>
      </c>
      <c r="B303" s="245" t="n">
        <v>296</v>
      </c>
      <c r="C303" t="inlineStr">
        <is>
          <t>R0059360</t>
        </is>
      </c>
      <c r="D303" t="inlineStr">
        <is>
          <t>1551  MILKY WAY</t>
        </is>
      </c>
      <c r="E303" t="n">
        <v>444</v>
      </c>
      <c r="F303" t="inlineStr">
        <is>
          <t>THORNTON</t>
        </is>
      </c>
      <c r="G303" t="inlineStr">
        <is>
          <t>4</t>
        </is>
      </c>
      <c r="H303" s="669">
        <f>Y303/J303</f>
        <v/>
      </c>
      <c r="I303" s="670" t="n">
        <v>44075</v>
      </c>
      <c r="J303" t="n">
        <v>5769</v>
      </c>
      <c r="L303" t="n">
        <v>5769</v>
      </c>
      <c r="M303" t="n">
        <v>1986</v>
      </c>
      <c r="P303" t="inlineStr">
        <is>
          <t>Planned Development</t>
        </is>
      </c>
      <c r="R303" t="inlineStr">
        <is>
          <t>Good</t>
        </is>
      </c>
      <c r="S303" t="n">
        <v>42194</v>
      </c>
      <c r="T303" s="467">
        <f>S303/J303</f>
        <v/>
      </c>
      <c r="U303" t="inlineStr">
        <is>
          <t>Good</t>
        </is>
      </c>
      <c r="Y303" t="n">
        <v>1100000</v>
      </c>
      <c r="AA303" t="n">
        <v>1100000</v>
      </c>
      <c r="AC303" t="inlineStr">
        <is>
          <t>0171928106002</t>
        </is>
      </c>
      <c r="AD303" t="inlineStr">
        <is>
          <t>2020000087823</t>
        </is>
      </c>
      <c r="AE303" t="inlineStr">
        <is>
          <t>WRIGHT FAMILY 2009 IRREVOCABLE TRUST THE</t>
        </is>
      </c>
      <c r="AF303" t="inlineStr">
        <is>
          <t>1551 MILKY WAY LLC</t>
        </is>
      </c>
      <c r="AI303" s="245">
        <f>AND(E303=Subj_OccCode,Subj_BldgSF&gt;0,L303&gt;=Subj_BldgSF*(1-Subj_SizeTol),L303&lt;=Subj_BldgSF*(1+Subj_SizeTol))</f>
        <v/>
      </c>
      <c r="AJ303" s="370" t="n"/>
      <c r="AK303" s="370" t="n"/>
      <c r="AL303" s="370" t="n"/>
      <c r="AM303" s="370" t="n"/>
      <c r="AN303" s="370" t="n"/>
    </row>
    <row r="304" ht="15" customHeight="1">
      <c r="A304" s="471" t="n">
        <v>8</v>
      </c>
      <c r="B304" s="245" t="n">
        <v>297</v>
      </c>
      <c r="C304" t="inlineStr">
        <is>
          <t>R0070997</t>
        </is>
      </c>
      <c r="D304" t="inlineStr">
        <is>
          <t>909 E 75TH AVE</t>
        </is>
      </c>
      <c r="E304" t="n">
        <v>334</v>
      </c>
      <c r="G304" t="inlineStr">
        <is>
          <t>5</t>
        </is>
      </c>
      <c r="H304" s="669">
        <f>Y304/J304</f>
        <v/>
      </c>
      <c r="I304" s="670" t="n">
        <v>43544</v>
      </c>
      <c r="J304" t="n">
        <v>9250</v>
      </c>
      <c r="L304" t="n">
        <v>9250</v>
      </c>
      <c r="M304" t="n">
        <v>1976</v>
      </c>
      <c r="P304" t="inlineStr">
        <is>
          <t>Industrial</t>
        </is>
      </c>
      <c r="R304" t="inlineStr">
        <is>
          <t>Average</t>
        </is>
      </c>
      <c r="S304" t="n">
        <v>46384</v>
      </c>
      <c r="T304" s="467">
        <f>S304/J304</f>
        <v/>
      </c>
      <c r="U304" t="inlineStr">
        <is>
          <t>Average</t>
        </is>
      </c>
      <c r="Y304" t="n">
        <v>1779500</v>
      </c>
      <c r="AA304" t="n">
        <v>1779500</v>
      </c>
      <c r="AC304" t="inlineStr">
        <is>
          <t>0171935301023</t>
        </is>
      </c>
      <c r="AD304" t="inlineStr">
        <is>
          <t>2019000020504</t>
        </is>
      </c>
      <c r="AE304" t="inlineStr">
        <is>
          <t>909 E 75TH LLC</t>
        </is>
      </c>
      <c r="AF304" t="inlineStr">
        <is>
          <t>LEE DONALD C AND, LONG STEPHANIE M</t>
        </is>
      </c>
      <c r="AI304" s="245">
        <f>AND(E304=Subj_OccCode,Subj_BldgSF&gt;0,L304&gt;=Subj_BldgSF*(1-Subj_SizeTol),L304&lt;=Subj_BldgSF*(1+Subj_SizeTol))</f>
        <v/>
      </c>
      <c r="AJ304" s="370" t="n"/>
      <c r="AK304" s="370" t="n"/>
      <c r="AL304" s="370" t="n"/>
      <c r="AM304" s="370" t="n"/>
      <c r="AN304" s="370" t="n"/>
    </row>
    <row r="305" ht="15" customHeight="1">
      <c r="A305" s="471" t="n">
        <v>8</v>
      </c>
      <c r="B305" s="245" t="n">
        <v>298</v>
      </c>
      <c r="C305" t="inlineStr">
        <is>
          <t>R0103701</t>
        </is>
      </c>
      <c r="D305" t="inlineStr">
        <is>
          <t>5700  WASHINGTON ST</t>
        </is>
      </c>
      <c r="E305" t="n">
        <v>407</v>
      </c>
      <c r="G305" t="inlineStr">
        <is>
          <t>5</t>
        </is>
      </c>
      <c r="H305" s="669">
        <f>Y305/J305</f>
        <v/>
      </c>
      <c r="I305" s="670" t="n">
        <v>44456</v>
      </c>
      <c r="J305" t="n">
        <v>12000</v>
      </c>
      <c r="L305" t="n">
        <v>12000</v>
      </c>
      <c r="M305" t="n">
        <v>1977</v>
      </c>
      <c r="P305" t="inlineStr">
        <is>
          <t>Industrial</t>
        </is>
      </c>
      <c r="R305" t="inlineStr">
        <is>
          <t>Average</t>
        </is>
      </c>
      <c r="S305" t="n">
        <v>34848</v>
      </c>
      <c r="T305" s="467">
        <f>S305/J305</f>
        <v/>
      </c>
      <c r="U305" t="inlineStr">
        <is>
          <t>Average</t>
        </is>
      </c>
      <c r="Y305" t="n">
        <v>2500000</v>
      </c>
      <c r="AA305" t="n">
        <v>2500000</v>
      </c>
      <c r="AC305" t="inlineStr">
        <is>
          <t>0182511300064</t>
        </is>
      </c>
      <c r="AD305" t="inlineStr">
        <is>
          <t>2021000111243</t>
        </is>
      </c>
      <c r="AE305" t="inlineStr">
        <is>
          <t>BATS INVESTMENTS LLC</t>
        </is>
      </c>
      <c r="AF305" t="inlineStr">
        <is>
          <t>W &amp; J INVESTMENTS LLC</t>
        </is>
      </c>
      <c r="AI305" s="245">
        <f>AND(E305=Subj_OccCode,Subj_BldgSF&gt;0,L305&gt;=Subj_BldgSF*(1-Subj_SizeTol),L305&lt;=Subj_BldgSF*(1+Subj_SizeTol))</f>
        <v/>
      </c>
      <c r="AJ305" s="370" t="n"/>
      <c r="AK305" s="370" t="n"/>
      <c r="AL305" s="370" t="n"/>
      <c r="AM305" s="370" t="n"/>
      <c r="AN305" s="370" t="n"/>
    </row>
    <row r="306" ht="15" customHeight="1">
      <c r="A306" s="471" t="n">
        <v>8</v>
      </c>
      <c r="B306" s="245" t="n">
        <v>299</v>
      </c>
      <c r="C306" t="inlineStr">
        <is>
          <t>R0037745</t>
        </is>
      </c>
      <c r="D306" t="inlineStr">
        <is>
          <t>11155  IRMA DR</t>
        </is>
      </c>
      <c r="E306" t="n">
        <v>434</v>
      </c>
      <c r="F306" t="inlineStr">
        <is>
          <t>NORTHGLENN</t>
        </is>
      </c>
      <c r="G306" t="inlineStr">
        <is>
          <t>4</t>
        </is>
      </c>
      <c r="H306" s="669">
        <f>Y306/J306</f>
        <v/>
      </c>
      <c r="I306" s="670" t="n">
        <v>43189</v>
      </c>
      <c r="J306" t="n">
        <v>2640</v>
      </c>
      <c r="L306" t="n">
        <v>2640</v>
      </c>
      <c r="M306" t="n">
        <v>1970</v>
      </c>
      <c r="P306" t="inlineStr">
        <is>
          <t>Northglenn</t>
        </is>
      </c>
      <c r="R306" t="inlineStr">
        <is>
          <t>Average</t>
        </is>
      </c>
      <c r="S306" t="n">
        <v>26550</v>
      </c>
      <c r="T306" s="467">
        <f>S306/J306</f>
        <v/>
      </c>
      <c r="U306" t="inlineStr">
        <is>
          <t>Average</t>
        </is>
      </c>
      <c r="Y306" t="n">
        <v>345400</v>
      </c>
      <c r="AA306" t="n">
        <v>345400</v>
      </c>
      <c r="AC306" t="inlineStr">
        <is>
          <t>0171911103015</t>
        </is>
      </c>
      <c r="AD306" t="inlineStr">
        <is>
          <t>2018000026473</t>
        </is>
      </c>
      <c r="AE306" t="inlineStr">
        <is>
          <t>ZAYAC PROPERTIES IRMA LLLP, C/O PROCLEAN AUTO WASH</t>
        </is>
      </c>
      <c r="AF306" t="inlineStr">
        <is>
          <t>BLANCO PROPERTIES IRMA LLC</t>
        </is>
      </c>
      <c r="AI306" s="245">
        <f>AND(E306=Subj_OccCode,Subj_BldgSF&gt;0,L306&gt;=Subj_BldgSF*(1-Subj_SizeTol),L306&lt;=Subj_BldgSF*(1+Subj_SizeTol))</f>
        <v/>
      </c>
      <c r="AJ306" s="370" t="n"/>
      <c r="AK306" s="370" t="n"/>
      <c r="AL306" s="370" t="n"/>
      <c r="AM306" s="370" t="n"/>
      <c r="AN306" s="370" t="n"/>
    </row>
    <row r="307" ht="15" customHeight="1">
      <c r="A307" s="471" t="n">
        <v>8</v>
      </c>
      <c r="B307" s="245" t="n">
        <v>300</v>
      </c>
      <c r="C307" t="inlineStr">
        <is>
          <t>R0110352</t>
        </is>
      </c>
      <c r="D307" t="inlineStr">
        <is>
          <t>12141 PENNSYLVANIA ST</t>
        </is>
      </c>
      <c r="E307" t="n">
        <v>210</v>
      </c>
      <c r="F307" t="inlineStr">
        <is>
          <t>THORNTON</t>
        </is>
      </c>
      <c r="G307" t="inlineStr">
        <is>
          <t>3</t>
        </is>
      </c>
      <c r="H307" s="669">
        <f>Y307/J307</f>
        <v/>
      </c>
      <c r="I307" s="670" t="n">
        <v>44706</v>
      </c>
      <c r="J307" t="n">
        <v>14680</v>
      </c>
      <c r="L307" t="n">
        <v>14680</v>
      </c>
      <c r="M307" t="n">
        <v>1998</v>
      </c>
      <c r="P307" t="inlineStr">
        <is>
          <t>Business Park</t>
        </is>
      </c>
      <c r="R307" t="inlineStr">
        <is>
          <t>Average</t>
        </is>
      </c>
      <c r="S307" t="n">
        <v>86945</v>
      </c>
      <c r="T307" s="467">
        <f>S307/J307</f>
        <v/>
      </c>
      <c r="U307" t="inlineStr">
        <is>
          <t>Average</t>
        </is>
      </c>
      <c r="Y307" t="n">
        <v>3795000</v>
      </c>
      <c r="AA307" t="n">
        <v>3795000</v>
      </c>
      <c r="AC307" t="inlineStr">
        <is>
          <t>0157334010019</t>
        </is>
      </c>
      <c r="AD307" t="inlineStr">
        <is>
          <t>2022000046653</t>
        </is>
      </c>
      <c r="AE307" t="inlineStr">
        <is>
          <t>12141 PENNSYLVANIA LLC</t>
        </is>
      </c>
      <c r="AF307" t="inlineStr">
        <is>
          <t>SDNS INC</t>
        </is>
      </c>
      <c r="AI307" s="245">
        <f>AND(E307=Subj_OccCode,Subj_BldgSF&gt;0,L307&gt;=Subj_BldgSF*(1-Subj_SizeTol),L307&lt;=Subj_BldgSF*(1+Subj_SizeTol))</f>
        <v/>
      </c>
      <c r="AJ307" s="370" t="n"/>
      <c r="AK307" s="370" t="n"/>
      <c r="AL307" s="370" t="n"/>
      <c r="AM307" s="370" t="n"/>
      <c r="AN307" s="370" t="n"/>
    </row>
    <row r="308" ht="15" customHeight="1">
      <c r="A308" s="471" t="n">
        <v>8</v>
      </c>
      <c r="B308" s="245" t="n">
        <v>301</v>
      </c>
      <c r="C308" t="inlineStr">
        <is>
          <t>R0098079</t>
        </is>
      </c>
      <c r="D308" t="inlineStr">
        <is>
          <t>851 E 71ST AVE #A3</t>
        </is>
      </c>
      <c r="E308" t="n">
        <v>425</v>
      </c>
      <c r="G308" t="inlineStr">
        <is>
          <t>5</t>
        </is>
      </c>
      <c r="H308" s="669">
        <f>Y308/J308</f>
        <v/>
      </c>
      <c r="I308" s="670" t="n">
        <v>43144</v>
      </c>
      <c r="J308" t="n">
        <v>1500</v>
      </c>
      <c r="L308" t="n">
        <v>1500</v>
      </c>
      <c r="M308" t="n">
        <v>1984</v>
      </c>
      <c r="P308" t="inlineStr">
        <is>
          <t>Industrial</t>
        </is>
      </c>
      <c r="R308" t="inlineStr">
        <is>
          <t>Average</t>
        </is>
      </c>
      <c r="S308" t="n">
        <v>4340</v>
      </c>
      <c r="T308" s="467">
        <f>S308/J308</f>
        <v/>
      </c>
      <c r="U308" t="inlineStr">
        <is>
          <t>Average</t>
        </is>
      </c>
      <c r="Y308" t="n">
        <v>215000</v>
      </c>
      <c r="AA308" t="n">
        <v>215000</v>
      </c>
      <c r="AC308" t="inlineStr">
        <is>
          <t>0182502203043</t>
        </is>
      </c>
      <c r="AD308" t="inlineStr">
        <is>
          <t>2018000012737</t>
        </is>
      </c>
      <c r="AE308" t="inlineStr">
        <is>
          <t>BALES BOHR 851 A4 LLC</t>
        </is>
      </c>
      <c r="AF308" t="inlineStr">
        <is>
          <t>851 E HWY 224 LLC</t>
        </is>
      </c>
      <c r="AI308" s="245">
        <f>AND(E308=Subj_OccCode,Subj_BldgSF&gt;0,L308&gt;=Subj_BldgSF*(1-Subj_SizeTol),L308&lt;=Subj_BldgSF*(1+Subj_SizeTol))</f>
        <v/>
      </c>
      <c r="AJ308" s="370" t="n"/>
      <c r="AK308" s="370" t="n"/>
      <c r="AL308" s="370" t="n"/>
      <c r="AM308" s="370" t="n"/>
      <c r="AN308" s="370" t="n"/>
    </row>
    <row r="309" ht="15" customHeight="1">
      <c r="A309" s="471" t="n">
        <v>8</v>
      </c>
      <c r="B309" s="245" t="n">
        <v>302</v>
      </c>
      <c r="C309" t="inlineStr">
        <is>
          <t>R0098079</t>
        </is>
      </c>
      <c r="D309" t="inlineStr">
        <is>
          <t>852 E 71ST AVE #A3</t>
        </is>
      </c>
      <c r="E309" t="n">
        <v>425</v>
      </c>
      <c r="G309" t="inlineStr">
        <is>
          <t>5</t>
        </is>
      </c>
      <c r="H309" s="669">
        <f>Y309/J309</f>
        <v/>
      </c>
      <c r="I309" s="670" t="n">
        <v>44270</v>
      </c>
      <c r="J309" t="n">
        <v>1500</v>
      </c>
      <c r="L309" t="n">
        <v>1500</v>
      </c>
      <c r="M309" t="n">
        <v>1984</v>
      </c>
      <c r="P309" t="inlineStr">
        <is>
          <t>Industrial</t>
        </is>
      </c>
      <c r="R309" t="inlineStr">
        <is>
          <t>Average</t>
        </is>
      </c>
      <c r="S309" t="n">
        <v>4340</v>
      </c>
      <c r="T309" s="467">
        <f>S309/J309</f>
        <v/>
      </c>
      <c r="U309" t="inlineStr">
        <is>
          <t>Average</t>
        </is>
      </c>
      <c r="Y309" t="n">
        <v>290000</v>
      </c>
      <c r="AA309" t="n">
        <v>290000</v>
      </c>
      <c r="AC309" t="inlineStr">
        <is>
          <t>0182502203043</t>
        </is>
      </c>
      <c r="AD309" t="inlineStr">
        <is>
          <t>2021000032505</t>
        </is>
      </c>
      <c r="AE309" t="inlineStr">
        <is>
          <t>KIM DANIEL</t>
        </is>
      </c>
      <c r="AF309" t="inlineStr">
        <is>
          <t>BLUE ROOF RENTALS LLC</t>
        </is>
      </c>
      <c r="AI309" s="245">
        <f>AND(E309=Subj_OccCode,Subj_BldgSF&gt;0,L309&gt;=Subj_BldgSF*(1-Subj_SizeTol),L309&lt;=Subj_BldgSF*(1+Subj_SizeTol))</f>
        <v/>
      </c>
      <c r="AJ309" s="370" t="n"/>
      <c r="AK309" s="370" t="n"/>
      <c r="AL309" s="370" t="n"/>
      <c r="AM309" s="370" t="n"/>
      <c r="AN309" s="370" t="n"/>
    </row>
    <row r="310" ht="15" customHeight="1">
      <c r="A310" s="471" t="n">
        <v>8</v>
      </c>
      <c r="B310" s="245" t="n">
        <v>303</v>
      </c>
      <c r="C310" t="inlineStr">
        <is>
          <t>R0003907</t>
        </is>
      </c>
      <c r="D310" t="inlineStr">
        <is>
          <t>175 S MAIN ST</t>
        </is>
      </c>
      <c r="E310" t="n">
        <v>353</v>
      </c>
      <c r="F310" t="inlineStr">
        <is>
          <t>BRIGHTON</t>
        </is>
      </c>
      <c r="G310" t="inlineStr">
        <is>
          <t>2</t>
        </is>
      </c>
      <c r="H310" s="669">
        <f>Y310/J310</f>
        <v/>
      </c>
      <c r="I310" s="670" t="n">
        <v>44648</v>
      </c>
      <c r="J310" t="n">
        <v>1120</v>
      </c>
      <c r="L310" t="n">
        <v>1120</v>
      </c>
      <c r="M310" t="n">
        <v>1913</v>
      </c>
      <c r="P310" t="inlineStr">
        <is>
          <t>DT</t>
        </is>
      </c>
      <c r="R310" t="inlineStr">
        <is>
          <t>Average</t>
        </is>
      </c>
      <c r="S310" t="n">
        <v>8100</v>
      </c>
      <c r="T310" s="467">
        <f>S310/J310</f>
        <v/>
      </c>
      <c r="U310" t="inlineStr">
        <is>
          <t>Average</t>
        </is>
      </c>
      <c r="Y310" t="n">
        <v>345000</v>
      </c>
      <c r="AA310" t="n">
        <v>345000</v>
      </c>
      <c r="AC310" t="inlineStr">
        <is>
          <t>0156907207010</t>
        </is>
      </c>
      <c r="AD310" t="inlineStr">
        <is>
          <t>2022000033064</t>
        </is>
      </c>
      <c r="AE310" t="inlineStr">
        <is>
          <t>PNJ INVESTMENTS LLC</t>
        </is>
      </c>
      <c r="AF310" t="inlineStr">
        <is>
          <t>CHAVEZ DAVID AND , CHAVEZ PAMELA</t>
        </is>
      </c>
      <c r="AI310" s="245">
        <f>AND(E310=Subj_OccCode,Subj_BldgSF&gt;0,L310&gt;=Subj_BldgSF*(1-Subj_SizeTol),L310&lt;=Subj_BldgSF*(1+Subj_SizeTol))</f>
        <v/>
      </c>
      <c r="AJ310" s="370" t="n"/>
      <c r="AK310" s="370" t="n"/>
      <c r="AL310" s="370" t="n"/>
      <c r="AM310" s="370" t="n"/>
      <c r="AN310" s="370" t="n"/>
    </row>
    <row r="311" ht="15" customHeight="1">
      <c r="A311" s="471" t="n">
        <v>8</v>
      </c>
      <c r="B311" s="245" t="n">
        <v>304</v>
      </c>
      <c r="C311" t="inlineStr">
        <is>
          <t>R0059555</t>
        </is>
      </c>
      <c r="D311" t="inlineStr">
        <is>
          <t>2235 W 84TH AVE</t>
        </is>
      </c>
      <c r="E311" t="n">
        <v>353</v>
      </c>
      <c r="G311" t="inlineStr">
        <is>
          <t>4</t>
        </is>
      </c>
      <c r="H311" s="669">
        <f>Y311/J311</f>
        <v/>
      </c>
      <c r="I311" s="670" t="n">
        <v>43705</v>
      </c>
      <c r="J311" t="n">
        <v>3025</v>
      </c>
      <c r="L311" t="n">
        <v>3025</v>
      </c>
      <c r="M311" t="n">
        <v>1974</v>
      </c>
      <c r="P311" t="inlineStr">
        <is>
          <t>Residential</t>
        </is>
      </c>
      <c r="R311" t="inlineStr">
        <is>
          <t>Average</t>
        </is>
      </c>
      <c r="S311" t="n">
        <v>12100</v>
      </c>
      <c r="T311" s="467">
        <f>S311/J311</f>
        <v/>
      </c>
      <c r="U311" t="inlineStr">
        <is>
          <t>Average</t>
        </is>
      </c>
      <c r="Y311" t="n">
        <v>400000</v>
      </c>
      <c r="AA311" t="n">
        <v>400000</v>
      </c>
      <c r="AC311" t="inlineStr">
        <is>
          <t>0171928201008</t>
        </is>
      </c>
      <c r="AD311" t="inlineStr">
        <is>
          <t>2019000071392</t>
        </is>
      </c>
      <c r="AE311" t="inlineStr">
        <is>
          <t>WAFCO LTD</t>
        </is>
      </c>
      <c r="AF311" t="inlineStr">
        <is>
          <t>KUKU LLC</t>
        </is>
      </c>
      <c r="AI311" s="245">
        <f>AND(E311=Subj_OccCode,Subj_BldgSF&gt;0,L311&gt;=Subj_BldgSF*(1-Subj_SizeTol),L311&lt;=Subj_BldgSF*(1+Subj_SizeTol))</f>
        <v/>
      </c>
      <c r="AJ311" s="370" t="n"/>
      <c r="AK311" s="370" t="n"/>
      <c r="AL311" s="370" t="n"/>
      <c r="AM311" s="370" t="n"/>
      <c r="AN311" s="370" t="n"/>
    </row>
    <row r="312" ht="15" customHeight="1">
      <c r="A312" s="471" t="n">
        <v>8</v>
      </c>
      <c r="B312" s="245" t="n">
        <v>305</v>
      </c>
      <c r="C312" t="inlineStr">
        <is>
          <t>R0075329</t>
        </is>
      </c>
      <c r="D312" t="inlineStr">
        <is>
          <t>9685  BRIGHTON RD</t>
        </is>
      </c>
      <c r="E312" t="n">
        <v>325</v>
      </c>
      <c r="G312" t="inlineStr">
        <is>
          <t>5</t>
        </is>
      </c>
      <c r="H312" s="669">
        <f>Y312/J312</f>
        <v/>
      </c>
      <c r="I312" s="670" t="n">
        <v>43587</v>
      </c>
      <c r="J312" t="n">
        <v>9000</v>
      </c>
      <c r="L312" t="n">
        <v>9000</v>
      </c>
      <c r="M312" t="n">
        <v>1981</v>
      </c>
      <c r="R312" t="inlineStr">
        <is>
          <t>Average</t>
        </is>
      </c>
      <c r="S312" t="n">
        <v>30099.96</v>
      </c>
      <c r="T312" s="467">
        <f>S312/J312</f>
        <v/>
      </c>
      <c r="U312" t="inlineStr">
        <is>
          <t>Average</t>
        </is>
      </c>
      <c r="Y312" t="n">
        <v>1100000</v>
      </c>
      <c r="AA312" t="n">
        <v>1100000</v>
      </c>
      <c r="AC312" t="inlineStr">
        <is>
          <t>0172116000022</t>
        </is>
      </c>
      <c r="AD312" t="inlineStr">
        <is>
          <t>2019000032873</t>
        </is>
      </c>
      <c r="AE312" t="inlineStr">
        <is>
          <t>BURR JOANN L AND, GULLION CAROLYN KAY LIVING TRUST</t>
        </is>
      </c>
      <c r="AF312" t="inlineStr">
        <is>
          <t>9685 BRIGHTON LLC</t>
        </is>
      </c>
      <c r="AI312" s="245">
        <f>AND(E312=Subj_OccCode,Subj_BldgSF&gt;0,L312&gt;=Subj_BldgSF*(1-Subj_SizeTol),L312&lt;=Subj_BldgSF*(1+Subj_SizeTol))</f>
        <v/>
      </c>
      <c r="AJ312" s="370" t="n"/>
      <c r="AK312" s="370" t="n"/>
      <c r="AL312" s="370" t="n"/>
      <c r="AM312" s="370" t="n"/>
      <c r="AN312" s="370" t="n"/>
    </row>
    <row r="313" ht="15" customHeight="1">
      <c r="A313" s="471" t="n">
        <v>8</v>
      </c>
      <c r="B313" s="245" t="n">
        <v>306</v>
      </c>
      <c r="C313" t="inlineStr">
        <is>
          <t>R0002808</t>
        </is>
      </c>
      <c r="D313" t="inlineStr">
        <is>
          <t>123 N MAIN ST</t>
        </is>
      </c>
      <c r="E313" t="n">
        <v>353</v>
      </c>
      <c r="F313" t="inlineStr">
        <is>
          <t>BRIGHTON</t>
        </is>
      </c>
      <c r="G313" t="inlineStr">
        <is>
          <t>2</t>
        </is>
      </c>
      <c r="H313" s="669">
        <f>Y313/J313</f>
        <v/>
      </c>
      <c r="I313" s="670" t="n">
        <v>44176</v>
      </c>
      <c r="J313" t="n">
        <v>3900</v>
      </c>
      <c r="L313" t="n">
        <v>3900</v>
      </c>
      <c r="M313" t="n">
        <v>1897</v>
      </c>
      <c r="P313" t="inlineStr">
        <is>
          <t>DT</t>
        </is>
      </c>
      <c r="R313" t="inlineStr">
        <is>
          <t>Average</t>
        </is>
      </c>
      <c r="S313" t="n">
        <v>10000</v>
      </c>
      <c r="T313" s="467">
        <f>S313/J313</f>
        <v/>
      </c>
      <c r="U313" t="inlineStr">
        <is>
          <t>Good</t>
        </is>
      </c>
      <c r="Y313" t="n">
        <v>717000</v>
      </c>
      <c r="AA313" t="n">
        <v>717000</v>
      </c>
      <c r="AC313" t="inlineStr">
        <is>
          <t>0156906311007</t>
        </is>
      </c>
      <c r="AD313" t="inlineStr">
        <is>
          <t>2021000002489</t>
        </is>
      </c>
      <c r="AE313" t="inlineStr">
        <is>
          <t>HERR FAMILY LLC</t>
        </is>
      </c>
      <c r="AF313" t="inlineStr">
        <is>
          <t>123 N MAIN LLC</t>
        </is>
      </c>
      <c r="AI313" s="245">
        <f>AND(E313=Subj_OccCode,Subj_BldgSF&gt;0,L313&gt;=Subj_BldgSF*(1-Subj_SizeTol),L313&lt;=Subj_BldgSF*(1+Subj_SizeTol))</f>
        <v/>
      </c>
      <c r="AJ313" s="370" t="n"/>
      <c r="AK313" s="370" t="n"/>
      <c r="AL313" s="370" t="n"/>
      <c r="AM313" s="370" t="n"/>
      <c r="AN313" s="370" t="n"/>
    </row>
    <row r="314" ht="15" customHeight="1">
      <c r="A314" s="471" t="n">
        <v>8</v>
      </c>
      <c r="B314" s="245" t="n">
        <v>307</v>
      </c>
      <c r="C314" t="inlineStr">
        <is>
          <t>R0050977</t>
        </is>
      </c>
      <c r="D314" t="inlineStr">
        <is>
          <t>9351  GRANT ST</t>
        </is>
      </c>
      <c r="E314" t="n">
        <v>344</v>
      </c>
      <c r="F314" t="inlineStr">
        <is>
          <t>THORNTON</t>
        </is>
      </c>
      <c r="G314" t="inlineStr">
        <is>
          <t>4</t>
        </is>
      </c>
      <c r="H314" s="669">
        <f>Y314/J314</f>
        <v/>
      </c>
      <c r="I314" s="670" t="n">
        <v>43199</v>
      </c>
      <c r="J314" t="n">
        <v>96190</v>
      </c>
      <c r="L314" t="n">
        <v>96190</v>
      </c>
      <c r="M314" t="n">
        <v>1985</v>
      </c>
      <c r="P314" t="inlineStr">
        <is>
          <t>Thornton</t>
        </is>
      </c>
      <c r="R314" t="inlineStr">
        <is>
          <t>Good</t>
        </is>
      </c>
      <c r="S314" t="n">
        <v>49833</v>
      </c>
      <c r="T314" s="467">
        <f>S314/J314</f>
        <v/>
      </c>
      <c r="U314" t="inlineStr">
        <is>
          <t>Average</t>
        </is>
      </c>
      <c r="Y314" t="n">
        <v>9075000</v>
      </c>
      <c r="AA314" t="n">
        <v>9075000</v>
      </c>
      <c r="AC314" t="inlineStr">
        <is>
          <t>0171922102003</t>
        </is>
      </c>
      <c r="AD314" t="inlineStr">
        <is>
          <t>2018000028658</t>
        </is>
      </c>
      <c r="AE314" t="inlineStr">
        <is>
          <t>HORIZON TERRACE PACIFIC LTD</t>
        </is>
      </c>
      <c r="AF314" t="inlineStr">
        <is>
          <t>1641 CALIFORNIA LLC</t>
        </is>
      </c>
      <c r="AI314" s="245">
        <f>AND(E314=Subj_OccCode,Subj_BldgSF&gt;0,L314&gt;=Subj_BldgSF*(1-Subj_SizeTol),L314&lt;=Subj_BldgSF*(1+Subj_SizeTol))</f>
        <v/>
      </c>
      <c r="AJ314" s="370" t="n"/>
      <c r="AK314" s="370" t="n"/>
      <c r="AL314" s="370" t="n"/>
      <c r="AM314" s="370" t="n"/>
      <c r="AN314" s="370" t="n"/>
    </row>
    <row r="315" ht="15" customHeight="1">
      <c r="A315" s="471" t="n">
        <v>8</v>
      </c>
      <c r="B315" s="245" t="n">
        <v>308</v>
      </c>
      <c r="C315" t="inlineStr">
        <is>
          <t>R0002810</t>
        </is>
      </c>
      <c r="D315" t="inlineStr">
        <is>
          <t>119 N MAIN ST</t>
        </is>
      </c>
      <c r="E315" t="n">
        <v>353</v>
      </c>
      <c r="F315" t="inlineStr">
        <is>
          <t>BRIGHTON</t>
        </is>
      </c>
      <c r="G315" t="inlineStr">
        <is>
          <t>2</t>
        </is>
      </c>
      <c r="H315" s="669">
        <f>Y315/J315</f>
        <v/>
      </c>
      <c r="I315" s="670" t="n">
        <v>43892</v>
      </c>
      <c r="J315" t="n">
        <v>2160</v>
      </c>
      <c r="L315" t="n">
        <v>2160</v>
      </c>
      <c r="M315" t="n">
        <v>1926</v>
      </c>
      <c r="P315" t="inlineStr">
        <is>
          <t>DT</t>
        </is>
      </c>
      <c r="R315" t="inlineStr">
        <is>
          <t>Average</t>
        </is>
      </c>
      <c r="S315" t="n">
        <v>5125</v>
      </c>
      <c r="T315" s="467">
        <f>S315/J315</f>
        <v/>
      </c>
      <c r="U315" t="inlineStr">
        <is>
          <t>Average</t>
        </is>
      </c>
      <c r="Y315" t="n">
        <v>400000</v>
      </c>
      <c r="AA315" t="n">
        <v>400000</v>
      </c>
      <c r="AC315" t="inlineStr">
        <is>
          <t>0156906311009</t>
        </is>
      </c>
      <c r="AD315" t="inlineStr">
        <is>
          <t>2020000020537</t>
        </is>
      </c>
      <c r="AE315" t="inlineStr">
        <is>
          <t>DYCO HOLDINGS LLC</t>
        </is>
      </c>
      <c r="AF315" t="inlineStr">
        <is>
          <t>JOINT VENTURES LLC</t>
        </is>
      </c>
      <c r="AI315" s="245">
        <f>AND(E315=Subj_OccCode,Subj_BldgSF&gt;0,L315&gt;=Subj_BldgSF*(1-Subj_SizeTol),L315&lt;=Subj_BldgSF*(1+Subj_SizeTol))</f>
        <v/>
      </c>
      <c r="AJ315" s="370" t="n"/>
      <c r="AK315" s="370" t="n"/>
      <c r="AL315" s="370" t="n"/>
      <c r="AM315" s="370" t="n"/>
      <c r="AN315" s="370" t="n"/>
    </row>
    <row r="316" ht="15" customHeight="1">
      <c r="A316" s="471" t="n">
        <v>8</v>
      </c>
      <c r="B316" s="245" t="n">
        <v>309</v>
      </c>
      <c r="C316" t="inlineStr">
        <is>
          <t>R0001910</t>
        </is>
      </c>
      <c r="D316" t="inlineStr">
        <is>
          <t>1181  BRIDGE ST</t>
        </is>
      </c>
      <c r="E316" t="n">
        <v>100</v>
      </c>
      <c r="F316" t="inlineStr">
        <is>
          <t>BRIGHTON</t>
        </is>
      </c>
      <c r="G316" t="inlineStr">
        <is>
          <t>122</t>
        </is>
      </c>
      <c r="H316" s="669">
        <f>Y316/J316</f>
        <v/>
      </c>
      <c r="I316" s="670" t="n">
        <v>43637</v>
      </c>
      <c r="J316" t="n">
        <v>670</v>
      </c>
      <c r="L316" t="n">
        <v>670</v>
      </c>
      <c r="M316" t="n">
        <v>1949</v>
      </c>
      <c r="P316" t="inlineStr">
        <is>
          <t>C-2-Bri</t>
        </is>
      </c>
      <c r="R316" t="inlineStr">
        <is>
          <t>Average</t>
        </is>
      </c>
      <c r="S316" t="n">
        <v>6098</v>
      </c>
      <c r="T316" s="467">
        <f>S316/J316</f>
        <v/>
      </c>
      <c r="U316" t="inlineStr">
        <is>
          <t>Average</t>
        </is>
      </c>
      <c r="Y316" t="n">
        <v>249000</v>
      </c>
      <c r="AA316" t="n">
        <v>249000</v>
      </c>
      <c r="AC316" t="inlineStr">
        <is>
          <t>0156905300011</t>
        </is>
      </c>
      <c r="AD316" t="inlineStr">
        <is>
          <t>2019000049917</t>
        </is>
      </c>
      <c r="AE316" t="inlineStr">
        <is>
          <t>RAICHLE INTERESTS LLC</t>
        </is>
      </c>
      <c r="AF316" t="inlineStr">
        <is>
          <t>GREYSON HOLDINGS LLC</t>
        </is>
      </c>
      <c r="AI316" s="245">
        <f>AND(E316=Subj_OccCode,Subj_BldgSF&gt;0,L316&gt;=Subj_BldgSF*(1-Subj_SizeTol),L316&lt;=Subj_BldgSF*(1+Subj_SizeTol))</f>
        <v/>
      </c>
      <c r="AJ316" s="370" t="n"/>
      <c r="AK316" s="370" t="n"/>
      <c r="AL316" s="370" t="n"/>
      <c r="AM316" s="370" t="n"/>
      <c r="AN316" s="370" t="n"/>
    </row>
    <row r="317" ht="15" customHeight="1">
      <c r="A317" s="471" t="n">
        <v>8</v>
      </c>
      <c r="B317" s="245" t="n">
        <v>310</v>
      </c>
      <c r="C317" t="inlineStr">
        <is>
          <t>R0037128</t>
        </is>
      </c>
      <c r="D317" t="inlineStr">
        <is>
          <t>11166 HURON ST #28</t>
        </is>
      </c>
      <c r="E317" t="n">
        <v>344</v>
      </c>
      <c r="F317" t="inlineStr">
        <is>
          <t>NORTHGLENN</t>
        </is>
      </c>
      <c r="G317" t="inlineStr">
        <is>
          <t>4</t>
        </is>
      </c>
      <c r="H317" s="669">
        <f>Y317/J317</f>
        <v/>
      </c>
      <c r="I317" s="670" t="n">
        <v>43693</v>
      </c>
      <c r="J317" t="n">
        <v>1841</v>
      </c>
      <c r="L317" t="n">
        <v>1841</v>
      </c>
      <c r="M317" t="n">
        <v>1984</v>
      </c>
      <c r="P317" t="inlineStr">
        <is>
          <t>C-3-Nor</t>
        </is>
      </c>
      <c r="R317" t="inlineStr">
        <is>
          <t>Average</t>
        </is>
      </c>
      <c r="S317" t="n">
        <v>1118.78</v>
      </c>
      <c r="T317" s="467">
        <f>S317/J317</f>
        <v/>
      </c>
      <c r="U317" t="inlineStr">
        <is>
          <t>Average</t>
        </is>
      </c>
      <c r="Y317" t="n">
        <v>300000</v>
      </c>
      <c r="AA317" t="n">
        <v>300000</v>
      </c>
      <c r="AC317" t="inlineStr">
        <is>
          <t>0171910217028</t>
        </is>
      </c>
      <c r="AD317" t="inlineStr">
        <is>
          <t>2019000067076</t>
        </is>
      </c>
      <c r="AE317" t="inlineStr">
        <is>
          <t>MARTIN MICHAEL T AND, MARTIN BETH E</t>
        </is>
      </c>
      <c r="AF317" t="inlineStr">
        <is>
          <t>CHUONG KELLY</t>
        </is>
      </c>
      <c r="AI317" s="245">
        <f>AND(E317=Subj_OccCode,Subj_BldgSF&gt;0,L317&gt;=Subj_BldgSF*(1-Subj_SizeTol),L317&lt;=Subj_BldgSF*(1+Subj_SizeTol))</f>
        <v/>
      </c>
      <c r="AJ317" s="370" t="n"/>
      <c r="AK317" s="370" t="n"/>
      <c r="AL317" s="370" t="n"/>
      <c r="AM317" s="370" t="n"/>
      <c r="AN317" s="370" t="n"/>
    </row>
    <row r="318" ht="15" customHeight="1">
      <c r="A318" s="471" t="n">
        <v>8</v>
      </c>
      <c r="B318" s="245" t="n">
        <v>311</v>
      </c>
      <c r="C318" t="inlineStr">
        <is>
          <t>R0037129</t>
        </is>
      </c>
      <c r="D318" t="inlineStr">
        <is>
          <t>11166 HURON ST #29</t>
        </is>
      </c>
      <c r="E318" t="n">
        <v>344</v>
      </c>
      <c r="F318" t="inlineStr">
        <is>
          <t>NORTHGLENN</t>
        </is>
      </c>
      <c r="G318" t="inlineStr">
        <is>
          <t>4</t>
        </is>
      </c>
      <c r="H318" s="669">
        <f>Y318/J318</f>
        <v/>
      </c>
      <c r="I318" s="670" t="n">
        <v>44540</v>
      </c>
      <c r="J318" t="n">
        <v>1841</v>
      </c>
      <c r="L318" t="n">
        <v>1841</v>
      </c>
      <c r="M318" t="n">
        <v>1984</v>
      </c>
      <c r="P318" t="inlineStr">
        <is>
          <t>C-3-Nor</t>
        </is>
      </c>
      <c r="R318" t="inlineStr">
        <is>
          <t>Average</t>
        </is>
      </c>
      <c r="S318" t="n">
        <v>1118.78</v>
      </c>
      <c r="T318" s="467">
        <f>S318/J318</f>
        <v/>
      </c>
      <c r="U318" t="inlineStr">
        <is>
          <t>fair</t>
        </is>
      </c>
      <c r="Y318" t="n">
        <v>300000</v>
      </c>
      <c r="AA318" t="n">
        <v>300000</v>
      </c>
      <c r="AC318" t="inlineStr">
        <is>
          <t>0171910217029</t>
        </is>
      </c>
      <c r="AD318" t="inlineStr">
        <is>
          <t>2021000144383</t>
        </is>
      </c>
      <c r="AE318" t="inlineStr">
        <is>
          <t>LAMM DEVELOPMENTS LTD</t>
        </is>
      </c>
      <c r="AF318" t="inlineStr">
        <is>
          <t>BELLA IN YOU DAY SPA</t>
        </is>
      </c>
      <c r="AI318" s="245">
        <f>AND(E318=Subj_OccCode,Subj_BldgSF&gt;0,L318&gt;=Subj_BldgSF*(1-Subj_SizeTol),L318&lt;=Subj_BldgSF*(1+Subj_SizeTol))</f>
        <v/>
      </c>
      <c r="AJ318" s="370" t="n"/>
      <c r="AK318" s="370" t="n"/>
      <c r="AL318" s="370" t="n"/>
      <c r="AM318" s="370" t="n"/>
      <c r="AN318" s="370" t="n"/>
    </row>
    <row r="319" ht="15" customHeight="1">
      <c r="A319" s="471" t="n">
        <v>8</v>
      </c>
      <c r="B319" s="245" t="n">
        <v>312</v>
      </c>
      <c r="C319" t="inlineStr">
        <is>
          <t>R0095208</t>
        </is>
      </c>
      <c r="D319" t="inlineStr">
        <is>
          <t>10190  MONTVIEW BLVD</t>
        </is>
      </c>
      <c r="E319" t="n">
        <v>344</v>
      </c>
      <c r="F319" t="inlineStr">
        <is>
          <t>AURORA</t>
        </is>
      </c>
      <c r="G319" t="inlineStr">
        <is>
          <t>6</t>
        </is>
      </c>
      <c r="H319" s="669">
        <f>Y319/J319</f>
        <v/>
      </c>
      <c r="I319" s="670" t="n">
        <v>44740</v>
      </c>
      <c r="J319" t="n">
        <v>3668</v>
      </c>
      <c r="L319" t="n">
        <v>3668</v>
      </c>
      <c r="M319" t="n">
        <v>1962</v>
      </c>
      <c r="P319" t="inlineStr">
        <is>
          <t>OA-MS</t>
        </is>
      </c>
      <c r="R319" t="inlineStr">
        <is>
          <t>Average</t>
        </is>
      </c>
      <c r="S319" t="n">
        <v>15868</v>
      </c>
      <c r="T319" s="467">
        <f>S319/J319</f>
        <v/>
      </c>
      <c r="U319" t="inlineStr">
        <is>
          <t>Average</t>
        </is>
      </c>
      <c r="Y319" t="n">
        <v>2000000</v>
      </c>
      <c r="AA319" t="n">
        <v>2000000</v>
      </c>
      <c r="AC319" t="inlineStr">
        <is>
          <t>0182334404020</t>
        </is>
      </c>
      <c r="AD319" t="inlineStr">
        <is>
          <t>2022000057389</t>
        </is>
      </c>
      <c r="AE319" t="inlineStr">
        <is>
          <t>ONUOHA FRANCISCA I</t>
        </is>
      </c>
      <c r="AF319" t="inlineStr">
        <is>
          <t>MILE HIGH COUNCIL ON ALCOHOLISM AND DRUG ABUSE</t>
        </is>
      </c>
      <c r="AI319" s="245">
        <f>AND(E319=Subj_OccCode,Subj_BldgSF&gt;0,L319&gt;=Subj_BldgSF*(1-Subj_SizeTol),L319&lt;=Subj_BldgSF*(1+Subj_SizeTol))</f>
        <v/>
      </c>
      <c r="AJ319" s="370" t="n"/>
      <c r="AK319" s="370" t="n"/>
      <c r="AL319" s="370" t="n"/>
      <c r="AM319" s="370" t="n"/>
      <c r="AN319" s="370" t="n"/>
    </row>
    <row r="320" ht="15" customHeight="1">
      <c r="A320" s="471" t="n">
        <v>8</v>
      </c>
      <c r="B320" s="245" t="n">
        <v>313</v>
      </c>
      <c r="C320" t="inlineStr">
        <is>
          <t>R0100831</t>
        </is>
      </c>
      <c r="D320" t="inlineStr">
        <is>
          <t>3698 W 72ND AVE</t>
        </is>
      </c>
      <c r="E320" t="n">
        <v>325</v>
      </c>
      <c r="F320" t="inlineStr">
        <is>
          <t>WESTMINSTER</t>
        </is>
      </c>
      <c r="G320" t="inlineStr">
        <is>
          <t>4</t>
        </is>
      </c>
      <c r="H320" s="669">
        <f>Y320/J320</f>
        <v/>
      </c>
      <c r="I320" s="670" t="n">
        <v>44355</v>
      </c>
      <c r="J320" t="n">
        <v>7597</v>
      </c>
      <c r="L320" t="n">
        <v>7597</v>
      </c>
      <c r="M320" t="n">
        <v>1926</v>
      </c>
      <c r="P320" t="inlineStr">
        <is>
          <t>C-1-Wes</t>
        </is>
      </c>
      <c r="R320" t="inlineStr">
        <is>
          <t>Average</t>
        </is>
      </c>
      <c r="S320" t="n">
        <v>21780</v>
      </c>
      <c r="T320" s="467">
        <f>S320/J320</f>
        <v/>
      </c>
      <c r="U320" t="inlineStr">
        <is>
          <t>Average</t>
        </is>
      </c>
      <c r="Y320" t="n">
        <v>800000</v>
      </c>
      <c r="AA320" t="n">
        <v>800000</v>
      </c>
      <c r="AC320" t="inlineStr">
        <is>
          <t>0182506100012</t>
        </is>
      </c>
      <c r="AD320" t="inlineStr">
        <is>
          <t>2021000069334</t>
        </is>
      </c>
      <c r="AE320" t="inlineStr">
        <is>
          <t>ANDERSON SHYRLEE F</t>
        </is>
      </c>
      <c r="AF320" t="inlineStr">
        <is>
          <t>RELAY HILL C LLC</t>
        </is>
      </c>
      <c r="AI320" s="245">
        <f>AND(E320=Subj_OccCode,Subj_BldgSF&gt;0,L320&gt;=Subj_BldgSF*(1-Subj_SizeTol),L320&lt;=Subj_BldgSF*(1+Subj_SizeTol))</f>
        <v/>
      </c>
      <c r="AJ320" s="370" t="n"/>
      <c r="AK320" s="370" t="n"/>
      <c r="AL320" s="370" t="n"/>
      <c r="AM320" s="370" t="n"/>
      <c r="AN320" s="370" t="n"/>
    </row>
    <row r="321" ht="15" customHeight="1">
      <c r="A321" s="471" t="n">
        <v>8</v>
      </c>
      <c r="B321" s="245" t="n">
        <v>314</v>
      </c>
      <c r="C321" t="inlineStr">
        <is>
          <t>R0100901</t>
        </is>
      </c>
      <c r="D321" t="inlineStr">
        <is>
          <t>7155  NEWTON ST</t>
        </is>
      </c>
      <c r="E321" t="n">
        <v>406</v>
      </c>
      <c r="F321" t="inlineStr">
        <is>
          <t>WESTMINSTER</t>
        </is>
      </c>
      <c r="G321" t="inlineStr">
        <is>
          <t>4</t>
        </is>
      </c>
      <c r="H321" s="669">
        <f>Y321/J321</f>
        <v/>
      </c>
      <c r="I321" s="670" t="n">
        <v>43238</v>
      </c>
      <c r="J321" t="n">
        <v>7720</v>
      </c>
      <c r="L321" t="n">
        <v>7720</v>
      </c>
      <c r="M321" t="n">
        <v>1972</v>
      </c>
      <c r="P321" t="inlineStr">
        <is>
          <t>Westminster</t>
        </is>
      </c>
      <c r="R321" t="inlineStr">
        <is>
          <t>Average</t>
        </is>
      </c>
      <c r="S321" t="n">
        <v>15500</v>
      </c>
      <c r="T321" s="467">
        <f>S321/J321</f>
        <v/>
      </c>
      <c r="U321" t="inlineStr">
        <is>
          <t>Average</t>
        </is>
      </c>
      <c r="Y321" t="n">
        <v>950000</v>
      </c>
      <c r="AA321" t="n">
        <v>950000</v>
      </c>
      <c r="AC321" t="inlineStr">
        <is>
          <t>0182506108003</t>
        </is>
      </c>
      <c r="AD321" t="inlineStr">
        <is>
          <t>2018000040742</t>
        </is>
      </c>
      <c r="AE321" t="inlineStr">
        <is>
          <t>MEYER ROBERT CARL JR LIVING TRUST 50% , MEYER ROBIN LEE LIVING TRUST 50% INT</t>
        </is>
      </c>
      <c r="AF321" t="inlineStr">
        <is>
          <t>RMER PROPERTIES LLC</t>
        </is>
      </c>
      <c r="AI321" s="245">
        <f>AND(E321=Subj_OccCode,Subj_BldgSF&gt;0,L321&gt;=Subj_BldgSF*(1-Subj_SizeTol),L321&lt;=Subj_BldgSF*(1+Subj_SizeTol))</f>
        <v/>
      </c>
      <c r="AJ321" s="370" t="n"/>
      <c r="AK321" s="370" t="n"/>
      <c r="AL321" s="370" t="n"/>
      <c r="AM321" s="370" t="n"/>
      <c r="AN321" s="370" t="n"/>
    </row>
    <row r="322" ht="15" customHeight="1">
      <c r="A322" s="471" t="n">
        <v>8</v>
      </c>
      <c r="B322" s="245" t="n">
        <v>315</v>
      </c>
      <c r="C322" t="inlineStr">
        <is>
          <t>R0113852</t>
        </is>
      </c>
      <c r="D322" t="inlineStr">
        <is>
          <t>70 S 20TH AVE</t>
        </is>
      </c>
      <c r="E322" t="n">
        <v>341</v>
      </c>
      <c r="F322" t="inlineStr">
        <is>
          <t>BRIGHTON</t>
        </is>
      </c>
      <c r="G322" t="inlineStr">
        <is>
          <t>2</t>
        </is>
      </c>
      <c r="H322" s="669">
        <f>Y322/J322</f>
        <v/>
      </c>
      <c r="I322" s="670" t="n">
        <v>44602</v>
      </c>
      <c r="J322" t="n">
        <v>5776</v>
      </c>
      <c r="L322" t="n">
        <v>5776</v>
      </c>
      <c r="M322" t="n">
        <v>1986</v>
      </c>
      <c r="P322" t="inlineStr">
        <is>
          <t>C-2-Bri</t>
        </is>
      </c>
      <c r="R322" t="inlineStr">
        <is>
          <t>Average</t>
        </is>
      </c>
      <c r="S322" t="n">
        <v>23314</v>
      </c>
      <c r="T322" s="467">
        <f>S322/J322</f>
        <v/>
      </c>
      <c r="U322" t="inlineStr">
        <is>
          <t>Average</t>
        </is>
      </c>
      <c r="Y322" t="n">
        <v>1300000</v>
      </c>
      <c r="AA322" t="n">
        <v>1300000</v>
      </c>
      <c r="AC322" t="inlineStr">
        <is>
          <t>0156908120007</t>
        </is>
      </c>
      <c r="AD322" t="inlineStr">
        <is>
          <t>2022000013254</t>
        </is>
      </c>
      <c r="AE322" t="inlineStr">
        <is>
          <t>JOHNSON WARREN T.</t>
        </is>
      </c>
      <c r="AF322" t="inlineStr">
        <is>
          <t>BUNGALOW VENTURES LLC</t>
        </is>
      </c>
      <c r="AI322" s="245">
        <f>AND(E322=Subj_OccCode,Subj_BldgSF&gt;0,L322&gt;=Subj_BldgSF*(1-Subj_SizeTol),L322&lt;=Subj_BldgSF*(1+Subj_SizeTol))</f>
        <v/>
      </c>
      <c r="AJ322" s="370" t="n"/>
      <c r="AK322" s="370" t="n"/>
      <c r="AL322" s="370" t="n"/>
      <c r="AM322" s="370" t="n"/>
      <c r="AN322" s="370" t="n"/>
    </row>
    <row r="323" ht="15" customHeight="1">
      <c r="A323" s="471" t="n">
        <v>8</v>
      </c>
      <c r="B323" s="245" t="n">
        <v>316</v>
      </c>
      <c r="C323" t="inlineStr">
        <is>
          <t>R0119529</t>
        </is>
      </c>
      <c r="D323" t="inlineStr">
        <is>
          <t>4950 E 56TH AVE</t>
        </is>
      </c>
      <c r="E323" t="n">
        <v>325</v>
      </c>
      <c r="F323" t="inlineStr">
        <is>
          <t>COMMERCE CITY</t>
        </is>
      </c>
      <c r="G323" t="inlineStr">
        <is>
          <t>5</t>
        </is>
      </c>
      <c r="H323" s="669">
        <f>Y323/J323</f>
        <v/>
      </c>
      <c r="I323" s="670" t="n">
        <v>43655</v>
      </c>
      <c r="J323" t="n">
        <v>5000</v>
      </c>
      <c r="L323" t="n">
        <v>5000</v>
      </c>
      <c r="M323" t="n">
        <v>2006</v>
      </c>
      <c r="P323" t="inlineStr">
        <is>
          <t>Commerce City</t>
        </is>
      </c>
      <c r="R323" t="inlineStr">
        <is>
          <t>Average</t>
        </is>
      </c>
      <c r="S323" t="n">
        <v>36111.24</v>
      </c>
      <c r="T323" s="467">
        <f>S323/J323</f>
        <v/>
      </c>
      <c r="U323" t="inlineStr">
        <is>
          <t>Average</t>
        </is>
      </c>
      <c r="Y323" t="n">
        <v>1350000</v>
      </c>
      <c r="AA323" t="n">
        <v>1350000</v>
      </c>
      <c r="AC323" t="inlineStr">
        <is>
          <t>0182318100096</t>
        </is>
      </c>
      <c r="AD323" t="inlineStr">
        <is>
          <t>2019000053682</t>
        </is>
      </c>
      <c r="AE323" t="inlineStr">
        <is>
          <t>TITCO LLC</t>
        </is>
      </c>
      <c r="AF323" t="inlineStr">
        <is>
          <t>4950 E 56TH AVE LLC</t>
        </is>
      </c>
      <c r="AI323" s="245">
        <f>AND(E323=Subj_OccCode,Subj_BldgSF&gt;0,L323&gt;=Subj_BldgSF*(1-Subj_SizeTol),L323&lt;=Subj_BldgSF*(1+Subj_SizeTol))</f>
        <v/>
      </c>
      <c r="AJ323" s="370" t="n"/>
      <c r="AK323" s="370" t="n"/>
      <c r="AL323" s="370" t="n"/>
      <c r="AM323" s="370" t="n"/>
      <c r="AN323" s="370" t="n"/>
    </row>
    <row r="324" ht="15" customHeight="1">
      <c r="A324" s="471" t="n">
        <v>8</v>
      </c>
      <c r="B324" s="245" t="n">
        <v>317</v>
      </c>
      <c r="C324" t="inlineStr">
        <is>
          <t>R0025233</t>
        </is>
      </c>
      <c r="D324" t="inlineStr">
        <is>
          <t>12590 N 1ST ST</t>
        </is>
      </c>
      <c r="E324" t="n">
        <v>325</v>
      </c>
      <c r="F324" t="inlineStr">
        <is>
          <t>THORNTON</t>
        </is>
      </c>
      <c r="G324" t="inlineStr">
        <is>
          <t>3</t>
        </is>
      </c>
      <c r="H324" s="669">
        <f>Y324/J324</f>
        <v/>
      </c>
      <c r="I324" s="670" t="n">
        <v>44742</v>
      </c>
      <c r="J324" t="n">
        <v>3200</v>
      </c>
      <c r="L324" t="n">
        <v>3200</v>
      </c>
      <c r="M324" t="n">
        <v>1973</v>
      </c>
      <c r="P324" t="inlineStr">
        <is>
          <t>Eastlake Services</t>
        </is>
      </c>
      <c r="R324" t="inlineStr">
        <is>
          <t>Average</t>
        </is>
      </c>
      <c r="S324" t="n">
        <v>15625</v>
      </c>
      <c r="T324" s="467">
        <f>S324/J324</f>
        <v/>
      </c>
      <c r="U324" t="inlineStr">
        <is>
          <t>Average</t>
        </is>
      </c>
      <c r="Y324" t="n">
        <v>1595000</v>
      </c>
      <c r="AA324" t="n">
        <v>1595000</v>
      </c>
      <c r="AC324" t="inlineStr">
        <is>
          <t>0157335103020</t>
        </is>
      </c>
      <c r="AD324" t="inlineStr">
        <is>
          <t>2022000058314</t>
        </is>
      </c>
      <c r="AE324" t="inlineStr">
        <is>
          <t>CHAMBERLAIN MARK A AND TAMMY D</t>
        </is>
      </c>
      <c r="AF324" t="inlineStr">
        <is>
          <t>A&amp;C AUTOWORKS INC</t>
        </is>
      </c>
      <c r="AI324" s="245">
        <f>AND(E324=Subj_OccCode,Subj_BldgSF&gt;0,L324&gt;=Subj_BldgSF*(1-Subj_SizeTol),L324&lt;=Subj_BldgSF*(1+Subj_SizeTol))</f>
        <v/>
      </c>
      <c r="AJ324" s="370" t="n"/>
      <c r="AK324" s="370" t="n"/>
      <c r="AL324" s="370" t="n"/>
      <c r="AM324" s="370" t="n"/>
      <c r="AN324" s="370" t="n"/>
    </row>
    <row r="325" ht="15" customHeight="1">
      <c r="A325" s="471" t="n">
        <v>8</v>
      </c>
      <c r="B325" s="245" t="n">
        <v>318</v>
      </c>
      <c r="C325" t="inlineStr">
        <is>
          <t>R0059106</t>
        </is>
      </c>
      <c r="D325" t="inlineStr">
        <is>
          <t>680 E 84TH AVE</t>
        </is>
      </c>
      <c r="E325" t="n">
        <v>419</v>
      </c>
      <c r="F325" t="inlineStr">
        <is>
          <t>THORNTON</t>
        </is>
      </c>
      <c r="G325" t="inlineStr">
        <is>
          <t>4</t>
        </is>
      </c>
      <c r="H325" s="669">
        <f>Y325/J325</f>
        <v/>
      </c>
      <c r="I325" s="670" t="n">
        <v>44586</v>
      </c>
      <c r="J325" t="n">
        <v>1849</v>
      </c>
      <c r="L325" t="n">
        <v>1849</v>
      </c>
      <c r="M325" t="n">
        <v>1990</v>
      </c>
      <c r="P325" t="inlineStr">
        <is>
          <t>Regional Commercial</t>
        </is>
      </c>
      <c r="R325" t="inlineStr">
        <is>
          <t>Average</t>
        </is>
      </c>
      <c r="S325" t="n">
        <v>29962</v>
      </c>
      <c r="T325" s="467">
        <f>S325/J325</f>
        <v/>
      </c>
      <c r="U325" t="inlineStr">
        <is>
          <t>Average</t>
        </is>
      </c>
      <c r="Y325" t="n">
        <v>2400000</v>
      </c>
      <c r="AA325" t="n">
        <v>2400000</v>
      </c>
      <c r="AC325" t="inlineStr">
        <is>
          <t>0171927418001</t>
        </is>
      </c>
      <c r="AD325" t="inlineStr">
        <is>
          <t>2022000008336</t>
        </is>
      </c>
      <c r="AE325" t="inlineStr">
        <is>
          <t>TEKLEZGHI MEHARENA AND, ATSEBAHA SABA YEMESGEN</t>
        </is>
      </c>
      <c r="AF325" t="inlineStr">
        <is>
          <t>Z &amp; T LLC</t>
        </is>
      </c>
      <c r="AI325" s="245">
        <f>AND(E325=Subj_OccCode,Subj_BldgSF&gt;0,L325&gt;=Subj_BldgSF*(1-Subj_SizeTol),L325&lt;=Subj_BldgSF*(1+Subj_SizeTol))</f>
        <v/>
      </c>
      <c r="AJ325" s="370" t="n"/>
      <c r="AK325" s="370" t="n"/>
      <c r="AL325" s="370" t="n"/>
      <c r="AM325" s="370" t="n"/>
      <c r="AN325" s="370" t="n"/>
    </row>
    <row r="326" ht="15" customHeight="1">
      <c r="A326" s="471" t="n">
        <v>8</v>
      </c>
      <c r="B326" s="245" t="n">
        <v>319</v>
      </c>
      <c r="C326" t="inlineStr">
        <is>
          <t>R0050044</t>
        </is>
      </c>
      <c r="D326" t="inlineStr">
        <is>
          <t>9170  FEDERAL BLVD</t>
        </is>
      </c>
      <c r="E326" t="n">
        <v>350</v>
      </c>
      <c r="F326" t="inlineStr">
        <is>
          <t>FEDERAL HEIGHTS</t>
        </is>
      </c>
      <c r="G326" t="inlineStr">
        <is>
          <t>4</t>
        </is>
      </c>
      <c r="H326" s="669">
        <f>Y326/J326</f>
        <v/>
      </c>
      <c r="I326" s="670" t="n">
        <v>43558</v>
      </c>
      <c r="J326" t="n">
        <v>720</v>
      </c>
      <c r="L326" t="n">
        <v>720</v>
      </c>
      <c r="M326" t="n">
        <v>1968</v>
      </c>
      <c r="P326" t="inlineStr">
        <is>
          <t>Federal Heights</t>
        </is>
      </c>
      <c r="R326" t="inlineStr">
        <is>
          <t>Average</t>
        </is>
      </c>
      <c r="S326" t="n">
        <v>7565</v>
      </c>
      <c r="T326" s="467">
        <f>S326/J326</f>
        <v/>
      </c>
      <c r="U326" t="inlineStr">
        <is>
          <t>Average</t>
        </is>
      </c>
      <c r="Y326" t="n">
        <v>369000</v>
      </c>
      <c r="AA326" t="n">
        <v>369000</v>
      </c>
      <c r="AC326" t="inlineStr">
        <is>
          <t>0171920401004</t>
        </is>
      </c>
      <c r="AD326" t="inlineStr">
        <is>
          <t>2019000024357</t>
        </is>
      </c>
      <c r="AE326" t="inlineStr">
        <is>
          <t>COLOROSO FAMILY PARTNERSHIP I LTD</t>
        </is>
      </c>
      <c r="AF326" t="inlineStr">
        <is>
          <t>ZHENG BIAO AND, YUAN JIN RONG</t>
        </is>
      </c>
      <c r="AI326" s="245">
        <f>AND(E326=Subj_OccCode,Subj_BldgSF&gt;0,L326&gt;=Subj_BldgSF*(1-Subj_SizeTol),L326&lt;=Subj_BldgSF*(1+Subj_SizeTol))</f>
        <v/>
      </c>
      <c r="AJ326" s="370" t="n"/>
      <c r="AK326" s="370" t="n"/>
      <c r="AL326" s="370" t="n"/>
      <c r="AM326" s="370" t="n"/>
      <c r="AN326" s="370" t="n"/>
    </row>
    <row r="327" ht="15" customHeight="1">
      <c r="A327" s="471" t="n">
        <v>8</v>
      </c>
      <c r="B327" s="245" t="n">
        <v>320</v>
      </c>
      <c r="C327" t="inlineStr">
        <is>
          <t>R0005773</t>
        </is>
      </c>
      <c r="D327" t="inlineStr">
        <is>
          <t>1300  BRIDGE ST</t>
        </is>
      </c>
      <c r="E327" t="n">
        <v>344</v>
      </c>
      <c r="F327" t="inlineStr">
        <is>
          <t>BRIGHTON</t>
        </is>
      </c>
      <c r="G327" t="inlineStr">
        <is>
          <t>2</t>
        </is>
      </c>
      <c r="H327" s="669">
        <f>Y327/J327</f>
        <v/>
      </c>
      <c r="I327" s="670" t="n">
        <v>44438</v>
      </c>
      <c r="J327" t="n">
        <v>2547</v>
      </c>
      <c r="L327" t="n">
        <v>2547</v>
      </c>
      <c r="M327" t="n">
        <v>1954</v>
      </c>
      <c r="P327" t="inlineStr">
        <is>
          <t>C-O</t>
        </is>
      </c>
      <c r="R327" t="inlineStr">
        <is>
          <t>Average</t>
        </is>
      </c>
      <c r="S327" t="n">
        <v>11000</v>
      </c>
      <c r="T327" s="467">
        <f>S327/J327</f>
        <v/>
      </c>
      <c r="U327" t="inlineStr">
        <is>
          <t>Good</t>
        </is>
      </c>
      <c r="Y327" t="n">
        <v>505000</v>
      </c>
      <c r="AA327" t="n">
        <v>505000</v>
      </c>
      <c r="AC327" t="inlineStr">
        <is>
          <t>0156908203001</t>
        </is>
      </c>
      <c r="AD327" t="inlineStr">
        <is>
          <t>2021000103730</t>
        </is>
      </c>
      <c r="AE327" t="inlineStr">
        <is>
          <t>ZIMIK KHACHUNGLA</t>
        </is>
      </c>
      <c r="AF327" t="inlineStr">
        <is>
          <t>ONE FACIAL AESTHETICS &amp; SPA LLC</t>
        </is>
      </c>
      <c r="AI327" s="245">
        <f>AND(E327=Subj_OccCode,Subj_BldgSF&gt;0,L327&gt;=Subj_BldgSF*(1-Subj_SizeTol),L327&lt;=Subj_BldgSF*(1+Subj_SizeTol))</f>
        <v/>
      </c>
      <c r="AJ327" s="370" t="n"/>
      <c r="AK327" s="370" t="n"/>
      <c r="AL327" s="370" t="n"/>
      <c r="AM327" s="370" t="n"/>
      <c r="AN327" s="370" t="n"/>
    </row>
    <row r="328" ht="15" customHeight="1">
      <c r="A328" s="471" t="n">
        <v>8</v>
      </c>
      <c r="B328" s="245" t="n">
        <v>321</v>
      </c>
      <c r="C328" t="inlineStr">
        <is>
          <t>R0035891</t>
        </is>
      </c>
      <c r="D328" t="inlineStr">
        <is>
          <t>1470  ROSEANNA DR</t>
        </is>
      </c>
      <c r="E328" t="n">
        <v>325</v>
      </c>
      <c r="F328" t="inlineStr">
        <is>
          <t>NORTHGLENN</t>
        </is>
      </c>
      <c r="G328" t="inlineStr">
        <is>
          <t>4</t>
        </is>
      </c>
      <c r="H328" s="669">
        <f>Y328/J328</f>
        <v/>
      </c>
      <c r="I328" s="670" t="n">
        <v>44483</v>
      </c>
      <c r="J328" t="n">
        <v>1152</v>
      </c>
      <c r="L328" t="n">
        <v>1152</v>
      </c>
      <c r="M328" t="n">
        <v>1963</v>
      </c>
      <c r="P328" t="inlineStr">
        <is>
          <t>R-1-B-Nor</t>
        </is>
      </c>
      <c r="R328" t="inlineStr">
        <is>
          <t>Average</t>
        </is>
      </c>
      <c r="S328" t="n">
        <v>24678</v>
      </c>
      <c r="T328" s="467">
        <f>S328/J328</f>
        <v/>
      </c>
      <c r="U328" t="inlineStr">
        <is>
          <t>Average</t>
        </is>
      </c>
      <c r="Y328" t="n">
        <v>325000</v>
      </c>
      <c r="AA328" t="n">
        <v>325000</v>
      </c>
      <c r="AC328" t="inlineStr">
        <is>
          <t>0171909407004</t>
        </is>
      </c>
      <c r="AD328" t="inlineStr">
        <is>
          <t>2021000122847</t>
        </is>
      </c>
      <c r="AE328" t="inlineStr">
        <is>
          <t>GROTHENDICK DANIEL M</t>
        </is>
      </c>
      <c r="AF328" t="inlineStr">
        <is>
          <t>LOPEZ RODNEY KENT</t>
        </is>
      </c>
      <c r="AI328" s="245">
        <f>AND(E328=Subj_OccCode,Subj_BldgSF&gt;0,L328&gt;=Subj_BldgSF*(1-Subj_SizeTol),L328&lt;=Subj_BldgSF*(1+Subj_SizeTol))</f>
        <v/>
      </c>
      <c r="AJ328" s="370" t="n"/>
      <c r="AK328" s="370" t="n"/>
      <c r="AL328" s="370" t="n"/>
      <c r="AM328" s="370" t="n"/>
      <c r="AN328" s="370" t="n"/>
    </row>
    <row r="329" ht="15" customHeight="1">
      <c r="A329" s="471" t="n">
        <v>8</v>
      </c>
      <c r="B329" s="245" t="n">
        <v>322</v>
      </c>
      <c r="C329" t="inlineStr">
        <is>
          <t>R0008948</t>
        </is>
      </c>
      <c r="D329" t="inlineStr">
        <is>
          <t>404  BROMLEY LN</t>
        </is>
      </c>
      <c r="E329" t="n">
        <v>423</v>
      </c>
      <c r="F329" t="inlineStr">
        <is>
          <t>BRIGHTON</t>
        </is>
      </c>
      <c r="G329" t="inlineStr">
        <is>
          <t>2</t>
        </is>
      </c>
      <c r="H329" s="669">
        <f>Y329/J329</f>
        <v/>
      </c>
      <c r="I329" s="670" t="n">
        <v>43472</v>
      </c>
      <c r="J329" t="n">
        <v>1882</v>
      </c>
      <c r="L329" t="n">
        <v>1882</v>
      </c>
      <c r="M329" t="n">
        <v>1994</v>
      </c>
      <c r="P329" t="inlineStr">
        <is>
          <t>Brighton</t>
        </is>
      </c>
      <c r="R329" t="inlineStr">
        <is>
          <t>Average</t>
        </is>
      </c>
      <c r="S329" t="n">
        <v>16650</v>
      </c>
      <c r="T329" s="467">
        <f>S329/J329</f>
        <v/>
      </c>
      <c r="U329" t="inlineStr">
        <is>
          <t>Average</t>
        </is>
      </c>
      <c r="Y329" t="n">
        <v>1430300</v>
      </c>
      <c r="AA329" t="n">
        <v>1430300</v>
      </c>
      <c r="AC329" t="inlineStr">
        <is>
          <t>0157113008006</t>
        </is>
      </c>
      <c r="AD329" t="inlineStr">
        <is>
          <t>2019000002027</t>
        </is>
      </c>
      <c r="AE329" t="inlineStr">
        <is>
          <t>RPM PROPERTIES RLLLP</t>
        </is>
      </c>
      <c r="AF329" t="inlineStr">
        <is>
          <t>SCF RC FUNDING IV LLC</t>
        </is>
      </c>
      <c r="AI329" s="245">
        <f>AND(E329=Subj_OccCode,Subj_BldgSF&gt;0,L329&gt;=Subj_BldgSF*(1-Subj_SizeTol),L329&lt;=Subj_BldgSF*(1+Subj_SizeTol))</f>
        <v/>
      </c>
      <c r="AJ329" s="370" t="n"/>
      <c r="AK329" s="370" t="n"/>
      <c r="AL329" s="370" t="n"/>
      <c r="AM329" s="370" t="n"/>
      <c r="AN329" s="370" t="n"/>
    </row>
    <row r="330" ht="15" customHeight="1">
      <c r="A330" s="471" t="n">
        <v>8</v>
      </c>
      <c r="B330" s="245" t="n">
        <v>323</v>
      </c>
      <c r="C330" t="inlineStr">
        <is>
          <t>R0100554</t>
        </is>
      </c>
      <c r="D330" t="inlineStr">
        <is>
          <t>6455  FEDERAL BLVD</t>
        </is>
      </c>
      <c r="E330" t="n">
        <v>343</v>
      </c>
      <c r="G330" t="inlineStr">
        <is>
          <t>5</t>
        </is>
      </c>
      <c r="H330" s="669">
        <f>Y330/J330</f>
        <v/>
      </c>
      <c r="I330" s="670" t="n">
        <v>44483</v>
      </c>
      <c r="J330" t="n">
        <v>3093</v>
      </c>
      <c r="L330" t="n">
        <v>3093</v>
      </c>
      <c r="M330" t="n">
        <v>1946</v>
      </c>
      <c r="P330" t="inlineStr">
        <is>
          <t>Commercial</t>
        </is>
      </c>
      <c r="R330" t="inlineStr">
        <is>
          <t>Low</t>
        </is>
      </c>
      <c r="S330" t="n">
        <v>11520</v>
      </c>
      <c r="T330" s="467">
        <f>S330/J330</f>
        <v/>
      </c>
      <c r="U330" t="inlineStr">
        <is>
          <t>Average</t>
        </is>
      </c>
      <c r="Y330" t="n">
        <v>540000</v>
      </c>
      <c r="AA330" t="n">
        <v>540000</v>
      </c>
      <c r="AC330" t="inlineStr">
        <is>
          <t>0182505321021</t>
        </is>
      </c>
      <c r="AD330" t="inlineStr">
        <is>
          <t>2021000125202</t>
        </is>
      </c>
      <c r="AE330" t="inlineStr">
        <is>
          <t>SUNRISE COTTAGES LLC</t>
        </is>
      </c>
      <c r="AF330" t="inlineStr">
        <is>
          <t>DENVER CASITAS LLC</t>
        </is>
      </c>
      <c r="AI330" s="245">
        <f>AND(E330=Subj_OccCode,Subj_BldgSF&gt;0,L330&gt;=Subj_BldgSF*(1-Subj_SizeTol),L330&lt;=Subj_BldgSF*(1+Subj_SizeTol))</f>
        <v/>
      </c>
      <c r="AJ330" s="370" t="n"/>
      <c r="AK330" s="370" t="n"/>
      <c r="AL330" s="370" t="n"/>
      <c r="AM330" s="370" t="n"/>
      <c r="AN330" s="370" t="n"/>
    </row>
    <row r="331" ht="15" customHeight="1">
      <c r="A331" s="471" t="n">
        <v>8</v>
      </c>
      <c r="B331" s="245" t="n">
        <v>324</v>
      </c>
      <c r="C331" t="inlineStr">
        <is>
          <t>R0100713</t>
        </is>
      </c>
      <c r="D331" t="inlineStr">
        <is>
          <t>6530  FEDERAL BLVD</t>
        </is>
      </c>
      <c r="E331" t="n">
        <v>344</v>
      </c>
      <c r="G331" t="inlineStr">
        <is>
          <t>1</t>
        </is>
      </c>
      <c r="H331" s="669">
        <f>Y331/J331</f>
        <v/>
      </c>
      <c r="I331" s="670" t="n">
        <v>43350</v>
      </c>
      <c r="J331" t="n">
        <v>4501</v>
      </c>
      <c r="L331" t="n">
        <v>4501</v>
      </c>
      <c r="M331" t="n">
        <v>1950</v>
      </c>
      <c r="P331" t="inlineStr">
        <is>
          <t>Commercial</t>
        </is>
      </c>
      <c r="R331" t="inlineStr">
        <is>
          <t>Average</t>
        </is>
      </c>
      <c r="S331" t="n">
        <v>19920</v>
      </c>
      <c r="T331" s="467">
        <f>S331/J331</f>
        <v/>
      </c>
      <c r="U331" t="inlineStr">
        <is>
          <t>Average</t>
        </is>
      </c>
      <c r="Y331" t="n">
        <v>625000</v>
      </c>
      <c r="AA331" t="n">
        <v>625000</v>
      </c>
      <c r="AC331" t="inlineStr">
        <is>
          <t>0182505405003</t>
        </is>
      </c>
      <c r="AD331" t="inlineStr">
        <is>
          <t>2018000073695</t>
        </is>
      </c>
      <c r="AE331" t="inlineStr">
        <is>
          <t>ONEMANIVONG LINTHONG AND, PHOMMACHAN TINGKHAM</t>
        </is>
      </c>
      <c r="AF331" t="inlineStr">
        <is>
          <t>APEX AUTOS</t>
        </is>
      </c>
      <c r="AI331" s="245">
        <f>AND(E331=Subj_OccCode,Subj_BldgSF&gt;0,L331&gt;=Subj_BldgSF*(1-Subj_SizeTol),L331&lt;=Subj_BldgSF*(1+Subj_SizeTol))</f>
        <v/>
      </c>
      <c r="AJ331" s="370" t="n"/>
      <c r="AK331" s="370" t="n"/>
      <c r="AL331" s="370" t="n"/>
      <c r="AM331" s="370" t="n"/>
      <c r="AN331" s="370" t="n"/>
    </row>
    <row r="332" ht="15" customHeight="1">
      <c r="A332" s="471" t="n">
        <v>8</v>
      </c>
      <c r="B332" s="245" t="n">
        <v>325</v>
      </c>
      <c r="C332" t="inlineStr">
        <is>
          <t>R0075378</t>
        </is>
      </c>
      <c r="D332" t="inlineStr">
        <is>
          <t>9695  BRIGHTON RD</t>
        </is>
      </c>
      <c r="E332" t="n">
        <v>344</v>
      </c>
      <c r="G332" t="inlineStr">
        <is>
          <t>2</t>
        </is>
      </c>
      <c r="H332" s="669">
        <f>Y332/J332</f>
        <v/>
      </c>
      <c r="I332" s="670" t="n">
        <v>43308</v>
      </c>
      <c r="J332" t="n">
        <v>3801</v>
      </c>
      <c r="L332" t="n">
        <v>3801</v>
      </c>
      <c r="M332" t="n">
        <v>1994</v>
      </c>
      <c r="P332" t="inlineStr">
        <is>
          <t>Industrial</t>
        </is>
      </c>
      <c r="R332" t="inlineStr">
        <is>
          <t>Average</t>
        </is>
      </c>
      <c r="S332" t="n">
        <v>87120</v>
      </c>
      <c r="T332" s="467">
        <f>S332/J332</f>
        <v/>
      </c>
      <c r="U332" t="inlineStr">
        <is>
          <t>Average</t>
        </is>
      </c>
      <c r="Y332" t="n">
        <v>736000</v>
      </c>
      <c r="AA332" t="n">
        <v>736000</v>
      </c>
      <c r="AC332" t="inlineStr">
        <is>
          <t>0172116009005</t>
        </is>
      </c>
      <c r="AD332" t="inlineStr">
        <is>
          <t>2018000061479</t>
        </is>
      </c>
      <c r="AE332" t="inlineStr">
        <is>
          <t>KOSMISKI FAMILY PARTNERSHIP LLLP</t>
        </is>
      </c>
      <c r="AF332" t="inlineStr">
        <is>
          <t>JT EMERY HOLDINGS LLC</t>
        </is>
      </c>
      <c r="AI332" s="245">
        <f>AND(E332=Subj_OccCode,Subj_BldgSF&gt;0,L332&gt;=Subj_BldgSF*(1-Subj_SizeTol),L332&lt;=Subj_BldgSF*(1+Subj_SizeTol))</f>
        <v/>
      </c>
      <c r="AJ332" s="370" t="n"/>
      <c r="AK332" s="370" t="n"/>
      <c r="AL332" s="370" t="n"/>
      <c r="AM332" s="370" t="n"/>
      <c r="AN332" s="370" t="n"/>
    </row>
    <row r="333" ht="15" customHeight="1">
      <c r="A333" s="471" t="n">
        <v>8</v>
      </c>
      <c r="B333" s="245" t="n">
        <v>326</v>
      </c>
      <c r="C333" t="inlineStr">
        <is>
          <t>R0070677</t>
        </is>
      </c>
      <c r="D333" t="inlineStr">
        <is>
          <t>7855  YORK ST</t>
        </is>
      </c>
      <c r="E333" t="n">
        <v>353</v>
      </c>
      <c r="G333" t="inlineStr">
        <is>
          <t>4</t>
        </is>
      </c>
      <c r="H333" s="669">
        <f>Y333/J333</f>
        <v/>
      </c>
      <c r="I333" s="670" t="n">
        <v>44315</v>
      </c>
      <c r="J333" t="n">
        <v>4560</v>
      </c>
      <c r="L333" t="n">
        <v>4560</v>
      </c>
      <c r="M333" t="n">
        <v>1985</v>
      </c>
      <c r="P333" t="inlineStr">
        <is>
          <t>Commercial</t>
        </is>
      </c>
      <c r="R333" t="inlineStr">
        <is>
          <t>Average</t>
        </is>
      </c>
      <c r="S333" t="n">
        <v>25700</v>
      </c>
      <c r="T333" s="467">
        <f>S333/J333</f>
        <v/>
      </c>
      <c r="U333" t="inlineStr">
        <is>
          <t>Average</t>
        </is>
      </c>
      <c r="Y333" t="n">
        <v>1350000</v>
      </c>
      <c r="AA333" t="n">
        <v>1350000</v>
      </c>
      <c r="AC333" t="inlineStr">
        <is>
          <t>0171935103004</t>
        </is>
      </c>
      <c r="AD333" t="inlineStr">
        <is>
          <t>2021000053173</t>
        </is>
      </c>
      <c r="AE333" t="inlineStr">
        <is>
          <t>SANG SOO ENTERPRISES LLC</t>
        </is>
      </c>
      <c r="AF333" t="inlineStr">
        <is>
          <t>CHANG EUN JA</t>
        </is>
      </c>
      <c r="AI333" s="245">
        <f>AND(E333=Subj_OccCode,Subj_BldgSF&gt;0,L333&gt;=Subj_BldgSF*(1-Subj_SizeTol),L333&lt;=Subj_BldgSF*(1+Subj_SizeTol))</f>
        <v/>
      </c>
      <c r="AJ333" s="370" t="n"/>
      <c r="AK333" s="370" t="n"/>
      <c r="AL333" s="370" t="n"/>
      <c r="AM333" s="370" t="n"/>
      <c r="AN333" s="370" t="n"/>
    </row>
    <row r="334" ht="15" customHeight="1">
      <c r="A334" s="471" t="n">
        <v>8</v>
      </c>
      <c r="B334" s="245" t="n">
        <v>327</v>
      </c>
      <c r="C334" t="inlineStr">
        <is>
          <t>R0097742</t>
        </is>
      </c>
      <c r="D334" t="inlineStr">
        <is>
          <t>11703 E COLFAX AVE</t>
        </is>
      </c>
      <c r="E334" t="n">
        <v>353</v>
      </c>
      <c r="F334" t="inlineStr">
        <is>
          <t>AURORA</t>
        </is>
      </c>
      <c r="G334" t="inlineStr">
        <is>
          <t>6</t>
        </is>
      </c>
      <c r="H334" s="669">
        <f>Y334/J334</f>
        <v/>
      </c>
      <c r="I334" s="670" t="n">
        <v>44592</v>
      </c>
      <c r="J334" t="n">
        <v>1624</v>
      </c>
      <c r="L334" t="n">
        <v>1624</v>
      </c>
      <c r="M334" t="n">
        <v>1970</v>
      </c>
      <c r="P334" t="inlineStr">
        <is>
          <t>OA-G</t>
        </is>
      </c>
      <c r="R334" t="inlineStr">
        <is>
          <t>Average</t>
        </is>
      </c>
      <c r="S334" t="n">
        <v>9520</v>
      </c>
      <c r="T334" s="467">
        <f>S334/J334</f>
        <v/>
      </c>
      <c r="U334" t="inlineStr">
        <is>
          <t>Average</t>
        </is>
      </c>
      <c r="Y334" t="n">
        <v>550000</v>
      </c>
      <c r="AA334" t="n">
        <v>550000</v>
      </c>
      <c r="AC334" t="inlineStr">
        <is>
          <t>0182335428005</t>
        </is>
      </c>
      <c r="AD334" t="inlineStr">
        <is>
          <t>2022000009896</t>
        </is>
      </c>
      <c r="AE334" t="inlineStr">
        <is>
          <t>TSAO RICK</t>
        </is>
      </c>
      <c r="AF334" t="inlineStr">
        <is>
          <t>WETTSTEIN HENRY</t>
        </is>
      </c>
      <c r="AI334" s="245">
        <f>AND(E334=Subj_OccCode,Subj_BldgSF&gt;0,L334&gt;=Subj_BldgSF*(1-Subj_SizeTol),L334&lt;=Subj_BldgSF*(1+Subj_SizeTol))</f>
        <v/>
      </c>
      <c r="AJ334" s="370" t="n"/>
      <c r="AK334" s="370" t="n"/>
      <c r="AL334" s="370" t="n"/>
      <c r="AM334" s="370" t="n"/>
      <c r="AN334" s="370" t="n"/>
    </row>
    <row r="335" ht="15" customHeight="1">
      <c r="A335" s="471" t="n">
        <v>8</v>
      </c>
      <c r="B335" s="245" t="n">
        <v>328</v>
      </c>
      <c r="C335" t="inlineStr">
        <is>
          <t>R0092773</t>
        </is>
      </c>
      <c r="D335" t="inlineStr">
        <is>
          <t>4810  NEWPORT ST</t>
        </is>
      </c>
      <c r="E335" t="n">
        <v>407</v>
      </c>
      <c r="F335" t="inlineStr">
        <is>
          <t>COMMERCE CITY</t>
        </is>
      </c>
      <c r="G335" t="inlineStr">
        <is>
          <t>5</t>
        </is>
      </c>
      <c r="H335" s="669">
        <f>Y335/J335</f>
        <v/>
      </c>
      <c r="I335" s="670" t="n">
        <v>44134</v>
      </c>
      <c r="J335" t="n">
        <v>15500</v>
      </c>
      <c r="L335" t="n">
        <v>15500</v>
      </c>
      <c r="M335" t="n">
        <v>1970</v>
      </c>
      <c r="P335" t="inlineStr">
        <is>
          <t>I-1S</t>
        </is>
      </c>
      <c r="R335" t="inlineStr">
        <is>
          <t>Average</t>
        </is>
      </c>
      <c r="S335" t="n">
        <v>34300</v>
      </c>
      <c r="T335" s="467">
        <f>S335/J335</f>
        <v/>
      </c>
      <c r="U335" t="inlineStr">
        <is>
          <t>Average</t>
        </is>
      </c>
      <c r="Y335" t="n">
        <v>2000000</v>
      </c>
      <c r="AA335" t="n">
        <v>2000000</v>
      </c>
      <c r="AC335" t="inlineStr">
        <is>
          <t>0182317408037</t>
        </is>
      </c>
      <c r="AD335" t="inlineStr">
        <is>
          <t>2020000112839</t>
        </is>
      </c>
      <c r="AE335" t="inlineStr">
        <is>
          <t>ROCKING K PROPERTIES LLC</t>
        </is>
      </c>
      <c r="AF335" t="inlineStr">
        <is>
          <t>REDDY MALIREDDY S AND, REDDY SYAMA M</t>
        </is>
      </c>
      <c r="AI335" s="245">
        <f>AND(E335=Subj_OccCode,Subj_BldgSF&gt;0,L335&gt;=Subj_BldgSF*(1-Subj_SizeTol),L335&lt;=Subj_BldgSF*(1+Subj_SizeTol))</f>
        <v/>
      </c>
      <c r="AJ335" s="370" t="n"/>
      <c r="AK335" s="370" t="n"/>
      <c r="AL335" s="370" t="n"/>
      <c r="AM335" s="370" t="n"/>
      <c r="AN335" s="370" t="n"/>
    </row>
    <row r="336" ht="15" customHeight="1">
      <c r="A336" s="471" t="n">
        <v>8</v>
      </c>
      <c r="B336" s="245" t="n">
        <v>329</v>
      </c>
      <c r="C336" t="inlineStr">
        <is>
          <t>R0002808</t>
        </is>
      </c>
      <c r="D336" t="inlineStr">
        <is>
          <t>123 N MAIN ST</t>
        </is>
      </c>
      <c r="E336" t="n">
        <v>353</v>
      </c>
      <c r="F336" t="inlineStr">
        <is>
          <t>BRIGHTON</t>
        </is>
      </c>
      <c r="G336" t="inlineStr">
        <is>
          <t>2</t>
        </is>
      </c>
      <c r="H336" s="669">
        <f>Y336/J336</f>
        <v/>
      </c>
      <c r="I336" s="670" t="n">
        <v>43194</v>
      </c>
      <c r="J336" t="n">
        <v>3900</v>
      </c>
      <c r="L336" t="n">
        <v>3900</v>
      </c>
      <c r="M336" t="n">
        <v>1897</v>
      </c>
      <c r="P336" t="inlineStr">
        <is>
          <t>Brighton</t>
        </is>
      </c>
      <c r="R336" t="inlineStr">
        <is>
          <t>Average</t>
        </is>
      </c>
      <c r="S336" t="n">
        <v>10000</v>
      </c>
      <c r="T336" s="467">
        <f>S336/J336</f>
        <v/>
      </c>
      <c r="U336" t="inlineStr">
        <is>
          <t>Good</t>
        </is>
      </c>
      <c r="Y336" t="n">
        <v>650000</v>
      </c>
      <c r="AA336" t="n">
        <v>650000</v>
      </c>
      <c r="AC336" t="inlineStr">
        <is>
          <t>0156906311007</t>
        </is>
      </c>
      <c r="AD336" t="inlineStr">
        <is>
          <t>2018000028585</t>
        </is>
      </c>
      <c r="AE336" t="inlineStr">
        <is>
          <t>FERGUSON LANCE A/VINCENT DEBRA A, FERGUSON JENNIFER L/VINCENT JAMES W</t>
        </is>
      </c>
      <c r="AF336" t="inlineStr">
        <is>
          <t>HERR FAMILY LLC</t>
        </is>
      </c>
      <c r="AI336" s="245">
        <f>AND(E336=Subj_OccCode,Subj_BldgSF&gt;0,L336&gt;=Subj_BldgSF*(1-Subj_SizeTol),L336&lt;=Subj_BldgSF*(1+Subj_SizeTol))</f>
        <v/>
      </c>
      <c r="AJ336" s="370" t="n"/>
      <c r="AK336" s="370" t="n"/>
      <c r="AL336" s="370" t="n"/>
      <c r="AM336" s="370" t="n"/>
      <c r="AN336" s="370" t="n"/>
    </row>
    <row r="337" ht="15" customHeight="1">
      <c r="A337" s="471" t="n">
        <v>8</v>
      </c>
      <c r="B337" s="245" t="n">
        <v>330</v>
      </c>
      <c r="C337" t="inlineStr">
        <is>
          <t>R0002784</t>
        </is>
      </c>
      <c r="D337" t="inlineStr">
        <is>
          <t>323  WALNUT ST</t>
        </is>
      </c>
      <c r="E337" t="n">
        <v>406</v>
      </c>
      <c r="F337" t="inlineStr">
        <is>
          <t>BRIGHTON</t>
        </is>
      </c>
      <c r="G337" t="inlineStr">
        <is>
          <t>2</t>
        </is>
      </c>
      <c r="H337" s="669">
        <f>Y337/J337</f>
        <v/>
      </c>
      <c r="I337" s="670" t="n">
        <v>43549</v>
      </c>
      <c r="J337" t="n">
        <v>5760</v>
      </c>
      <c r="L337" t="n">
        <v>5760</v>
      </c>
      <c r="M337" t="n">
        <v>1979</v>
      </c>
      <c r="P337" t="inlineStr">
        <is>
          <t>Brighton</t>
        </is>
      </c>
      <c r="R337" t="inlineStr">
        <is>
          <t>Average</t>
        </is>
      </c>
      <c r="S337" t="n">
        <v>15000</v>
      </c>
      <c r="T337" s="467">
        <f>S337/J337</f>
        <v/>
      </c>
      <c r="U337" t="inlineStr">
        <is>
          <t>Average</t>
        </is>
      </c>
      <c r="Y337" t="n">
        <v>575000</v>
      </c>
      <c r="AA337" t="n">
        <v>575000</v>
      </c>
      <c r="AC337" t="inlineStr">
        <is>
          <t>0156906308014</t>
        </is>
      </c>
      <c r="AD337" t="inlineStr">
        <is>
          <t>2019000022090</t>
        </is>
      </c>
      <c r="AE337" t="inlineStr">
        <is>
          <t>D AND R EZZELL INC</t>
        </is>
      </c>
      <c r="AF337" t="inlineStr">
        <is>
          <t>323 WALNUT ST LLC</t>
        </is>
      </c>
      <c r="AI337" s="245">
        <f>AND(E337=Subj_OccCode,Subj_BldgSF&gt;0,L337&gt;=Subj_BldgSF*(1-Subj_SizeTol),L337&lt;=Subj_BldgSF*(1+Subj_SizeTol))</f>
        <v/>
      </c>
      <c r="AJ337" s="370" t="n"/>
      <c r="AK337" s="370" t="n"/>
      <c r="AL337" s="370" t="n"/>
      <c r="AM337" s="370" t="n"/>
      <c r="AN337" s="370" t="n"/>
    </row>
    <row r="338" ht="15" customHeight="1">
      <c r="A338" s="471" t="n">
        <v>8</v>
      </c>
      <c r="B338" s="245" t="n">
        <v>331</v>
      </c>
      <c r="C338" t="inlineStr">
        <is>
          <t>R0002727</t>
        </is>
      </c>
      <c r="D338" t="inlineStr">
        <is>
          <t>361 N MAIN ST</t>
        </is>
      </c>
      <c r="E338" t="n">
        <v>350</v>
      </c>
      <c r="F338" t="inlineStr">
        <is>
          <t>BRIGHTON</t>
        </is>
      </c>
      <c r="G338" t="inlineStr">
        <is>
          <t>2</t>
        </is>
      </c>
      <c r="H338" s="669">
        <f>Y338/J338</f>
        <v/>
      </c>
      <c r="I338" s="670" t="n">
        <v>44063</v>
      </c>
      <c r="J338" t="n">
        <v>704</v>
      </c>
      <c r="L338" t="n">
        <v>704</v>
      </c>
      <c r="M338" t="n">
        <v>1945</v>
      </c>
      <c r="P338" t="inlineStr">
        <is>
          <t>I-1-Bri</t>
        </is>
      </c>
      <c r="R338" t="inlineStr">
        <is>
          <t>Good</t>
        </is>
      </c>
      <c r="S338" t="n">
        <v>5000</v>
      </c>
      <c r="T338" s="467">
        <f>S338/J338</f>
        <v/>
      </c>
      <c r="U338" t="inlineStr">
        <is>
          <t>Good</t>
        </is>
      </c>
      <c r="Y338" t="n">
        <v>275000</v>
      </c>
      <c r="AA338" t="n">
        <v>275000</v>
      </c>
      <c r="AC338" t="inlineStr">
        <is>
          <t>0156906302004</t>
        </is>
      </c>
      <c r="AD338" t="inlineStr">
        <is>
          <t>2020000084065</t>
        </is>
      </c>
      <c r="AE338" t="inlineStr">
        <is>
          <t>HERNANDEZ GUADALUPE MERAZ AND, MERAZ HEIDY L</t>
        </is>
      </c>
      <c r="AF338" t="inlineStr">
        <is>
          <t>ROJO ORDONES ERICK MANUEL AND, ROJO ISABEL</t>
        </is>
      </c>
      <c r="AI338" s="245">
        <f>AND(E338=Subj_OccCode,Subj_BldgSF&gt;0,L338&gt;=Subj_BldgSF*(1-Subj_SizeTol),L338&lt;=Subj_BldgSF*(1+Subj_SizeTol))</f>
        <v/>
      </c>
      <c r="AJ338" s="370" t="n"/>
      <c r="AK338" s="370" t="n"/>
      <c r="AL338" s="370" t="n"/>
      <c r="AM338" s="370" t="n"/>
      <c r="AN338" s="370" t="n"/>
    </row>
    <row r="339" ht="15" customHeight="1">
      <c r="A339" s="471" t="n">
        <v>8</v>
      </c>
      <c r="B339" s="245" t="n">
        <v>332</v>
      </c>
      <c r="C339" t="inlineStr">
        <is>
          <t>R0082776</t>
        </is>
      </c>
      <c r="D339" t="inlineStr">
        <is>
          <t>675  PALMER AVE</t>
        </is>
      </c>
      <c r="E339" t="n">
        <v>353</v>
      </c>
      <c r="F339" t="inlineStr">
        <is>
          <t>BENNETT</t>
        </is>
      </c>
      <c r="G339" t="inlineStr">
        <is>
          <t>1</t>
        </is>
      </c>
      <c r="H339" s="669">
        <f>Y339/J339</f>
        <v/>
      </c>
      <c r="I339" s="670" t="n">
        <v>44650</v>
      </c>
      <c r="J339" t="n">
        <v>1189</v>
      </c>
      <c r="L339" t="n">
        <v>1189</v>
      </c>
      <c r="M339" t="n">
        <v>1961</v>
      </c>
      <c r="P339" t="inlineStr">
        <is>
          <t>Bennett</t>
        </is>
      </c>
      <c r="R339" t="inlineStr">
        <is>
          <t>Average</t>
        </is>
      </c>
      <c r="S339" t="n">
        <v>8250</v>
      </c>
      <c r="T339" s="467">
        <f>S339/J339</f>
        <v/>
      </c>
      <c r="U339" t="inlineStr">
        <is>
          <t>Average</t>
        </is>
      </c>
      <c r="Y339" t="n">
        <v>280000</v>
      </c>
      <c r="AA339" t="n">
        <v>280000</v>
      </c>
      <c r="AC339" t="inlineStr">
        <is>
          <t>0181527316010</t>
        </is>
      </c>
      <c r="AD339" t="inlineStr">
        <is>
          <t>2022000031446</t>
        </is>
      </c>
      <c r="AE339" t="inlineStr">
        <is>
          <t>TAM REALTY LLC</t>
        </is>
      </c>
      <c r="AF339" t="inlineStr">
        <is>
          <t>NASA BURROUGHS LLC</t>
        </is>
      </c>
      <c r="AI339" s="245">
        <f>AND(E339=Subj_OccCode,Subj_BldgSF&gt;0,L339&gt;=Subj_BldgSF*(1-Subj_SizeTol),L339&lt;=Subj_BldgSF*(1+Subj_SizeTol))</f>
        <v/>
      </c>
      <c r="AJ339" s="370" t="n"/>
      <c r="AK339" s="370" t="n"/>
      <c r="AL339" s="370" t="n"/>
      <c r="AM339" s="370" t="n"/>
      <c r="AN339" s="370" t="n"/>
    </row>
    <row r="340" ht="15" customHeight="1">
      <c r="A340" s="471" t="n">
        <v>8</v>
      </c>
      <c r="B340" s="245" t="n">
        <v>333</v>
      </c>
      <c r="C340" t="inlineStr">
        <is>
          <t>R0081717</t>
        </is>
      </c>
      <c r="D340" t="inlineStr">
        <is>
          <t>3803 HEADLIGHT RD</t>
        </is>
      </c>
      <c r="E340" t="n">
        <v>406</v>
      </c>
      <c r="G340" t="inlineStr">
        <is>
          <t>1</t>
        </is>
      </c>
      <c r="H340" s="669">
        <f>Y340/J340</f>
        <v/>
      </c>
      <c r="I340" s="670" t="n">
        <v>43102</v>
      </c>
      <c r="J340" t="n">
        <v>19887</v>
      </c>
      <c r="L340" t="n">
        <v>19887</v>
      </c>
      <c r="M340" t="n">
        <v>1993</v>
      </c>
      <c r="P340" t="inlineStr">
        <is>
          <t>Agricultural</t>
        </is>
      </c>
      <c r="R340" t="inlineStr">
        <is>
          <t>Low</t>
        </is>
      </c>
      <c r="S340" t="n">
        <v>1244073.6</v>
      </c>
      <c r="T340" s="467">
        <f>S340/J340</f>
        <v/>
      </c>
      <c r="U340" t="inlineStr">
        <is>
          <t>Fair</t>
        </is>
      </c>
      <c r="Y340" t="n">
        <v>975000</v>
      </c>
      <c r="AA340" t="n">
        <v>975000</v>
      </c>
      <c r="AC340" t="inlineStr">
        <is>
          <t>0181300008008</t>
        </is>
      </c>
      <c r="AD340" t="inlineStr">
        <is>
          <t>2018000001180</t>
        </is>
      </c>
      <c r="AE340" t="inlineStr">
        <is>
          <t>HUTTON CONTRACTING COMPANY, INC</t>
        </is>
      </c>
      <c r="AF340" t="inlineStr">
        <is>
          <t>JONES JEFFREY A</t>
        </is>
      </c>
      <c r="AI340" s="245">
        <f>AND(E340=Subj_OccCode,Subj_BldgSF&gt;0,L340&gt;=Subj_BldgSF*(1-Subj_SizeTol),L340&lt;=Subj_BldgSF*(1+Subj_SizeTol))</f>
        <v/>
      </c>
      <c r="AJ340" s="370" t="n"/>
      <c r="AK340" s="370" t="n"/>
      <c r="AL340" s="370" t="n"/>
      <c r="AM340" s="370" t="n"/>
      <c r="AN340" s="370" t="n"/>
    </row>
    <row r="341" ht="15" customHeight="1">
      <c r="A341" s="471" t="n">
        <v>8</v>
      </c>
      <c r="B341" s="245" t="n">
        <v>334</v>
      </c>
      <c r="C341" t="inlineStr">
        <is>
          <t>R0098103</t>
        </is>
      </c>
      <c r="D341" t="inlineStr">
        <is>
          <t>1247 E 68TH AVE</t>
        </is>
      </c>
      <c r="E341" t="n">
        <v>406</v>
      </c>
      <c r="G341" t="inlineStr">
        <is>
          <t>5</t>
        </is>
      </c>
      <c r="H341" s="669">
        <f>Y341/J341</f>
        <v/>
      </c>
      <c r="I341" s="670" t="n">
        <v>43705</v>
      </c>
      <c r="J341" t="n">
        <v>25300</v>
      </c>
      <c r="L341" t="n">
        <v>25300</v>
      </c>
      <c r="M341" t="n">
        <v>1994</v>
      </c>
      <c r="P341" t="inlineStr">
        <is>
          <t>Industrial</t>
        </is>
      </c>
      <c r="R341" t="inlineStr">
        <is>
          <t>Average</t>
        </is>
      </c>
      <c r="S341" t="n">
        <v>197703</v>
      </c>
      <c r="T341" s="467">
        <f>S341/J341</f>
        <v/>
      </c>
      <c r="U341" t="inlineStr">
        <is>
          <t>Average</t>
        </is>
      </c>
      <c r="Y341" t="n">
        <v>3285000</v>
      </c>
      <c r="AA341" t="n">
        <v>3285000</v>
      </c>
      <c r="AC341" t="inlineStr">
        <is>
          <t>0182502205015</t>
        </is>
      </c>
      <c r="AD341" t="inlineStr">
        <is>
          <t>2019000071126</t>
        </is>
      </c>
      <c r="AE341" t="inlineStr">
        <is>
          <t>JHDS LLC</t>
        </is>
      </c>
      <c r="AF341" t="inlineStr">
        <is>
          <t>JECO HOLDINGS INC</t>
        </is>
      </c>
      <c r="AI341" s="245">
        <f>AND(E341=Subj_OccCode,Subj_BldgSF&gt;0,L341&gt;=Subj_BldgSF*(1-Subj_SizeTol),L341&lt;=Subj_BldgSF*(1+Subj_SizeTol))</f>
        <v/>
      </c>
      <c r="AJ341" s="370" t="n"/>
      <c r="AK341" s="370" t="n"/>
      <c r="AL341" s="370" t="n"/>
      <c r="AM341" s="370" t="n"/>
      <c r="AN341" s="370" t="n"/>
    </row>
    <row r="342" ht="15" customHeight="1">
      <c r="A342" s="471" t="n">
        <v>8</v>
      </c>
      <c r="B342" s="245" t="n">
        <v>335</v>
      </c>
      <c r="C342" t="inlineStr">
        <is>
          <t>R0093109</t>
        </is>
      </c>
      <c r="D342" t="inlineStr">
        <is>
          <t>3250  QUENTIN ST</t>
        </is>
      </c>
      <c r="E342" t="n">
        <v>407</v>
      </c>
      <c r="F342" t="inlineStr">
        <is>
          <t>AURORA</t>
        </is>
      </c>
      <c r="G342" t="inlineStr">
        <is>
          <t>6</t>
        </is>
      </c>
      <c r="H342" s="669">
        <f>Y342/J342</f>
        <v/>
      </c>
      <c r="I342" s="670" t="n">
        <v>44168</v>
      </c>
      <c r="J342" t="n">
        <v>144468</v>
      </c>
      <c r="L342" t="n">
        <v>144468</v>
      </c>
      <c r="M342" t="n">
        <v>1985</v>
      </c>
      <c r="P342" t="inlineStr">
        <is>
          <t>M-1-Aur</t>
        </is>
      </c>
      <c r="R342" t="inlineStr">
        <is>
          <t>Good</t>
        </is>
      </c>
      <c r="S342" t="n">
        <v>363339</v>
      </c>
      <c r="T342" s="467">
        <f>S342/J342</f>
        <v/>
      </c>
      <c r="U342" t="inlineStr">
        <is>
          <t>Average</t>
        </is>
      </c>
      <c r="Y342" t="n">
        <v>16000000</v>
      </c>
      <c r="AA342" t="n">
        <v>16000000</v>
      </c>
      <c r="AC342" t="inlineStr">
        <is>
          <t>0182325212001</t>
        </is>
      </c>
      <c r="AD342" t="inlineStr">
        <is>
          <t>2020000126568</t>
        </is>
      </c>
      <c r="AE342" t="inlineStr">
        <is>
          <t>FIRST INDUSTRIAL LP</t>
        </is>
      </c>
      <c r="AF342" t="inlineStr">
        <is>
          <t>HZ SORRENTO HIGHPOINTE SQUARE LLC ET AL</t>
        </is>
      </c>
      <c r="AI342" s="245">
        <f>AND(E342=Subj_OccCode,Subj_BldgSF&gt;0,L342&gt;=Subj_BldgSF*(1-Subj_SizeTol),L342&lt;=Subj_BldgSF*(1+Subj_SizeTol))</f>
        <v/>
      </c>
      <c r="AJ342" s="370" t="n"/>
      <c r="AK342" s="370" t="n"/>
      <c r="AL342" s="370" t="n"/>
      <c r="AM342" s="370" t="n"/>
      <c r="AN342" s="370" t="n"/>
    </row>
    <row r="343" ht="15" customHeight="1">
      <c r="A343" s="471" t="n">
        <v>8</v>
      </c>
      <c r="B343" s="245" t="n">
        <v>336</v>
      </c>
      <c r="C343" t="inlineStr">
        <is>
          <t>R0092662</t>
        </is>
      </c>
      <c r="D343" t="inlineStr">
        <is>
          <t>6440 E 50TH AVE</t>
        </is>
      </c>
      <c r="E343" t="n">
        <v>407</v>
      </c>
      <c r="F343" t="inlineStr">
        <is>
          <t>COMMERCE CITY</t>
        </is>
      </c>
      <c r="G343" t="inlineStr">
        <is>
          <t>5</t>
        </is>
      </c>
      <c r="H343" s="669">
        <f>Y343/J343</f>
        <v/>
      </c>
      <c r="I343" s="670" t="n">
        <v>44309</v>
      </c>
      <c r="J343" t="n">
        <v>5840</v>
      </c>
      <c r="L343" t="n">
        <v>5840</v>
      </c>
      <c r="M343" t="n">
        <v>1962</v>
      </c>
      <c r="P343" t="inlineStr">
        <is>
          <t>I-1S</t>
        </is>
      </c>
      <c r="R343" t="inlineStr">
        <is>
          <t>Average</t>
        </is>
      </c>
      <c r="S343" t="n">
        <v>11725</v>
      </c>
      <c r="T343" s="467">
        <f>S343/J343</f>
        <v/>
      </c>
      <c r="U343" t="inlineStr">
        <is>
          <t>Average</t>
        </is>
      </c>
      <c r="Y343" t="n">
        <v>1075000</v>
      </c>
      <c r="AA343" t="n">
        <v>1075000</v>
      </c>
      <c r="AC343" t="inlineStr">
        <is>
          <t>0182317301021</t>
        </is>
      </c>
      <c r="AD343" t="inlineStr">
        <is>
          <t>2021000050390</t>
        </is>
      </c>
      <c r="AE343" t="inlineStr">
        <is>
          <t>NORTH SHORE PROPERTIES LLC</t>
        </is>
      </c>
      <c r="AF343" t="inlineStr">
        <is>
          <t>MPI LAND BROKERS LLC</t>
        </is>
      </c>
      <c r="AI343" s="245">
        <f>AND(E343=Subj_OccCode,Subj_BldgSF&gt;0,L343&gt;=Subj_BldgSF*(1-Subj_SizeTol),L343&lt;=Subj_BldgSF*(1+Subj_SizeTol))</f>
        <v/>
      </c>
      <c r="AJ343" s="370" t="n"/>
      <c r="AK343" s="370" t="n"/>
      <c r="AL343" s="370" t="n"/>
      <c r="AM343" s="370" t="n"/>
      <c r="AN343" s="370" t="n"/>
    </row>
    <row r="344" ht="15" customHeight="1">
      <c r="A344" s="471" t="n">
        <v>8</v>
      </c>
      <c r="B344" s="245" t="n">
        <v>337</v>
      </c>
      <c r="C344" t="inlineStr">
        <is>
          <t>R0103633</t>
        </is>
      </c>
      <c r="D344" t="inlineStr">
        <is>
          <t>6348  DOWNING ST</t>
        </is>
      </c>
      <c r="E344" t="n">
        <v>325</v>
      </c>
      <c r="G344" t="inlineStr">
        <is>
          <t>2</t>
        </is>
      </c>
      <c r="H344" s="669">
        <f>Y344/J344</f>
        <v/>
      </c>
      <c r="I344" s="670" t="n">
        <v>43356</v>
      </c>
      <c r="J344" t="n">
        <v>4816</v>
      </c>
      <c r="L344" t="n">
        <v>4816</v>
      </c>
      <c r="M344" t="n">
        <v>1983</v>
      </c>
      <c r="P344" t="inlineStr">
        <is>
          <t>Industrial</t>
        </is>
      </c>
      <c r="R344" t="inlineStr">
        <is>
          <t>Average</t>
        </is>
      </c>
      <c r="S344" t="n">
        <v>15000</v>
      </c>
      <c r="T344" s="467">
        <f>S344/J344</f>
        <v/>
      </c>
      <c r="U344" t="inlineStr">
        <is>
          <t>Average</t>
        </is>
      </c>
      <c r="Y344" t="n">
        <v>475000</v>
      </c>
      <c r="AA344" t="n">
        <v>475000</v>
      </c>
      <c r="AC344" t="inlineStr">
        <is>
          <t>0182511201005</t>
        </is>
      </c>
      <c r="AD344" t="inlineStr">
        <is>
          <t>2018000075103</t>
        </is>
      </c>
      <c r="AE344" t="inlineStr">
        <is>
          <t>C B QUICK AND CO</t>
        </is>
      </c>
      <c r="AF344" t="inlineStr">
        <is>
          <t>SPEEDWAY GARAGES LLC</t>
        </is>
      </c>
      <c r="AI344" s="245">
        <f>AND(E344=Subj_OccCode,Subj_BldgSF&gt;0,L344&gt;=Subj_BldgSF*(1-Subj_SizeTol),L344&lt;=Subj_BldgSF*(1+Subj_SizeTol))</f>
        <v/>
      </c>
      <c r="AJ344" s="370" t="n"/>
      <c r="AK344" s="370" t="n"/>
      <c r="AL344" s="370" t="n"/>
      <c r="AM344" s="370" t="n"/>
      <c r="AN344" s="370" t="n"/>
    </row>
    <row r="345" ht="15" customHeight="1">
      <c r="A345" s="471" t="n">
        <v>8</v>
      </c>
      <c r="B345" s="245" t="n">
        <v>338</v>
      </c>
      <c r="C345" t="inlineStr">
        <is>
          <t>R0103645</t>
        </is>
      </c>
      <c r="D345" t="inlineStr">
        <is>
          <t>6260  DOWNING ST</t>
        </is>
      </c>
      <c r="E345" t="n">
        <v>407</v>
      </c>
      <c r="G345" t="inlineStr">
        <is>
          <t>5</t>
        </is>
      </c>
      <c r="H345" s="669">
        <f>Y345/J345</f>
        <v/>
      </c>
      <c r="I345" s="670" t="n">
        <v>44281</v>
      </c>
      <c r="J345" t="n">
        <v>56000</v>
      </c>
      <c r="L345" t="n">
        <v>56000</v>
      </c>
      <c r="M345" t="n">
        <v>1978</v>
      </c>
      <c r="P345" t="inlineStr">
        <is>
          <t>Industrial</t>
        </is>
      </c>
      <c r="R345" t="inlineStr">
        <is>
          <t>Average</t>
        </is>
      </c>
      <c r="S345" t="n">
        <v>162914</v>
      </c>
      <c r="T345" s="467">
        <f>S345/J345</f>
        <v/>
      </c>
      <c r="U345" t="inlineStr">
        <is>
          <t>Average</t>
        </is>
      </c>
      <c r="Y345" t="n">
        <v>7400000</v>
      </c>
      <c r="AA345" t="n">
        <v>7400000</v>
      </c>
      <c r="AC345" t="inlineStr">
        <is>
          <t>0182511201024</t>
        </is>
      </c>
      <c r="AD345" t="inlineStr">
        <is>
          <t>2021000037593</t>
        </is>
      </c>
      <c r="AE345" t="inlineStr">
        <is>
          <t>H &amp; S PROPERTIES LLC</t>
        </is>
      </c>
      <c r="AF345" t="inlineStr">
        <is>
          <t>BWR HOLDINGS LLLP</t>
        </is>
      </c>
      <c r="AI345" s="245">
        <f>AND(E345=Subj_OccCode,Subj_BldgSF&gt;0,L345&gt;=Subj_BldgSF*(1-Subj_SizeTol),L345&lt;=Subj_BldgSF*(1+Subj_SizeTol))</f>
        <v/>
      </c>
      <c r="AJ345" s="370" t="n"/>
      <c r="AK345" s="370" t="n"/>
      <c r="AL345" s="370" t="n"/>
      <c r="AM345" s="370" t="n"/>
      <c r="AN345" s="370" t="n"/>
    </row>
    <row r="346" ht="15" customHeight="1">
      <c r="A346" s="471" t="n">
        <v>8</v>
      </c>
      <c r="B346" s="245" t="n">
        <v>339</v>
      </c>
      <c r="C346" t="inlineStr">
        <is>
          <t>R0112007</t>
        </is>
      </c>
      <c r="D346" t="inlineStr">
        <is>
          <t>6510  FRANKLIN ST</t>
        </is>
      </c>
      <c r="E346" t="n">
        <v>407</v>
      </c>
      <c r="G346" t="inlineStr">
        <is>
          <t>5</t>
        </is>
      </c>
      <c r="H346" s="669">
        <f>Y346/J346</f>
        <v/>
      </c>
      <c r="I346" s="670" t="n">
        <v>43251</v>
      </c>
      <c r="J346" t="n">
        <v>15112</v>
      </c>
      <c r="L346" t="n">
        <v>15112</v>
      </c>
      <c r="M346" t="n">
        <v>1998</v>
      </c>
      <c r="P346" t="inlineStr">
        <is>
          <t>Planned Unit Development</t>
        </is>
      </c>
      <c r="R346" t="inlineStr">
        <is>
          <t>Average</t>
        </is>
      </c>
      <c r="S346" t="n">
        <v>43995.6016</v>
      </c>
      <c r="T346" s="467">
        <f>S346/J346</f>
        <v/>
      </c>
      <c r="U346" t="inlineStr">
        <is>
          <t>Average</t>
        </is>
      </c>
      <c r="Y346" t="n">
        <v>2100000</v>
      </c>
      <c r="AA346" t="n">
        <v>2100000</v>
      </c>
      <c r="AC346" t="inlineStr">
        <is>
          <t>0182502403035</t>
        </is>
      </c>
      <c r="AD346" t="inlineStr">
        <is>
          <t>2018000044587</t>
        </is>
      </c>
      <c r="AE346" t="inlineStr">
        <is>
          <t>FPT PROPERTIES LLC</t>
        </is>
      </c>
      <c r="AF346" t="inlineStr">
        <is>
          <t>6510 PROPERTIES LLC</t>
        </is>
      </c>
      <c r="AI346" s="245">
        <f>AND(E346=Subj_OccCode,Subj_BldgSF&gt;0,L346&gt;=Subj_BldgSF*(1-Subj_SizeTol),L346&lt;=Subj_BldgSF*(1+Subj_SizeTol))</f>
        <v/>
      </c>
      <c r="AJ346" s="370" t="n"/>
      <c r="AK346" s="370" t="n"/>
      <c r="AL346" s="370" t="n"/>
      <c r="AM346" s="370" t="n"/>
      <c r="AN346" s="370" t="n"/>
    </row>
    <row r="347" ht="15" customHeight="1">
      <c r="A347" s="471" t="n">
        <v>8</v>
      </c>
      <c r="B347" s="245" t="n">
        <v>340</v>
      </c>
      <c r="C347" t="inlineStr">
        <is>
          <t>R0112005</t>
        </is>
      </c>
      <c r="D347" t="inlineStr">
        <is>
          <t>1780 E 66TH AVE</t>
        </is>
      </c>
      <c r="E347" t="n">
        <v>334</v>
      </c>
      <c r="G347" t="inlineStr">
        <is>
          <t>5</t>
        </is>
      </c>
      <c r="H347" s="669">
        <f>Y347/J347</f>
        <v/>
      </c>
      <c r="I347" s="670" t="n">
        <v>44399</v>
      </c>
      <c r="J347" t="n">
        <v>49054</v>
      </c>
      <c r="L347" t="n">
        <v>49054</v>
      </c>
      <c r="M347" t="n">
        <v>1999</v>
      </c>
      <c r="P347" t="inlineStr">
        <is>
          <t>Planned Unit Development</t>
        </is>
      </c>
      <c r="R347" t="inlineStr">
        <is>
          <t>Average</t>
        </is>
      </c>
      <c r="S347" t="n">
        <v>87555.60159999999</v>
      </c>
      <c r="T347" s="467">
        <f>S347/J347</f>
        <v/>
      </c>
      <c r="U347" t="inlineStr">
        <is>
          <t>Average</t>
        </is>
      </c>
      <c r="Y347" t="n">
        <v>6323500</v>
      </c>
      <c r="AA347" t="n">
        <v>6323500</v>
      </c>
      <c r="AC347" t="inlineStr">
        <is>
          <t>0182502403033</t>
        </is>
      </c>
      <c r="AD347" t="inlineStr">
        <is>
          <t>2021000090265</t>
        </is>
      </c>
      <c r="AE347" t="inlineStr">
        <is>
          <t>TRUSTILE DOORS LLC</t>
        </is>
      </c>
      <c r="AF347" t="inlineStr">
        <is>
          <t>GWP LLC</t>
        </is>
      </c>
      <c r="AI347" s="245">
        <f>AND(E347=Subj_OccCode,Subj_BldgSF&gt;0,L347&gt;=Subj_BldgSF*(1-Subj_SizeTol),L347&lt;=Subj_BldgSF*(1+Subj_SizeTol))</f>
        <v/>
      </c>
      <c r="AJ347" s="370" t="n"/>
      <c r="AK347" s="370" t="n"/>
      <c r="AL347" s="370" t="n"/>
      <c r="AM347" s="370" t="n"/>
      <c r="AN347" s="370" t="n"/>
    </row>
    <row r="348" ht="15" customHeight="1">
      <c r="A348" s="471" t="n">
        <v>8</v>
      </c>
      <c r="B348" s="245" t="n">
        <v>341</v>
      </c>
      <c r="C348" t="inlineStr">
        <is>
          <t>R0104136</t>
        </is>
      </c>
      <c r="D348" t="inlineStr">
        <is>
          <t>5270  FOX ST</t>
        </is>
      </c>
      <c r="E348" t="n">
        <v>407</v>
      </c>
      <c r="G348" t="inlineStr">
        <is>
          <t>5</t>
        </is>
      </c>
      <c r="H348" s="669">
        <f>Y348/J348</f>
        <v/>
      </c>
      <c r="I348" s="670" t="n">
        <v>44358</v>
      </c>
      <c r="J348" t="n">
        <v>130296</v>
      </c>
      <c r="L348" t="n">
        <v>130296</v>
      </c>
      <c r="M348" t="n">
        <v>1969</v>
      </c>
      <c r="P348" t="inlineStr">
        <is>
          <t>Industrial</t>
        </is>
      </c>
      <c r="R348" t="inlineStr">
        <is>
          <t>Average</t>
        </is>
      </c>
      <c r="S348" t="n">
        <v>217800</v>
      </c>
      <c r="T348" s="467">
        <f>S348/J348</f>
        <v/>
      </c>
      <c r="U348" t="inlineStr">
        <is>
          <t>Average</t>
        </is>
      </c>
      <c r="Y348" t="n">
        <v>11950000</v>
      </c>
      <c r="AA348" t="n">
        <v>11950000</v>
      </c>
      <c r="AC348" t="inlineStr">
        <is>
          <t>0182515206003</t>
        </is>
      </c>
      <c r="AD348" t="inlineStr">
        <is>
          <t>2021000071484</t>
        </is>
      </c>
      <c r="AE348" t="inlineStr">
        <is>
          <t>5180-5270 FOX PROPERTY OWNER LLC</t>
        </is>
      </c>
      <c r="AF348" t="inlineStr">
        <is>
          <t>ABARCA TEN LLC</t>
        </is>
      </c>
      <c r="AI348" s="245">
        <f>AND(E348=Subj_OccCode,Subj_BldgSF&gt;0,L348&gt;=Subj_BldgSF*(1-Subj_SizeTol),L348&lt;=Subj_BldgSF*(1+Subj_SizeTol))</f>
        <v/>
      </c>
      <c r="AJ348" s="370" t="n"/>
      <c r="AK348" s="370" t="n"/>
      <c r="AL348" s="370" t="n"/>
      <c r="AM348" s="370" t="n"/>
      <c r="AN348" s="370" t="n"/>
    </row>
    <row r="349" ht="15" customHeight="1">
      <c r="A349" s="471" t="n">
        <v>8</v>
      </c>
      <c r="B349" s="245" t="n">
        <v>342</v>
      </c>
      <c r="C349" t="inlineStr">
        <is>
          <t>R0085792</t>
        </is>
      </c>
      <c r="D349" t="inlineStr">
        <is>
          <t>2200 N CHAMBERS RD</t>
        </is>
      </c>
      <c r="E349" t="n">
        <v>425</v>
      </c>
      <c r="F349" t="inlineStr">
        <is>
          <t>AURORA</t>
        </is>
      </c>
      <c r="G349" t="inlineStr">
        <is>
          <t>6</t>
        </is>
      </c>
      <c r="H349" s="669">
        <f>Y349/J349</f>
        <v/>
      </c>
      <c r="I349" s="670" t="n">
        <v>44040</v>
      </c>
      <c r="J349" t="n">
        <v>1500</v>
      </c>
      <c r="L349" t="n">
        <v>1500</v>
      </c>
      <c r="M349" t="n">
        <v>1984</v>
      </c>
      <c r="P349" t="inlineStr">
        <is>
          <t>M-1-Aur</t>
        </is>
      </c>
      <c r="R349" t="inlineStr">
        <is>
          <t>Good</t>
        </is>
      </c>
      <c r="S349" t="n">
        <v>5227</v>
      </c>
      <c r="T349" s="467">
        <f>S349/J349</f>
        <v/>
      </c>
      <c r="U349" t="inlineStr">
        <is>
          <t>Average</t>
        </is>
      </c>
      <c r="Y349" t="n">
        <v>212000</v>
      </c>
      <c r="AA349" t="n">
        <v>212000</v>
      </c>
      <c r="AC349" t="inlineStr">
        <is>
          <t>0182132008008</t>
        </is>
      </c>
      <c r="AD349" t="inlineStr">
        <is>
          <t>2020000073933</t>
        </is>
      </c>
      <c r="AE349" t="inlineStr">
        <is>
          <t>JPJ ENTERPRISES LLC</t>
        </is>
      </c>
      <c r="AF349" t="inlineStr">
        <is>
          <t>SCHWARTZ JOSH JON</t>
        </is>
      </c>
      <c r="AI349" s="245">
        <f>AND(E349=Subj_OccCode,Subj_BldgSF&gt;0,L349&gt;=Subj_BldgSF*(1-Subj_SizeTol),L349&lt;=Subj_BldgSF*(1+Subj_SizeTol))</f>
        <v/>
      </c>
      <c r="AJ349" s="370" t="n"/>
      <c r="AK349" s="370" t="n"/>
      <c r="AL349" s="370" t="n"/>
      <c r="AM349" s="370" t="n"/>
      <c r="AN349" s="370" t="n"/>
    </row>
    <row r="350" ht="15" customHeight="1">
      <c r="A350" s="471" t="n">
        <v>8</v>
      </c>
      <c r="B350" s="245" t="n">
        <v>343</v>
      </c>
      <c r="C350" t="inlineStr">
        <is>
          <t>R0094484</t>
        </is>
      </c>
      <c r="D350" t="inlineStr">
        <is>
          <t>9655 E 25TH AVE #105</t>
        </is>
      </c>
      <c r="E350" t="n">
        <v>425</v>
      </c>
      <c r="F350" t="inlineStr">
        <is>
          <t>AURORA</t>
        </is>
      </c>
      <c r="G350" t="inlineStr">
        <is>
          <t>6</t>
        </is>
      </c>
      <c r="H350" s="669">
        <f>Y350/J350</f>
        <v/>
      </c>
      <c r="I350" s="670" t="n">
        <v>44712</v>
      </c>
      <c r="J350" t="n">
        <v>1472</v>
      </c>
      <c r="L350" t="n">
        <v>1472</v>
      </c>
      <c r="M350" t="n">
        <v>1984</v>
      </c>
      <c r="P350" t="inlineStr">
        <is>
          <t>OA-G</t>
        </is>
      </c>
      <c r="R350" t="inlineStr">
        <is>
          <t>Average</t>
        </is>
      </c>
      <c r="S350" t="n">
        <v>5095</v>
      </c>
      <c r="T350" s="467">
        <f>S350/J350</f>
        <v/>
      </c>
      <c r="U350" t="inlineStr">
        <is>
          <t>Average</t>
        </is>
      </c>
      <c r="Y350" t="n">
        <v>400000</v>
      </c>
      <c r="AA350" t="n">
        <v>400000</v>
      </c>
      <c r="AC350" t="inlineStr">
        <is>
          <t>0182334201028</t>
        </is>
      </c>
      <c r="AD350" t="inlineStr">
        <is>
          <t>2022000048122</t>
        </is>
      </c>
      <c r="AE350" t="inlineStr">
        <is>
          <t>9655 E 25TH LLC</t>
        </is>
      </c>
      <c r="AF350" t="inlineStr">
        <is>
          <t>14195 MOUNTVIEW BLVD PARTNERS LLC</t>
        </is>
      </c>
      <c r="AI350" s="245">
        <f>AND(E350=Subj_OccCode,Subj_BldgSF&gt;0,L350&gt;=Subj_BldgSF*(1-Subj_SizeTol),L350&lt;=Subj_BldgSF*(1+Subj_SizeTol))</f>
        <v/>
      </c>
      <c r="AJ350" s="370" t="n"/>
      <c r="AK350" s="370" t="n"/>
      <c r="AL350" s="370" t="n"/>
      <c r="AM350" s="370" t="n"/>
      <c r="AN350" s="370" t="n"/>
    </row>
    <row r="351" ht="15" customHeight="1">
      <c r="A351" s="471" t="n">
        <v>8</v>
      </c>
      <c r="B351" s="245" t="n">
        <v>344</v>
      </c>
      <c r="C351" t="inlineStr">
        <is>
          <t>R0068500</t>
        </is>
      </c>
      <c r="D351" t="inlineStr">
        <is>
          <t>7305  PECOS ST</t>
        </is>
      </c>
      <c r="E351" t="n">
        <v>340</v>
      </c>
      <c r="G351" t="inlineStr">
        <is>
          <t>1</t>
        </is>
      </c>
      <c r="H351" s="669">
        <f>Y351/J351</f>
        <v/>
      </c>
      <c r="I351" s="670" t="n">
        <v>43367</v>
      </c>
      <c r="J351" t="n">
        <v>30700</v>
      </c>
      <c r="L351" t="n">
        <v>30700</v>
      </c>
      <c r="M351" t="n">
        <v>2002</v>
      </c>
      <c r="P351" t="inlineStr">
        <is>
          <t>Commercial</t>
        </is>
      </c>
      <c r="R351" t="inlineStr">
        <is>
          <t>Average</t>
        </is>
      </c>
      <c r="S351" t="n">
        <v>88718</v>
      </c>
      <c r="T351" s="467">
        <f>S351/J351</f>
        <v/>
      </c>
      <c r="U351" t="inlineStr">
        <is>
          <t>Good</t>
        </is>
      </c>
      <c r="Y351" t="n">
        <v>4225000</v>
      </c>
      <c r="AA351" t="n">
        <v>4225000</v>
      </c>
      <c r="AC351" t="inlineStr">
        <is>
          <t>0171933307024</t>
        </is>
      </c>
      <c r="AD351" t="inlineStr">
        <is>
          <t>2018000078584</t>
        </is>
      </c>
      <c r="AE351" t="inlineStr">
        <is>
          <t>WEJ LLC</t>
        </is>
      </c>
      <c r="AF351" t="inlineStr">
        <is>
          <t>WAGERS PROPERTIES LLC</t>
        </is>
      </c>
      <c r="AI351" s="245">
        <f>AND(E351=Subj_OccCode,Subj_BldgSF&gt;0,L351&gt;=Subj_BldgSF*(1-Subj_SizeTol),L351&lt;=Subj_BldgSF*(1+Subj_SizeTol))</f>
        <v/>
      </c>
      <c r="AJ351" s="370" t="n"/>
      <c r="AK351" s="370" t="n"/>
      <c r="AL351" s="370" t="n"/>
      <c r="AM351" s="370" t="n"/>
      <c r="AN351" s="370" t="n"/>
    </row>
    <row r="352" ht="15" customHeight="1">
      <c r="A352" s="471" t="n">
        <v>8</v>
      </c>
      <c r="B352" s="245" t="n">
        <v>345</v>
      </c>
      <c r="C352" t="inlineStr">
        <is>
          <t>R0100904</t>
        </is>
      </c>
      <c r="D352" t="inlineStr">
        <is>
          <t>7125  NEWTON ST</t>
        </is>
      </c>
      <c r="E352" t="n">
        <v>406</v>
      </c>
      <c r="F352" t="inlineStr">
        <is>
          <t>WESTMINSTER</t>
        </is>
      </c>
      <c r="G352" t="inlineStr">
        <is>
          <t>4</t>
        </is>
      </c>
      <c r="H352" s="669">
        <f>Y352/J352</f>
        <v/>
      </c>
      <c r="I352" s="670" t="n">
        <v>43902</v>
      </c>
      <c r="J352" t="n">
        <v>8850</v>
      </c>
      <c r="L352" t="n">
        <v>8850</v>
      </c>
      <c r="M352" t="n">
        <v>1974</v>
      </c>
      <c r="P352" t="inlineStr">
        <is>
          <t>M-1-Wes</t>
        </is>
      </c>
      <c r="R352" t="inlineStr">
        <is>
          <t>Average</t>
        </is>
      </c>
      <c r="S352" t="n">
        <v>23100</v>
      </c>
      <c r="T352" s="467">
        <f>S352/J352</f>
        <v/>
      </c>
      <c r="U352" t="inlineStr">
        <is>
          <t>Average</t>
        </is>
      </c>
      <c r="Y352" t="n">
        <v>1295000</v>
      </c>
      <c r="AA352" t="n">
        <v>1295000</v>
      </c>
      <c r="AC352" t="inlineStr">
        <is>
          <t>0182506108006</t>
        </is>
      </c>
      <c r="AD352" t="inlineStr">
        <is>
          <t>2020000024276</t>
        </is>
      </c>
      <c r="AE352" t="inlineStr">
        <is>
          <t>STOWERS GEORGETTE I</t>
        </is>
      </c>
      <c r="AF352" t="inlineStr">
        <is>
          <t>7125 NEWTON ST LLC</t>
        </is>
      </c>
      <c r="AI352" s="245">
        <f>AND(E352=Subj_OccCode,Subj_BldgSF&gt;0,L352&gt;=Subj_BldgSF*(1-Subj_SizeTol),L352&lt;=Subj_BldgSF*(1+Subj_SizeTol))</f>
        <v/>
      </c>
      <c r="AJ352" s="370" t="n"/>
      <c r="AK352" s="370" t="n"/>
      <c r="AL352" s="370" t="n"/>
      <c r="AM352" s="370" t="n"/>
      <c r="AN352" s="370" t="n"/>
    </row>
    <row r="353" ht="15" customHeight="1">
      <c r="A353" s="471" t="n">
        <v>8</v>
      </c>
      <c r="B353" s="245" t="n">
        <v>346</v>
      </c>
      <c r="C353" t="inlineStr">
        <is>
          <t>R0132006</t>
        </is>
      </c>
      <c r="D353" t="inlineStr">
        <is>
          <t>12021  PENNSYLVANIA ST #206</t>
        </is>
      </c>
      <c r="E353" t="n">
        <v>1344</v>
      </c>
      <c r="F353" t="inlineStr">
        <is>
          <t>THORNTON</t>
        </is>
      </c>
      <c r="G353" t="inlineStr">
        <is>
          <t>3</t>
        </is>
      </c>
      <c r="H353" s="669">
        <f>Y353/J353</f>
        <v/>
      </c>
      <c r="I353" s="670" t="n">
        <v>44557</v>
      </c>
      <c r="J353" t="n">
        <v>1440</v>
      </c>
      <c r="L353" t="n">
        <v>1440</v>
      </c>
      <c r="M353" t="n">
        <v>2000</v>
      </c>
      <c r="P353" t="inlineStr">
        <is>
          <t>Regional Commercial</t>
        </is>
      </c>
      <c r="R353" t="inlineStr">
        <is>
          <t>Average</t>
        </is>
      </c>
      <c r="S353" t="n">
        <v>3838.69</v>
      </c>
      <c r="T353" s="467">
        <f>S353/J353</f>
        <v/>
      </c>
      <c r="U353" t="inlineStr">
        <is>
          <t>Average</t>
        </is>
      </c>
      <c r="Y353" t="n">
        <v>275000</v>
      </c>
      <c r="AA353" t="n">
        <v>275000</v>
      </c>
      <c r="AC353" t="inlineStr">
        <is>
          <t>0157334401018</t>
        </is>
      </c>
      <c r="AD353" t="inlineStr">
        <is>
          <t>2021000150792</t>
        </is>
      </c>
      <c r="AE353" t="inlineStr">
        <is>
          <t>COLORADO DISTRICT OF THE, CHURCH OF THE NAZARENE</t>
        </is>
      </c>
      <c r="AF353" t="inlineStr">
        <is>
          <t>GRAND PROPERTIES CO LLC</t>
        </is>
      </c>
      <c r="AI353" s="245">
        <f>AND(E353=Subj_OccCode,Subj_BldgSF&gt;0,L353&gt;=Subj_BldgSF*(1-Subj_SizeTol),L353&lt;=Subj_BldgSF*(1+Subj_SizeTol))</f>
        <v/>
      </c>
      <c r="AJ353" s="370" t="n"/>
      <c r="AK353" s="370" t="n"/>
      <c r="AL353" s="370" t="n"/>
      <c r="AM353" s="370" t="n"/>
      <c r="AN353" s="370" t="n"/>
    </row>
    <row r="354" ht="15" customHeight="1">
      <c r="A354" s="471" t="n">
        <v>8</v>
      </c>
      <c r="B354" s="245" t="n">
        <v>347</v>
      </c>
      <c r="C354" t="inlineStr">
        <is>
          <t>R0124482</t>
        </is>
      </c>
      <c r="D354" t="inlineStr">
        <is>
          <t>631 E 120TH AVE</t>
        </is>
      </c>
      <c r="E354" t="n">
        <v>325</v>
      </c>
      <c r="F354" t="inlineStr">
        <is>
          <t>THORNTON</t>
        </is>
      </c>
      <c r="G354" t="inlineStr">
        <is>
          <t>3</t>
        </is>
      </c>
      <c r="H354" s="669">
        <f>Y354/J354</f>
        <v/>
      </c>
      <c r="I354" s="670" t="n">
        <v>43698</v>
      </c>
      <c r="J354" t="n">
        <v>16000</v>
      </c>
      <c r="L354" t="n">
        <v>16000</v>
      </c>
      <c r="M354" t="n">
        <v>2002</v>
      </c>
      <c r="P354" t="inlineStr">
        <is>
          <t>Regional Commercial</t>
        </is>
      </c>
      <c r="R354" t="inlineStr">
        <is>
          <t>Good</t>
        </is>
      </c>
      <c r="S354" t="n">
        <v>104463</v>
      </c>
      <c r="T354" s="467">
        <f>S354/J354</f>
        <v/>
      </c>
      <c r="U354" t="inlineStr">
        <is>
          <t>Average</t>
        </is>
      </c>
      <c r="Y354" t="n">
        <v>3758000</v>
      </c>
      <c r="AA354" t="n">
        <v>3758000</v>
      </c>
      <c r="AC354" t="inlineStr">
        <is>
          <t>0157334402001</t>
        </is>
      </c>
      <c r="AD354" t="inlineStr">
        <is>
          <t>2019000068346</t>
        </is>
      </c>
      <c r="AE354" t="inlineStr">
        <is>
          <t xml:space="preserve">STERLING-THORNTON CO LLC,  </t>
        </is>
      </c>
      <c r="AF354" t="inlineStr">
        <is>
          <t>SHIN YONG SIN TRUSTEE OF , THE YONG S SHIN LIVING TRUST</t>
        </is>
      </c>
      <c r="AI354" s="245">
        <f>AND(E354=Subj_OccCode,Subj_BldgSF&gt;0,L354&gt;=Subj_BldgSF*(1-Subj_SizeTol),L354&lt;=Subj_BldgSF*(1+Subj_SizeTol))</f>
        <v/>
      </c>
      <c r="AJ354" s="370" t="n"/>
      <c r="AK354" s="370" t="n"/>
      <c r="AL354" s="370" t="n"/>
      <c r="AM354" s="370" t="n"/>
      <c r="AN354" s="370" t="n"/>
    </row>
    <row r="355" ht="15" customHeight="1">
      <c r="A355" s="471" t="n">
        <v>8</v>
      </c>
      <c r="B355" s="245" t="n">
        <v>348</v>
      </c>
      <c r="C355" t="inlineStr">
        <is>
          <t>R0008999</t>
        </is>
      </c>
      <c r="D355" t="inlineStr">
        <is>
          <t>14465 DAHLIA ST</t>
        </is>
      </c>
      <c r="E355" t="n">
        <v>404</v>
      </c>
      <c r="G355" t="inlineStr">
        <is>
          <t>3</t>
        </is>
      </c>
      <c r="H355" s="669">
        <f>Y355/J355</f>
        <v/>
      </c>
      <c r="I355" s="670" t="n">
        <v>43636</v>
      </c>
      <c r="J355" t="n">
        <v>924</v>
      </c>
      <c r="L355" t="n">
        <v>924</v>
      </c>
      <c r="M355" t="n">
        <v>1955</v>
      </c>
      <c r="P355" t="inlineStr">
        <is>
          <t>Agricultural</t>
        </is>
      </c>
      <c r="R355" t="inlineStr">
        <is>
          <t>Low</t>
        </is>
      </c>
      <c r="S355" t="n">
        <v>12197</v>
      </c>
      <c r="T355" s="467">
        <f>S355/J355</f>
        <v/>
      </c>
      <c r="U355" t="inlineStr">
        <is>
          <t>Low</t>
        </is>
      </c>
      <c r="Y355" t="n">
        <v>40000</v>
      </c>
      <c r="AA355" t="n">
        <v>40000</v>
      </c>
      <c r="AC355" t="inlineStr">
        <is>
          <t>0157118000005</t>
        </is>
      </c>
      <c r="AD355" t="inlineStr">
        <is>
          <t>2019000047926</t>
        </is>
      </c>
      <c r="AE355" t="inlineStr">
        <is>
          <t>MC CLANE MELVIN G AND, MC CLANE DOROTHY N</t>
        </is>
      </c>
      <c r="AF355" t="inlineStr">
        <is>
          <t>SEIBERT SCOTT A</t>
        </is>
      </c>
      <c r="AI355" s="245">
        <f>AND(E355=Subj_OccCode,Subj_BldgSF&gt;0,L355&gt;=Subj_BldgSF*(1-Subj_SizeTol),L355&lt;=Subj_BldgSF*(1+Subj_SizeTol))</f>
        <v/>
      </c>
      <c r="AJ355" s="370" t="n"/>
      <c r="AK355" s="370" t="n"/>
      <c r="AL355" s="370" t="n"/>
      <c r="AM355" s="370" t="n"/>
      <c r="AN355" s="370" t="n"/>
    </row>
    <row r="356" ht="15" customHeight="1">
      <c r="A356" s="471" t="n">
        <v>8</v>
      </c>
      <c r="B356" s="245" t="n">
        <v>349</v>
      </c>
      <c r="C356" t="inlineStr">
        <is>
          <t>R0090931</t>
        </is>
      </c>
      <c r="D356" t="inlineStr">
        <is>
          <t>6255  DEXTER ST</t>
        </is>
      </c>
      <c r="E356" t="n">
        <v>407</v>
      </c>
      <c r="F356" t="inlineStr">
        <is>
          <t>COMMERCE CITY</t>
        </is>
      </c>
      <c r="G356" t="inlineStr">
        <is>
          <t>5</t>
        </is>
      </c>
      <c r="H356" s="669">
        <f>Y356/J356</f>
        <v/>
      </c>
      <c r="I356" s="670" t="n">
        <v>44232</v>
      </c>
      <c r="J356" t="n">
        <v>30434</v>
      </c>
      <c r="L356" t="n">
        <v>30434</v>
      </c>
      <c r="M356" t="n">
        <v>1951</v>
      </c>
      <c r="P356" t="inlineStr">
        <is>
          <t>I-3-Com</t>
        </is>
      </c>
      <c r="R356" t="inlineStr">
        <is>
          <t>Average</t>
        </is>
      </c>
      <c r="S356" t="n">
        <v>161608</v>
      </c>
      <c r="T356" s="467">
        <f>S356/J356</f>
        <v/>
      </c>
      <c r="U356" t="inlineStr">
        <is>
          <t>Average</t>
        </is>
      </c>
      <c r="Y356" t="n">
        <v>3625000</v>
      </c>
      <c r="AA356" t="n">
        <v>3625000</v>
      </c>
      <c r="AC356" t="inlineStr">
        <is>
          <t>0182307200018</t>
        </is>
      </c>
      <c r="AD356" t="inlineStr">
        <is>
          <t>2021000016133</t>
        </is>
      </c>
      <c r="AE356" t="inlineStr">
        <is>
          <t>RICHARDS AND DEXTER LLC</t>
        </is>
      </c>
      <c r="AF356" t="inlineStr">
        <is>
          <t>CAH CO COMMERCE CITY LLC</t>
        </is>
      </c>
      <c r="AI356" s="245">
        <f>AND(E356=Subj_OccCode,Subj_BldgSF&gt;0,L356&gt;=Subj_BldgSF*(1-Subj_SizeTol),L356&lt;=Subj_BldgSF*(1+Subj_SizeTol))</f>
        <v/>
      </c>
      <c r="AJ356" s="370" t="n"/>
      <c r="AK356" s="370" t="n"/>
      <c r="AL356" s="370" t="n"/>
      <c r="AM356" s="370" t="n"/>
      <c r="AN356" s="370" t="n"/>
    </row>
    <row r="357" ht="15" customHeight="1">
      <c r="A357" s="471" t="n">
        <v>8</v>
      </c>
      <c r="B357" s="245" t="n">
        <v>350</v>
      </c>
      <c r="C357" t="inlineStr">
        <is>
          <t>R0089808</t>
        </is>
      </c>
      <c r="D357" t="inlineStr">
        <is>
          <t xml:space="preserve">6872  HIGHWAY 2 </t>
        </is>
      </c>
      <c r="E357" t="n">
        <v>325</v>
      </c>
      <c r="F357" t="inlineStr">
        <is>
          <t>COMMERCE CITY</t>
        </is>
      </c>
      <c r="G357" t="inlineStr">
        <is>
          <t>5</t>
        </is>
      </c>
      <c r="H357" s="669">
        <f>Y357/J357</f>
        <v/>
      </c>
      <c r="I357" s="670" t="n">
        <v>44376</v>
      </c>
      <c r="J357" t="n">
        <v>3063</v>
      </c>
      <c r="L357" t="n">
        <v>3063</v>
      </c>
      <c r="M357" t="n">
        <v>1951</v>
      </c>
      <c r="P357" t="inlineStr">
        <is>
          <t>C-3-Com</t>
        </is>
      </c>
      <c r="R357" t="inlineStr">
        <is>
          <t>Average</t>
        </is>
      </c>
      <c r="S357" t="n">
        <v>21971</v>
      </c>
      <c r="T357" s="467">
        <f>S357/J357</f>
        <v/>
      </c>
      <c r="U357" t="inlineStr">
        <is>
          <t>Average</t>
        </is>
      </c>
      <c r="Y357" t="n">
        <v>649750</v>
      </c>
      <c r="AA357" t="n">
        <v>649750</v>
      </c>
      <c r="AC357" t="inlineStr">
        <is>
          <t>0182306118001</t>
        </is>
      </c>
      <c r="AD357" t="inlineStr">
        <is>
          <t>2021000079462</t>
        </is>
      </c>
      <c r="AE357" t="inlineStr">
        <is>
          <t>FEHR MATTHEW W</t>
        </is>
      </c>
      <c r="AF357" t="inlineStr">
        <is>
          <t>6872 HWY 2 LLC</t>
        </is>
      </c>
      <c r="AI357" s="245">
        <f>AND(E357=Subj_OccCode,Subj_BldgSF&gt;0,L357&gt;=Subj_BldgSF*(1-Subj_SizeTol),L357&lt;=Subj_BldgSF*(1+Subj_SizeTol))</f>
        <v/>
      </c>
      <c r="AJ357" s="370" t="n"/>
      <c r="AK357" s="370" t="n"/>
      <c r="AL357" s="370" t="n"/>
      <c r="AM357" s="370" t="n"/>
      <c r="AN357" s="370" t="n"/>
    </row>
    <row r="358" ht="15" customHeight="1">
      <c r="A358" s="471" t="n">
        <v>8</v>
      </c>
      <c r="B358" s="245" t="n">
        <v>351</v>
      </c>
      <c r="C358" t="inlineStr">
        <is>
          <t>R0090948</t>
        </is>
      </c>
      <c r="D358" t="inlineStr">
        <is>
          <t>4407 E 60TH AVE</t>
        </is>
      </c>
      <c r="E358" t="n">
        <v>406</v>
      </c>
      <c r="F358" t="inlineStr">
        <is>
          <t>COMMERCE CITY</t>
        </is>
      </c>
      <c r="G358" t="inlineStr">
        <is>
          <t>5</t>
        </is>
      </c>
      <c r="H358" s="669">
        <f>Y358/J358</f>
        <v/>
      </c>
      <c r="I358" s="670" t="n">
        <v>44284</v>
      </c>
      <c r="J358" t="n">
        <v>3328</v>
      </c>
      <c r="L358" t="n">
        <v>3328</v>
      </c>
      <c r="M358" t="n">
        <v>1965</v>
      </c>
      <c r="P358" t="inlineStr">
        <is>
          <t>I-3-Com</t>
        </is>
      </c>
      <c r="R358" t="inlineStr">
        <is>
          <t>Average</t>
        </is>
      </c>
      <c r="S358" t="n">
        <v>105415.2</v>
      </c>
      <c r="T358" s="467">
        <f>S358/J358</f>
        <v/>
      </c>
      <c r="U358" t="inlineStr">
        <is>
          <t>Average</t>
        </is>
      </c>
      <c r="Y358" t="n">
        <v>1600000</v>
      </c>
      <c r="AA358" t="n">
        <v>1600000</v>
      </c>
      <c r="AC358" t="inlineStr">
        <is>
          <t>0182307200048</t>
        </is>
      </c>
      <c r="AD358" t="inlineStr">
        <is>
          <t>2021000038243</t>
        </is>
      </c>
      <c r="AE358" t="inlineStr">
        <is>
          <t>MC CALLIN REAL ESTATE LLC</t>
        </is>
      </c>
      <c r="AF358" t="inlineStr">
        <is>
          <t>DCPS REAL ESTATE CLERMONT LLC</t>
        </is>
      </c>
      <c r="AI358" s="245">
        <f>AND(E358=Subj_OccCode,Subj_BldgSF&gt;0,L358&gt;=Subj_BldgSF*(1-Subj_SizeTol),L358&lt;=Subj_BldgSF*(1+Subj_SizeTol))</f>
        <v/>
      </c>
      <c r="AJ358" s="370" t="n"/>
      <c r="AK358" s="370" t="n"/>
      <c r="AL358" s="370" t="n"/>
      <c r="AM358" s="370" t="n"/>
      <c r="AN358" s="370" t="n"/>
    </row>
    <row r="359" ht="15" customHeight="1">
      <c r="A359" s="471" t="n">
        <v>8</v>
      </c>
      <c r="B359" s="245" t="n">
        <v>352</v>
      </c>
      <c r="C359" t="inlineStr">
        <is>
          <t>R0112112</t>
        </is>
      </c>
      <c r="D359" t="inlineStr">
        <is>
          <t>7500  WASHINTON ST</t>
        </is>
      </c>
      <c r="E359" t="n">
        <v>344</v>
      </c>
      <c r="G359" t="inlineStr">
        <is>
          <t>5</t>
        </is>
      </c>
      <c r="H359" s="669">
        <f>Y359/J359</f>
        <v/>
      </c>
      <c r="I359" s="670" t="n">
        <v>44127</v>
      </c>
      <c r="J359" t="n">
        <v>780</v>
      </c>
      <c r="L359" t="n">
        <v>780</v>
      </c>
      <c r="M359" t="n">
        <v>1907</v>
      </c>
      <c r="P359" t="inlineStr">
        <is>
          <t>Industrial</t>
        </is>
      </c>
      <c r="R359" t="inlineStr">
        <is>
          <t>Fair</t>
        </is>
      </c>
      <c r="S359" t="n">
        <v>209423.8</v>
      </c>
      <c r="T359" s="467">
        <f>S359/J359</f>
        <v/>
      </c>
      <c r="U359" t="inlineStr">
        <is>
          <t>Average</t>
        </is>
      </c>
      <c r="Y359" t="n">
        <v>2300000</v>
      </c>
      <c r="AA359" t="n">
        <v>2300000</v>
      </c>
      <c r="AC359" t="inlineStr">
        <is>
          <t>0171935301037</t>
        </is>
      </c>
      <c r="AD359" t="inlineStr">
        <is>
          <t>2020000109210</t>
        </is>
      </c>
      <c r="AE359" t="inlineStr">
        <is>
          <t>FRANKLIN L SACCOMANNO FAMILY TRUST ET AL 1/2 INT AND, VENEY CYNTHIA 1/4 I et al.</t>
        </is>
      </c>
      <c r="AF359" t="inlineStr">
        <is>
          <t>IN SELF STORAGE 24 LLC</t>
        </is>
      </c>
      <c r="AI359" s="245">
        <f>AND(E359=Subj_OccCode,Subj_BldgSF&gt;0,L359&gt;=Subj_BldgSF*(1-Subj_SizeTol),L359&lt;=Subj_BldgSF*(1+Subj_SizeTol))</f>
        <v/>
      </c>
      <c r="AJ359" s="370" t="n"/>
      <c r="AK359" s="370" t="n"/>
      <c r="AL359" s="370" t="n"/>
      <c r="AM359" s="370" t="n"/>
      <c r="AN359" s="370" t="n"/>
    </row>
    <row r="360" ht="15" customHeight="1">
      <c r="A360" s="471" t="n">
        <v>8</v>
      </c>
      <c r="B360" s="245" t="n">
        <v>353</v>
      </c>
      <c r="C360" t="inlineStr">
        <is>
          <t>R0150320</t>
        </is>
      </c>
      <c r="D360" t="inlineStr">
        <is>
          <t>9690  DALLAS ST #L</t>
        </is>
      </c>
      <c r="E360" t="n">
        <v>425</v>
      </c>
      <c r="G360" t="inlineStr">
        <is>
          <t>5</t>
        </is>
      </c>
      <c r="H360" s="669">
        <f>Y360/J360</f>
        <v/>
      </c>
      <c r="I360" s="670" t="n">
        <v>44631</v>
      </c>
      <c r="J360" t="n">
        <v>2500</v>
      </c>
      <c r="L360" t="n">
        <v>2500</v>
      </c>
      <c r="M360" t="n">
        <v>2001</v>
      </c>
      <c r="P360" t="inlineStr">
        <is>
          <t>I-3-Com</t>
        </is>
      </c>
      <c r="R360" t="inlineStr">
        <is>
          <t>Average</t>
        </is>
      </c>
      <c r="S360" t="n">
        <v>14885</v>
      </c>
      <c r="T360" s="467">
        <f>S360/J360</f>
        <v/>
      </c>
      <c r="U360" t="inlineStr">
        <is>
          <t>Average</t>
        </is>
      </c>
      <c r="Y360" t="n">
        <v>525000</v>
      </c>
      <c r="AA360" t="n">
        <v>525000</v>
      </c>
      <c r="AC360" t="inlineStr">
        <is>
          <t>0172115303024</t>
        </is>
      </c>
      <c r="AD360" t="inlineStr">
        <is>
          <t>2022000022642</t>
        </is>
      </c>
      <c r="AE360" t="inlineStr">
        <is>
          <t>DEL MAR ACCENTS LLC</t>
        </is>
      </c>
      <c r="AF360" t="inlineStr">
        <is>
          <t>DOMENICO REAL ESTATE PARTNERSHIP II LLLP</t>
        </is>
      </c>
      <c r="AI360" s="245">
        <f>AND(E360=Subj_OccCode,Subj_BldgSF&gt;0,L360&gt;=Subj_BldgSF*(1-Subj_SizeTol),L360&lt;=Subj_BldgSF*(1+Subj_SizeTol))</f>
        <v/>
      </c>
      <c r="AJ360" s="370" t="n"/>
      <c r="AK360" s="370" t="n"/>
      <c r="AL360" s="370" t="n"/>
      <c r="AM360" s="370" t="n"/>
      <c r="AN360" s="370" t="n"/>
    </row>
    <row r="361" ht="15" customHeight="1">
      <c r="A361" s="471" t="n">
        <v>8</v>
      </c>
      <c r="B361" s="245" t="n">
        <v>354</v>
      </c>
      <c r="C361" t="inlineStr">
        <is>
          <t>R0178224</t>
        </is>
      </c>
      <c r="D361" t="inlineStr">
        <is>
          <t>9156  BRIGHTON RD</t>
        </is>
      </c>
      <c r="E361" t="n">
        <v>325</v>
      </c>
      <c r="G361" t="inlineStr">
        <is>
          <t>5</t>
        </is>
      </c>
      <c r="H361" s="669">
        <f>Y361/J361</f>
        <v/>
      </c>
      <c r="I361" s="670" t="n">
        <v>43889</v>
      </c>
      <c r="J361" t="n">
        <v>27000</v>
      </c>
      <c r="L361" t="n">
        <v>27000</v>
      </c>
      <c r="M361" t="n">
        <v>2003</v>
      </c>
      <c r="P361" t="inlineStr">
        <is>
          <t>Industrial</t>
        </is>
      </c>
      <c r="R361" t="inlineStr">
        <is>
          <t>Average</t>
        </is>
      </c>
      <c r="S361" t="n">
        <v>182516.4</v>
      </c>
      <c r="T361" s="467">
        <f>S361/J361</f>
        <v/>
      </c>
      <c r="U361" t="inlineStr">
        <is>
          <t>Average</t>
        </is>
      </c>
      <c r="Y361" t="n">
        <v>4642000</v>
      </c>
      <c r="AA361" t="n">
        <v>4642000</v>
      </c>
      <c r="AC361" t="inlineStr">
        <is>
          <t>0172120401004</t>
        </is>
      </c>
      <c r="AD361" t="inlineStr">
        <is>
          <t>2020000019366</t>
        </is>
      </c>
      <c r="AE361" t="inlineStr">
        <is>
          <t>9156 BRIGHTON ROAD LLC</t>
        </is>
      </c>
      <c r="AF361" t="inlineStr">
        <is>
          <t>BRINELL PROPERTIES LLC</t>
        </is>
      </c>
      <c r="AI361" s="245">
        <f>AND(E361=Subj_OccCode,Subj_BldgSF&gt;0,L361&gt;=Subj_BldgSF*(1-Subj_SizeTol),L361&lt;=Subj_BldgSF*(1+Subj_SizeTol))</f>
        <v/>
      </c>
      <c r="AJ361" s="370" t="n"/>
      <c r="AK361" s="370" t="n"/>
      <c r="AL361" s="370" t="n"/>
      <c r="AM361" s="370" t="n"/>
      <c r="AN361" s="370" t="n"/>
    </row>
    <row r="362" ht="15" customHeight="1">
      <c r="A362" s="471" t="n">
        <v>8</v>
      </c>
      <c r="B362" s="245" t="n">
        <v>355</v>
      </c>
      <c r="C362" t="inlineStr">
        <is>
          <t>R0117231</t>
        </is>
      </c>
      <c r="D362" t="inlineStr">
        <is>
          <t>1861 W 64TH LN</t>
        </is>
      </c>
      <c r="E362" t="n">
        <v>344</v>
      </c>
      <c r="G362" t="inlineStr">
        <is>
          <t>5</t>
        </is>
      </c>
      <c r="H362" s="669">
        <f>Y362/J362</f>
        <v/>
      </c>
      <c r="I362" s="670" t="n">
        <v>44363</v>
      </c>
      <c r="J362" t="n">
        <v>19050</v>
      </c>
      <c r="L362" t="n">
        <v>19050</v>
      </c>
      <c r="M362" t="n">
        <v>2001</v>
      </c>
      <c r="P362" t="inlineStr">
        <is>
          <t>Planned Unit Development</t>
        </is>
      </c>
      <c r="R362" t="inlineStr">
        <is>
          <t>Fair</t>
        </is>
      </c>
      <c r="S362" t="n">
        <v>43995.6</v>
      </c>
      <c r="T362" s="467">
        <f>S362/J362</f>
        <v/>
      </c>
      <c r="U362" t="inlineStr">
        <is>
          <t>Good</t>
        </is>
      </c>
      <c r="Y362" t="n">
        <v>2750000</v>
      </c>
      <c r="AA362" t="n">
        <v>2750000</v>
      </c>
      <c r="AC362" t="inlineStr">
        <is>
          <t>0182504302004</t>
        </is>
      </c>
      <c r="AD362" t="inlineStr">
        <is>
          <t>2021000073205</t>
        </is>
      </c>
      <c r="AE362" t="inlineStr">
        <is>
          <t>AIR PURIFICATION COMPANY</t>
        </is>
      </c>
      <c r="AF362" t="inlineStr">
        <is>
          <t>ACME CRE LLC</t>
        </is>
      </c>
      <c r="AI362" s="245">
        <f>AND(E362=Subj_OccCode,Subj_BldgSF&gt;0,L362&gt;=Subj_BldgSF*(1-Subj_SizeTol),L362&lt;=Subj_BldgSF*(1+Subj_SizeTol))</f>
        <v/>
      </c>
      <c r="AJ362" s="370" t="n"/>
      <c r="AK362" s="370" t="n"/>
      <c r="AL362" s="370" t="n"/>
      <c r="AM362" s="370" t="n"/>
      <c r="AN362" s="370" t="n"/>
    </row>
    <row r="363" ht="15" customHeight="1">
      <c r="A363" s="471" t="n">
        <v>8</v>
      </c>
      <c r="B363" s="245" t="n">
        <v>356</v>
      </c>
      <c r="C363" t="inlineStr">
        <is>
          <t>R0100737</t>
        </is>
      </c>
      <c r="D363" t="inlineStr">
        <is>
          <t>6500  FEDERAL BLVD</t>
        </is>
      </c>
      <c r="E363" t="n">
        <v>325</v>
      </c>
      <c r="G363" t="inlineStr">
        <is>
          <t>5</t>
        </is>
      </c>
      <c r="H363" s="669">
        <f>Y363/J363</f>
        <v/>
      </c>
      <c r="I363" s="670" t="n">
        <v>43553</v>
      </c>
      <c r="J363" t="n">
        <v>17350</v>
      </c>
      <c r="L363" t="n">
        <v>17350</v>
      </c>
      <c r="M363" t="n">
        <v>1964</v>
      </c>
      <c r="P363" t="inlineStr">
        <is>
          <t>Commercial</t>
        </is>
      </c>
      <c r="R363" t="inlineStr">
        <is>
          <t>Average</t>
        </is>
      </c>
      <c r="S363" t="n">
        <v>54000</v>
      </c>
      <c r="T363" s="467">
        <f>S363/J363</f>
        <v/>
      </c>
      <c r="U363" t="inlineStr">
        <is>
          <t>Average</t>
        </is>
      </c>
      <c r="Y363" t="n">
        <v>1000000</v>
      </c>
      <c r="AA363" t="n">
        <v>1000000</v>
      </c>
      <c r="AC363" t="inlineStr">
        <is>
          <t>0182505405029</t>
        </is>
      </c>
      <c r="AD363" t="inlineStr">
        <is>
          <t>2019000059642</t>
        </is>
      </c>
      <c r="AE363" t="inlineStr">
        <is>
          <t>NORTHLAWN PROPERTY LLC, C/O SPERRY PROPERTIES</t>
        </is>
      </c>
      <c r="AF363" t="inlineStr">
        <is>
          <t>LOCOFORTIS LLC</t>
        </is>
      </c>
      <c r="AI363" s="245">
        <f>AND(E363=Subj_OccCode,Subj_BldgSF&gt;0,L363&gt;=Subj_BldgSF*(1-Subj_SizeTol),L363&lt;=Subj_BldgSF*(1+Subj_SizeTol))</f>
        <v/>
      </c>
      <c r="AJ363" s="370" t="n"/>
      <c r="AK363" s="370" t="n"/>
      <c r="AL363" s="370" t="n"/>
      <c r="AM363" s="370" t="n"/>
      <c r="AN363" s="370" t="n"/>
    </row>
    <row r="364" ht="15" customHeight="1">
      <c r="A364" s="471" t="n">
        <v>8</v>
      </c>
      <c r="B364" s="245" t="n">
        <v>357</v>
      </c>
      <c r="C364" t="inlineStr">
        <is>
          <t>R0100737</t>
        </is>
      </c>
      <c r="D364" t="inlineStr">
        <is>
          <t>6500  FEDERAL BLVD</t>
        </is>
      </c>
      <c r="E364" t="n">
        <v>325</v>
      </c>
      <c r="G364" t="inlineStr">
        <is>
          <t>5</t>
        </is>
      </c>
      <c r="H364" s="669">
        <f>Y364/J364</f>
        <v/>
      </c>
      <c r="I364" s="670" t="n">
        <v>44655</v>
      </c>
      <c r="J364" t="n">
        <v>17350</v>
      </c>
      <c r="L364" t="n">
        <v>17350</v>
      </c>
      <c r="M364" t="n">
        <v>1964</v>
      </c>
      <c r="P364" t="inlineStr">
        <is>
          <t>Commercial</t>
        </is>
      </c>
      <c r="R364" t="inlineStr">
        <is>
          <t>Average</t>
        </is>
      </c>
      <c r="S364" t="n">
        <v>54000</v>
      </c>
      <c r="T364" s="467">
        <f>S364/J364</f>
        <v/>
      </c>
      <c r="U364" t="inlineStr">
        <is>
          <t>Average</t>
        </is>
      </c>
      <c r="Y364" t="n">
        <v>2100000</v>
      </c>
      <c r="AA364" t="n">
        <v>2100000</v>
      </c>
      <c r="AC364" t="inlineStr">
        <is>
          <t>0182505405029</t>
        </is>
      </c>
      <c r="AD364" t="inlineStr">
        <is>
          <t>2022000031284</t>
        </is>
      </c>
      <c r="AE364" t="inlineStr">
        <is>
          <t>LOCOFORTIS LLC</t>
        </is>
      </c>
      <c r="AF364" t="inlineStr">
        <is>
          <t>2626 SARIKOV LLC</t>
        </is>
      </c>
      <c r="AI364" s="245">
        <f>AND(E364=Subj_OccCode,Subj_BldgSF&gt;0,L364&gt;=Subj_BldgSF*(1-Subj_SizeTol),L364&lt;=Subj_BldgSF*(1+Subj_SizeTol))</f>
        <v/>
      </c>
      <c r="AJ364" s="370" t="n"/>
      <c r="AK364" s="370" t="n"/>
      <c r="AL364" s="370" t="n"/>
      <c r="AM364" s="370" t="n"/>
      <c r="AN364" s="370" t="n"/>
    </row>
    <row r="365" ht="15" customHeight="1">
      <c r="A365" s="471" t="n">
        <v>8</v>
      </c>
      <c r="B365" s="245" t="n">
        <v>358</v>
      </c>
      <c r="C365" t="inlineStr">
        <is>
          <t>R0098588</t>
        </is>
      </c>
      <c r="D365" t="inlineStr">
        <is>
          <t>6591  WASHINGTON ST</t>
        </is>
      </c>
      <c r="E365" t="n">
        <v>407</v>
      </c>
      <c r="G365" t="inlineStr">
        <is>
          <t>5</t>
        </is>
      </c>
      <c r="H365" s="669">
        <f>Y365/J365</f>
        <v/>
      </c>
      <c r="I365" s="670" t="n">
        <v>43236</v>
      </c>
      <c r="J365" t="n">
        <v>16254</v>
      </c>
      <c r="L365" t="n">
        <v>16254</v>
      </c>
      <c r="M365" t="n">
        <v>1974</v>
      </c>
      <c r="P365" t="inlineStr">
        <is>
          <t>Industrial</t>
        </is>
      </c>
      <c r="R365" t="inlineStr">
        <is>
          <t>Average</t>
        </is>
      </c>
      <c r="S365" t="n">
        <v>120528</v>
      </c>
      <c r="T365" s="467">
        <f>S365/J365</f>
        <v/>
      </c>
      <c r="U365" t="inlineStr">
        <is>
          <t>Average</t>
        </is>
      </c>
      <c r="Y365" t="n">
        <v>2400000</v>
      </c>
      <c r="AA365" t="n">
        <v>2400000</v>
      </c>
      <c r="AC365" t="inlineStr">
        <is>
          <t>0182503402009</t>
        </is>
      </c>
      <c r="AD365" t="inlineStr">
        <is>
          <t>2018000040473</t>
        </is>
      </c>
      <c r="AE365" t="inlineStr">
        <is>
          <t>JWBSK INVESTMENT GROUP LLC</t>
        </is>
      </c>
      <c r="AF365" t="inlineStr">
        <is>
          <t>SUBLETTE JACOBS PROPERTIES LLC</t>
        </is>
      </c>
      <c r="AI365" s="245">
        <f>AND(E365=Subj_OccCode,Subj_BldgSF&gt;0,L365&gt;=Subj_BldgSF*(1-Subj_SizeTol),L365&lt;=Subj_BldgSF*(1+Subj_SizeTol))</f>
        <v/>
      </c>
      <c r="AJ365" s="370" t="n"/>
      <c r="AK365" s="370" t="n"/>
      <c r="AL365" s="370" t="n"/>
      <c r="AM365" s="370" t="n"/>
      <c r="AN365" s="370" t="n"/>
    </row>
    <row r="366" ht="15" customHeight="1">
      <c r="A366" s="471" t="n">
        <v>8</v>
      </c>
      <c r="B366" s="245" t="n">
        <v>359</v>
      </c>
      <c r="C366" t="inlineStr">
        <is>
          <t>R0077599</t>
        </is>
      </c>
      <c r="D366" t="inlineStr">
        <is>
          <t>8245  QUEBEC ST</t>
        </is>
      </c>
      <c r="E366" t="n">
        <v>344</v>
      </c>
      <c r="F366" t="inlineStr">
        <is>
          <t>COMMERCE CITY</t>
        </is>
      </c>
      <c r="G366" t="inlineStr">
        <is>
          <t>5</t>
        </is>
      </c>
      <c r="H366" s="669">
        <f>Y366/J366</f>
        <v/>
      </c>
      <c r="I366" s="670" t="n">
        <v>44603</v>
      </c>
      <c r="J366" t="n">
        <v>5900</v>
      </c>
      <c r="L366" t="n">
        <v>5900</v>
      </c>
      <c r="M366" t="n">
        <v>1971</v>
      </c>
      <c r="P366" t="inlineStr">
        <is>
          <t>I-2-Com</t>
        </is>
      </c>
      <c r="R366" t="inlineStr">
        <is>
          <t>Low</t>
        </is>
      </c>
      <c r="S366" t="n">
        <v>41382</v>
      </c>
      <c r="T366" s="467">
        <f>S366/J366</f>
        <v/>
      </c>
      <c r="U366" t="inlineStr">
        <is>
          <t>Average</t>
        </is>
      </c>
      <c r="Y366" t="n">
        <v>946820</v>
      </c>
      <c r="AA366" t="n">
        <v>946820</v>
      </c>
      <c r="AC366" t="inlineStr">
        <is>
          <t>0172129403028</t>
        </is>
      </c>
      <c r="AD366" t="inlineStr">
        <is>
          <t>2022000013715</t>
        </is>
      </c>
      <c r="AE366" t="inlineStr">
        <is>
          <t>ELWESS DAVID L</t>
        </is>
      </c>
      <c r="AF366" t="inlineStr">
        <is>
          <t>JANUARY22 PONTIAC LLC</t>
        </is>
      </c>
      <c r="AI366" s="245">
        <f>AND(E366=Subj_OccCode,Subj_BldgSF&gt;0,L366&gt;=Subj_BldgSF*(1-Subj_SizeTol),L366&lt;=Subj_BldgSF*(1+Subj_SizeTol))</f>
        <v/>
      </c>
      <c r="AJ366" s="370" t="n"/>
      <c r="AK366" s="370" t="n"/>
      <c r="AL366" s="370" t="n"/>
      <c r="AM366" s="370" t="n"/>
      <c r="AN366" s="370" t="n"/>
    </row>
    <row r="367" ht="15" customHeight="1">
      <c r="A367" s="471" t="n">
        <v>8</v>
      </c>
      <c r="B367" s="245" t="n">
        <v>360</v>
      </c>
      <c r="C367" t="inlineStr">
        <is>
          <t>R0071220</t>
        </is>
      </c>
      <c r="D367" t="inlineStr">
        <is>
          <t xml:space="preserve">11200  HIWAY 2 </t>
        </is>
      </c>
      <c r="E367" t="n">
        <v>406</v>
      </c>
      <c r="G367" t="inlineStr">
        <is>
          <t>2</t>
        </is>
      </c>
      <c r="H367" s="669">
        <f>Y367/J367</f>
        <v/>
      </c>
      <c r="I367" s="670" t="n">
        <v>43238</v>
      </c>
      <c r="J367" t="n">
        <v>20400</v>
      </c>
      <c r="L367" t="n">
        <v>20400</v>
      </c>
      <c r="M367" t="n">
        <v>1960</v>
      </c>
      <c r="P367" t="inlineStr">
        <is>
          <t>Industrial</t>
        </is>
      </c>
      <c r="R367" t="inlineStr">
        <is>
          <t>Average</t>
        </is>
      </c>
      <c r="S367" t="n">
        <v>345967</v>
      </c>
      <c r="T367" s="467">
        <f>S367/J367</f>
        <v/>
      </c>
      <c r="U367" t="inlineStr">
        <is>
          <t>Average</t>
        </is>
      </c>
      <c r="Y367" t="n">
        <v>1950000</v>
      </c>
      <c r="AA367" t="n">
        <v>1950000</v>
      </c>
      <c r="AC367" t="inlineStr">
        <is>
          <t>0172101000016</t>
        </is>
      </c>
      <c r="AD367" t="inlineStr">
        <is>
          <t>2018000040304</t>
        </is>
      </c>
      <c r="AE367" t="inlineStr">
        <is>
          <t>111489 CORPORATION INC</t>
        </is>
      </c>
      <c r="AF367" t="inlineStr">
        <is>
          <t>BK ENTERPRISES LLC</t>
        </is>
      </c>
      <c r="AI367" s="245">
        <f>AND(E367=Subj_OccCode,Subj_BldgSF&gt;0,L367&gt;=Subj_BldgSF*(1-Subj_SizeTol),L367&lt;=Subj_BldgSF*(1+Subj_SizeTol))</f>
        <v/>
      </c>
      <c r="AJ367" s="370" t="n"/>
      <c r="AK367" s="370" t="n"/>
      <c r="AL367" s="370" t="n"/>
      <c r="AM367" s="370" t="n"/>
      <c r="AN367" s="370" t="n"/>
    </row>
    <row r="368" ht="15" customHeight="1">
      <c r="A368" s="471" t="n">
        <v>8</v>
      </c>
      <c r="B368" s="245" t="n">
        <v>361</v>
      </c>
      <c r="C368" t="inlineStr">
        <is>
          <t>R0071220</t>
        </is>
      </c>
      <c r="D368" t="inlineStr">
        <is>
          <t xml:space="preserve">11200  HIWAY 2 </t>
        </is>
      </c>
      <c r="E368" t="n">
        <v>406</v>
      </c>
      <c r="G368" t="inlineStr">
        <is>
          <t>2</t>
        </is>
      </c>
      <c r="H368" s="669">
        <f>Y368/J368</f>
        <v/>
      </c>
      <c r="I368" s="670" t="n">
        <v>44671</v>
      </c>
      <c r="J368" t="n">
        <v>20400</v>
      </c>
      <c r="L368" t="n">
        <v>20400</v>
      </c>
      <c r="M368" t="n">
        <v>1960</v>
      </c>
      <c r="P368" t="inlineStr">
        <is>
          <t>Industrial</t>
        </is>
      </c>
      <c r="R368" t="inlineStr">
        <is>
          <t>Low</t>
        </is>
      </c>
      <c r="S368" t="n">
        <v>345967</v>
      </c>
      <c r="T368" s="467">
        <f>S368/J368</f>
        <v/>
      </c>
      <c r="U368" t="inlineStr">
        <is>
          <t>Average</t>
        </is>
      </c>
      <c r="Y368" t="n">
        <v>4950000</v>
      </c>
      <c r="AA368" t="n">
        <v>4950000</v>
      </c>
      <c r="AC368" t="inlineStr">
        <is>
          <t>0172101000016</t>
        </is>
      </c>
      <c r="AD368" t="inlineStr">
        <is>
          <t>2022000035759</t>
        </is>
      </c>
      <c r="AE368" t="inlineStr">
        <is>
          <t>BK ENTERPRISES LLC</t>
        </is>
      </c>
      <c r="AF368" t="inlineStr">
        <is>
          <t>13505 E 112TH V1 LLC, C/O CZD ZENITH</t>
        </is>
      </c>
      <c r="AI368" s="245">
        <f>AND(E368=Subj_OccCode,Subj_BldgSF&gt;0,L368&gt;=Subj_BldgSF*(1-Subj_SizeTol),L368&lt;=Subj_BldgSF*(1+Subj_SizeTol))</f>
        <v/>
      </c>
      <c r="AJ368" s="370" t="n"/>
      <c r="AK368" s="370" t="n"/>
      <c r="AL368" s="370" t="n"/>
      <c r="AM368" s="370" t="n"/>
      <c r="AN368" s="370" t="n"/>
    </row>
    <row r="369" ht="15" customHeight="1">
      <c r="A369" s="471" t="n">
        <v>8</v>
      </c>
      <c r="B369" s="245" t="n">
        <v>362</v>
      </c>
      <c r="C369" t="inlineStr">
        <is>
          <t>R0100631</t>
        </is>
      </c>
      <c r="D369" t="inlineStr">
        <is>
          <t>6780  FEDERAL BLVD</t>
        </is>
      </c>
      <c r="E369" t="n">
        <v>325</v>
      </c>
      <c r="G369" t="inlineStr">
        <is>
          <t>5</t>
        </is>
      </c>
      <c r="H369" s="669">
        <f>Y369/J369</f>
        <v/>
      </c>
      <c r="I369" s="670" t="n">
        <v>44130</v>
      </c>
      <c r="J369" t="n">
        <v>4719</v>
      </c>
      <c r="L369" t="n">
        <v>4719</v>
      </c>
      <c r="M369" t="n">
        <v>2001</v>
      </c>
      <c r="P369" t="inlineStr">
        <is>
          <t>Residential</t>
        </is>
      </c>
      <c r="R369" t="inlineStr">
        <is>
          <t>Average</t>
        </is>
      </c>
      <c r="S369" t="n">
        <v>17981</v>
      </c>
      <c r="T369" s="467">
        <f>S369/J369</f>
        <v/>
      </c>
      <c r="U369" t="inlineStr">
        <is>
          <t>Average</t>
        </is>
      </c>
      <c r="Y369" t="n">
        <v>1594000</v>
      </c>
      <c r="AA369" t="n">
        <v>1594000</v>
      </c>
      <c r="AC369" t="inlineStr">
        <is>
          <t>0182505402001</t>
        </is>
      </c>
      <c r="AD369" t="inlineStr">
        <is>
          <t>2020000109934</t>
        </is>
      </c>
      <c r="AE369" t="inlineStr">
        <is>
          <t>ROBINSON JAMES E AND, ROBINSON SHARON A</t>
        </is>
      </c>
      <c r="AF369" t="inlineStr">
        <is>
          <t>SAYKALLY INVESTMENT GROUP LLC</t>
        </is>
      </c>
      <c r="AI369" s="245">
        <f>AND(E369=Subj_OccCode,Subj_BldgSF&gt;0,L369&gt;=Subj_BldgSF*(1-Subj_SizeTol),L369&lt;=Subj_BldgSF*(1+Subj_SizeTol))</f>
        <v/>
      </c>
      <c r="AJ369" s="370" t="n"/>
      <c r="AK369" s="370" t="n"/>
      <c r="AL369" s="370" t="n"/>
      <c r="AM369" s="370" t="n"/>
      <c r="AN369" s="370" t="n"/>
    </row>
    <row r="370" ht="15" customHeight="1">
      <c r="A370" s="471" t="n">
        <v>8</v>
      </c>
      <c r="B370" s="245" t="n">
        <v>363</v>
      </c>
      <c r="C370" t="inlineStr">
        <is>
          <t>R0062954</t>
        </is>
      </c>
      <c r="D370" t="inlineStr">
        <is>
          <t>5051 W 80TH AVE</t>
        </is>
      </c>
      <c r="E370" t="n">
        <v>436</v>
      </c>
      <c r="F370" t="inlineStr">
        <is>
          <t>WESTMINSTER</t>
        </is>
      </c>
      <c r="G370" t="inlineStr">
        <is>
          <t>4</t>
        </is>
      </c>
      <c r="H370" s="669">
        <f>Y370/J370</f>
        <v/>
      </c>
      <c r="I370" s="670" t="n">
        <v>43761</v>
      </c>
      <c r="J370" t="n">
        <v>5424</v>
      </c>
      <c r="L370" t="n">
        <v>5424</v>
      </c>
      <c r="M370" t="n">
        <v>1988</v>
      </c>
      <c r="P370" t="inlineStr">
        <is>
          <t>B-1-Wes</t>
        </is>
      </c>
      <c r="R370" t="inlineStr">
        <is>
          <t>Average</t>
        </is>
      </c>
      <c r="S370" t="n">
        <v>25264</v>
      </c>
      <c r="T370" s="467">
        <f>S370/J370</f>
        <v/>
      </c>
      <c r="U370" t="inlineStr">
        <is>
          <t>Average</t>
        </is>
      </c>
      <c r="Y370" t="n">
        <v>625000</v>
      </c>
      <c r="AA370" t="n">
        <v>625000</v>
      </c>
      <c r="AC370" t="inlineStr">
        <is>
          <t>0171930300008</t>
        </is>
      </c>
      <c r="AD370" t="inlineStr">
        <is>
          <t>2019000091630</t>
        </is>
      </c>
      <c r="AE370" t="inlineStr">
        <is>
          <t>WASH ME III LLC</t>
        </is>
      </c>
      <c r="AF370" t="inlineStr">
        <is>
          <t>NGUYEN TAI AND, NGUYEN LOI</t>
        </is>
      </c>
      <c r="AI370" s="245">
        <f>AND(E370=Subj_OccCode,Subj_BldgSF&gt;0,L370&gt;=Subj_BldgSF*(1-Subj_SizeTol),L370&lt;=Subj_BldgSF*(1+Subj_SizeTol))</f>
        <v/>
      </c>
      <c r="AJ370" s="370" t="n"/>
      <c r="AK370" s="370" t="n"/>
      <c r="AL370" s="370" t="n"/>
      <c r="AM370" s="370" t="n"/>
      <c r="AN370" s="370" t="n"/>
    </row>
    <row r="371" ht="15" customHeight="1">
      <c r="A371" s="471" t="n">
        <v>8</v>
      </c>
      <c r="B371" s="245" t="n">
        <v>364</v>
      </c>
      <c r="C371" t="inlineStr">
        <is>
          <t>R0059105</t>
        </is>
      </c>
      <c r="D371" t="inlineStr">
        <is>
          <t>6 W 83RD PL</t>
        </is>
      </c>
      <c r="E371" t="n">
        <v>343</v>
      </c>
      <c r="F371" t="inlineStr">
        <is>
          <t>THORNTON</t>
        </is>
      </c>
      <c r="G371" t="inlineStr">
        <is>
          <t>4</t>
        </is>
      </c>
      <c r="H371" s="669">
        <f>Y371/J371</f>
        <v/>
      </c>
      <c r="I371" s="670" t="n">
        <v>44096</v>
      </c>
      <c r="J371" t="n">
        <v>32224</v>
      </c>
      <c r="L371" t="n">
        <v>32224</v>
      </c>
      <c r="M371" t="n">
        <v>1983</v>
      </c>
      <c r="P371" t="inlineStr">
        <is>
          <t>Business Park</t>
        </is>
      </c>
      <c r="R371" t="inlineStr">
        <is>
          <t>Average</t>
        </is>
      </c>
      <c r="S371" t="n">
        <v>104108</v>
      </c>
      <c r="T371" s="467">
        <f>S371/J371</f>
        <v/>
      </c>
      <c r="U371" t="inlineStr">
        <is>
          <t>Average</t>
        </is>
      </c>
      <c r="Y371" t="n">
        <v>7350000</v>
      </c>
      <c r="AA371" t="n">
        <v>7350000</v>
      </c>
      <c r="AC371" t="inlineStr">
        <is>
          <t>0171927417005</t>
        </is>
      </c>
      <c r="AD371" t="inlineStr">
        <is>
          <t>2020000113615</t>
        </is>
      </c>
      <c r="AE371" t="inlineStr">
        <is>
          <t>G6 HOSPITALITY PROPERTY LLC</t>
        </is>
      </c>
      <c r="AF371" t="inlineStr">
        <is>
          <t>D THOR HOTEL LLC</t>
        </is>
      </c>
      <c r="AI371" s="245">
        <f>AND(E371=Subj_OccCode,Subj_BldgSF&gt;0,L371&gt;=Subj_BldgSF*(1-Subj_SizeTol),L371&lt;=Subj_BldgSF*(1+Subj_SizeTol))</f>
        <v/>
      </c>
      <c r="AJ371" s="370" t="n"/>
      <c r="AK371" s="370" t="n"/>
      <c r="AL371" s="370" t="n"/>
      <c r="AM371" s="370" t="n"/>
      <c r="AN371" s="370" t="n"/>
    </row>
    <row r="372" ht="15" customHeight="1">
      <c r="A372" s="471" t="n">
        <v>8</v>
      </c>
      <c r="B372" s="245" t="n">
        <v>365</v>
      </c>
      <c r="C372" t="inlineStr">
        <is>
          <t>R0030049</t>
        </is>
      </c>
      <c r="D372" t="inlineStr">
        <is>
          <t>11428  CHEROKEE ST</t>
        </is>
      </c>
      <c r="E372" t="n">
        <v>386</v>
      </c>
      <c r="F372" t="inlineStr">
        <is>
          <t>NORTHGLENN</t>
        </is>
      </c>
      <c r="G372" t="inlineStr">
        <is>
          <t>4</t>
        </is>
      </c>
      <c r="H372" s="669">
        <f>Y372/J372</f>
        <v/>
      </c>
      <c r="I372" s="670" t="n">
        <v>44453</v>
      </c>
      <c r="J372" t="n">
        <v>44436</v>
      </c>
      <c r="L372" t="n">
        <v>44436</v>
      </c>
      <c r="M372" t="n">
        <v>1980</v>
      </c>
      <c r="P372" t="inlineStr">
        <is>
          <t>I-2-Nor</t>
        </is>
      </c>
      <c r="R372" t="inlineStr">
        <is>
          <t>Average</t>
        </is>
      </c>
      <c r="S372" t="n">
        <v>131672</v>
      </c>
      <c r="T372" s="467">
        <f>S372/J372</f>
        <v/>
      </c>
      <c r="U372" t="inlineStr">
        <is>
          <t>Average</t>
        </is>
      </c>
      <c r="Y372" t="n">
        <v>7700000</v>
      </c>
      <c r="AA372" t="n">
        <v>7700000</v>
      </c>
      <c r="AC372" t="inlineStr">
        <is>
          <t>0171903004007</t>
        </is>
      </c>
      <c r="AD372" t="inlineStr">
        <is>
          <t>2021000111448</t>
        </is>
      </c>
      <c r="AE372" t="inlineStr">
        <is>
          <t>CUBE SMART LP #229</t>
        </is>
      </c>
      <c r="AF372" t="inlineStr">
        <is>
          <t>SELF-STORAGE PORTFOLIO  XIV DST</t>
        </is>
      </c>
      <c r="AI372" s="245">
        <f>AND(E372=Subj_OccCode,Subj_BldgSF&gt;0,L372&gt;=Subj_BldgSF*(1-Subj_SizeTol),L372&lt;=Subj_BldgSF*(1+Subj_SizeTol))</f>
        <v/>
      </c>
      <c r="AJ372" s="370" t="n"/>
      <c r="AK372" s="370" t="n"/>
      <c r="AL372" s="370" t="n"/>
      <c r="AM372" s="370" t="n"/>
      <c r="AN372" s="370" t="n"/>
    </row>
    <row r="373" ht="15" customHeight="1">
      <c r="A373" s="471" t="n">
        <v>8</v>
      </c>
      <c r="B373" s="245" t="n">
        <v>366</v>
      </c>
      <c r="C373" t="inlineStr">
        <is>
          <t>R0037120</t>
        </is>
      </c>
      <c r="D373" t="inlineStr">
        <is>
          <t>11172 HURON ST #20 #20</t>
        </is>
      </c>
      <c r="E373" t="n">
        <v>341</v>
      </c>
      <c r="F373" t="inlineStr">
        <is>
          <t>NORTHGLENN</t>
        </is>
      </c>
      <c r="G373" t="inlineStr">
        <is>
          <t>4</t>
        </is>
      </c>
      <c r="H373" s="669">
        <f>Y373/J373</f>
        <v/>
      </c>
      <c r="I373" s="670" t="n">
        <v>43490</v>
      </c>
      <c r="J373" t="n">
        <v>1848</v>
      </c>
      <c r="L373" t="n">
        <v>1848</v>
      </c>
      <c r="M373" t="n">
        <v>1984</v>
      </c>
      <c r="P373" t="inlineStr">
        <is>
          <t>Northglenn</t>
        </is>
      </c>
      <c r="R373" t="inlineStr">
        <is>
          <t>Average</t>
        </is>
      </c>
      <c r="S373" t="n">
        <v>1108</v>
      </c>
      <c r="T373" s="467">
        <f>S373/J373</f>
        <v/>
      </c>
      <c r="U373" t="inlineStr">
        <is>
          <t>Average</t>
        </is>
      </c>
      <c r="Y373" t="n">
        <v>300000</v>
      </c>
      <c r="AA373" t="n">
        <v>300000</v>
      </c>
      <c r="AC373" t="inlineStr">
        <is>
          <t>0171910217020</t>
        </is>
      </c>
      <c r="AD373" t="inlineStr">
        <is>
          <t>2019000006568</t>
        </is>
      </c>
      <c r="AE373" t="inlineStr">
        <is>
          <t>BERGH CALE AND, BERGH KAREN</t>
        </is>
      </c>
      <c r="AF373" t="inlineStr">
        <is>
          <t>CLANDERSON LLC ET AL</t>
        </is>
      </c>
      <c r="AI373" s="245">
        <f>AND(E373=Subj_OccCode,Subj_BldgSF&gt;0,L373&gt;=Subj_BldgSF*(1-Subj_SizeTol),L373&lt;=Subj_BldgSF*(1+Subj_SizeTol))</f>
        <v/>
      </c>
      <c r="AJ373" s="370" t="n"/>
      <c r="AK373" s="370" t="n"/>
      <c r="AL373" s="370" t="n"/>
      <c r="AM373" s="370" t="n"/>
      <c r="AN373" s="370" t="n"/>
    </row>
    <row r="374" ht="15" customHeight="1">
      <c r="A374" s="471" t="n">
        <v>8</v>
      </c>
      <c r="B374" s="245" t="n">
        <v>367</v>
      </c>
      <c r="C374" t="inlineStr">
        <is>
          <t>R0013647</t>
        </is>
      </c>
      <c r="D374" t="inlineStr">
        <is>
          <t>12251  BRIGHTON RD</t>
        </is>
      </c>
      <c r="E374" t="n">
        <v>325</v>
      </c>
      <c r="G374" t="inlineStr">
        <is>
          <t>3</t>
        </is>
      </c>
      <c r="H374" s="669">
        <f>Y374/J374</f>
        <v/>
      </c>
      <c r="I374" s="670" t="n">
        <v>43138</v>
      </c>
      <c r="J374" t="n">
        <v>2208</v>
      </c>
      <c r="L374" t="n">
        <v>2208</v>
      </c>
      <c r="M374" t="n">
        <v>1914</v>
      </c>
      <c r="P374" t="inlineStr">
        <is>
          <t>Commercial</t>
        </is>
      </c>
      <c r="R374" t="inlineStr">
        <is>
          <t>Average</t>
        </is>
      </c>
      <c r="S374" t="n">
        <v>21780</v>
      </c>
      <c r="T374" s="467">
        <f>S374/J374</f>
        <v/>
      </c>
      <c r="U374" t="inlineStr">
        <is>
          <t>Average</t>
        </is>
      </c>
      <c r="Y374" t="n">
        <v>160000</v>
      </c>
      <c r="AA374" t="n">
        <v>160000</v>
      </c>
      <c r="AC374" t="inlineStr">
        <is>
          <t>0157134000022</t>
        </is>
      </c>
      <c r="AD374" t="inlineStr">
        <is>
          <t>2018000011344</t>
        </is>
      </c>
      <c r="AE374" t="inlineStr">
        <is>
          <t>PAPOI HAROLD M</t>
        </is>
      </c>
      <c r="AF374" t="inlineStr">
        <is>
          <t>SHURTLEFF JOSEPH AND, SHURTLEFF MINDY</t>
        </is>
      </c>
      <c r="AI374" s="245">
        <f>AND(E374=Subj_OccCode,Subj_BldgSF&gt;0,L374&gt;=Subj_BldgSF*(1-Subj_SizeTol),L374&lt;=Subj_BldgSF*(1+Subj_SizeTol))</f>
        <v/>
      </c>
      <c r="AJ374" s="370" t="n"/>
      <c r="AK374" s="370" t="n"/>
      <c r="AL374" s="370" t="n"/>
      <c r="AM374" s="370" t="n"/>
      <c r="AN374" s="370" t="n"/>
    </row>
    <row r="375" ht="15" customHeight="1">
      <c r="A375" s="471" t="n">
        <v>8</v>
      </c>
      <c r="B375" s="245" t="n">
        <v>368</v>
      </c>
      <c r="C375" t="inlineStr">
        <is>
          <t>R0013688</t>
        </is>
      </c>
      <c r="D375" t="inlineStr">
        <is>
          <t>12345  BRIGHTON RD</t>
        </is>
      </c>
      <c r="E375" t="n">
        <v>353</v>
      </c>
      <c r="G375" t="inlineStr">
        <is>
          <t>3</t>
        </is>
      </c>
      <c r="H375" s="669">
        <f>Y375/J375</f>
        <v/>
      </c>
      <c r="I375" s="670" t="n">
        <v>44189</v>
      </c>
      <c r="J375" t="n">
        <v>3028</v>
      </c>
      <c r="L375" t="n">
        <v>3028</v>
      </c>
      <c r="M375" t="n">
        <v>1924</v>
      </c>
      <c r="P375" t="inlineStr">
        <is>
          <t>Commercial</t>
        </is>
      </c>
      <c r="R375" t="inlineStr">
        <is>
          <t>Average</t>
        </is>
      </c>
      <c r="S375" t="n">
        <v>25800</v>
      </c>
      <c r="T375" s="467">
        <f>S375/J375</f>
        <v/>
      </c>
      <c r="U375" t="inlineStr">
        <is>
          <t>Average</t>
        </is>
      </c>
      <c r="Y375" t="n">
        <v>490000</v>
      </c>
      <c r="AA375" t="n">
        <v>490000</v>
      </c>
      <c r="AC375" t="inlineStr">
        <is>
          <t>0157134001006</t>
        </is>
      </c>
      <c r="AD375" t="inlineStr">
        <is>
          <t>2020000138992</t>
        </is>
      </c>
      <c r="AE375" t="inlineStr">
        <is>
          <t>KIM SO YEON</t>
        </is>
      </c>
      <c r="AF375" t="inlineStr">
        <is>
          <t>YI YOUNG JIN AND, HARN GWI SUK</t>
        </is>
      </c>
      <c r="AI375" s="245">
        <f>AND(E375=Subj_OccCode,Subj_BldgSF&gt;0,L375&gt;=Subj_BldgSF*(1-Subj_SizeTol),L375&lt;=Subj_BldgSF*(1+Subj_SizeTol))</f>
        <v/>
      </c>
      <c r="AJ375" s="370" t="n"/>
      <c r="AK375" s="370" t="n"/>
      <c r="AL375" s="370" t="n"/>
      <c r="AM375" s="370" t="n"/>
      <c r="AN375" s="370" t="n"/>
    </row>
    <row r="376" ht="15" customHeight="1">
      <c r="A376" s="471" t="n">
        <v>8</v>
      </c>
      <c r="B376" s="245" t="n">
        <v>369</v>
      </c>
      <c r="C376" t="inlineStr">
        <is>
          <t>R0058010</t>
        </is>
      </c>
      <c r="D376" t="inlineStr">
        <is>
          <t>2025  NUEVA VISTA DR</t>
        </is>
      </c>
      <c r="E376" t="n">
        <v>434</v>
      </c>
      <c r="G376" t="inlineStr">
        <is>
          <t>4</t>
        </is>
      </c>
      <c r="H376" s="669">
        <f>Y376/J376</f>
        <v/>
      </c>
      <c r="I376" s="670" t="n">
        <v>43263</v>
      </c>
      <c r="J376" t="n">
        <v>1512</v>
      </c>
      <c r="L376" t="n">
        <v>1512</v>
      </c>
      <c r="M376" t="n">
        <v>1980</v>
      </c>
      <c r="P376" t="inlineStr">
        <is>
          <t>Commercial</t>
        </is>
      </c>
      <c r="R376" t="inlineStr">
        <is>
          <t>Average</t>
        </is>
      </c>
      <c r="S376" t="n">
        <v>16198</v>
      </c>
      <c r="T376" s="467">
        <f>S376/J376</f>
        <v/>
      </c>
      <c r="U376" t="inlineStr">
        <is>
          <t>Average</t>
        </is>
      </c>
      <c r="Y376" t="n">
        <v>280000</v>
      </c>
      <c r="AA376" t="n">
        <v>280000</v>
      </c>
      <c r="AC376" t="inlineStr">
        <is>
          <t>0171926416143</t>
        </is>
      </c>
      <c r="AD376" t="inlineStr">
        <is>
          <t>2018000048092</t>
        </is>
      </c>
      <c r="AE376" t="inlineStr">
        <is>
          <t>GENS ROBERT M</t>
        </is>
      </c>
      <c r="AF376" t="inlineStr">
        <is>
          <t>SPLASH CAR WASH LLC</t>
        </is>
      </c>
      <c r="AI376" s="245">
        <f>AND(E376=Subj_OccCode,Subj_BldgSF&gt;0,L376&gt;=Subj_BldgSF*(1-Subj_SizeTol),L376&lt;=Subj_BldgSF*(1+Subj_SizeTol))</f>
        <v/>
      </c>
      <c r="AJ376" s="370" t="n"/>
      <c r="AK376" s="370" t="n"/>
      <c r="AL376" s="370" t="n"/>
      <c r="AM376" s="370" t="n"/>
      <c r="AN376" s="370" t="n"/>
    </row>
    <row r="377" ht="15" customHeight="1">
      <c r="A377" s="471" t="n">
        <v>8</v>
      </c>
      <c r="B377" s="245" t="n">
        <v>370</v>
      </c>
      <c r="C377" t="inlineStr">
        <is>
          <t>R0092769</t>
        </is>
      </c>
      <c r="D377" t="inlineStr">
        <is>
          <t>6845 E 48TH AVE</t>
        </is>
      </c>
      <c r="E377" t="n">
        <v>334</v>
      </c>
      <c r="F377" t="inlineStr">
        <is>
          <t>COMMERCE CITY</t>
        </is>
      </c>
      <c r="G377" t="inlineStr">
        <is>
          <t>5</t>
        </is>
      </c>
      <c r="H377" s="669">
        <f>Y377/J377</f>
        <v/>
      </c>
      <c r="I377" s="670" t="n">
        <v>43830</v>
      </c>
      <c r="J377" t="n">
        <v>12368</v>
      </c>
      <c r="L377" t="n">
        <v>12368</v>
      </c>
      <c r="M377" t="n">
        <v>1972</v>
      </c>
      <c r="P377" t="inlineStr">
        <is>
          <t>I-1S</t>
        </is>
      </c>
      <c r="R377" t="inlineStr">
        <is>
          <t>Average</t>
        </is>
      </c>
      <c r="S377" t="n">
        <v>24026</v>
      </c>
      <c r="T377" s="467">
        <f>S377/J377</f>
        <v/>
      </c>
      <c r="U377" t="inlineStr">
        <is>
          <t>Average</t>
        </is>
      </c>
      <c r="Y377" t="n">
        <v>1700000</v>
      </c>
      <c r="AA377" t="n">
        <v>1700000</v>
      </c>
      <c r="AC377" t="inlineStr">
        <is>
          <t>0182317408031</t>
        </is>
      </c>
      <c r="AD377" t="inlineStr">
        <is>
          <t>2020000003548</t>
        </is>
      </c>
      <c r="AE377" t="inlineStr">
        <is>
          <t>MITECH LLC</t>
        </is>
      </c>
      <c r="AF377" t="inlineStr">
        <is>
          <t>FRC HOLDINGS LLC</t>
        </is>
      </c>
      <c r="AI377" s="245">
        <f>AND(E377=Subj_OccCode,Subj_BldgSF&gt;0,L377&gt;=Subj_BldgSF*(1-Subj_SizeTol),L377&lt;=Subj_BldgSF*(1+Subj_SizeTol))</f>
        <v/>
      </c>
      <c r="AJ377" s="370" t="n"/>
      <c r="AK377" s="370" t="n"/>
      <c r="AL377" s="370" t="n"/>
      <c r="AM377" s="370" t="n"/>
      <c r="AN377" s="370" t="n"/>
    </row>
    <row r="378" ht="15" customHeight="1">
      <c r="A378" s="471" t="n">
        <v>8</v>
      </c>
      <c r="B378" s="245" t="n">
        <v>371</v>
      </c>
      <c r="C378" t="inlineStr">
        <is>
          <t>R0069190</t>
        </is>
      </c>
      <c r="D378" t="inlineStr">
        <is>
          <t>7667  WASHINGTON ST</t>
        </is>
      </c>
      <c r="E378" t="n">
        <v>353</v>
      </c>
      <c r="G378" t="inlineStr">
        <is>
          <t>4</t>
        </is>
      </c>
      <c r="H378" s="669">
        <f>Y378/J378</f>
        <v/>
      </c>
      <c r="I378" s="670" t="n">
        <v>44098</v>
      </c>
      <c r="J378" t="n">
        <v>3440</v>
      </c>
      <c r="L378" t="n">
        <v>3440</v>
      </c>
      <c r="M378" t="n">
        <v>1964</v>
      </c>
      <c r="P378" t="inlineStr">
        <is>
          <t>Planned Unit Development</t>
        </is>
      </c>
      <c r="R378" t="inlineStr">
        <is>
          <t>Average</t>
        </is>
      </c>
      <c r="S378" t="n">
        <v>47459</v>
      </c>
      <c r="T378" s="467">
        <f>S378/J378</f>
        <v/>
      </c>
      <c r="U378" t="inlineStr">
        <is>
          <t>Average</t>
        </is>
      </c>
      <c r="Y378" t="n">
        <v>497000</v>
      </c>
      <c r="AA378" t="n">
        <v>497000</v>
      </c>
      <c r="AC378" t="inlineStr">
        <is>
          <t>0171934100009</t>
        </is>
      </c>
      <c r="AD378" t="inlineStr">
        <is>
          <t>2020000096995</t>
        </is>
      </c>
      <c r="AE378" t="inlineStr">
        <is>
          <t>ADDUCCI LISA M ET AL</t>
        </is>
      </c>
      <c r="AF378" t="inlineStr">
        <is>
          <t>7667 WASHINGTON ST LLC</t>
        </is>
      </c>
      <c r="AI378" s="245">
        <f>AND(E378=Subj_OccCode,Subj_BldgSF&gt;0,L378&gt;=Subj_BldgSF*(1-Subj_SizeTol),L378&lt;=Subj_BldgSF*(1+Subj_SizeTol))</f>
        <v/>
      </c>
      <c r="AJ378" s="370" t="n"/>
      <c r="AK378" s="370" t="n"/>
      <c r="AL378" s="370" t="n"/>
      <c r="AM378" s="370" t="n"/>
      <c r="AN378" s="370" t="n"/>
    </row>
    <row r="379" ht="15" customHeight="1">
      <c r="A379" s="471" t="n">
        <v>8</v>
      </c>
      <c r="B379" s="245" t="n">
        <v>372</v>
      </c>
      <c r="C379" t="inlineStr">
        <is>
          <t>R0068515</t>
        </is>
      </c>
      <c r="D379" t="inlineStr">
        <is>
          <t>7333  PECOS ST</t>
        </is>
      </c>
      <c r="E379" t="n">
        <v>343</v>
      </c>
      <c r="G379" t="inlineStr">
        <is>
          <t>4</t>
        </is>
      </c>
      <c r="H379" s="669">
        <f>Y379/J379</f>
        <v/>
      </c>
      <c r="I379" s="670" t="n">
        <v>44530</v>
      </c>
      <c r="J379" t="n">
        <v>14156</v>
      </c>
      <c r="L379" t="n">
        <v>14156</v>
      </c>
      <c r="M379" t="n">
        <v>1982</v>
      </c>
      <c r="P379" t="inlineStr">
        <is>
          <t>Planned Unit Development</t>
        </is>
      </c>
      <c r="R379" t="inlineStr">
        <is>
          <t>Average</t>
        </is>
      </c>
      <c r="S379" t="n">
        <v>39829</v>
      </c>
      <c r="T379" s="467">
        <f>S379/J379</f>
        <v/>
      </c>
      <c r="U379" t="inlineStr">
        <is>
          <t>Average</t>
        </is>
      </c>
      <c r="Y379" t="n">
        <v>1750000</v>
      </c>
      <c r="AA379" t="n">
        <v>1750000</v>
      </c>
      <c r="AC379" t="inlineStr">
        <is>
          <t>0171933307043</t>
        </is>
      </c>
      <c r="AD379" t="inlineStr">
        <is>
          <t>2021000142090</t>
        </is>
      </c>
      <c r="AE379" t="inlineStr">
        <is>
          <t>VENTURE HOSPITALITY INC</t>
        </is>
      </c>
      <c r="AF379" t="inlineStr">
        <is>
          <t>CO VENTURE LLC</t>
        </is>
      </c>
      <c r="AI379" s="245">
        <f>AND(E379=Subj_OccCode,Subj_BldgSF&gt;0,L379&gt;=Subj_BldgSF*(1-Subj_SizeTol),L379&lt;=Subj_BldgSF*(1+Subj_SizeTol))</f>
        <v/>
      </c>
      <c r="AJ379" s="370" t="n"/>
      <c r="AK379" s="370" t="n"/>
      <c r="AL379" s="370" t="n"/>
      <c r="AM379" s="370" t="n"/>
      <c r="AN379" s="370" t="n"/>
    </row>
    <row r="380" ht="15" customHeight="1">
      <c r="A380" s="471" t="n">
        <v>8</v>
      </c>
      <c r="B380" s="245" t="n">
        <v>373</v>
      </c>
      <c r="C380" t="inlineStr">
        <is>
          <t>R0084319</t>
        </is>
      </c>
      <c r="D380" t="inlineStr">
        <is>
          <t>13858 E SMITH DR #E</t>
        </is>
      </c>
      <c r="E380" t="n">
        <v>425</v>
      </c>
      <c r="F380" t="inlineStr">
        <is>
          <t>AURORA</t>
        </is>
      </c>
      <c r="G380" t="inlineStr">
        <is>
          <t>6</t>
        </is>
      </c>
      <c r="H380" s="669">
        <f>Y380/J380</f>
        <v/>
      </c>
      <c r="I380" s="670" t="n">
        <v>43588</v>
      </c>
      <c r="J380" t="n">
        <v>1500</v>
      </c>
      <c r="L380" t="n">
        <v>1500</v>
      </c>
      <c r="M380" t="n">
        <v>1982</v>
      </c>
      <c r="P380" t="inlineStr">
        <is>
          <t>Aurora</t>
        </is>
      </c>
      <c r="R380" t="inlineStr">
        <is>
          <t>Average</t>
        </is>
      </c>
      <c r="S380" t="n">
        <v>4608</v>
      </c>
      <c r="T380" s="467">
        <f>S380/J380</f>
        <v/>
      </c>
      <c r="U380" t="inlineStr">
        <is>
          <t>Average</t>
        </is>
      </c>
      <c r="Y380" t="n">
        <v>181000</v>
      </c>
      <c r="AA380" t="n">
        <v>181000</v>
      </c>
      <c r="AC380" t="inlineStr">
        <is>
          <t>0182130013019</t>
        </is>
      </c>
      <c r="AD380" t="inlineStr">
        <is>
          <t>2019000033209</t>
        </is>
      </c>
      <c r="AE380" t="inlineStr">
        <is>
          <t>SONNENFELD QUENTON D AND, SONNENFELD SHARON A</t>
        </is>
      </c>
      <c r="AF380" t="inlineStr">
        <is>
          <t>ASR LLC</t>
        </is>
      </c>
      <c r="AI380" s="245">
        <f>AND(E380=Subj_OccCode,Subj_BldgSF&gt;0,L380&gt;=Subj_BldgSF*(1-Subj_SizeTol),L380&lt;=Subj_BldgSF*(1+Subj_SizeTol))</f>
        <v/>
      </c>
      <c r="AJ380" s="370" t="n"/>
      <c r="AK380" s="370" t="n"/>
      <c r="AL380" s="370" t="n"/>
      <c r="AM380" s="370" t="n"/>
      <c r="AN380" s="370" t="n"/>
    </row>
    <row r="381" ht="15" customHeight="1">
      <c r="A381" s="471" t="n">
        <v>8</v>
      </c>
      <c r="B381" s="245" t="n">
        <v>374</v>
      </c>
      <c r="C381" t="inlineStr">
        <is>
          <t>R0081885</t>
        </is>
      </c>
      <c r="D381" t="inlineStr">
        <is>
          <t>56481 E COLFAX AVE</t>
        </is>
      </c>
      <c r="E381" t="n">
        <v>344</v>
      </c>
      <c r="F381" t="inlineStr">
        <is>
          <t>STRASBURG</t>
        </is>
      </c>
      <c r="G381" t="inlineStr">
        <is>
          <t>1</t>
        </is>
      </c>
      <c r="H381" s="669">
        <f>Y381/J381</f>
        <v/>
      </c>
      <c r="I381" s="670" t="n">
        <v>43208</v>
      </c>
      <c r="J381" t="n">
        <v>1296</v>
      </c>
      <c r="L381" t="n">
        <v>1296</v>
      </c>
      <c r="M381" t="n">
        <v>1949</v>
      </c>
      <c r="P381" t="inlineStr">
        <is>
          <t>Commercial</t>
        </is>
      </c>
      <c r="R381" t="inlineStr">
        <is>
          <t>Average</t>
        </is>
      </c>
      <c r="S381" t="n">
        <v>6525</v>
      </c>
      <c r="T381" s="467">
        <f>S381/J381</f>
        <v/>
      </c>
      <c r="U381" t="inlineStr">
        <is>
          <t>Average</t>
        </is>
      </c>
      <c r="Y381" t="n">
        <v>210000</v>
      </c>
      <c r="AA381" t="n">
        <v>210000</v>
      </c>
      <c r="AC381" t="inlineStr">
        <is>
          <t>0181333411010</t>
        </is>
      </c>
      <c r="AD381" t="inlineStr">
        <is>
          <t>2018000032427</t>
        </is>
      </c>
      <c r="AE381" t="inlineStr">
        <is>
          <t>BATES FAMILY  TRUST</t>
        </is>
      </c>
      <c r="AF381" t="inlineStr">
        <is>
          <t>AMERICAN ENTERPRISES  LTD</t>
        </is>
      </c>
      <c r="AI381" s="245">
        <f>AND(E381=Subj_OccCode,Subj_BldgSF&gt;0,L381&gt;=Subj_BldgSF*(1-Subj_SizeTol),L381&lt;=Subj_BldgSF*(1+Subj_SizeTol))</f>
        <v/>
      </c>
      <c r="AJ381" s="370" t="n"/>
      <c r="AK381" s="370" t="n"/>
      <c r="AL381" s="370" t="n"/>
      <c r="AM381" s="370" t="n"/>
      <c r="AN381" s="370" t="n"/>
    </row>
    <row r="382" ht="15" customHeight="1">
      <c r="A382" s="471" t="n">
        <v>8</v>
      </c>
      <c r="B382" s="245" t="n">
        <v>375</v>
      </c>
      <c r="C382" t="inlineStr">
        <is>
          <t>R0067174</t>
        </is>
      </c>
      <c r="D382" t="inlineStr">
        <is>
          <t>2735 W 72ND AVE</t>
        </is>
      </c>
      <c r="E382" t="n">
        <v>353</v>
      </c>
      <c r="F382" t="inlineStr">
        <is>
          <t>WESTMINSTER</t>
        </is>
      </c>
      <c r="G382" t="inlineStr">
        <is>
          <t>4</t>
        </is>
      </c>
      <c r="H382" s="669">
        <f>Y382/J382</f>
        <v/>
      </c>
      <c r="I382" s="670" t="n">
        <v>43601</v>
      </c>
      <c r="J382" t="n">
        <v>2563</v>
      </c>
      <c r="L382" t="n">
        <v>2563</v>
      </c>
      <c r="M382" t="n">
        <v>1962</v>
      </c>
      <c r="R382" t="inlineStr">
        <is>
          <t>Average</t>
        </is>
      </c>
      <c r="S382" t="n">
        <v>15600</v>
      </c>
      <c r="T382" s="467">
        <f>S382/J382</f>
        <v/>
      </c>
      <c r="U382" t="inlineStr">
        <is>
          <t>Average</t>
        </is>
      </c>
      <c r="Y382" t="n">
        <v>607000</v>
      </c>
      <c r="AA382" t="n">
        <v>607000</v>
      </c>
      <c r="AC382" t="inlineStr">
        <is>
          <t>0171932417050</t>
        </is>
      </c>
      <c r="AD382" t="inlineStr">
        <is>
          <t>2019000038513</t>
        </is>
      </c>
      <c r="AE382" t="inlineStr">
        <is>
          <t>REGASSA TEFERA AND, HAILE ABAYNESH</t>
        </is>
      </c>
      <c r="AF382" t="inlineStr">
        <is>
          <t>HAGOS BARAKI G AND, GAZE RAHWA MEHRETEAB</t>
        </is>
      </c>
      <c r="AI382" s="245">
        <f>AND(E382=Subj_OccCode,Subj_BldgSF&gt;0,L382&gt;=Subj_BldgSF*(1-Subj_SizeTol),L382&lt;=Subj_BldgSF*(1+Subj_SizeTol))</f>
        <v/>
      </c>
      <c r="AJ382" s="370" t="n"/>
      <c r="AK382" s="370" t="n"/>
      <c r="AL382" s="370" t="n"/>
      <c r="AM382" s="370" t="n"/>
      <c r="AN382" s="370" t="n"/>
    </row>
    <row r="383" ht="15" customHeight="1">
      <c r="A383" s="471" t="n">
        <v>8</v>
      </c>
      <c r="B383" s="245" t="n">
        <v>376</v>
      </c>
      <c r="C383" t="inlineStr">
        <is>
          <t>R0129953</t>
        </is>
      </c>
      <c r="D383" t="inlineStr">
        <is>
          <t>1865 W 121ST AVE</t>
        </is>
      </c>
      <c r="E383" t="n">
        <v>534</v>
      </c>
      <c r="F383" t="inlineStr">
        <is>
          <t>WESTMINSTER</t>
        </is>
      </c>
      <c r="G383" t="inlineStr">
        <is>
          <t>3</t>
        </is>
      </c>
      <c r="H383" s="669">
        <f>Y383/J383</f>
        <v/>
      </c>
      <c r="I383" s="670" t="n">
        <v>43251</v>
      </c>
      <c r="J383" t="n">
        <v>125320</v>
      </c>
      <c r="L383" t="n">
        <v>125320</v>
      </c>
      <c r="M383" t="n">
        <v>2001</v>
      </c>
      <c r="R383" t="inlineStr">
        <is>
          <t>Good</t>
        </is>
      </c>
      <c r="S383" t="n">
        <v>553942</v>
      </c>
      <c r="T383" s="467">
        <f>S383/J383</f>
        <v/>
      </c>
      <c r="U383" t="inlineStr">
        <is>
          <t>Good</t>
        </is>
      </c>
      <c r="Y383" t="n">
        <v>17100000</v>
      </c>
      <c r="AA383" t="n">
        <v>17100000</v>
      </c>
      <c r="AC383" t="inlineStr">
        <is>
          <t>0157333302003</t>
        </is>
      </c>
      <c r="AD383" t="inlineStr">
        <is>
          <t>2018000044310</t>
        </is>
      </c>
      <c r="AE383" t="inlineStr">
        <is>
          <t>NORTHRIDGE EQUITIES LLC</t>
        </is>
      </c>
      <c r="AF383" t="inlineStr">
        <is>
          <t>NORTHRIDGE PROPERTY OWNER LLC UND 64.29% INT AND , WESTMINSTER 121 LLC UN et al.</t>
        </is>
      </c>
      <c r="AI383" s="245">
        <f>AND(E383=Subj_OccCode,Subj_BldgSF&gt;0,L383&gt;=Subj_BldgSF*(1-Subj_SizeTol),L383&lt;=Subj_BldgSF*(1+Subj_SizeTol))</f>
        <v/>
      </c>
      <c r="AJ383" s="370" t="n"/>
      <c r="AK383" s="370" t="n"/>
      <c r="AL383" s="370" t="n"/>
      <c r="AM383" s="370" t="n"/>
      <c r="AN383" s="370" t="n"/>
    </row>
    <row r="384" ht="15" customHeight="1">
      <c r="A384" s="471" t="n">
        <v>8</v>
      </c>
      <c r="B384" s="245" t="n">
        <v>377</v>
      </c>
      <c r="C384" t="inlineStr">
        <is>
          <t>R0037103</t>
        </is>
      </c>
      <c r="D384" t="inlineStr">
        <is>
          <t>11178  HURON ST</t>
        </is>
      </c>
      <c r="E384" t="n">
        <v>1344</v>
      </c>
      <c r="F384" t="inlineStr">
        <is>
          <t>NORTHGLENN</t>
        </is>
      </c>
      <c r="G384" t="inlineStr">
        <is>
          <t>4</t>
        </is>
      </c>
      <c r="H384" s="669">
        <f>Y384/J384</f>
        <v/>
      </c>
      <c r="I384" s="670" t="n">
        <v>44614</v>
      </c>
      <c r="J384" t="n">
        <v>2216</v>
      </c>
      <c r="L384" t="n">
        <v>2216</v>
      </c>
      <c r="M384" t="n">
        <v>1984</v>
      </c>
      <c r="P384" t="inlineStr">
        <is>
          <t>C-3-Nor</t>
        </is>
      </c>
      <c r="R384" t="inlineStr">
        <is>
          <t>Average</t>
        </is>
      </c>
      <c r="S384" t="n">
        <v>1108</v>
      </c>
      <c r="T384" s="467">
        <f>S384/J384</f>
        <v/>
      </c>
      <c r="U384" t="inlineStr">
        <is>
          <t>Average</t>
        </is>
      </c>
      <c r="Y384" t="n">
        <v>285000</v>
      </c>
      <c r="AA384" t="n">
        <v>285000</v>
      </c>
      <c r="AC384" t="inlineStr">
        <is>
          <t>0171910217003</t>
        </is>
      </c>
      <c r="AD384" t="inlineStr">
        <is>
          <t>2022000016996</t>
        </is>
      </c>
      <c r="AE384" t="inlineStr">
        <is>
          <t>HIGHVIEW REALESTATE HOLDINGS LLC</t>
        </is>
      </c>
      <c r="AF384" t="inlineStr">
        <is>
          <t>11178 HURON ST LLC</t>
        </is>
      </c>
      <c r="AI384" s="245">
        <f>AND(E384=Subj_OccCode,Subj_BldgSF&gt;0,L384&gt;=Subj_BldgSF*(1-Subj_SizeTol),L384&lt;=Subj_BldgSF*(1+Subj_SizeTol))</f>
        <v/>
      </c>
      <c r="AJ384" s="370" t="n"/>
      <c r="AK384" s="370" t="n"/>
      <c r="AL384" s="370" t="n"/>
      <c r="AM384" s="370" t="n"/>
      <c r="AN384" s="370" t="n"/>
    </row>
    <row r="385" ht="15" customHeight="1">
      <c r="A385" s="471" t="n">
        <v>8</v>
      </c>
      <c r="B385" s="245" t="n">
        <v>378</v>
      </c>
      <c r="C385" t="inlineStr">
        <is>
          <t>R0114828</t>
        </is>
      </c>
      <c r="D385" t="inlineStr">
        <is>
          <t>8700  GRANT ST</t>
        </is>
      </c>
      <c r="E385" t="n">
        <v>344</v>
      </c>
      <c r="F385" t="inlineStr">
        <is>
          <t>THORNTON</t>
        </is>
      </c>
      <c r="G385" t="inlineStr">
        <is>
          <t>2</t>
        </is>
      </c>
      <c r="H385" s="669">
        <f>Y385/J385</f>
        <v/>
      </c>
      <c r="I385" s="670" t="n">
        <v>43374</v>
      </c>
      <c r="J385" t="n">
        <v>20636</v>
      </c>
      <c r="L385" t="n">
        <v>20636</v>
      </c>
      <c r="M385" t="n">
        <v>1985</v>
      </c>
      <c r="P385" t="inlineStr">
        <is>
          <t>Thornton</t>
        </is>
      </c>
      <c r="R385" t="inlineStr">
        <is>
          <t>Average</t>
        </is>
      </c>
      <c r="S385" t="n">
        <v>54189</v>
      </c>
      <c r="T385" s="467">
        <f>S385/J385</f>
        <v/>
      </c>
      <c r="U385" t="inlineStr">
        <is>
          <t>Average</t>
        </is>
      </c>
      <c r="Y385" t="n">
        <v>2375000</v>
      </c>
      <c r="AA385" t="n">
        <v>2375000</v>
      </c>
      <c r="AC385" t="inlineStr">
        <is>
          <t>0171927114006</t>
        </is>
      </c>
      <c r="AD385" t="inlineStr">
        <is>
          <t>2018000080040</t>
        </is>
      </c>
      <c r="AE385" t="inlineStr">
        <is>
          <t xml:space="preserve">120 HOLMAN LLC, C/O TRUSTED ACCOUNTING </t>
        </is>
      </c>
      <c r="AF385" t="inlineStr">
        <is>
          <t>MLS PROPERTIES LLC</t>
        </is>
      </c>
      <c r="AI385" s="245">
        <f>AND(E385=Subj_OccCode,Subj_BldgSF&gt;0,L385&gt;=Subj_BldgSF*(1-Subj_SizeTol),L385&lt;=Subj_BldgSF*(1+Subj_SizeTol))</f>
        <v/>
      </c>
      <c r="AJ385" s="370" t="n"/>
      <c r="AK385" s="370" t="n"/>
      <c r="AL385" s="370" t="n"/>
      <c r="AM385" s="370" t="n"/>
      <c r="AN385" s="370" t="n"/>
    </row>
    <row r="386" ht="15" customHeight="1">
      <c r="A386" s="471" t="n">
        <v>8</v>
      </c>
      <c r="B386" s="245" t="n">
        <v>379</v>
      </c>
      <c r="C386" t="inlineStr">
        <is>
          <t>R0150307</t>
        </is>
      </c>
      <c r="D386" t="inlineStr">
        <is>
          <t>7140  IVY ST</t>
        </is>
      </c>
      <c r="E386" t="n">
        <v>425</v>
      </c>
      <c r="F386" t="inlineStr">
        <is>
          <t>COMMERCE CITY</t>
        </is>
      </c>
      <c r="G386" t="inlineStr">
        <is>
          <t>5</t>
        </is>
      </c>
      <c r="H386" s="669">
        <f>Y386/J386</f>
        <v/>
      </c>
      <c r="I386" s="670" t="n">
        <v>43395</v>
      </c>
      <c r="J386" t="n">
        <v>9000</v>
      </c>
      <c r="L386" t="n">
        <v>9000</v>
      </c>
      <c r="M386" t="n">
        <v>2002</v>
      </c>
      <c r="R386" t="inlineStr">
        <is>
          <t>Average</t>
        </is>
      </c>
      <c r="S386" t="n">
        <v>6448</v>
      </c>
      <c r="T386" s="467">
        <f>S386/J386</f>
        <v/>
      </c>
      <c r="U386" t="inlineStr">
        <is>
          <t>Average</t>
        </is>
      </c>
      <c r="Y386" t="n">
        <v>233500</v>
      </c>
      <c r="AA386" t="n">
        <v>233500</v>
      </c>
      <c r="AC386" t="inlineStr">
        <is>
          <t>0182305221048</t>
        </is>
      </c>
      <c r="AD386" t="inlineStr">
        <is>
          <t>2018000085734</t>
        </is>
      </c>
      <c r="AE386" t="inlineStr">
        <is>
          <t>GLOBAL IMAGES ENTERPRISES LLC, C/O ERIC SURRATT</t>
        </is>
      </c>
      <c r="AF386" t="inlineStr">
        <is>
          <t>MCE PROPERTY I GROUP LLC</t>
        </is>
      </c>
      <c r="AI386" s="245">
        <f>AND(E386=Subj_OccCode,Subj_BldgSF&gt;0,L386&gt;=Subj_BldgSF*(1-Subj_SizeTol),L386&lt;=Subj_BldgSF*(1+Subj_SizeTol))</f>
        <v/>
      </c>
      <c r="AJ386" s="370" t="n"/>
      <c r="AK386" s="370" t="n"/>
      <c r="AL386" s="370" t="n"/>
      <c r="AM386" s="370" t="n"/>
      <c r="AN386" s="370" t="n"/>
    </row>
    <row r="387" ht="15" customHeight="1">
      <c r="A387" s="471" t="n">
        <v>8</v>
      </c>
      <c r="B387" s="245" t="n">
        <v>380</v>
      </c>
      <c r="C387" t="inlineStr">
        <is>
          <t>R0077400</t>
        </is>
      </c>
      <c r="D387" t="inlineStr">
        <is>
          <t>8401 BRIGHTON RD</t>
        </is>
      </c>
      <c r="E387" t="n">
        <v>325</v>
      </c>
      <c r="G387" t="inlineStr">
        <is>
          <t>5</t>
        </is>
      </c>
      <c r="H387" s="669">
        <f>Y387/J387</f>
        <v/>
      </c>
      <c r="I387" s="670" t="n">
        <v>44386</v>
      </c>
      <c r="J387" t="n">
        <v>2400</v>
      </c>
      <c r="L387" t="n">
        <v>2400</v>
      </c>
      <c r="M387" t="n">
        <v>1936</v>
      </c>
      <c r="P387" t="inlineStr">
        <is>
          <t>Industrial</t>
        </is>
      </c>
      <c r="R387" t="inlineStr">
        <is>
          <t>Low</t>
        </is>
      </c>
      <c r="S387" t="n">
        <v>9580</v>
      </c>
      <c r="T387" s="467">
        <f>S387/J387</f>
        <v/>
      </c>
      <c r="U387" t="inlineStr">
        <is>
          <t>Average</t>
        </is>
      </c>
      <c r="Y387" t="n">
        <v>615000</v>
      </c>
      <c r="AA387" t="n">
        <v>615000</v>
      </c>
      <c r="AC387" t="inlineStr">
        <is>
          <t>0172129200034</t>
        </is>
      </c>
      <c r="AD387" t="inlineStr">
        <is>
          <t>2021000082867</t>
        </is>
      </c>
      <c r="AE387" t="inlineStr">
        <is>
          <t>DELUXE CUSTOM WOOD FINISH CORP</t>
        </is>
      </c>
      <c r="AF387" t="inlineStr">
        <is>
          <t>EUCLID ELEMENTS LLC</t>
        </is>
      </c>
      <c r="AI387" s="245">
        <f>AND(E387=Subj_OccCode,Subj_BldgSF&gt;0,L387&gt;=Subj_BldgSF*(1-Subj_SizeTol),L387&lt;=Subj_BldgSF*(1+Subj_SizeTol))</f>
        <v/>
      </c>
      <c r="AJ387" s="370" t="n"/>
      <c r="AK387" s="370" t="n"/>
      <c r="AL387" s="370" t="n"/>
      <c r="AM387" s="370" t="n"/>
      <c r="AN387" s="370" t="n"/>
    </row>
    <row r="388" ht="15" customHeight="1">
      <c r="A388" s="471" t="n">
        <v>8</v>
      </c>
      <c r="B388" s="245" t="n">
        <v>381</v>
      </c>
      <c r="C388" t="inlineStr">
        <is>
          <t>R0112038</t>
        </is>
      </c>
      <c r="D388" t="inlineStr">
        <is>
          <t>5790  DAHLIA ST</t>
        </is>
      </c>
      <c r="E388" t="n">
        <v>406</v>
      </c>
      <c r="F388" t="inlineStr">
        <is>
          <t>COMMERCE CITY</t>
        </is>
      </c>
      <c r="G388" t="inlineStr">
        <is>
          <t>5</t>
        </is>
      </c>
      <c r="H388" s="669">
        <f>Y388/J388</f>
        <v/>
      </c>
      <c r="I388" s="670" t="n">
        <v>44722</v>
      </c>
      <c r="J388" t="n">
        <v>7000</v>
      </c>
      <c r="L388" t="n">
        <v>7000</v>
      </c>
      <c r="M388" t="n">
        <v>1966</v>
      </c>
      <c r="P388" t="inlineStr">
        <is>
          <t>I-2-Com</t>
        </is>
      </c>
      <c r="R388" t="inlineStr">
        <is>
          <t>Average</t>
        </is>
      </c>
      <c r="S388" t="n">
        <v>91829</v>
      </c>
      <c r="T388" s="467">
        <f>S388/J388</f>
        <v/>
      </c>
      <c r="U388" t="inlineStr">
        <is>
          <t>Average</t>
        </is>
      </c>
      <c r="Y388" t="n">
        <v>2100000</v>
      </c>
      <c r="AA388" t="n">
        <v>2100000</v>
      </c>
      <c r="AC388" t="inlineStr">
        <is>
          <t>0182307406001</t>
        </is>
      </c>
      <c r="AD388" t="inlineStr">
        <is>
          <t>2022000051703</t>
        </is>
      </c>
      <c r="AE388" t="inlineStr">
        <is>
          <t>5790 DAHLIA INVESTMENT LLC</t>
        </is>
      </c>
      <c r="AF388" t="inlineStr">
        <is>
          <t>DISCO CAPITAL LLC</t>
        </is>
      </c>
      <c r="AI388" s="245">
        <f>AND(E388=Subj_OccCode,Subj_BldgSF&gt;0,L388&gt;=Subj_BldgSF*(1-Subj_SizeTol),L388&lt;=Subj_BldgSF*(1+Subj_SizeTol))</f>
        <v/>
      </c>
      <c r="AJ388" s="370" t="n"/>
      <c r="AK388" s="370" t="n"/>
      <c r="AL388" s="370" t="n"/>
      <c r="AM388" s="370" t="n"/>
      <c r="AN388" s="370" t="n"/>
    </row>
    <row r="389" ht="15" customHeight="1">
      <c r="A389" s="471" t="n">
        <v>8</v>
      </c>
      <c r="B389" s="245" t="n">
        <v>382</v>
      </c>
      <c r="C389" t="inlineStr">
        <is>
          <t>R0061304</t>
        </is>
      </c>
      <c r="D389" t="inlineStr">
        <is>
          <t>2955 W 80TH AVE</t>
        </is>
      </c>
      <c r="E389" t="n">
        <v>353</v>
      </c>
      <c r="F389" t="inlineStr">
        <is>
          <t>WESTMINSTER</t>
        </is>
      </c>
      <c r="G389" t="inlineStr">
        <is>
          <t>4</t>
        </is>
      </c>
      <c r="H389" s="669">
        <f>Y389/J389</f>
        <v/>
      </c>
      <c r="I389" s="670" t="n">
        <v>44124</v>
      </c>
      <c r="J389" t="n">
        <v>3895</v>
      </c>
      <c r="L389" t="n">
        <v>3895</v>
      </c>
      <c r="M389" t="n">
        <v>1965</v>
      </c>
      <c r="P389" t="inlineStr">
        <is>
          <t>B-1-Wes</t>
        </is>
      </c>
      <c r="R389" t="inlineStr">
        <is>
          <t>Average</t>
        </is>
      </c>
      <c r="S389" t="n">
        <v>12500</v>
      </c>
      <c r="T389" s="467">
        <f>S389/J389</f>
        <v/>
      </c>
      <c r="U389" t="inlineStr">
        <is>
          <t>Average</t>
        </is>
      </c>
      <c r="Y389" t="n">
        <v>742500</v>
      </c>
      <c r="AA389" t="n">
        <v>742500</v>
      </c>
      <c r="AC389" t="inlineStr">
        <is>
          <t>0171929404007</t>
        </is>
      </c>
      <c r="AD389" t="inlineStr">
        <is>
          <t>2020000107033</t>
        </is>
      </c>
      <c r="AE389" t="inlineStr">
        <is>
          <t>SPEEDMAN PROPERTIES LLC</t>
        </is>
      </c>
      <c r="AF389" t="inlineStr">
        <is>
          <t>COLORADO KARETE CLUB</t>
        </is>
      </c>
      <c r="AI389" s="245">
        <f>AND(E389=Subj_OccCode,Subj_BldgSF&gt;0,L389&gt;=Subj_BldgSF*(1-Subj_SizeTol),L389&lt;=Subj_BldgSF*(1+Subj_SizeTol))</f>
        <v/>
      </c>
      <c r="AJ389" s="370" t="n"/>
      <c r="AK389" s="370" t="n"/>
      <c r="AL389" s="370" t="n"/>
      <c r="AM389" s="370" t="n"/>
      <c r="AN389" s="370" t="n"/>
    </row>
    <row r="390" ht="15" customHeight="1">
      <c r="A390" s="471" t="n">
        <v>8</v>
      </c>
      <c r="B390" s="245" t="n">
        <v>383</v>
      </c>
      <c r="C390" t="inlineStr">
        <is>
          <t>R0103576</t>
        </is>
      </c>
      <c r="D390" t="inlineStr">
        <is>
          <t>5641  WASHINGTON ST</t>
        </is>
      </c>
      <c r="E390" t="n">
        <v>334</v>
      </c>
      <c r="G390" t="inlineStr">
        <is>
          <t>5</t>
        </is>
      </c>
      <c r="H390" s="669">
        <f>Y390/J390</f>
        <v/>
      </c>
      <c r="I390" s="670" t="n">
        <v>44405</v>
      </c>
      <c r="J390" t="n">
        <v>20285</v>
      </c>
      <c r="L390" t="n">
        <v>20285</v>
      </c>
      <c r="M390" t="n">
        <v>1968</v>
      </c>
      <c r="P390" t="inlineStr">
        <is>
          <t>Industrial</t>
        </is>
      </c>
      <c r="R390" t="inlineStr">
        <is>
          <t>Average</t>
        </is>
      </c>
      <c r="S390" t="n">
        <v>62664</v>
      </c>
      <c r="T390" s="467">
        <f>S390/J390</f>
        <v/>
      </c>
      <c r="U390" t="inlineStr">
        <is>
          <t>Average</t>
        </is>
      </c>
      <c r="Y390" t="n">
        <v>3500000</v>
      </c>
      <c r="AA390" t="n">
        <v>3500000</v>
      </c>
      <c r="AC390" t="inlineStr">
        <is>
          <t>0182510407021</t>
        </is>
      </c>
      <c r="AD390" t="inlineStr">
        <is>
          <t>2021000090746</t>
        </is>
      </c>
      <c r="AE390" t="inlineStr">
        <is>
          <t>BNC SERVICES LLC</t>
        </is>
      </c>
      <c r="AF390" t="inlineStr">
        <is>
          <t>5641 N WASHINGTON LLC</t>
        </is>
      </c>
      <c r="AI390" s="245">
        <f>AND(E390=Subj_OccCode,Subj_BldgSF&gt;0,L390&gt;=Subj_BldgSF*(1-Subj_SizeTol),L390&lt;=Subj_BldgSF*(1+Subj_SizeTol))</f>
        <v/>
      </c>
      <c r="AJ390" s="370" t="n"/>
      <c r="AK390" s="370" t="n"/>
      <c r="AL390" s="370" t="n"/>
      <c r="AM390" s="370" t="n"/>
      <c r="AN390" s="370" t="n"/>
    </row>
    <row r="391" ht="15" customHeight="1">
      <c r="A391" s="471" t="n">
        <v>8</v>
      </c>
      <c r="B391" s="245" t="n">
        <v>384</v>
      </c>
      <c r="C391" t="inlineStr">
        <is>
          <t>R0091001</t>
        </is>
      </c>
      <c r="D391" t="inlineStr">
        <is>
          <t>5750  FAIRFAX ST</t>
        </is>
      </c>
      <c r="E391" t="n">
        <v>325</v>
      </c>
      <c r="F391" t="inlineStr">
        <is>
          <t>COMMERCE CITY</t>
        </is>
      </c>
      <c r="G391" t="inlineStr">
        <is>
          <t>5</t>
        </is>
      </c>
      <c r="H391" s="669">
        <f>Y391/J391</f>
        <v/>
      </c>
      <c r="I391" s="670" t="n">
        <v>43971</v>
      </c>
      <c r="J391" t="n">
        <v>16320</v>
      </c>
      <c r="L391" t="n">
        <v>16320</v>
      </c>
      <c r="M391" t="n">
        <v>1966</v>
      </c>
      <c r="P391" t="inlineStr">
        <is>
          <t>I-2-Com</t>
        </is>
      </c>
      <c r="R391" t="inlineStr">
        <is>
          <t>Average</t>
        </is>
      </c>
      <c r="S391" t="n">
        <v>80586</v>
      </c>
      <c r="T391" s="467">
        <f>S391/J391</f>
        <v/>
      </c>
      <c r="U391" t="inlineStr">
        <is>
          <t>Average</t>
        </is>
      </c>
      <c r="Y391" t="n">
        <v>2500000</v>
      </c>
      <c r="AA391" t="n">
        <v>2500000</v>
      </c>
      <c r="AC391" t="inlineStr">
        <is>
          <t>0182307400028</t>
        </is>
      </c>
      <c r="AD391" t="inlineStr">
        <is>
          <t>2020000046324</t>
        </is>
      </c>
      <c r="AE391" t="inlineStr">
        <is>
          <t>J L FAIRFAX LLC</t>
        </is>
      </c>
      <c r="AF391" t="inlineStr">
        <is>
          <t>GTCLS 5701 COLFAX RD LLC</t>
        </is>
      </c>
      <c r="AI391" s="245">
        <f>AND(E391=Subj_OccCode,Subj_BldgSF&gt;0,L391&gt;=Subj_BldgSF*(1-Subj_SizeTol),L391&lt;=Subj_BldgSF*(1+Subj_SizeTol))</f>
        <v/>
      </c>
      <c r="AJ391" s="370" t="n"/>
      <c r="AK391" s="370" t="n"/>
      <c r="AL391" s="370" t="n"/>
      <c r="AM391" s="370" t="n"/>
      <c r="AN391" s="370" t="n"/>
    </row>
    <row r="392" ht="15" customHeight="1">
      <c r="A392" s="471" t="n">
        <v>8</v>
      </c>
      <c r="B392" s="245" t="n">
        <v>385</v>
      </c>
      <c r="C392" t="inlineStr">
        <is>
          <t>R0185551</t>
        </is>
      </c>
      <c r="D392" t="inlineStr">
        <is>
          <t>18351 E COLFAX AVE</t>
        </is>
      </c>
      <c r="E392" t="n">
        <v>419</v>
      </c>
      <c r="F392" t="inlineStr">
        <is>
          <t>AURORA</t>
        </is>
      </c>
      <c r="G392" t="inlineStr">
        <is>
          <t>6</t>
        </is>
      </c>
      <c r="H392" s="669">
        <f>Y392/J392</f>
        <v/>
      </c>
      <c r="I392" s="670" t="n">
        <v>44466</v>
      </c>
      <c r="J392" t="n">
        <v>3010</v>
      </c>
      <c r="L392" t="n">
        <v>3010</v>
      </c>
      <c r="M392" t="n">
        <v>2014</v>
      </c>
      <c r="P392" t="inlineStr">
        <is>
          <t>B-3-Aur</t>
        </is>
      </c>
      <c r="R392" t="inlineStr">
        <is>
          <t>Average</t>
        </is>
      </c>
      <c r="S392" t="n">
        <v>43243</v>
      </c>
      <c r="T392" s="467">
        <f>S392/J392</f>
        <v/>
      </c>
      <c r="U392" t="inlineStr">
        <is>
          <t>Average</t>
        </is>
      </c>
      <c r="Y392" t="n">
        <v>3102700</v>
      </c>
      <c r="AA392" t="n">
        <v>3102700</v>
      </c>
      <c r="AC392" t="inlineStr">
        <is>
          <t>0182133401001</t>
        </is>
      </c>
      <c r="AD392" t="inlineStr">
        <is>
          <t>2021000116162</t>
        </is>
      </c>
      <c r="AE392" t="inlineStr">
        <is>
          <t>SEMANTIC REALTY LLC, C/O 7 ELEVEN INC ATTN TAX DEPT 37033</t>
        </is>
      </c>
      <c r="AF392" t="inlineStr">
        <is>
          <t>US-STABLE-P1 18351 EAST , COLFAX AVENUE AURORA LLC</t>
        </is>
      </c>
      <c r="AI392" s="245">
        <f>AND(E392=Subj_OccCode,Subj_BldgSF&gt;0,L392&gt;=Subj_BldgSF*(1-Subj_SizeTol),L392&lt;=Subj_BldgSF*(1+Subj_SizeTol))</f>
        <v/>
      </c>
      <c r="AJ392" s="370" t="n"/>
      <c r="AK392" s="370" t="n"/>
      <c r="AL392" s="370" t="n"/>
      <c r="AM392" s="370" t="n"/>
      <c r="AN392" s="370" t="n"/>
    </row>
    <row r="393" ht="15" customHeight="1">
      <c r="A393" s="471" t="n">
        <v>8</v>
      </c>
      <c r="B393" s="245" t="n">
        <v>386</v>
      </c>
      <c r="C393" t="inlineStr">
        <is>
          <t>R0117237</t>
        </is>
      </c>
      <c r="D393" t="inlineStr">
        <is>
          <t>1830 W 64TH LN</t>
        </is>
      </c>
      <c r="E393" t="n">
        <v>406</v>
      </c>
      <c r="G393" t="inlineStr">
        <is>
          <t>5</t>
        </is>
      </c>
      <c r="H393" s="669">
        <f>Y393/J393</f>
        <v/>
      </c>
      <c r="I393" s="670" t="n">
        <v>44362</v>
      </c>
      <c r="J393" t="n">
        <v>7500</v>
      </c>
      <c r="L393" t="n">
        <v>7500</v>
      </c>
      <c r="M393" t="n">
        <v>2000</v>
      </c>
      <c r="P393" t="inlineStr">
        <is>
          <t>Industrial</t>
        </is>
      </c>
      <c r="R393" t="inlineStr">
        <is>
          <t>Average</t>
        </is>
      </c>
      <c r="S393" t="n">
        <v>47044.8</v>
      </c>
      <c r="T393" s="467">
        <f>S393/J393</f>
        <v/>
      </c>
      <c r="U393" t="inlineStr">
        <is>
          <t>Average</t>
        </is>
      </c>
      <c r="Y393" t="n">
        <v>1600000</v>
      </c>
      <c r="AA393" t="n">
        <v>1600000</v>
      </c>
      <c r="AC393" t="inlineStr">
        <is>
          <t>0182504302010</t>
        </is>
      </c>
      <c r="AD393" t="inlineStr">
        <is>
          <t>2021000076597</t>
        </is>
      </c>
      <c r="AE393" t="inlineStr">
        <is>
          <t>MARK ALLEN BUTMAN LIVING TRUST</t>
        </is>
      </c>
      <c r="AF393" t="inlineStr">
        <is>
          <t>L &amp; M UNDERGROUND INC</t>
        </is>
      </c>
      <c r="AI393" s="245">
        <f>AND(E393=Subj_OccCode,Subj_BldgSF&gt;0,L393&gt;=Subj_BldgSF*(1-Subj_SizeTol),L393&lt;=Subj_BldgSF*(1+Subj_SizeTol))</f>
        <v/>
      </c>
    </row>
    <row r="394" ht="15" customHeight="1">
      <c r="A394" s="471" t="n">
        <v>8</v>
      </c>
      <c r="B394" s="245" t="n">
        <v>387</v>
      </c>
      <c r="C394" t="inlineStr">
        <is>
          <t>R0084269</t>
        </is>
      </c>
      <c r="D394" t="inlineStr">
        <is>
          <t>14603 E MONCRIEFF PL</t>
        </is>
      </c>
      <c r="E394" t="n">
        <v>407</v>
      </c>
      <c r="F394" t="inlineStr">
        <is>
          <t>AURORA</t>
        </is>
      </c>
      <c r="G394" t="inlineStr">
        <is>
          <t>6</t>
        </is>
      </c>
      <c r="H394" s="669">
        <f>Y394/J394</f>
        <v/>
      </c>
      <c r="I394" s="670" t="n">
        <v>43784</v>
      </c>
      <c r="J394" t="n">
        <v>99860</v>
      </c>
      <c r="L394" t="n">
        <v>99860</v>
      </c>
      <c r="M394" t="n">
        <v>1984</v>
      </c>
      <c r="P394" t="inlineStr">
        <is>
          <t>M-1-Aur</t>
        </is>
      </c>
      <c r="R394" t="inlineStr">
        <is>
          <t>Average</t>
        </is>
      </c>
      <c r="S394" t="n">
        <v>184258</v>
      </c>
      <c r="T394" s="467">
        <f>S394/J394</f>
        <v/>
      </c>
      <c r="U394" t="inlineStr">
        <is>
          <t>Average</t>
        </is>
      </c>
      <c r="Y394" t="n">
        <v>9990000</v>
      </c>
      <c r="AA394" t="n">
        <v>9990000</v>
      </c>
      <c r="AC394" t="inlineStr">
        <is>
          <t>0182130008017</t>
        </is>
      </c>
      <c r="AD394" t="inlineStr">
        <is>
          <t>2019000100114</t>
        </is>
      </c>
      <c r="AE394" t="inlineStr">
        <is>
          <t>BPAZ HOLDINGS 12 LLC</t>
        </is>
      </c>
      <c r="AF394" t="inlineStr">
        <is>
          <t>DEN INDUSTRIAL 1 LLC</t>
        </is>
      </c>
      <c r="AI394" s="245">
        <f>AND(E394=Subj_OccCode,Subj_BldgSF&gt;0,L394&gt;=Subj_BldgSF*(1-Subj_SizeTol),L394&lt;=Subj_BldgSF*(1+Subj_SizeTol))</f>
        <v/>
      </c>
    </row>
    <row r="395" ht="15" customHeight="1">
      <c r="A395" s="471" t="n">
        <v>8</v>
      </c>
      <c r="B395" s="245" t="n">
        <v>388</v>
      </c>
      <c r="C395" t="inlineStr">
        <is>
          <t>R0002801</t>
        </is>
      </c>
      <c r="D395" t="inlineStr">
        <is>
          <t>112 N MAIN ST</t>
        </is>
      </c>
      <c r="E395" t="n">
        <v>353</v>
      </c>
      <c r="F395" t="inlineStr">
        <is>
          <t>BRIGHTON</t>
        </is>
      </c>
      <c r="G395" t="inlineStr">
        <is>
          <t>4</t>
        </is>
      </c>
      <c r="H395" s="669">
        <f>Y395/J395</f>
        <v/>
      </c>
      <c r="I395" s="670" t="n">
        <v>43369</v>
      </c>
      <c r="J395" t="n">
        <v>840</v>
      </c>
      <c r="L395" t="n">
        <v>840</v>
      </c>
      <c r="M395" t="n">
        <v>1973</v>
      </c>
      <c r="P395" t="inlineStr">
        <is>
          <t>Brighton</t>
        </is>
      </c>
      <c r="R395" t="inlineStr">
        <is>
          <t>Average</t>
        </is>
      </c>
      <c r="S395" t="n">
        <v>5625</v>
      </c>
      <c r="T395" s="467">
        <f>S395/J395</f>
        <v/>
      </c>
      <c r="U395" t="inlineStr">
        <is>
          <t>Average</t>
        </is>
      </c>
      <c r="Y395" t="n">
        <v>225000</v>
      </c>
      <c r="AA395" t="n">
        <v>225000</v>
      </c>
      <c r="AC395" t="inlineStr">
        <is>
          <t>0156906310007</t>
        </is>
      </c>
      <c r="AD395" t="inlineStr">
        <is>
          <t>2018000078539</t>
        </is>
      </c>
      <c r="AE395" t="inlineStr">
        <is>
          <t>A AND A LLC</t>
        </is>
      </c>
      <c r="AF395" t="inlineStr">
        <is>
          <t>HIGHLAND PROPERTIES 4018 LLC</t>
        </is>
      </c>
      <c r="AI395" s="245">
        <f>AND(E395=Subj_OccCode,Subj_BldgSF&gt;0,L395&gt;=Subj_BldgSF*(1-Subj_SizeTol),L395&lt;=Subj_BldgSF*(1+Subj_SizeTol))</f>
        <v/>
      </c>
    </row>
    <row r="396" ht="15" customHeight="1">
      <c r="A396" s="471" t="n">
        <v>8</v>
      </c>
      <c r="B396" s="245" t="n">
        <v>389</v>
      </c>
      <c r="C396" t="inlineStr">
        <is>
          <t>R0094562</t>
        </is>
      </c>
      <c r="D396" t="inlineStr">
        <is>
          <t>9598  MONTVIEW BLVD</t>
        </is>
      </c>
      <c r="E396" t="n">
        <v>384</v>
      </c>
      <c r="F396" t="inlineStr">
        <is>
          <t>AURORA</t>
        </is>
      </c>
      <c r="G396" t="inlineStr">
        <is>
          <t>6</t>
        </is>
      </c>
      <c r="H396" s="669">
        <f>Y396/J396</f>
        <v/>
      </c>
      <c r="I396" s="670" t="n">
        <v>43166</v>
      </c>
      <c r="J396" t="n">
        <v>1004</v>
      </c>
      <c r="L396" t="n">
        <v>1004</v>
      </c>
      <c r="M396" t="n">
        <v>1970</v>
      </c>
      <c r="P396" t="inlineStr">
        <is>
          <t>Aurora</t>
        </is>
      </c>
      <c r="R396" t="inlineStr">
        <is>
          <t>Average</t>
        </is>
      </c>
      <c r="S396" t="n">
        <v>8750</v>
      </c>
      <c r="T396" s="467">
        <f>S396/J396</f>
        <v/>
      </c>
      <c r="U396" t="inlineStr">
        <is>
          <t>Average</t>
        </is>
      </c>
      <c r="Y396" t="n">
        <v>307000</v>
      </c>
      <c r="AA396" t="n">
        <v>307000</v>
      </c>
      <c r="AC396" t="inlineStr">
        <is>
          <t>0182334302018</t>
        </is>
      </c>
      <c r="AD396" t="inlineStr">
        <is>
          <t>2018000019551</t>
        </is>
      </c>
      <c r="AE396" t="inlineStr">
        <is>
          <t>GARCIA LUIS AND, GARCIA MARIBEL</t>
        </is>
      </c>
      <c r="AF396" t="inlineStr">
        <is>
          <t>MARIMBAL LLC</t>
        </is>
      </c>
      <c r="AI396" s="245">
        <f>AND(E396=Subj_OccCode,Subj_BldgSF&gt;0,L396&gt;=Subj_BldgSF*(1-Subj_SizeTol),L396&lt;=Subj_BldgSF*(1+Subj_SizeTol))</f>
        <v/>
      </c>
    </row>
    <row r="397" ht="15" customHeight="1">
      <c r="A397" s="471" t="n">
        <v>8</v>
      </c>
      <c r="B397" s="245" t="n">
        <v>390</v>
      </c>
      <c r="C397" t="inlineStr">
        <is>
          <t>R0103674</t>
        </is>
      </c>
      <c r="D397" t="inlineStr">
        <is>
          <t>1480 E 61ST AVE</t>
        </is>
      </c>
      <c r="E397" t="n">
        <v>334</v>
      </c>
      <c r="G397" t="inlineStr">
        <is>
          <t>5</t>
        </is>
      </c>
      <c r="H397" s="669">
        <f>Y397/J397</f>
        <v/>
      </c>
      <c r="I397" s="670" t="n">
        <v>43697</v>
      </c>
      <c r="J397" t="n">
        <v>26640</v>
      </c>
      <c r="L397" t="n">
        <v>26640</v>
      </c>
      <c r="M397" t="n">
        <v>1972</v>
      </c>
      <c r="P397" t="inlineStr">
        <is>
          <t>Industrial</t>
        </is>
      </c>
      <c r="R397" t="inlineStr">
        <is>
          <t>Average</t>
        </is>
      </c>
      <c r="S397" t="n">
        <v>111074</v>
      </c>
      <c r="T397" s="467">
        <f>S397/J397</f>
        <v/>
      </c>
      <c r="U397" t="inlineStr">
        <is>
          <t>Average</t>
        </is>
      </c>
      <c r="Y397" t="n">
        <v>3566000</v>
      </c>
      <c r="AA397" t="n">
        <v>3566000</v>
      </c>
      <c r="AC397" t="inlineStr">
        <is>
          <t>0182511205009</t>
        </is>
      </c>
      <c r="AD397" t="inlineStr">
        <is>
          <t>2019000067784</t>
        </is>
      </c>
      <c r="AE397" t="inlineStr">
        <is>
          <t>FAULTLESS LAUNDRY COMPANY</t>
        </is>
      </c>
      <c r="AF397" t="inlineStr">
        <is>
          <t>NM FHL LLC, C/O NEW MOUNTAIN NET LEASE ACQUISITION CORP</t>
        </is>
      </c>
      <c r="AI397" s="245">
        <f>AND(E397=Subj_OccCode,Subj_BldgSF&gt;0,L397&gt;=Subj_BldgSF*(1-Subj_SizeTol),L397&lt;=Subj_BldgSF*(1+Subj_SizeTol))</f>
        <v/>
      </c>
    </row>
    <row r="398" ht="15" customHeight="1">
      <c r="A398" s="471" t="n">
        <v>8</v>
      </c>
      <c r="B398" s="245" t="n">
        <v>391</v>
      </c>
      <c r="C398" t="inlineStr">
        <is>
          <t>R0103723</t>
        </is>
      </c>
      <c r="D398" t="inlineStr">
        <is>
          <t>5970  MARION DR</t>
        </is>
      </c>
      <c r="E398" t="n">
        <v>407</v>
      </c>
      <c r="G398" t="inlineStr">
        <is>
          <t>5</t>
        </is>
      </c>
      <c r="H398" s="669">
        <f>Y398/J398</f>
        <v/>
      </c>
      <c r="I398" s="670" t="n">
        <v>43812</v>
      </c>
      <c r="J398" t="n">
        <v>14400</v>
      </c>
      <c r="L398" t="n">
        <v>14400</v>
      </c>
      <c r="M398" t="n">
        <v>1983</v>
      </c>
      <c r="P398" t="inlineStr">
        <is>
          <t>Industrial</t>
        </is>
      </c>
      <c r="R398" t="inlineStr">
        <is>
          <t>Average</t>
        </is>
      </c>
      <c r="S398" t="n">
        <v>28749</v>
      </c>
      <c r="T398" s="467">
        <f>S398/J398</f>
        <v/>
      </c>
      <c r="U398" t="inlineStr">
        <is>
          <t>Average</t>
        </is>
      </c>
      <c r="Y398" t="n">
        <v>1260000</v>
      </c>
      <c r="AA398" t="n">
        <v>1260000</v>
      </c>
      <c r="AC398" t="inlineStr">
        <is>
          <t>0182511303018</t>
        </is>
      </c>
      <c r="AD398" t="inlineStr">
        <is>
          <t>2019000110369</t>
        </is>
      </c>
      <c r="AE398" t="inlineStr">
        <is>
          <t>WERNSTEIN PROPERTIES INC</t>
        </is>
      </c>
      <c r="AF398" t="inlineStr">
        <is>
          <t>5970 MARION DRIVE LLC</t>
        </is>
      </c>
      <c r="AI398" s="245">
        <f>AND(E398=Subj_OccCode,Subj_BldgSF&gt;0,L398&gt;=Subj_BldgSF*(1-Subj_SizeTol),L398&lt;=Subj_BldgSF*(1+Subj_SizeTol))</f>
        <v/>
      </c>
    </row>
    <row r="399" ht="15" customHeight="1">
      <c r="A399" s="471" t="n">
        <v>8</v>
      </c>
      <c r="B399" s="245" t="n">
        <v>392</v>
      </c>
      <c r="C399" t="inlineStr">
        <is>
          <t>R0064417</t>
        </is>
      </c>
      <c r="D399" t="inlineStr">
        <is>
          <t>7905  ZENOBIA ST</t>
        </is>
      </c>
      <c r="E399" t="n">
        <v>1344</v>
      </c>
      <c r="F399" t="inlineStr">
        <is>
          <t>WESTMINSTER</t>
        </is>
      </c>
      <c r="G399" t="inlineStr">
        <is>
          <t>4</t>
        </is>
      </c>
      <c r="H399" s="669">
        <f>Y399/J399</f>
        <v/>
      </c>
      <c r="I399" s="670" t="n">
        <v>44495</v>
      </c>
      <c r="J399" t="n">
        <v>5700</v>
      </c>
      <c r="L399" t="n">
        <v>5700</v>
      </c>
      <c r="M399" t="n">
        <v>1981</v>
      </c>
      <c r="P399" t="inlineStr">
        <is>
          <t>B-1-Wes</t>
        </is>
      </c>
      <c r="R399" t="inlineStr">
        <is>
          <t>Average</t>
        </is>
      </c>
      <c r="S399" t="n">
        <v>720</v>
      </c>
      <c r="T399" s="467">
        <f>S399/J399</f>
        <v/>
      </c>
      <c r="U399" t="inlineStr">
        <is>
          <t>Average</t>
        </is>
      </c>
      <c r="Y399" t="n">
        <v>332500</v>
      </c>
      <c r="AA399" t="n">
        <v>332500</v>
      </c>
      <c r="AC399" t="inlineStr">
        <is>
          <t>0171931213023</t>
        </is>
      </c>
      <c r="AD399" t="inlineStr">
        <is>
          <t>2021000126150</t>
        </is>
      </c>
      <c r="AE399" t="inlineStr">
        <is>
          <t>CMS HOLDINGS LLC</t>
        </is>
      </c>
      <c r="AF399" t="inlineStr">
        <is>
          <t>SWEET ABUNDANCE LLC</t>
        </is>
      </c>
      <c r="AI399" s="245">
        <f>AND(E399=Subj_OccCode,Subj_BldgSF&gt;0,L399&gt;=Subj_BldgSF*(1-Subj_SizeTol),L399&lt;=Subj_BldgSF*(1+Subj_SizeTol))</f>
        <v/>
      </c>
    </row>
    <row r="400" ht="15" customHeight="1">
      <c r="A400" s="471" t="n">
        <v>8</v>
      </c>
      <c r="B400" s="245" t="n">
        <v>393</v>
      </c>
      <c r="C400" t="inlineStr">
        <is>
          <t>R0110659</t>
        </is>
      </c>
      <c r="D400" t="inlineStr">
        <is>
          <t>1291 E 54TH AVE</t>
        </is>
      </c>
      <c r="E400" t="n">
        <v>407</v>
      </c>
      <c r="G400" t="inlineStr">
        <is>
          <t>5</t>
        </is>
      </c>
      <c r="H400" s="669">
        <f>Y400/J400</f>
        <v/>
      </c>
      <c r="I400" s="670" t="n">
        <v>43577</v>
      </c>
      <c r="J400" t="n">
        <v>20000</v>
      </c>
      <c r="L400" t="n">
        <v>20000</v>
      </c>
      <c r="M400" t="n">
        <v>1997</v>
      </c>
      <c r="P400" t="inlineStr">
        <is>
          <t>Planned Unit Development</t>
        </is>
      </c>
      <c r="R400" t="inlineStr">
        <is>
          <t>Average</t>
        </is>
      </c>
      <c r="S400" t="n">
        <v>52990</v>
      </c>
      <c r="T400" s="467">
        <f>S400/J400</f>
        <v/>
      </c>
      <c r="U400" t="inlineStr">
        <is>
          <t>Average</t>
        </is>
      </c>
      <c r="Y400" t="n">
        <v>2800000</v>
      </c>
      <c r="AA400" t="n">
        <v>2800000</v>
      </c>
      <c r="AC400" t="inlineStr">
        <is>
          <t>0182514208030</t>
        </is>
      </c>
      <c r="AD400" t="inlineStr">
        <is>
          <t>2019000029418</t>
        </is>
      </c>
      <c r="AE400" t="inlineStr">
        <is>
          <t>DENVER ELECTRICAL JOINT APPRENTICESHIP, AND TRAINING TRUST FUND A TRUST</t>
        </is>
      </c>
      <c r="AF400" t="inlineStr">
        <is>
          <t>PROSOSKI INVESTMENTS LLC</t>
        </is>
      </c>
      <c r="AI400" s="245">
        <f>AND(E400=Subj_OccCode,Subj_BldgSF&gt;0,L400&gt;=Subj_BldgSF*(1-Subj_SizeTol),L400&lt;=Subj_BldgSF*(1+Subj_SizeTol))</f>
        <v/>
      </c>
    </row>
    <row r="401" ht="15" customHeight="1">
      <c r="A401" s="471" t="n">
        <v>8</v>
      </c>
      <c r="B401" s="245" t="n">
        <v>394</v>
      </c>
      <c r="C401" t="inlineStr">
        <is>
          <t>R0103765</t>
        </is>
      </c>
      <c r="D401" t="inlineStr">
        <is>
          <t>1200 E 58TH AVE</t>
        </is>
      </c>
      <c r="E401" t="n">
        <v>407</v>
      </c>
      <c r="G401" t="inlineStr">
        <is>
          <t>5</t>
        </is>
      </c>
      <c r="H401" s="669">
        <f>Y401/J401</f>
        <v/>
      </c>
      <c r="I401" s="670" t="n">
        <v>44090</v>
      </c>
      <c r="J401" t="n">
        <v>40420</v>
      </c>
      <c r="L401" t="n">
        <v>40420</v>
      </c>
      <c r="M401" t="n">
        <v>1986</v>
      </c>
      <c r="P401" t="inlineStr">
        <is>
          <t>Industrial</t>
        </is>
      </c>
      <c r="R401" t="inlineStr">
        <is>
          <t>Average</t>
        </is>
      </c>
      <c r="S401" t="n">
        <v>110595</v>
      </c>
      <c r="T401" s="467">
        <f>S401/J401</f>
        <v/>
      </c>
      <c r="U401" t="inlineStr">
        <is>
          <t>Average</t>
        </is>
      </c>
      <c r="Y401" t="n">
        <v>5300000</v>
      </c>
      <c r="AA401" t="n">
        <v>5300000</v>
      </c>
      <c r="AC401" t="inlineStr">
        <is>
          <t>0182511312008</t>
        </is>
      </c>
      <c r="AD401" t="inlineStr">
        <is>
          <t>2020000092287</t>
        </is>
      </c>
      <c r="AE401" t="inlineStr">
        <is>
          <t>WELBY ASSOCIATES LLC, C/O TIMOTHY J MCMANUS</t>
        </is>
      </c>
      <c r="AF401" t="inlineStr">
        <is>
          <t>ZARA ES LLC</t>
        </is>
      </c>
      <c r="AI401" s="245">
        <f>AND(E401=Subj_OccCode,Subj_BldgSF&gt;0,L401&gt;=Subj_BldgSF*(1-Subj_SizeTol),L401&lt;=Subj_BldgSF*(1+Subj_SizeTol))</f>
        <v/>
      </c>
    </row>
    <row r="402" ht="15" customHeight="1">
      <c r="A402" s="471" t="n">
        <v>8</v>
      </c>
      <c r="B402" s="245" t="n">
        <v>395</v>
      </c>
      <c r="C402" t="inlineStr">
        <is>
          <t>R0068508</t>
        </is>
      </c>
      <c r="D402" t="inlineStr">
        <is>
          <t>7290  SAMUEL DR</t>
        </is>
      </c>
      <c r="E402" t="n">
        <v>344</v>
      </c>
      <c r="G402" t="inlineStr">
        <is>
          <t>4</t>
        </is>
      </c>
      <c r="H402" s="669">
        <f>Y402/J402</f>
        <v/>
      </c>
      <c r="I402" s="670" t="n">
        <v>43979</v>
      </c>
      <c r="J402" t="n">
        <v>34470</v>
      </c>
      <c r="L402" t="n">
        <v>34470</v>
      </c>
      <c r="M402" t="n">
        <v>1971</v>
      </c>
      <c r="P402" t="inlineStr">
        <is>
          <t>Commercial</t>
        </is>
      </c>
      <c r="R402" t="inlineStr">
        <is>
          <t>Average</t>
        </is>
      </c>
      <c r="S402" t="n">
        <v>50094</v>
      </c>
      <c r="T402" s="467">
        <f>S402/J402</f>
        <v/>
      </c>
      <c r="U402" t="inlineStr">
        <is>
          <t>Average</t>
        </is>
      </c>
      <c r="Y402" t="n">
        <v>1500000</v>
      </c>
      <c r="AA402" t="n">
        <v>1500000</v>
      </c>
      <c r="AC402" t="inlineStr">
        <is>
          <t>0171933307035</t>
        </is>
      </c>
      <c r="AD402" t="inlineStr">
        <is>
          <t>2020000048564</t>
        </is>
      </c>
      <c r="AE402" t="inlineStr">
        <is>
          <t>WALBLAKE LLC</t>
        </is>
      </c>
      <c r="AF402" t="inlineStr">
        <is>
          <t>1616 CHAMPA LLC</t>
        </is>
      </c>
      <c r="AI402" s="245">
        <f>AND(E402=Subj_OccCode,Subj_BldgSF&gt;0,L402&gt;=Subj_BldgSF*(1-Subj_SizeTol),L402&lt;=Subj_BldgSF*(1+Subj_SizeTol))</f>
        <v/>
      </c>
    </row>
    <row r="403" ht="15" customHeight="1">
      <c r="A403" s="471" t="n">
        <v>8</v>
      </c>
      <c r="B403" s="245" t="n">
        <v>396</v>
      </c>
      <c r="C403" t="inlineStr">
        <is>
          <t>R0084316</t>
        </is>
      </c>
      <c r="D403" t="inlineStr">
        <is>
          <t>13891 E SMITH DR #B</t>
        </is>
      </c>
      <c r="E403" t="n">
        <v>425</v>
      </c>
      <c r="F403" t="inlineStr">
        <is>
          <t>AURORA</t>
        </is>
      </c>
      <c r="G403" t="inlineStr">
        <is>
          <t>6</t>
        </is>
      </c>
      <c r="H403" s="669">
        <f>Y403/J403</f>
        <v/>
      </c>
      <c r="I403" s="670" t="n">
        <v>44718</v>
      </c>
      <c r="J403" t="n">
        <v>1500</v>
      </c>
      <c r="L403" t="n">
        <v>1500</v>
      </c>
      <c r="M403" t="n">
        <v>1982</v>
      </c>
      <c r="P403" t="inlineStr">
        <is>
          <t>M-1-Aur</t>
        </is>
      </c>
      <c r="R403" t="inlineStr">
        <is>
          <t>Average</t>
        </is>
      </c>
      <c r="S403" t="n">
        <v>4608</v>
      </c>
      <c r="T403" s="467">
        <f>S403/J403</f>
        <v/>
      </c>
      <c r="U403" t="inlineStr">
        <is>
          <t>Average</t>
        </is>
      </c>
      <c r="Y403" t="n">
        <v>200000</v>
      </c>
      <c r="AA403" t="n">
        <v>200000</v>
      </c>
      <c r="AC403" t="inlineStr">
        <is>
          <t>0182130013016</t>
        </is>
      </c>
      <c r="AD403" t="inlineStr">
        <is>
          <t>2022000050499</t>
        </is>
      </c>
      <c r="AE403" t="inlineStr">
        <is>
          <t>PROVASI KENNETH D TRUST THE</t>
        </is>
      </c>
      <c r="AF403" t="inlineStr">
        <is>
          <t>CRM REAL ESTATE HOLDINGS LLC</t>
        </is>
      </c>
      <c r="AI403" s="245">
        <f>AND(E403=Subj_OccCode,Subj_BldgSF&gt;0,L403&gt;=Subj_BldgSF*(1-Subj_SizeTol),L403&lt;=Subj_BldgSF*(1+Subj_SizeTol))</f>
        <v/>
      </c>
    </row>
    <row r="404" ht="15" customHeight="1">
      <c r="A404" s="471" t="n">
        <v>8</v>
      </c>
      <c r="B404" s="245" t="n">
        <v>397</v>
      </c>
      <c r="C404" t="inlineStr">
        <is>
          <t>R0103416</t>
        </is>
      </c>
      <c r="D404" t="inlineStr">
        <is>
          <t>5686  PECOS ST</t>
        </is>
      </c>
      <c r="E404" t="n">
        <v>442</v>
      </c>
      <c r="G404" t="inlineStr">
        <is>
          <t>5</t>
        </is>
      </c>
      <c r="H404" s="669">
        <f>Y404/J404</f>
        <v/>
      </c>
      <c r="I404" s="670" t="n">
        <v>44530</v>
      </c>
      <c r="J404" t="n">
        <v>1500</v>
      </c>
      <c r="L404" t="n">
        <v>1500</v>
      </c>
      <c r="M404" t="n">
        <v>1957</v>
      </c>
      <c r="P404" t="inlineStr">
        <is>
          <t>Commercial</t>
        </is>
      </c>
      <c r="R404" t="inlineStr">
        <is>
          <t>Average</t>
        </is>
      </c>
      <c r="S404" t="n">
        <v>6964</v>
      </c>
      <c r="T404" s="467">
        <f>S404/J404</f>
        <v/>
      </c>
      <c r="U404" t="inlineStr">
        <is>
          <t>Average</t>
        </is>
      </c>
      <c r="Y404" t="n">
        <v>620000</v>
      </c>
      <c r="AA404" t="n">
        <v>620000</v>
      </c>
      <c r="AC404" t="inlineStr">
        <is>
          <t>0182509400013</t>
        </is>
      </c>
      <c r="AD404" t="inlineStr">
        <is>
          <t>2021000144720</t>
        </is>
      </c>
      <c r="AE404" t="inlineStr">
        <is>
          <t>CASTILLO THEODORE G</t>
        </is>
      </c>
      <c r="AF404" t="inlineStr">
        <is>
          <t>BOOM BOX RE LLC</t>
        </is>
      </c>
      <c r="AI404" s="245">
        <f>AND(E404=Subj_OccCode,Subj_BldgSF&gt;0,L404&gt;=Subj_BldgSF*(1-Subj_SizeTol),L404&lt;=Subj_BldgSF*(1+Subj_SizeTol))</f>
        <v/>
      </c>
    </row>
    <row r="405" ht="15" customHeight="1">
      <c r="A405" s="471" t="n">
        <v>8</v>
      </c>
      <c r="B405" s="245" t="n">
        <v>398</v>
      </c>
      <c r="C405" t="inlineStr">
        <is>
          <t>R0005825</t>
        </is>
      </c>
      <c r="D405" t="inlineStr">
        <is>
          <t>1790  BRIDGE ST</t>
        </is>
      </c>
      <c r="E405" t="n">
        <v>344</v>
      </c>
      <c r="F405" t="inlineStr">
        <is>
          <t>BRIGHTON</t>
        </is>
      </c>
      <c r="G405" t="inlineStr">
        <is>
          <t>2</t>
        </is>
      </c>
      <c r="H405" s="669">
        <f>Y405/J405</f>
        <v/>
      </c>
      <c r="I405" s="670" t="n">
        <v>44147</v>
      </c>
      <c r="J405" t="n">
        <v>1312</v>
      </c>
      <c r="L405" t="n">
        <v>1312</v>
      </c>
      <c r="M405" t="n">
        <v>1974</v>
      </c>
      <c r="P405" t="inlineStr">
        <is>
          <t>C-1-Bri</t>
        </is>
      </c>
      <c r="R405" t="inlineStr">
        <is>
          <t>Average</t>
        </is>
      </c>
      <c r="S405" t="n">
        <v>10875</v>
      </c>
      <c r="T405" s="467">
        <f>S405/J405</f>
        <v/>
      </c>
      <c r="U405" t="inlineStr">
        <is>
          <t>Average</t>
        </is>
      </c>
      <c r="Y405" t="n">
        <v>415000</v>
      </c>
      <c r="AA405" t="n">
        <v>415000</v>
      </c>
      <c r="AC405" t="inlineStr">
        <is>
          <t>0156908204058</t>
        </is>
      </c>
      <c r="AD405" t="inlineStr">
        <is>
          <t>2020000121828</t>
        </is>
      </c>
      <c r="AE405" t="inlineStr">
        <is>
          <t>HERDING BUTTERFLIES</t>
        </is>
      </c>
      <c r="AF405" t="inlineStr">
        <is>
          <t>BAB 1790 E BRIDGE STREET LLC</t>
        </is>
      </c>
      <c r="AI405" s="245">
        <f>AND(E405=Subj_OccCode,Subj_BldgSF&gt;0,L405&gt;=Subj_BldgSF*(1-Subj_SizeTol),L405&lt;=Subj_BldgSF*(1+Subj_SizeTol))</f>
        <v/>
      </c>
    </row>
    <row r="406" ht="15" customHeight="1">
      <c r="A406" s="471" t="n">
        <v>8</v>
      </c>
      <c r="B406" s="245" t="n">
        <v>399</v>
      </c>
      <c r="C406" t="inlineStr">
        <is>
          <t>R0098081</t>
        </is>
      </c>
      <c r="D406" t="inlineStr">
        <is>
          <t>851  HIGHWAY 224 #A5</t>
        </is>
      </c>
      <c r="E406" t="n">
        <v>425</v>
      </c>
      <c r="G406" t="inlineStr">
        <is>
          <t>5</t>
        </is>
      </c>
      <c r="H406" s="669">
        <f>Y406/J406</f>
        <v/>
      </c>
      <c r="I406" s="670" t="n">
        <v>43200</v>
      </c>
      <c r="J406" t="n">
        <v>1500</v>
      </c>
      <c r="L406" t="n">
        <v>1500</v>
      </c>
      <c r="M406" t="n">
        <v>1984</v>
      </c>
      <c r="P406" t="inlineStr">
        <is>
          <t>Industrial</t>
        </is>
      </c>
      <c r="R406" t="inlineStr">
        <is>
          <t>Average</t>
        </is>
      </c>
      <c r="S406" t="n">
        <v>4340</v>
      </c>
      <c r="T406" s="467">
        <f>S406/J406</f>
        <v/>
      </c>
      <c r="U406" t="inlineStr">
        <is>
          <t>Average</t>
        </is>
      </c>
      <c r="Y406" t="n">
        <v>237500</v>
      </c>
      <c r="AA406" t="n">
        <v>237500</v>
      </c>
      <c r="AC406" t="inlineStr">
        <is>
          <t>0182502203045</t>
        </is>
      </c>
      <c r="AD406" t="inlineStr">
        <is>
          <t>2018000029104</t>
        </is>
      </c>
      <c r="AE406" t="inlineStr">
        <is>
          <t>SCG ONE LIMITED PARTNERSHIP</t>
        </is>
      </c>
      <c r="AF406" t="inlineStr">
        <is>
          <t>LI YUE</t>
        </is>
      </c>
      <c r="AI406" s="245">
        <f>AND(E406=Subj_OccCode,Subj_BldgSF&gt;0,L406&gt;=Subj_BldgSF*(1-Subj_SizeTol),L406&lt;=Subj_BldgSF*(1+Subj_SizeTol))</f>
        <v/>
      </c>
    </row>
    <row r="407" ht="15" customHeight="1">
      <c r="A407" s="471" t="n">
        <v>8</v>
      </c>
      <c r="B407" s="245" t="n">
        <v>400</v>
      </c>
      <c r="C407" t="inlineStr">
        <is>
          <t>R0031078</t>
        </is>
      </c>
      <c r="D407" t="inlineStr">
        <is>
          <t>11416  PEARL ST</t>
        </is>
      </c>
      <c r="E407" t="n">
        <v>434</v>
      </c>
      <c r="F407" t="inlineStr">
        <is>
          <t>NORTHGLENN</t>
        </is>
      </c>
      <c r="G407" t="inlineStr">
        <is>
          <t>4</t>
        </is>
      </c>
      <c r="H407" s="669">
        <f>Y407/J407</f>
        <v/>
      </c>
      <c r="I407" s="670" t="n">
        <v>43189</v>
      </c>
      <c r="J407" t="n">
        <v>2592</v>
      </c>
      <c r="L407" t="n">
        <v>2592</v>
      </c>
      <c r="M407" t="n">
        <v>1986</v>
      </c>
      <c r="P407" t="inlineStr">
        <is>
          <t>Northglenn</t>
        </is>
      </c>
      <c r="R407" t="inlineStr">
        <is>
          <t>Average</t>
        </is>
      </c>
      <c r="S407" t="n">
        <v>22496</v>
      </c>
      <c r="T407" s="467">
        <f>S407/J407</f>
        <v/>
      </c>
      <c r="U407" t="inlineStr">
        <is>
          <t>Average</t>
        </is>
      </c>
      <c r="Y407" t="n">
        <v>292500</v>
      </c>
      <c r="AA407" t="n">
        <v>292500</v>
      </c>
      <c r="AC407" t="inlineStr">
        <is>
          <t>0171903412012</t>
        </is>
      </c>
      <c r="AD407" t="inlineStr">
        <is>
          <t>2018000026442</t>
        </is>
      </c>
      <c r="AE407" t="inlineStr">
        <is>
          <t>ZAYAC PROPERTIES PEARL LLLP, C/O PROCLEAN AUTO WASH</t>
        </is>
      </c>
      <c r="AF407" t="inlineStr">
        <is>
          <t>BLANCO PROPERTIES PEARL LLC</t>
        </is>
      </c>
      <c r="AI407" s="245">
        <f>AND(E407=Subj_OccCode,Subj_BldgSF&gt;0,L407&gt;=Subj_BldgSF*(1-Subj_SizeTol),L407&lt;=Subj_BldgSF*(1+Subj_SizeTol))</f>
        <v/>
      </c>
    </row>
    <row r="408" ht="15" customHeight="1">
      <c r="A408" s="471" t="n">
        <v>8</v>
      </c>
      <c r="B408" s="245" t="n">
        <v>401</v>
      </c>
      <c r="C408" t="inlineStr">
        <is>
          <t>R0090207</t>
        </is>
      </c>
      <c r="D408" t="inlineStr">
        <is>
          <t>6671  BRIGHTON BLVD</t>
        </is>
      </c>
      <c r="E408" t="n">
        <v>353</v>
      </c>
      <c r="F408" t="inlineStr">
        <is>
          <t>COMMERCE CITY</t>
        </is>
      </c>
      <c r="G408" t="inlineStr">
        <is>
          <t>5</t>
        </is>
      </c>
      <c r="H408" s="669">
        <f>Y408/J408</f>
        <v/>
      </c>
      <c r="I408" s="670" t="n">
        <v>43973</v>
      </c>
      <c r="J408" t="n">
        <v>6660</v>
      </c>
      <c r="L408" t="n">
        <v>6660</v>
      </c>
      <c r="M408" t="n">
        <v>1955</v>
      </c>
      <c r="P408" t="inlineStr">
        <is>
          <t>C-3-Com</t>
        </is>
      </c>
      <c r="R408" t="inlineStr">
        <is>
          <t>Average</t>
        </is>
      </c>
      <c r="S408" t="n">
        <v>54172</v>
      </c>
      <c r="T408" s="467">
        <f>S408/J408</f>
        <v/>
      </c>
      <c r="U408" t="inlineStr">
        <is>
          <t>Average</t>
        </is>
      </c>
      <c r="Y408" t="n">
        <v>895000</v>
      </c>
      <c r="AA408" t="n">
        <v>895000</v>
      </c>
      <c r="AC408" t="inlineStr">
        <is>
          <t>0182306301042</t>
        </is>
      </c>
      <c r="AD408" t="inlineStr">
        <is>
          <t>2020000046848</t>
        </is>
      </c>
      <c r="AE408" t="inlineStr">
        <is>
          <t>WISE HIROMI T</t>
        </is>
      </c>
      <c r="AF408" t="inlineStr">
        <is>
          <t>2 US 4VR LLC</t>
        </is>
      </c>
      <c r="AI408" s="245">
        <f>AND(E408=Subj_OccCode,Subj_BldgSF&gt;0,L408&gt;=Subj_BldgSF*(1-Subj_SizeTol),L408&lt;=Subj_BldgSF*(1+Subj_SizeTol))</f>
        <v/>
      </c>
    </row>
    <row r="409" ht="15" customHeight="1">
      <c r="A409" s="471" t="n">
        <v>8</v>
      </c>
      <c r="B409" s="245" t="n">
        <v>402</v>
      </c>
      <c r="C409" t="inlineStr">
        <is>
          <t>R0104023</t>
        </is>
      </c>
      <c r="D409" t="inlineStr">
        <is>
          <t>520 E 56TH AVE</t>
        </is>
      </c>
      <c r="E409" t="n">
        <v>407</v>
      </c>
      <c r="G409" t="inlineStr">
        <is>
          <t>5</t>
        </is>
      </c>
      <c r="H409" s="669">
        <f>Y409/J409</f>
        <v/>
      </c>
      <c r="I409" s="670" t="n">
        <v>44722</v>
      </c>
      <c r="J409" t="n">
        <v>9945</v>
      </c>
      <c r="L409" t="n">
        <v>9945</v>
      </c>
      <c r="M409" t="n">
        <v>1978</v>
      </c>
      <c r="P409" t="inlineStr">
        <is>
          <t>Industrial</t>
        </is>
      </c>
      <c r="R409" t="inlineStr">
        <is>
          <t>Average</t>
        </is>
      </c>
      <c r="S409" t="n">
        <v>30000</v>
      </c>
      <c r="T409" s="467">
        <f>S409/J409</f>
        <v/>
      </c>
      <c r="U409" t="inlineStr">
        <is>
          <t>Average</t>
        </is>
      </c>
      <c r="Y409" t="n">
        <v>2500000</v>
      </c>
      <c r="AA409" t="n">
        <v>2500000</v>
      </c>
      <c r="AC409" t="inlineStr">
        <is>
          <t>0182515102001</t>
        </is>
      </c>
      <c r="AD409" t="inlineStr">
        <is>
          <t>2022000053147</t>
        </is>
      </c>
      <c r="AE409" t="inlineStr">
        <is>
          <t>520 E 56TH LLC</t>
        </is>
      </c>
      <c r="AF409" t="inlineStr">
        <is>
          <t>GZSC HOLDING LLC</t>
        </is>
      </c>
      <c r="AI409" s="245">
        <f>AND(E409=Subj_OccCode,Subj_BldgSF&gt;0,L409&gt;=Subj_BldgSF*(1-Subj_SizeTol),L409&lt;=Subj_BldgSF*(1+Subj_SizeTol))</f>
        <v/>
      </c>
    </row>
    <row r="410" ht="15" customHeight="1">
      <c r="A410" s="471" t="n">
        <v>8</v>
      </c>
      <c r="B410" s="245" t="n">
        <v>403</v>
      </c>
      <c r="C410" t="inlineStr">
        <is>
          <t>R0104023</t>
        </is>
      </c>
      <c r="D410" t="inlineStr">
        <is>
          <t>520 E 56TH AVE</t>
        </is>
      </c>
      <c r="E410" t="n">
        <v>407</v>
      </c>
      <c r="G410" t="inlineStr">
        <is>
          <t>5</t>
        </is>
      </c>
      <c r="H410" s="669">
        <f>Y410/J410</f>
        <v/>
      </c>
      <c r="I410" s="670" t="n">
        <v>43402</v>
      </c>
      <c r="J410" t="n">
        <v>9945</v>
      </c>
      <c r="L410" t="n">
        <v>9945</v>
      </c>
      <c r="M410" t="n">
        <v>1978</v>
      </c>
      <c r="P410" t="inlineStr">
        <is>
          <t>Industrial</t>
        </is>
      </c>
      <c r="R410" t="inlineStr">
        <is>
          <t>Average</t>
        </is>
      </c>
      <c r="S410" t="n">
        <v>30000</v>
      </c>
      <c r="T410" s="467">
        <f>S410/J410</f>
        <v/>
      </c>
      <c r="U410" t="inlineStr">
        <is>
          <t>Average</t>
        </is>
      </c>
      <c r="Y410" t="n">
        <v>1850000</v>
      </c>
      <c r="AA410" t="n">
        <v>1850000</v>
      </c>
      <c r="AC410" t="inlineStr">
        <is>
          <t>0182515102001</t>
        </is>
      </c>
      <c r="AD410" t="inlineStr">
        <is>
          <t>2018000087585</t>
        </is>
      </c>
      <c r="AE410" t="inlineStr">
        <is>
          <t>520 EAST 56TH LLC</t>
        </is>
      </c>
      <c r="AF410" t="inlineStr">
        <is>
          <t>520 E 56TH LLC</t>
        </is>
      </c>
      <c r="AI410" s="245">
        <f>AND(E410=Subj_OccCode,Subj_BldgSF&gt;0,L410&gt;=Subj_BldgSF*(1-Subj_SizeTol),L410&lt;=Subj_BldgSF*(1+Subj_SizeTol))</f>
        <v/>
      </c>
    </row>
    <row r="411" ht="15" customHeight="1">
      <c r="A411" s="471" t="n">
        <v>8</v>
      </c>
      <c r="B411" s="245" t="n">
        <v>404</v>
      </c>
      <c r="C411" t="inlineStr">
        <is>
          <t>R0104041</t>
        </is>
      </c>
      <c r="D411" t="inlineStr">
        <is>
          <t>387 E 55TH AVE</t>
        </is>
      </c>
      <c r="E411" t="n">
        <v>325</v>
      </c>
      <c r="G411" t="inlineStr">
        <is>
          <t>5</t>
        </is>
      </c>
      <c r="H411" s="669">
        <f>Y411/J411</f>
        <v/>
      </c>
      <c r="I411" s="670" t="n">
        <v>43487</v>
      </c>
      <c r="J411" t="n">
        <v>2800</v>
      </c>
      <c r="L411" t="n">
        <v>2800</v>
      </c>
      <c r="M411" t="n">
        <v>1982</v>
      </c>
      <c r="P411" t="inlineStr">
        <is>
          <t>Industrial</t>
        </is>
      </c>
      <c r="R411" t="inlineStr">
        <is>
          <t>Average</t>
        </is>
      </c>
      <c r="S411" t="n">
        <v>10050</v>
      </c>
      <c r="T411" s="467">
        <f>S411/J411</f>
        <v/>
      </c>
      <c r="U411" t="inlineStr">
        <is>
          <t>Average</t>
        </is>
      </c>
      <c r="Y411" t="n">
        <v>525000</v>
      </c>
      <c r="AA411" t="n">
        <v>525000</v>
      </c>
      <c r="AC411" t="inlineStr">
        <is>
          <t>0182515104004</t>
        </is>
      </c>
      <c r="AD411" t="inlineStr">
        <is>
          <t>2019000005629</t>
        </is>
      </c>
      <c r="AE411" t="inlineStr">
        <is>
          <t>WATER WOLF LLC</t>
        </is>
      </c>
      <c r="AF411" t="inlineStr">
        <is>
          <t>TOM COOK &amp; ASSOCIATES LLC</t>
        </is>
      </c>
      <c r="AI411" s="245">
        <f>AND(E411=Subj_OccCode,Subj_BldgSF&gt;0,L411&gt;=Subj_BldgSF*(1-Subj_SizeTol),L411&lt;=Subj_BldgSF*(1+Subj_SizeTol))</f>
        <v/>
      </c>
    </row>
    <row r="412" ht="15" customHeight="1">
      <c r="A412" s="471" t="n">
        <v>8</v>
      </c>
      <c r="B412" s="245" t="n">
        <v>405</v>
      </c>
      <c r="C412" t="inlineStr">
        <is>
          <t>R0104094</t>
        </is>
      </c>
      <c r="D412" t="inlineStr">
        <is>
          <t>5203  LINCOLN ST</t>
        </is>
      </c>
      <c r="E412" t="n">
        <v>406</v>
      </c>
      <c r="G412" t="inlineStr">
        <is>
          <t>5</t>
        </is>
      </c>
      <c r="H412" s="669">
        <f>Y412/J412</f>
        <v/>
      </c>
      <c r="I412" s="670" t="n">
        <v>44364</v>
      </c>
      <c r="J412" t="n">
        <v>4736</v>
      </c>
      <c r="L412" t="n">
        <v>4736</v>
      </c>
      <c r="M412" t="n">
        <v>1971</v>
      </c>
      <c r="P412" t="inlineStr">
        <is>
          <t>Industrial</t>
        </is>
      </c>
      <c r="R412" t="inlineStr">
        <is>
          <t>Average</t>
        </is>
      </c>
      <c r="S412" t="n">
        <v>19050</v>
      </c>
      <c r="T412" s="467">
        <f>S412/J412</f>
        <v/>
      </c>
      <c r="U412" t="inlineStr">
        <is>
          <t>Average</t>
        </is>
      </c>
      <c r="Y412" t="n">
        <v>1200000</v>
      </c>
      <c r="AA412" t="n">
        <v>1200000</v>
      </c>
      <c r="AC412" t="inlineStr">
        <is>
          <t>0182515110003</t>
        </is>
      </c>
      <c r="AD412" t="inlineStr">
        <is>
          <t>2021000073620</t>
        </is>
      </c>
      <c r="AE412" t="inlineStr">
        <is>
          <t>CORLESS-KENNEDY LORI K</t>
        </is>
      </c>
      <c r="AF412" t="inlineStr">
        <is>
          <t>5203 LLC</t>
        </is>
      </c>
      <c r="AI412" s="245">
        <f>AND(E412=Subj_OccCode,Subj_BldgSF&gt;0,L412&gt;=Subj_BldgSF*(1-Subj_SizeTol),L412&lt;=Subj_BldgSF*(1+Subj_SizeTol))</f>
        <v/>
      </c>
    </row>
    <row r="413" ht="15" customHeight="1">
      <c r="A413" s="471" t="n">
        <v>8</v>
      </c>
      <c r="B413" s="245" t="n">
        <v>406</v>
      </c>
      <c r="C413" t="inlineStr">
        <is>
          <t>R0038936</t>
        </is>
      </c>
      <c r="D413" t="inlineStr">
        <is>
          <t>10775  IRMA DR</t>
        </is>
      </c>
      <c r="E413" t="n">
        <v>406</v>
      </c>
      <c r="F413" t="inlineStr">
        <is>
          <t>NORTHGLENN</t>
        </is>
      </c>
      <c r="G413" t="inlineStr">
        <is>
          <t>2</t>
        </is>
      </c>
      <c r="H413" s="669">
        <f>Y413/J413</f>
        <v/>
      </c>
      <c r="I413" s="670" t="n">
        <v>43357</v>
      </c>
      <c r="J413" t="n">
        <v>4400</v>
      </c>
      <c r="L413" t="n">
        <v>4400</v>
      </c>
      <c r="M413" t="n">
        <v>1989</v>
      </c>
      <c r="P413" t="inlineStr">
        <is>
          <t>Northglenn</t>
        </is>
      </c>
      <c r="R413" t="inlineStr">
        <is>
          <t>Average</t>
        </is>
      </c>
      <c r="S413" t="n">
        <v>35000</v>
      </c>
      <c r="T413" s="467">
        <f>S413/J413</f>
        <v/>
      </c>
      <c r="U413" t="inlineStr">
        <is>
          <t>Average</t>
        </is>
      </c>
      <c r="Y413" t="n">
        <v>825000</v>
      </c>
      <c r="AA413" t="n">
        <v>825000</v>
      </c>
      <c r="AC413" t="inlineStr">
        <is>
          <t>0171911403020</t>
        </is>
      </c>
      <c r="AD413" t="inlineStr">
        <is>
          <t>2018000075962</t>
        </is>
      </c>
      <c r="AE413" t="inlineStr">
        <is>
          <t>C AND N REAL ESTATE LLC</t>
        </is>
      </c>
      <c r="AF413" t="inlineStr">
        <is>
          <t>REVIVAL REAL ESTATE</t>
        </is>
      </c>
      <c r="AI413" s="245">
        <f>AND(E413=Subj_OccCode,Subj_BldgSF&gt;0,L413&gt;=Subj_BldgSF*(1-Subj_SizeTol),L413&lt;=Subj_BldgSF*(1+Subj_SizeTol))</f>
        <v/>
      </c>
    </row>
    <row r="414" ht="15" customHeight="1">
      <c r="A414" s="471" t="n">
        <v>8</v>
      </c>
      <c r="B414" s="245" t="n">
        <v>407</v>
      </c>
      <c r="C414" t="inlineStr">
        <is>
          <t>R0084313</t>
        </is>
      </c>
      <c r="D414" t="inlineStr">
        <is>
          <t>13801 E SMITH DR #B</t>
        </is>
      </c>
      <c r="E414" t="n">
        <v>425</v>
      </c>
      <c r="F414" t="inlineStr">
        <is>
          <t>AURORA</t>
        </is>
      </c>
      <c r="G414" t="inlineStr">
        <is>
          <t>6</t>
        </is>
      </c>
      <c r="H414" s="669">
        <f>Y414/J414</f>
        <v/>
      </c>
      <c r="I414" s="670" t="n">
        <v>43259</v>
      </c>
      <c r="J414" t="n">
        <v>1500</v>
      </c>
      <c r="L414" t="n">
        <v>1500</v>
      </c>
      <c r="M414" t="n">
        <v>1982</v>
      </c>
      <c r="P414" t="inlineStr">
        <is>
          <t>Aurora</t>
        </is>
      </c>
      <c r="R414" t="inlineStr">
        <is>
          <t>Average</t>
        </is>
      </c>
      <c r="S414" t="n">
        <v>6313</v>
      </c>
      <c r="T414" s="467">
        <f>S414/J414</f>
        <v/>
      </c>
      <c r="U414" t="inlineStr">
        <is>
          <t>Average</t>
        </is>
      </c>
      <c r="Y414" t="n">
        <v>180000</v>
      </c>
      <c r="AA414" t="n">
        <v>180000</v>
      </c>
      <c r="AC414" t="inlineStr">
        <is>
          <t>0182130013013</t>
        </is>
      </c>
      <c r="AD414" t="inlineStr">
        <is>
          <t>2018000047556</t>
        </is>
      </c>
      <c r="AE414" t="inlineStr">
        <is>
          <t>BROWN TERRY L</t>
        </is>
      </c>
      <c r="AF414" t="inlineStr">
        <is>
          <t>JAB HOLDINGS LLC</t>
        </is>
      </c>
      <c r="AI414" s="245">
        <f>AND(E414=Subj_OccCode,Subj_BldgSF&gt;0,L414&gt;=Subj_BldgSF*(1-Subj_SizeTol),L414&lt;=Subj_BldgSF*(1+Subj_SizeTol))</f>
        <v/>
      </c>
    </row>
    <row r="415" ht="15" customHeight="1">
      <c r="A415" s="471" t="n">
        <v>8</v>
      </c>
      <c r="B415" s="245" t="n">
        <v>408</v>
      </c>
      <c r="C415" t="inlineStr">
        <is>
          <t>R0084315</t>
        </is>
      </c>
      <c r="D415" t="inlineStr">
        <is>
          <t>13891 E SMITH DR #A</t>
        </is>
      </c>
      <c r="E415" t="n">
        <v>425</v>
      </c>
      <c r="F415" t="inlineStr">
        <is>
          <t>AURORA</t>
        </is>
      </c>
      <c r="G415" t="inlineStr">
        <is>
          <t>6</t>
        </is>
      </c>
      <c r="H415" s="669">
        <f>Y415/J415</f>
        <v/>
      </c>
      <c r="I415" s="670" t="n">
        <v>44070</v>
      </c>
      <c r="J415" t="n">
        <v>1500</v>
      </c>
      <c r="L415" t="n">
        <v>1500</v>
      </c>
      <c r="M415" t="n">
        <v>1982</v>
      </c>
      <c r="P415" t="inlineStr">
        <is>
          <t>M-1-Aur</t>
        </is>
      </c>
      <c r="R415" t="inlineStr">
        <is>
          <t>Average</t>
        </is>
      </c>
      <c r="S415" t="n">
        <v>4608</v>
      </c>
      <c r="T415" s="467">
        <f>S415/J415</f>
        <v/>
      </c>
      <c r="U415" t="inlineStr">
        <is>
          <t>Average</t>
        </is>
      </c>
      <c r="Y415" t="n">
        <v>180000</v>
      </c>
      <c r="AA415" t="n">
        <v>180000</v>
      </c>
      <c r="AC415" t="inlineStr">
        <is>
          <t>0182130013015</t>
        </is>
      </c>
      <c r="AD415" t="inlineStr">
        <is>
          <t>2020000085310</t>
        </is>
      </c>
      <c r="AE415" t="inlineStr">
        <is>
          <t>FAMILY BUSINESS INC</t>
        </is>
      </c>
      <c r="AF415" t="inlineStr">
        <is>
          <t>AURORA INVESTMENT GROUP LLC</t>
        </is>
      </c>
      <c r="AI415" s="245">
        <f>AND(E415=Subj_OccCode,Subj_BldgSF&gt;0,L415&gt;=Subj_BldgSF*(1-Subj_SizeTol),L415&lt;=Subj_BldgSF*(1+Subj_SizeTol))</f>
        <v/>
      </c>
    </row>
    <row r="416" ht="15" customHeight="1">
      <c r="A416" s="471" t="n">
        <v>8</v>
      </c>
      <c r="B416" s="245" t="n">
        <v>409</v>
      </c>
      <c r="C416" t="inlineStr">
        <is>
          <t>R0097919</t>
        </is>
      </c>
      <c r="D416" t="inlineStr">
        <is>
          <t>2350 E 70TH AVE</t>
        </is>
      </c>
      <c r="E416" t="n">
        <v>406</v>
      </c>
      <c r="G416" t="inlineStr">
        <is>
          <t>5</t>
        </is>
      </c>
      <c r="H416" s="669">
        <f>Y416/J416</f>
        <v/>
      </c>
      <c r="I416" s="670" t="n">
        <v>43188</v>
      </c>
      <c r="J416" t="n">
        <v>6496</v>
      </c>
      <c r="L416" t="n">
        <v>6496</v>
      </c>
      <c r="M416" t="n">
        <v>1999</v>
      </c>
      <c r="P416" t="inlineStr">
        <is>
          <t>Industrial</t>
        </is>
      </c>
      <c r="R416" t="inlineStr">
        <is>
          <t>Average</t>
        </is>
      </c>
      <c r="S416" t="n">
        <v>75611</v>
      </c>
      <c r="T416" s="467">
        <f>S416/J416</f>
        <v/>
      </c>
      <c r="U416" t="inlineStr">
        <is>
          <t>Average</t>
        </is>
      </c>
      <c r="Y416" t="n">
        <v>1410000</v>
      </c>
      <c r="AA416" t="n">
        <v>1410000</v>
      </c>
      <c r="AC416" t="inlineStr">
        <is>
          <t>0182501203002</t>
        </is>
      </c>
      <c r="AD416" t="inlineStr">
        <is>
          <t>2018000025867</t>
        </is>
      </c>
      <c r="AE416" t="inlineStr">
        <is>
          <t>HILLTOP SUBDIVISION, PARTNERSHIP</t>
        </is>
      </c>
      <c r="AF416" t="inlineStr">
        <is>
          <t>MITO REALTY LLC</t>
        </is>
      </c>
      <c r="AI416" s="245">
        <f>AND(E416=Subj_OccCode,Subj_BldgSF&gt;0,L416&gt;=Subj_BldgSF*(1-Subj_SizeTol),L416&lt;=Subj_BldgSF*(1+Subj_SizeTol))</f>
        <v/>
      </c>
    </row>
    <row r="417" ht="15" customHeight="1">
      <c r="A417" s="471" t="n">
        <v>8</v>
      </c>
      <c r="B417" s="245" t="n">
        <v>410</v>
      </c>
      <c r="C417" t="inlineStr">
        <is>
          <t>R0070638</t>
        </is>
      </c>
      <c r="D417" t="inlineStr">
        <is>
          <t>7570  BROADWAY ST</t>
        </is>
      </c>
      <c r="E417" t="n">
        <v>353</v>
      </c>
      <c r="G417" t="inlineStr">
        <is>
          <t>1</t>
        </is>
      </c>
      <c r="H417" s="669">
        <f>Y417/J417</f>
        <v/>
      </c>
      <c r="I417" s="670" t="n">
        <v>43388</v>
      </c>
      <c r="J417" t="n">
        <v>3065</v>
      </c>
      <c r="L417" t="n">
        <v>3065</v>
      </c>
      <c r="M417" t="n">
        <v>1975</v>
      </c>
      <c r="P417" t="inlineStr">
        <is>
          <t>Commercial</t>
        </is>
      </c>
      <c r="R417" t="inlineStr">
        <is>
          <t>Average</t>
        </is>
      </c>
      <c r="S417" t="n">
        <v>35620</v>
      </c>
      <c r="T417" s="467">
        <f>S417/J417</f>
        <v/>
      </c>
      <c r="U417" t="inlineStr">
        <is>
          <t>Average</t>
        </is>
      </c>
      <c r="Y417" t="n">
        <v>750000</v>
      </c>
      <c r="AA417" t="n">
        <v>750000</v>
      </c>
      <c r="AC417" t="inlineStr">
        <is>
          <t>0171934405026</t>
        </is>
      </c>
      <c r="AD417" t="inlineStr">
        <is>
          <t>2018000083713</t>
        </is>
      </c>
      <c r="AE417" t="inlineStr">
        <is>
          <t>ALPHA AND GREEN ENTERPRISES LLC</t>
        </is>
      </c>
      <c r="AF417" t="inlineStr">
        <is>
          <t>ASK LLC</t>
        </is>
      </c>
      <c r="AI417" s="245">
        <f>AND(E417=Subj_OccCode,Subj_BldgSF&gt;0,L417&gt;=Subj_BldgSF*(1-Subj_SizeTol),L417&lt;=Subj_BldgSF*(1+Subj_SizeTol))</f>
        <v/>
      </c>
    </row>
    <row r="418" ht="15" customHeight="1">
      <c r="A418" s="471" t="n">
        <v>8</v>
      </c>
      <c r="B418" s="245" t="n">
        <v>411</v>
      </c>
      <c r="C418" t="inlineStr">
        <is>
          <t>R0103454</t>
        </is>
      </c>
      <c r="D418" t="inlineStr">
        <is>
          <t>6331  WASHINGTON ST</t>
        </is>
      </c>
      <c r="E418" t="n">
        <v>419</v>
      </c>
      <c r="G418" t="inlineStr">
        <is>
          <t>5</t>
        </is>
      </c>
      <c r="H418" s="669">
        <f>Y418/J418</f>
        <v/>
      </c>
      <c r="I418" s="670" t="n">
        <v>44266</v>
      </c>
      <c r="J418" t="n">
        <v>4507</v>
      </c>
      <c r="L418" t="n">
        <v>4507</v>
      </c>
      <c r="M418" t="n">
        <v>1986</v>
      </c>
      <c r="P418" t="inlineStr">
        <is>
          <t>Industrial</t>
        </is>
      </c>
      <c r="R418" t="inlineStr">
        <is>
          <t>Average</t>
        </is>
      </c>
      <c r="S418" t="n">
        <v>77434</v>
      </c>
      <c r="T418" s="467">
        <f>S418/J418</f>
        <v/>
      </c>
      <c r="U418" t="inlineStr">
        <is>
          <t>Average</t>
        </is>
      </c>
      <c r="Y418" t="n">
        <v>2200000</v>
      </c>
      <c r="AA418" t="n">
        <v>2200000</v>
      </c>
      <c r="AC418" t="inlineStr">
        <is>
          <t>0182510101018</t>
        </is>
      </c>
      <c r="AD418" t="inlineStr">
        <is>
          <t>2021000029962</t>
        </is>
      </c>
      <c r="AE418" t="inlineStr">
        <is>
          <t>VAHN LIVING TRUST THE , C/O MATRIX GROUP INC</t>
        </is>
      </c>
      <c r="AF418" t="inlineStr">
        <is>
          <t>BV 64 WA LLC</t>
        </is>
      </c>
      <c r="AI418" s="245">
        <f>AND(E418=Subj_OccCode,Subj_BldgSF&gt;0,L418&gt;=Subj_BldgSF*(1-Subj_SizeTol),L418&lt;=Subj_BldgSF*(1+Subj_SizeTol))</f>
        <v/>
      </c>
    </row>
    <row r="419" ht="15" customHeight="1">
      <c r="A419" s="471" t="n">
        <v>8</v>
      </c>
      <c r="B419" s="245" t="n">
        <v>412</v>
      </c>
      <c r="C419" t="inlineStr">
        <is>
          <t>R0103524</t>
        </is>
      </c>
      <c r="D419" t="inlineStr">
        <is>
          <t>5919  BROADWAY ST</t>
        </is>
      </c>
      <c r="E419" t="n">
        <v>407</v>
      </c>
      <c r="G419" t="inlineStr">
        <is>
          <t>5</t>
        </is>
      </c>
      <c r="H419" s="669">
        <f>Y419/J419</f>
        <v/>
      </c>
      <c r="I419" s="670" t="n">
        <v>44377</v>
      </c>
      <c r="J419" t="n">
        <v>10044</v>
      </c>
      <c r="L419" t="n">
        <v>10044</v>
      </c>
      <c r="M419" t="n">
        <v>1972</v>
      </c>
      <c r="P419" t="inlineStr">
        <is>
          <t>Industrial</t>
        </is>
      </c>
      <c r="R419" t="inlineStr">
        <is>
          <t>Average</t>
        </is>
      </c>
      <c r="S419" t="n">
        <v>45765</v>
      </c>
      <c r="T419" s="467">
        <f>S419/J419</f>
        <v/>
      </c>
      <c r="U419" t="inlineStr">
        <is>
          <t>Average</t>
        </is>
      </c>
      <c r="Y419" t="n">
        <v>1700000</v>
      </c>
      <c r="AA419" t="n">
        <v>1700000</v>
      </c>
      <c r="AC419" t="inlineStr">
        <is>
          <t>0182510301035</t>
        </is>
      </c>
      <c r="AD419" t="inlineStr">
        <is>
          <t>2021000085131</t>
        </is>
      </c>
      <c r="AE419" t="inlineStr">
        <is>
          <t>5919 N BROADWAY LLC</t>
        </is>
      </c>
      <c r="AF419" t="inlineStr">
        <is>
          <t>KUNZMAN MICHAEL AND, CORBITO CARINA</t>
        </is>
      </c>
      <c r="AI419" s="245">
        <f>AND(E419=Subj_OccCode,Subj_BldgSF&gt;0,L419&gt;=Subj_BldgSF*(1-Subj_SizeTol),L419&lt;=Subj_BldgSF*(1+Subj_SizeTol))</f>
        <v/>
      </c>
    </row>
    <row r="420" ht="15" customHeight="1">
      <c r="A420" s="471" t="n">
        <v>8</v>
      </c>
      <c r="B420" s="245" t="n">
        <v>413</v>
      </c>
      <c r="C420" t="inlineStr">
        <is>
          <t>R0002301</t>
        </is>
      </c>
      <c r="D420" t="inlineStr">
        <is>
          <t>1401  BRIDGE ST</t>
        </is>
      </c>
      <c r="E420" t="n">
        <v>344</v>
      </c>
      <c r="F420" t="inlineStr">
        <is>
          <t>BRIGHTON</t>
        </is>
      </c>
      <c r="G420" t="inlineStr">
        <is>
          <t>2</t>
        </is>
      </c>
      <c r="H420" s="669">
        <f>Y420/J420</f>
        <v/>
      </c>
      <c r="I420" s="670" t="n">
        <v>44013</v>
      </c>
      <c r="J420" t="n">
        <v>2500</v>
      </c>
      <c r="L420" t="n">
        <v>2500</v>
      </c>
      <c r="M420" t="n">
        <v>1972</v>
      </c>
      <c r="P420" t="inlineStr">
        <is>
          <t>C-3-Bri</t>
        </is>
      </c>
      <c r="R420" t="inlineStr">
        <is>
          <t>Average</t>
        </is>
      </c>
      <c r="S420" t="n">
        <v>10454.4</v>
      </c>
      <c r="T420" s="467">
        <f>S420/J420</f>
        <v/>
      </c>
      <c r="U420" t="inlineStr">
        <is>
          <t>Average</t>
        </is>
      </c>
      <c r="Y420" t="n">
        <v>735000</v>
      </c>
      <c r="AA420" t="n">
        <v>735000</v>
      </c>
      <c r="AC420" t="inlineStr">
        <is>
          <t>0156905330003</t>
        </is>
      </c>
      <c r="AD420" t="inlineStr">
        <is>
          <t>2020000062454</t>
        </is>
      </c>
      <c r="AE420" t="inlineStr">
        <is>
          <t>MORGAN BRIAN M, MORGAN LINDA LIVING TRUST</t>
        </is>
      </c>
      <c r="AF420" t="inlineStr">
        <is>
          <t>SHOCKLEY MICHELLE</t>
        </is>
      </c>
      <c r="AI420" s="245">
        <f>AND(E420=Subj_OccCode,Subj_BldgSF&gt;0,L420&gt;=Subj_BldgSF*(1-Subj_SizeTol),L420&lt;=Subj_BldgSF*(1+Subj_SizeTol))</f>
        <v/>
      </c>
    </row>
    <row r="421" ht="15" customHeight="1">
      <c r="A421" s="471" t="n">
        <v>8</v>
      </c>
      <c r="B421" s="245" t="n">
        <v>414</v>
      </c>
      <c r="C421" t="inlineStr">
        <is>
          <t>R0085935</t>
        </is>
      </c>
      <c r="D421" t="inlineStr">
        <is>
          <t>15586 E 17TH AVE</t>
        </is>
      </c>
      <c r="E421" t="n">
        <v>407</v>
      </c>
      <c r="F421" t="inlineStr">
        <is>
          <t>AURORA</t>
        </is>
      </c>
      <c r="G421" t="inlineStr">
        <is>
          <t>6</t>
        </is>
      </c>
      <c r="H421" s="669">
        <f>Y421/J421</f>
        <v/>
      </c>
      <c r="I421" s="670" t="n">
        <v>44272</v>
      </c>
      <c r="J421" t="n">
        <v>9800</v>
      </c>
      <c r="L421" t="n">
        <v>9800</v>
      </c>
      <c r="M421" t="n">
        <v>1972</v>
      </c>
      <c r="P421" t="inlineStr">
        <is>
          <t>M-1-Aur</t>
        </is>
      </c>
      <c r="R421" t="inlineStr">
        <is>
          <t>Average</t>
        </is>
      </c>
      <c r="S421" t="n">
        <v>22000</v>
      </c>
      <c r="T421" s="467">
        <f>S421/J421</f>
        <v/>
      </c>
      <c r="U421" t="inlineStr">
        <is>
          <t>Average</t>
        </is>
      </c>
      <c r="Y421" t="n">
        <v>1350000</v>
      </c>
      <c r="AA421" t="n">
        <v>1350000</v>
      </c>
      <c r="AC421" t="inlineStr">
        <is>
          <t>0182132315017</t>
        </is>
      </c>
      <c r="AD421" t="inlineStr">
        <is>
          <t>2021000032615</t>
        </is>
      </c>
      <c r="AE421" t="inlineStr">
        <is>
          <t>STORAGE ONE ELIZABETH LLC</t>
        </is>
      </c>
      <c r="AF421" t="inlineStr">
        <is>
          <t>CASABLANCA LLC</t>
        </is>
      </c>
      <c r="AI421" s="245">
        <f>AND(E421=Subj_OccCode,Subj_BldgSF&gt;0,L421&gt;=Subj_BldgSF*(1-Subj_SizeTol),L421&lt;=Subj_BldgSF*(1+Subj_SizeTol))</f>
        <v/>
      </c>
    </row>
    <row r="422" ht="15" customHeight="1">
      <c r="A422" s="471" t="n">
        <v>8</v>
      </c>
      <c r="B422" s="245" t="n">
        <v>415</v>
      </c>
      <c r="C422" t="inlineStr">
        <is>
          <t>R0004089</t>
        </is>
      </c>
      <c r="D422" t="inlineStr">
        <is>
          <t>301 S MAIN ST #100/#120/#220</t>
        </is>
      </c>
      <c r="E422" t="n">
        <v>353</v>
      </c>
      <c r="F422" t="inlineStr">
        <is>
          <t>BRIGHTON</t>
        </is>
      </c>
      <c r="G422" t="inlineStr">
        <is>
          <t>2</t>
        </is>
      </c>
      <c r="H422" s="669">
        <f>Y422/J422</f>
        <v/>
      </c>
      <c r="I422" s="670" t="n">
        <v>43167</v>
      </c>
      <c r="J422" t="n">
        <v>5800</v>
      </c>
      <c r="L422" t="n">
        <v>5800</v>
      </c>
      <c r="M422" t="n">
        <v>1920</v>
      </c>
      <c r="P422" t="inlineStr">
        <is>
          <t>Brighton</t>
        </is>
      </c>
      <c r="R422" t="inlineStr">
        <is>
          <t>Average</t>
        </is>
      </c>
      <c r="S422" t="n">
        <v>13000</v>
      </c>
      <c r="T422" s="467">
        <f>S422/J422</f>
        <v/>
      </c>
      <c r="U422" t="inlineStr">
        <is>
          <t>Average</t>
        </is>
      </c>
      <c r="Y422" t="n">
        <v>565000</v>
      </c>
      <c r="AA422" t="n">
        <v>565000</v>
      </c>
      <c r="AC422" t="inlineStr">
        <is>
          <t>0156907220001</t>
        </is>
      </c>
      <c r="AD422" t="inlineStr">
        <is>
          <t>2018000019867</t>
        </is>
      </c>
      <c r="AE422" t="inlineStr">
        <is>
          <t>ROBB INC</t>
        </is>
      </c>
      <c r="AF422" t="inlineStr">
        <is>
          <t>301 SOUTH MAIN LLC</t>
        </is>
      </c>
      <c r="AI422" s="245">
        <f>AND(E422=Subj_OccCode,Subj_BldgSF&gt;0,L422&gt;=Subj_BldgSF*(1-Subj_SizeTol),L422&lt;=Subj_BldgSF*(1+Subj_SizeTol))</f>
        <v/>
      </c>
    </row>
    <row r="423" ht="15" customHeight="1">
      <c r="A423" s="471" t="n">
        <v>8</v>
      </c>
      <c r="B423" s="245" t="n">
        <v>416</v>
      </c>
      <c r="C423" t="inlineStr">
        <is>
          <t>R0070612</t>
        </is>
      </c>
      <c r="D423" t="inlineStr">
        <is>
          <t>7261  WASHINGTON ST</t>
        </is>
      </c>
      <c r="E423" t="n">
        <v>344</v>
      </c>
      <c r="G423" t="inlineStr">
        <is>
          <t>2</t>
        </is>
      </c>
      <c r="H423" s="669">
        <f>Y423/J423</f>
        <v/>
      </c>
      <c r="I423" s="670" t="n">
        <v>43329</v>
      </c>
      <c r="J423" t="n">
        <v>1032</v>
      </c>
      <c r="L423" t="n">
        <v>1032</v>
      </c>
      <c r="M423" t="n">
        <v>1952</v>
      </c>
      <c r="P423" t="inlineStr">
        <is>
          <t>Industrial</t>
        </is>
      </c>
      <c r="R423" t="inlineStr">
        <is>
          <t>Average</t>
        </is>
      </c>
      <c r="S423" t="n">
        <v>25089</v>
      </c>
      <c r="T423" s="467">
        <f>S423/J423</f>
        <v/>
      </c>
      <c r="U423" t="inlineStr">
        <is>
          <t>Average</t>
        </is>
      </c>
      <c r="Y423" t="n">
        <v>675000</v>
      </c>
      <c r="AA423" t="n">
        <v>675000</v>
      </c>
      <c r="AC423" t="inlineStr">
        <is>
          <t>0171934400017</t>
        </is>
      </c>
      <c r="AD423" t="inlineStr">
        <is>
          <t>2018000067503</t>
        </is>
      </c>
      <c r="AE423" t="inlineStr">
        <is>
          <t>J D STEEL COMPANY INC</t>
        </is>
      </c>
      <c r="AF423" t="inlineStr">
        <is>
          <t>ABP INVESTMENTS LLC</t>
        </is>
      </c>
      <c r="AI423" s="245">
        <f>AND(E423=Subj_OccCode,Subj_BldgSF&gt;0,L423&gt;=Subj_BldgSF*(1-Subj_SizeTol),L423&lt;=Subj_BldgSF*(1+Subj_SizeTol))</f>
        <v/>
      </c>
    </row>
    <row r="424" ht="15" customHeight="1">
      <c r="A424" s="471" t="n">
        <v>8</v>
      </c>
      <c r="B424" s="245" t="n">
        <v>417</v>
      </c>
      <c r="C424" t="inlineStr">
        <is>
          <t>R0079895</t>
        </is>
      </c>
      <c r="D424" t="inlineStr">
        <is>
          <t>7255  MONACO ST</t>
        </is>
      </c>
      <c r="E424" t="n">
        <v>353</v>
      </c>
      <c r="F424" t="inlineStr">
        <is>
          <t>COMMERCE CITY</t>
        </is>
      </c>
      <c r="G424" t="inlineStr">
        <is>
          <t>5</t>
        </is>
      </c>
      <c r="H424" s="669">
        <f>Y424/J424</f>
        <v/>
      </c>
      <c r="I424" s="670" t="n">
        <v>43656</v>
      </c>
      <c r="J424" t="n">
        <v>10051</v>
      </c>
      <c r="L424" t="n">
        <v>10051</v>
      </c>
      <c r="M424" t="n">
        <v>1947</v>
      </c>
      <c r="P424" t="inlineStr">
        <is>
          <t>PUD-Com</t>
        </is>
      </c>
      <c r="R424" t="inlineStr">
        <is>
          <t>Average</t>
        </is>
      </c>
      <c r="S424" t="n">
        <v>18037</v>
      </c>
      <c r="T424" s="467">
        <f>S424/J424</f>
        <v/>
      </c>
      <c r="U424" t="inlineStr">
        <is>
          <t>Average</t>
        </is>
      </c>
      <c r="Y424" t="n">
        <v>700000</v>
      </c>
      <c r="AA424" t="n">
        <v>700000</v>
      </c>
      <c r="AC424" t="inlineStr">
        <is>
          <t>0172132423004</t>
        </is>
      </c>
      <c r="AD424" t="inlineStr">
        <is>
          <t>2019000054378</t>
        </is>
      </c>
      <c r="AE424" t="inlineStr">
        <is>
          <t>BEHESHTI ABBAS S</t>
        </is>
      </c>
      <c r="AF424" t="inlineStr">
        <is>
          <t>MUNOZ ROGELIO AND, MUNOZ ALICIA</t>
        </is>
      </c>
      <c r="AI424" s="245">
        <f>AND(E424=Subj_OccCode,Subj_BldgSF&gt;0,L424&gt;=Subj_BldgSF*(1-Subj_SizeTol),L424&lt;=Subj_BldgSF*(1+Subj_SizeTol))</f>
        <v/>
      </c>
    </row>
    <row r="425" ht="15" customHeight="1">
      <c r="A425" s="471" t="n">
        <v>8</v>
      </c>
      <c r="B425" s="245" t="n">
        <v>418</v>
      </c>
      <c r="C425" t="inlineStr">
        <is>
          <t>R0110650</t>
        </is>
      </c>
      <c r="D425" t="inlineStr">
        <is>
          <t>12485  GRANT ST</t>
        </is>
      </c>
      <c r="E425" t="n">
        <v>344</v>
      </c>
      <c r="F425" t="inlineStr">
        <is>
          <t>THORNTON</t>
        </is>
      </c>
      <c r="G425" t="inlineStr">
        <is>
          <t>3</t>
        </is>
      </c>
      <c r="H425" s="669">
        <f>Y425/J425</f>
        <v/>
      </c>
      <c r="I425" s="670" t="n">
        <v>44442</v>
      </c>
      <c r="J425" t="n">
        <v>55107</v>
      </c>
      <c r="L425" t="n">
        <v>55107</v>
      </c>
      <c r="M425" t="n">
        <v>1980</v>
      </c>
      <c r="P425" t="inlineStr">
        <is>
          <t>Business Park</t>
        </is>
      </c>
      <c r="R425" t="inlineStr">
        <is>
          <t>Average</t>
        </is>
      </c>
      <c r="S425" t="n">
        <v>318656</v>
      </c>
      <c r="T425" s="467">
        <f>S425/J425</f>
        <v/>
      </c>
      <c r="U425" t="inlineStr">
        <is>
          <t>Average</t>
        </is>
      </c>
      <c r="Y425" t="n">
        <v>7800000</v>
      </c>
      <c r="AA425" t="n">
        <v>7800000</v>
      </c>
      <c r="AC425" t="inlineStr">
        <is>
          <t>0157334009029</t>
        </is>
      </c>
      <c r="AD425" t="inlineStr">
        <is>
          <t>2021000105569</t>
        </is>
      </c>
      <c r="AE425" t="inlineStr">
        <is>
          <t>WASHINGTON SQUARE PARTNERS LLC</t>
        </is>
      </c>
      <c r="AF425" t="inlineStr">
        <is>
          <t>SCROLL PROPERTIES LLC</t>
        </is>
      </c>
      <c r="AI425" s="245">
        <f>AND(E425=Subj_OccCode,Subj_BldgSF&gt;0,L425&gt;=Subj_BldgSF*(1-Subj_SizeTol),L425&lt;=Subj_BldgSF*(1+Subj_SizeTol))</f>
        <v/>
      </c>
    </row>
    <row r="426" ht="15" customHeight="1">
      <c r="A426" s="471" t="n">
        <v>8</v>
      </c>
      <c r="B426" s="245" t="n">
        <v>419</v>
      </c>
      <c r="C426" t="inlineStr">
        <is>
          <t>R0092347</t>
        </is>
      </c>
      <c r="D426" t="inlineStr">
        <is>
          <t>5311  NIAGARA ST</t>
        </is>
      </c>
      <c r="E426" t="n">
        <v>407</v>
      </c>
      <c r="F426" t="inlineStr">
        <is>
          <t>COMMERCE CITY</t>
        </is>
      </c>
      <c r="G426" t="inlineStr">
        <is>
          <t>5</t>
        </is>
      </c>
      <c r="H426" s="669">
        <f>Y426/J426</f>
        <v/>
      </c>
      <c r="I426" s="670" t="n">
        <v>44378</v>
      </c>
      <c r="J426" t="n">
        <v>23344</v>
      </c>
      <c r="L426" t="n">
        <v>23344</v>
      </c>
      <c r="M426" t="n">
        <v>1984</v>
      </c>
      <c r="P426" t="inlineStr">
        <is>
          <t>I-2-Com</t>
        </is>
      </c>
      <c r="R426" t="inlineStr">
        <is>
          <t>Average</t>
        </is>
      </c>
      <c r="S426" t="n">
        <v>51674</v>
      </c>
      <c r="T426" s="467">
        <f>S426/J426</f>
        <v/>
      </c>
      <c r="U426" t="inlineStr">
        <is>
          <t>Average</t>
        </is>
      </c>
      <c r="Y426" t="n">
        <v>2450000</v>
      </c>
      <c r="AA426" t="n">
        <v>2450000</v>
      </c>
      <c r="AC426" t="inlineStr">
        <is>
          <t>0182317103057</t>
        </is>
      </c>
      <c r="AD426" t="inlineStr">
        <is>
          <t>2021000079773</t>
        </is>
      </c>
      <c r="AE426" t="inlineStr">
        <is>
          <t>JACOBS BRENDA SUE</t>
        </is>
      </c>
      <c r="AF426" t="inlineStr">
        <is>
          <t>BRE INVESTMENTS LTD AND, BAMA LLC</t>
        </is>
      </c>
      <c r="AI426" s="245">
        <f>AND(E426=Subj_OccCode,Subj_BldgSF&gt;0,L426&gt;=Subj_BldgSF*(1-Subj_SizeTol),L426&lt;=Subj_BldgSF*(1+Subj_SizeTol))</f>
        <v/>
      </c>
    </row>
    <row r="427" ht="15" customHeight="1">
      <c r="A427" s="471" t="n">
        <v>8</v>
      </c>
      <c r="B427" s="245" t="n">
        <v>420</v>
      </c>
      <c r="C427" t="inlineStr">
        <is>
          <t>R0083500</t>
        </is>
      </c>
      <c r="D427" t="inlineStr">
        <is>
          <t>37400 ASTRA WY</t>
        </is>
      </c>
      <c r="E427" t="n">
        <v>328</v>
      </c>
      <c r="G427" t="inlineStr">
        <is>
          <t>6</t>
        </is>
      </c>
      <c r="H427" s="669">
        <f>Y427/J427</f>
        <v/>
      </c>
      <c r="I427" s="670" t="n">
        <v>43287</v>
      </c>
      <c r="J427" t="n">
        <v>960</v>
      </c>
      <c r="L427" t="n">
        <v>960</v>
      </c>
      <c r="M427" t="n">
        <v>1997</v>
      </c>
      <c r="P427" t="inlineStr">
        <is>
          <t>Agricultural</t>
        </is>
      </c>
      <c r="R427" t="inlineStr">
        <is>
          <t>Average</t>
        </is>
      </c>
      <c r="S427" t="n">
        <v>0</v>
      </c>
      <c r="T427" s="467">
        <f>S427/J427</f>
        <v/>
      </c>
      <c r="U427" t="inlineStr">
        <is>
          <t>Average</t>
        </is>
      </c>
      <c r="Y427" t="n">
        <v>33000</v>
      </c>
      <c r="AA427" t="n">
        <v>33000</v>
      </c>
      <c r="AC427" t="inlineStr">
        <is>
          <t>0181716403003</t>
        </is>
      </c>
      <c r="AD427" t="inlineStr">
        <is>
          <t>2018000054935</t>
        </is>
      </c>
      <c r="AE427" t="inlineStr">
        <is>
          <t>GOWAN SUSAN</t>
        </is>
      </c>
      <c r="AF427" t="inlineStr">
        <is>
          <t>SENN DAVID M, SENN DONNA M</t>
        </is>
      </c>
      <c r="AI427" s="245">
        <f>AND(E427=Subj_OccCode,Subj_BldgSF&gt;0,L427&gt;=Subj_BldgSF*(1-Subj_SizeTol),L427&lt;=Subj_BldgSF*(1+Subj_SizeTol))</f>
        <v/>
      </c>
    </row>
    <row r="428" ht="15" customHeight="1">
      <c r="A428" s="471" t="n">
        <v>8</v>
      </c>
      <c r="B428" s="245" t="n">
        <v>421</v>
      </c>
      <c r="C428" t="inlineStr">
        <is>
          <t>R0077930</t>
        </is>
      </c>
      <c r="D428" t="inlineStr">
        <is>
          <t>4365 E 74TH AVE</t>
        </is>
      </c>
      <c r="E428" t="n">
        <v>325</v>
      </c>
      <c r="F428" t="inlineStr">
        <is>
          <t>COMMERCE CITY</t>
        </is>
      </c>
      <c r="G428" t="inlineStr">
        <is>
          <t>5</t>
        </is>
      </c>
      <c r="H428" s="669">
        <f>Y428/J428</f>
        <v/>
      </c>
      <c r="I428" s="670" t="n">
        <v>44732</v>
      </c>
      <c r="J428" t="n">
        <v>5400</v>
      </c>
      <c r="L428" t="n">
        <v>5400</v>
      </c>
      <c r="M428" t="n">
        <v>1972</v>
      </c>
      <c r="P428" t="inlineStr">
        <is>
          <t>I-2-Com</t>
        </is>
      </c>
      <c r="R428" t="inlineStr">
        <is>
          <t>Average</t>
        </is>
      </c>
      <c r="S428" t="n">
        <v>143744</v>
      </c>
      <c r="T428" s="467">
        <f>S428/J428</f>
        <v/>
      </c>
      <c r="U428" t="inlineStr">
        <is>
          <t>Average</t>
        </is>
      </c>
      <c r="Y428" t="n">
        <v>2300000</v>
      </c>
      <c r="AA428" t="n">
        <v>2300000</v>
      </c>
      <c r="AC428" t="inlineStr">
        <is>
          <t>0172131312001</t>
        </is>
      </c>
      <c r="AD428" t="inlineStr">
        <is>
          <t>2022000054867</t>
        </is>
      </c>
      <c r="AE428" t="inlineStr">
        <is>
          <t>MAGNOLIA ENTERPRISES LLC</t>
        </is>
      </c>
      <c r="AF428" t="inlineStr">
        <is>
          <t>CCS LAND ACQUISITION LLC</t>
        </is>
      </c>
      <c r="AI428" s="245">
        <f>AND(E428=Subj_OccCode,Subj_BldgSF&gt;0,L428&gt;=Subj_BldgSF*(1-Subj_SizeTol),L428&lt;=Subj_BldgSF*(1+Subj_SizeTol))</f>
        <v/>
      </c>
    </row>
    <row r="429" ht="15" customHeight="1">
      <c r="A429" s="471" t="n">
        <v>8</v>
      </c>
      <c r="B429" s="245" t="n">
        <v>422</v>
      </c>
      <c r="C429" t="inlineStr">
        <is>
          <t>R0091005</t>
        </is>
      </c>
      <c r="D429" t="inlineStr">
        <is>
          <t>5678  EUDORA ST</t>
        </is>
      </c>
      <c r="E429" t="n">
        <v>407</v>
      </c>
      <c r="F429" t="inlineStr">
        <is>
          <t>COMMERCE CITY</t>
        </is>
      </c>
      <c r="G429" t="inlineStr">
        <is>
          <t>5</t>
        </is>
      </c>
      <c r="H429" s="669">
        <f>Y429/J429</f>
        <v/>
      </c>
      <c r="I429" s="670" t="n">
        <v>44008</v>
      </c>
      <c r="J429" t="n">
        <v>21870</v>
      </c>
      <c r="L429" t="n">
        <v>21870</v>
      </c>
      <c r="M429" t="n">
        <v>1967</v>
      </c>
      <c r="P429" t="inlineStr">
        <is>
          <t>I-2-Com</t>
        </is>
      </c>
      <c r="R429" t="inlineStr">
        <is>
          <t>Average</t>
        </is>
      </c>
      <c r="S429" t="n">
        <v>73616</v>
      </c>
      <c r="T429" s="467">
        <f>S429/J429</f>
        <v/>
      </c>
      <c r="U429" t="inlineStr">
        <is>
          <t>Average</t>
        </is>
      </c>
      <c r="Y429" t="n">
        <v>2500000</v>
      </c>
      <c r="AA429" t="n">
        <v>2500000</v>
      </c>
      <c r="AC429" t="inlineStr">
        <is>
          <t>0182307400035</t>
        </is>
      </c>
      <c r="AD429" t="inlineStr">
        <is>
          <t>2020000073591</t>
        </is>
      </c>
      <c r="AE429" t="inlineStr">
        <is>
          <t>BOWLING ROY E</t>
        </is>
      </c>
      <c r="AF429" t="inlineStr">
        <is>
          <t>DEF 5678 LLC</t>
        </is>
      </c>
      <c r="AI429" s="245">
        <f>AND(E429=Subj_OccCode,Subj_BldgSF&gt;0,L429&gt;=Subj_BldgSF*(1-Subj_SizeTol),L429&lt;=Subj_BldgSF*(1+Subj_SizeTol))</f>
        <v/>
      </c>
    </row>
    <row r="430" ht="15" customHeight="1">
      <c r="A430" s="471" t="n">
        <v>8</v>
      </c>
      <c r="B430" s="245" t="n">
        <v>423</v>
      </c>
      <c r="C430" t="inlineStr">
        <is>
          <t>R0098068</t>
        </is>
      </c>
      <c r="D430" t="inlineStr">
        <is>
          <t>851 E 71ST AVE #B2</t>
        </is>
      </c>
      <c r="E430" t="n">
        <v>425</v>
      </c>
      <c r="G430" t="inlineStr">
        <is>
          <t>5</t>
        </is>
      </c>
      <c r="H430" s="669">
        <f>Y430/J430</f>
        <v/>
      </c>
      <c r="I430" s="670" t="n">
        <v>43568</v>
      </c>
      <c r="J430" t="n">
        <v>1000</v>
      </c>
      <c r="L430" t="n">
        <v>1000</v>
      </c>
      <c r="M430" t="n">
        <v>1984</v>
      </c>
      <c r="P430" t="inlineStr">
        <is>
          <t>Industrial</t>
        </is>
      </c>
      <c r="R430" t="inlineStr">
        <is>
          <t>Average</t>
        </is>
      </c>
      <c r="S430" t="n">
        <v>2893</v>
      </c>
      <c r="T430" s="467">
        <f>S430/J430</f>
        <v/>
      </c>
      <c r="U430" t="inlineStr">
        <is>
          <t>Average</t>
        </is>
      </c>
      <c r="Y430" t="n">
        <v>170000</v>
      </c>
      <c r="AA430" t="n">
        <v>170000</v>
      </c>
      <c r="AC430" t="inlineStr">
        <is>
          <t>0182502203032</t>
        </is>
      </c>
      <c r="AD430" t="inlineStr">
        <is>
          <t>2019000033494</t>
        </is>
      </c>
      <c r="AE430" t="inlineStr">
        <is>
          <t>CARJO LLC</t>
        </is>
      </c>
      <c r="AF430" t="inlineStr">
        <is>
          <t>A &amp; B PROPERTY LLC</t>
        </is>
      </c>
      <c r="AI430" s="245">
        <f>AND(E430=Subj_OccCode,Subj_BldgSF&gt;0,L430&gt;=Subj_BldgSF*(1-Subj_SizeTol),L430&lt;=Subj_BldgSF*(1+Subj_SizeTol))</f>
        <v/>
      </c>
    </row>
    <row r="431" ht="15" customHeight="1">
      <c r="A431" s="471" t="n">
        <v>8</v>
      </c>
      <c r="B431" s="245" t="n">
        <v>424</v>
      </c>
      <c r="C431" t="inlineStr">
        <is>
          <t>R0093920</t>
        </is>
      </c>
      <c r="D431" t="inlineStr">
        <is>
          <t>11799 E 30TH AVE</t>
        </is>
      </c>
      <c r="E431" t="n">
        <v>407</v>
      </c>
      <c r="F431" t="inlineStr">
        <is>
          <t>AURORA</t>
        </is>
      </c>
      <c r="G431" t="inlineStr">
        <is>
          <t>6</t>
        </is>
      </c>
      <c r="H431" s="669">
        <f>Y431/J431</f>
        <v/>
      </c>
      <c r="I431" s="670" t="n">
        <v>44312</v>
      </c>
      <c r="J431" t="n">
        <v>15040</v>
      </c>
      <c r="L431" t="n">
        <v>15040</v>
      </c>
      <c r="M431" t="n">
        <v>1966</v>
      </c>
      <c r="P431" t="inlineStr">
        <is>
          <t>M-3</t>
        </is>
      </c>
      <c r="R431" t="inlineStr">
        <is>
          <t>Average</t>
        </is>
      </c>
      <c r="S431" t="n">
        <v>35793</v>
      </c>
      <c r="T431" s="467">
        <f>S431/J431</f>
        <v/>
      </c>
      <c r="U431" t="inlineStr">
        <is>
          <t>Average</t>
        </is>
      </c>
      <c r="Y431" t="n">
        <v>1675000</v>
      </c>
      <c r="AA431" t="n">
        <v>1675000</v>
      </c>
      <c r="AC431" t="inlineStr">
        <is>
          <t>0182326402005</t>
        </is>
      </c>
      <c r="AD431" t="inlineStr">
        <is>
          <t>2021000051705</t>
        </is>
      </c>
      <c r="AE431" t="inlineStr">
        <is>
          <t>COLORADO MUSTANG, SPECIALISTS INC</t>
        </is>
      </c>
      <c r="AF431" t="inlineStr">
        <is>
          <t>BIGFOOT PARADISE LLC</t>
        </is>
      </c>
      <c r="AI431" s="245">
        <f>AND(E431=Subj_OccCode,Subj_BldgSF&gt;0,L431&gt;=Subj_BldgSF*(1-Subj_SizeTol),L431&lt;=Subj_BldgSF*(1+Subj_SizeTol))</f>
        <v/>
      </c>
    </row>
    <row r="432" ht="15" customHeight="1">
      <c r="A432" s="471" t="n">
        <v>8</v>
      </c>
      <c r="B432" s="245" t="n">
        <v>425</v>
      </c>
      <c r="C432" t="inlineStr">
        <is>
          <t>R0004286</t>
        </is>
      </c>
      <c r="D432" t="inlineStr">
        <is>
          <t>101  JESSUP ST</t>
        </is>
      </c>
      <c r="E432" t="n">
        <v>325</v>
      </c>
      <c r="F432" t="inlineStr">
        <is>
          <t>BRIGHTON</t>
        </is>
      </c>
      <c r="G432" t="inlineStr">
        <is>
          <t>2</t>
        </is>
      </c>
      <c r="H432" s="669">
        <f>Y432/J432</f>
        <v/>
      </c>
      <c r="I432" s="670" t="n">
        <v>44029</v>
      </c>
      <c r="J432" t="n">
        <v>2600</v>
      </c>
      <c r="L432" t="n">
        <v>2600</v>
      </c>
      <c r="M432" t="n">
        <v>1957</v>
      </c>
      <c r="P432" t="inlineStr">
        <is>
          <t>R-2-Bri</t>
        </is>
      </c>
      <c r="R432" t="inlineStr">
        <is>
          <t>Average</t>
        </is>
      </c>
      <c r="S432" t="n">
        <v>10620</v>
      </c>
      <c r="T432" s="467">
        <f>S432/J432</f>
        <v/>
      </c>
      <c r="U432" t="inlineStr">
        <is>
          <t>Average</t>
        </is>
      </c>
      <c r="Y432" t="n">
        <v>480000</v>
      </c>
      <c r="AA432" t="n">
        <v>480000</v>
      </c>
      <c r="AC432" t="inlineStr">
        <is>
          <t>0156907305013</t>
        </is>
      </c>
      <c r="AD432" t="inlineStr">
        <is>
          <t>2020000072830</t>
        </is>
      </c>
      <c r="AE432" t="inlineStr">
        <is>
          <t>MILLER STEVEN D</t>
        </is>
      </c>
      <c r="AF432" t="inlineStr">
        <is>
          <t>101 JESSUP ST HOLDINGS LLC</t>
        </is>
      </c>
      <c r="AI432" s="245">
        <f>AND(E432=Subj_OccCode,Subj_BldgSF&gt;0,L432&gt;=Subj_BldgSF*(1-Subj_SizeTol),L432&lt;=Subj_BldgSF*(1+Subj_SizeTol))</f>
        <v/>
      </c>
    </row>
    <row r="433" ht="15" customHeight="1">
      <c r="A433" s="471" t="n">
        <v>8</v>
      </c>
      <c r="B433" s="245" t="n">
        <v>426</v>
      </c>
      <c r="C433" t="inlineStr">
        <is>
          <t>R0082499</t>
        </is>
      </c>
      <c r="D433" t="inlineStr">
        <is>
          <t>48000 E 38TH AVE</t>
        </is>
      </c>
      <c r="E433" t="n">
        <v>406</v>
      </c>
      <c r="F433" t="inlineStr">
        <is>
          <t>BENNETT</t>
        </is>
      </c>
      <c r="G433" t="inlineStr">
        <is>
          <t>1</t>
        </is>
      </c>
      <c r="H433" s="669">
        <f>Y433/J433</f>
        <v/>
      </c>
      <c r="I433" s="670" t="n">
        <v>43784</v>
      </c>
      <c r="J433" t="n">
        <v>11000</v>
      </c>
      <c r="L433" t="n">
        <v>11000</v>
      </c>
      <c r="M433" t="n">
        <v>1998</v>
      </c>
      <c r="P433" t="inlineStr">
        <is>
          <t>Agricultural</t>
        </is>
      </c>
      <c r="R433" t="inlineStr">
        <is>
          <t>Average</t>
        </is>
      </c>
      <c r="S433" t="n">
        <v>218235.6</v>
      </c>
      <c r="T433" s="467">
        <f>S433/J433</f>
        <v/>
      </c>
      <c r="U433" t="inlineStr">
        <is>
          <t>Average</t>
        </is>
      </c>
      <c r="Y433" t="n">
        <v>1000000</v>
      </c>
      <c r="AA433" t="n">
        <v>1000000</v>
      </c>
      <c r="AC433" t="inlineStr">
        <is>
          <t>0181527200039</t>
        </is>
      </c>
      <c r="AD433" t="inlineStr">
        <is>
          <t>2019000099747</t>
        </is>
      </c>
      <c r="AE433" t="inlineStr">
        <is>
          <t>48000 EAST 38TH AVENUE LLC</t>
        </is>
      </c>
      <c r="AF433" t="inlineStr">
        <is>
          <t>RD MORRIS LLC</t>
        </is>
      </c>
      <c r="AI433" s="245">
        <f>AND(E433=Subj_OccCode,Subj_BldgSF&gt;0,L433&gt;=Subj_BldgSF*(1-Subj_SizeTol),L433&lt;=Subj_BldgSF*(1+Subj_SizeTol))</f>
        <v/>
      </c>
    </row>
    <row r="434" ht="15" customHeight="1">
      <c r="A434" s="471" t="n">
        <v>8</v>
      </c>
      <c r="B434" s="245" t="n">
        <v>428</v>
      </c>
      <c r="C434" t="inlineStr">
        <is>
          <t>R0098140</t>
        </is>
      </c>
      <c r="D434" t="inlineStr">
        <is>
          <t>6443  DOWNING ST</t>
        </is>
      </c>
      <c r="E434" t="n">
        <v>406</v>
      </c>
      <c r="G434" t="inlineStr">
        <is>
          <t>5</t>
        </is>
      </c>
      <c r="H434" s="669">
        <f>Y434/J434</f>
        <v/>
      </c>
      <c r="I434" s="670" t="n">
        <v>43647</v>
      </c>
      <c r="J434" t="n">
        <v>7500</v>
      </c>
      <c r="L434" t="n">
        <v>7500</v>
      </c>
      <c r="M434" t="n">
        <v>1975</v>
      </c>
      <c r="P434" t="inlineStr">
        <is>
          <t>Industrial</t>
        </is>
      </c>
      <c r="R434" t="inlineStr">
        <is>
          <t>Average</t>
        </is>
      </c>
      <c r="S434" t="n">
        <v>17032</v>
      </c>
      <c r="T434" s="467">
        <f>S434/J434</f>
        <v/>
      </c>
      <c r="U434" t="inlineStr">
        <is>
          <t>Average</t>
        </is>
      </c>
      <c r="Y434" t="n">
        <v>1025000</v>
      </c>
      <c r="AA434" t="n">
        <v>1025000</v>
      </c>
      <c r="AC434" t="inlineStr">
        <is>
          <t>0182502306013</t>
        </is>
      </c>
      <c r="AD434" t="inlineStr">
        <is>
          <t>2019000051492</t>
        </is>
      </c>
      <c r="AE434" t="inlineStr">
        <is>
          <t>COSGROVE PROPERTIES LLC</t>
        </is>
      </c>
      <c r="AF434" t="inlineStr">
        <is>
          <t>BRAP AND BEANS LLC</t>
        </is>
      </c>
      <c r="AI434" s="245">
        <f>AND(E434=Subj_OccCode,Subj_BldgSF&gt;0,L434&gt;=Subj_BldgSF*(1-Subj_SizeTol),L434&lt;=Subj_BldgSF*(1+Subj_SizeTol))</f>
        <v/>
      </c>
    </row>
    <row r="435" ht="15" customHeight="1">
      <c r="A435" s="471" t="n">
        <v>8</v>
      </c>
      <c r="B435" s="245" t="n">
        <v>429</v>
      </c>
      <c r="C435" t="inlineStr">
        <is>
          <t>R0103758</t>
        </is>
      </c>
      <c r="D435" t="inlineStr">
        <is>
          <t>5951  MARION DR</t>
        </is>
      </c>
      <c r="E435" t="n">
        <v>407</v>
      </c>
      <c r="G435" t="inlineStr">
        <is>
          <t>5</t>
        </is>
      </c>
      <c r="H435" s="669">
        <f>Y435/J435</f>
        <v/>
      </c>
      <c r="I435" s="670" t="n">
        <v>43725</v>
      </c>
      <c r="J435" t="n">
        <v>12000</v>
      </c>
      <c r="L435" t="n">
        <v>12000</v>
      </c>
      <c r="M435" t="n">
        <v>1979</v>
      </c>
      <c r="P435" t="inlineStr">
        <is>
          <t>Industrial</t>
        </is>
      </c>
      <c r="R435" t="inlineStr">
        <is>
          <t>Average</t>
        </is>
      </c>
      <c r="S435" t="n">
        <v>35292</v>
      </c>
      <c r="T435" s="467">
        <f>S435/J435</f>
        <v/>
      </c>
      <c r="U435" t="inlineStr">
        <is>
          <t>Average</t>
        </is>
      </c>
      <c r="Y435" t="n">
        <v>1700000</v>
      </c>
      <c r="AA435" t="n">
        <v>1700000</v>
      </c>
      <c r="AC435" t="inlineStr">
        <is>
          <t>0182511308016</t>
        </is>
      </c>
      <c r="AD435" t="inlineStr">
        <is>
          <t>2019000077671</t>
        </is>
      </c>
      <c r="AE435" t="inlineStr">
        <is>
          <t>ROCKINH INVESTMENTS LLC</t>
        </is>
      </c>
      <c r="AF435" t="inlineStr">
        <is>
          <t>JW HOLDINGS LLC</t>
        </is>
      </c>
      <c r="AI435" s="245">
        <f>AND(E435=Subj_OccCode,Subj_BldgSF&gt;0,L435&gt;=Subj_BldgSF*(1-Subj_SizeTol),L435&lt;=Subj_BldgSF*(1+Subj_SizeTol))</f>
        <v/>
      </c>
    </row>
    <row r="436" ht="15" customHeight="1">
      <c r="A436" s="471" t="n">
        <v>8</v>
      </c>
      <c r="B436" s="245" t="n">
        <v>430</v>
      </c>
      <c r="C436" t="inlineStr">
        <is>
          <t>R0114338</t>
        </is>
      </c>
      <c r="D436" t="inlineStr">
        <is>
          <t>18875  BROMLEY ST</t>
        </is>
      </c>
      <c r="E436" t="n">
        <v>584</v>
      </c>
      <c r="F436" t="inlineStr">
        <is>
          <t>BRIGHTON</t>
        </is>
      </c>
      <c r="G436" t="inlineStr">
        <is>
          <t>2</t>
        </is>
      </c>
      <c r="H436" s="669">
        <f>Y436/J436</f>
        <v/>
      </c>
      <c r="I436" s="670" t="n">
        <v>43367</v>
      </c>
      <c r="J436" t="n">
        <v>1305700</v>
      </c>
      <c r="L436" t="n">
        <v>1305700</v>
      </c>
      <c r="M436" t="n">
        <v>1994</v>
      </c>
      <c r="P436" t="inlineStr">
        <is>
          <t>Brighton</t>
        </is>
      </c>
      <c r="R436" t="inlineStr">
        <is>
          <t>Average</t>
        </is>
      </c>
      <c r="S436" t="n">
        <v>4499970</v>
      </c>
      <c r="T436" s="467">
        <f>S436/J436</f>
        <v/>
      </c>
      <c r="U436" t="inlineStr">
        <is>
          <t>Average</t>
        </is>
      </c>
      <c r="Y436" t="n">
        <v>40750000</v>
      </c>
      <c r="AA436" t="n">
        <v>40750000</v>
      </c>
      <c r="AC436" t="inlineStr">
        <is>
          <t>0156900022003</t>
        </is>
      </c>
      <c r="AD436" t="inlineStr">
        <is>
          <t>2018000080179</t>
        </is>
      </c>
      <c r="AE436" t="inlineStr">
        <is>
          <t>BRIGHTON LEASE MANAGEMENT LLC, PROPERTY TAX COMPLIANCE</t>
        </is>
      </c>
      <c r="AF436" t="inlineStr">
        <is>
          <t>STARBOARD PLATFORM BRIGHTON JV LLC, C/O STARBOARD REALTY PARTNERS</t>
        </is>
      </c>
      <c r="AI436" s="245">
        <f>AND(E436=Subj_OccCode,Subj_BldgSF&gt;0,L436&gt;=Subj_BldgSF*(1-Subj_SizeTol),L436&lt;=Subj_BldgSF*(1+Subj_SizeTol))</f>
        <v/>
      </c>
    </row>
    <row r="437" ht="15" customHeight="1">
      <c r="A437" s="471" t="n">
        <v>8</v>
      </c>
      <c r="B437" s="245" t="n">
        <v>431</v>
      </c>
      <c r="C437" t="inlineStr">
        <is>
          <t>R0086219</t>
        </is>
      </c>
      <c r="D437" t="inlineStr">
        <is>
          <t>17800 E 22ND AVE</t>
        </is>
      </c>
      <c r="E437" t="n">
        <v>407</v>
      </c>
      <c r="F437" t="inlineStr">
        <is>
          <t>AURORA</t>
        </is>
      </c>
      <c r="G437" t="inlineStr">
        <is>
          <t>6</t>
        </is>
      </c>
      <c r="H437" s="669">
        <f>Y437/J437</f>
        <v/>
      </c>
      <c r="I437" s="670" t="n">
        <v>43208</v>
      </c>
      <c r="J437" t="n">
        <v>18896</v>
      </c>
      <c r="L437" t="n">
        <v>18896</v>
      </c>
      <c r="M437" t="n">
        <v>2001</v>
      </c>
      <c r="P437" t="inlineStr">
        <is>
          <t>M-2</t>
        </is>
      </c>
      <c r="R437" t="inlineStr">
        <is>
          <t>Average</t>
        </is>
      </c>
      <c r="S437" t="n">
        <v>342817</v>
      </c>
      <c r="T437" s="467">
        <f>S437/J437</f>
        <v/>
      </c>
      <c r="U437" t="inlineStr">
        <is>
          <t>Good</t>
        </is>
      </c>
      <c r="Y437" t="n">
        <v>4300000</v>
      </c>
      <c r="AA437" t="n">
        <v>4300000</v>
      </c>
      <c r="AC437" t="inlineStr">
        <is>
          <t>0182133012002</t>
        </is>
      </c>
      <c r="AD437" t="inlineStr">
        <is>
          <t>2018000031201</t>
        </is>
      </c>
      <c r="AE437" t="inlineStr">
        <is>
          <t>LAYNE CHRISTENSEN COMPANY</t>
        </is>
      </c>
      <c r="AF437" t="inlineStr">
        <is>
          <t>WAGNER EQUIPMENT CO</t>
        </is>
      </c>
      <c r="AI437" s="245">
        <f>AND(E437=Subj_OccCode,Subj_BldgSF&gt;0,L437&gt;=Subj_BldgSF*(1-Subj_SizeTol),L437&lt;=Subj_BldgSF*(1+Subj_SizeTol))</f>
        <v/>
      </c>
    </row>
    <row r="438" ht="15" customHeight="1">
      <c r="A438" s="471" t="n">
        <v>8</v>
      </c>
      <c r="B438" s="245" t="n">
        <v>432</v>
      </c>
      <c r="C438" t="inlineStr">
        <is>
          <t>R0124581</t>
        </is>
      </c>
      <c r="D438" t="inlineStr">
        <is>
          <t>11152  HURON ST #205</t>
        </is>
      </c>
      <c r="E438" t="n">
        <v>344</v>
      </c>
      <c r="F438" t="inlineStr">
        <is>
          <t>NORTHGLENN</t>
        </is>
      </c>
      <c r="G438" t="inlineStr">
        <is>
          <t>4</t>
        </is>
      </c>
      <c r="H438" s="669">
        <f>Y438/J438</f>
        <v/>
      </c>
      <c r="I438" s="670" t="n">
        <v>44147</v>
      </c>
      <c r="J438" t="n">
        <v>1343</v>
      </c>
      <c r="L438" t="n">
        <v>1343</v>
      </c>
      <c r="M438" t="n">
        <v>2000</v>
      </c>
      <c r="P438" t="inlineStr">
        <is>
          <t>C-0-Nor</t>
        </is>
      </c>
      <c r="R438" t="inlineStr">
        <is>
          <t>Good</t>
        </is>
      </c>
      <c r="S438" t="n">
        <v>3100</v>
      </c>
      <c r="T438" s="467">
        <f>S438/J438</f>
        <v/>
      </c>
      <c r="U438" t="inlineStr">
        <is>
          <t>Good</t>
        </is>
      </c>
      <c r="Y438" t="n">
        <v>228000</v>
      </c>
      <c r="AA438" t="n">
        <v>228000</v>
      </c>
      <c r="AC438" t="inlineStr">
        <is>
          <t>0171910205041</t>
        </is>
      </c>
      <c r="AD438" t="inlineStr">
        <is>
          <t>2020000122738</t>
        </is>
      </c>
      <c r="AE438" t="inlineStr">
        <is>
          <t>PACER HOLDINGS LLC</t>
        </is>
      </c>
      <c r="AF438" t="inlineStr">
        <is>
          <t>TRUMBLE THOM</t>
        </is>
      </c>
      <c r="AI438" s="245">
        <f>AND(E438=Subj_OccCode,Subj_BldgSF&gt;0,L438&gt;=Subj_BldgSF*(1-Subj_SizeTol),L438&lt;=Subj_BldgSF*(1+Subj_SizeTol))</f>
        <v/>
      </c>
    </row>
    <row r="439" ht="15" customHeight="1">
      <c r="A439" s="471" t="n">
        <v>8</v>
      </c>
      <c r="B439" s="245" t="n">
        <v>433</v>
      </c>
      <c r="C439" t="inlineStr">
        <is>
          <t>R0024110</t>
        </is>
      </c>
      <c r="D439" t="inlineStr">
        <is>
          <t>12195  MARIPOSA ST</t>
        </is>
      </c>
      <c r="E439" t="n">
        <v>344</v>
      </c>
      <c r="F439" t="inlineStr">
        <is>
          <t>WESTMINSTER</t>
        </is>
      </c>
      <c r="G439" t="inlineStr">
        <is>
          <t>3</t>
        </is>
      </c>
      <c r="H439" s="669">
        <f>Y439/J439</f>
        <v/>
      </c>
      <c r="I439" s="670" t="n">
        <v>44742</v>
      </c>
      <c r="J439" t="n">
        <v>23683</v>
      </c>
      <c r="L439" t="n">
        <v>23683</v>
      </c>
      <c r="M439" t="n">
        <v>1989</v>
      </c>
      <c r="P439" t="inlineStr">
        <is>
          <t>PUD-Wes</t>
        </is>
      </c>
      <c r="R439" t="inlineStr">
        <is>
          <t>Average</t>
        </is>
      </c>
      <c r="S439" t="n">
        <v>97650</v>
      </c>
      <c r="T439" s="467">
        <f>S439/J439</f>
        <v/>
      </c>
      <c r="U439" t="inlineStr">
        <is>
          <t>Average</t>
        </is>
      </c>
      <c r="Y439" t="n">
        <v>3500000</v>
      </c>
      <c r="AA439" t="n">
        <v>3500000</v>
      </c>
      <c r="AC439" t="inlineStr">
        <is>
          <t>0157333008008</t>
        </is>
      </c>
      <c r="AD439" t="inlineStr">
        <is>
          <t>2022000073668</t>
        </is>
      </c>
      <c r="AE439" t="inlineStr">
        <is>
          <t>JOHNSTOWN FEED &amp; SEED INC.</t>
        </is>
      </c>
      <c r="AF439" t="inlineStr">
        <is>
          <t>J&amp;E ENTERPRISE LLC</t>
        </is>
      </c>
      <c r="AI439" s="245">
        <f>AND(E439=Subj_OccCode,Subj_BldgSF&gt;0,L439&gt;=Subj_BldgSF*(1-Subj_SizeTol),L439&lt;=Subj_BldgSF*(1+Subj_SizeTol))</f>
        <v/>
      </c>
    </row>
    <row r="440" ht="15" customHeight="1">
      <c r="A440" s="471" t="n">
        <v>8</v>
      </c>
      <c r="B440" s="245" t="n">
        <v>434</v>
      </c>
      <c r="C440" t="inlineStr">
        <is>
          <t>R0100833</t>
        </is>
      </c>
      <c r="D440" t="inlineStr">
        <is>
          <t>3750 W 72ND AVE</t>
        </is>
      </c>
      <c r="E440" t="n">
        <v>325</v>
      </c>
      <c r="F440" t="inlineStr">
        <is>
          <t>WESTMINSTER</t>
        </is>
      </c>
      <c r="G440" t="inlineStr">
        <is>
          <t>4</t>
        </is>
      </c>
      <c r="H440" s="669">
        <f>Y440/J440</f>
        <v/>
      </c>
      <c r="I440" s="670" t="n">
        <v>43230</v>
      </c>
      <c r="J440" t="n">
        <v>2672</v>
      </c>
      <c r="L440" t="n">
        <v>2672</v>
      </c>
      <c r="M440" t="n">
        <v>1927</v>
      </c>
      <c r="P440" t="inlineStr">
        <is>
          <t>M-1-Wes</t>
        </is>
      </c>
      <c r="R440" t="inlineStr">
        <is>
          <t>Average</t>
        </is>
      </c>
      <c r="S440" t="n">
        <v>15682</v>
      </c>
      <c r="T440" s="467">
        <f>S440/J440</f>
        <v/>
      </c>
      <c r="U440" t="inlineStr">
        <is>
          <t>Average</t>
        </is>
      </c>
      <c r="Y440" t="n">
        <v>460000</v>
      </c>
      <c r="AA440" t="n">
        <v>460000</v>
      </c>
      <c r="AC440" t="inlineStr">
        <is>
          <t>0182506100016</t>
        </is>
      </c>
      <c r="AD440" t="inlineStr">
        <is>
          <t>2018000038196</t>
        </is>
      </c>
      <c r="AE440" t="inlineStr">
        <is>
          <t>RONALD HAGERDON LLC</t>
        </is>
      </c>
      <c r="AF440" t="inlineStr">
        <is>
          <t>M &amp; R BUILDING MANAGEMENT LLC</t>
        </is>
      </c>
      <c r="AI440" s="245">
        <f>AND(E440=Subj_OccCode,Subj_BldgSF&gt;0,L440&gt;=Subj_BldgSF*(1-Subj_SizeTol),L440&lt;=Subj_BldgSF*(1+Subj_SizeTol))</f>
        <v/>
      </c>
    </row>
    <row r="441" ht="15" customHeight="1">
      <c r="A441" s="471" t="n">
        <v>8</v>
      </c>
      <c r="B441" s="245" t="n">
        <v>435</v>
      </c>
      <c r="C441" t="inlineStr">
        <is>
          <t>R0024109</t>
        </is>
      </c>
      <c r="D441" t="inlineStr">
        <is>
          <t>1400 W 122ND AVE</t>
        </is>
      </c>
      <c r="E441" t="n">
        <v>344</v>
      </c>
      <c r="F441" t="inlineStr">
        <is>
          <t>WESTMINSTER</t>
        </is>
      </c>
      <c r="G441" t="inlineStr">
        <is>
          <t>3</t>
        </is>
      </c>
      <c r="H441" s="669">
        <f>Y441/J441</f>
        <v/>
      </c>
      <c r="I441" s="670" t="n">
        <v>44039</v>
      </c>
      <c r="J441" t="n">
        <v>31272</v>
      </c>
      <c r="L441" t="n">
        <v>31272</v>
      </c>
      <c r="M441" t="n">
        <v>1985</v>
      </c>
      <c r="P441" t="inlineStr">
        <is>
          <t>PUD-Wes</t>
        </is>
      </c>
      <c r="R441" t="inlineStr">
        <is>
          <t>Average</t>
        </is>
      </c>
      <c r="S441" t="n">
        <v>80600</v>
      </c>
      <c r="T441" s="467">
        <f>S441/J441</f>
        <v/>
      </c>
      <c r="U441" t="inlineStr">
        <is>
          <t>Average</t>
        </is>
      </c>
      <c r="Y441" t="n">
        <v>5375000</v>
      </c>
      <c r="AA441" t="n">
        <v>5375000</v>
      </c>
      <c r="AC441" t="inlineStr">
        <is>
          <t>0157333008007</t>
        </is>
      </c>
      <c r="AD441" t="inlineStr">
        <is>
          <t>2020000072205</t>
        </is>
      </c>
      <c r="AE441" t="inlineStr">
        <is>
          <t>PAVILION COURT LLC</t>
        </is>
      </c>
      <c r="AF441" t="inlineStr">
        <is>
          <t>ARTEMIS HOLDINGS LIMITED</t>
        </is>
      </c>
      <c r="AI441" s="245">
        <f>AND(E441=Subj_OccCode,Subj_BldgSF&gt;0,L441&gt;=Subj_BldgSF*(1-Subj_SizeTol),L441&lt;=Subj_BldgSF*(1+Subj_SizeTol))</f>
        <v/>
      </c>
    </row>
    <row r="442" ht="15" customHeight="1">
      <c r="A442" s="471" t="n">
        <v>8</v>
      </c>
      <c r="B442" s="245" t="n">
        <v>436</v>
      </c>
      <c r="C442" t="inlineStr">
        <is>
          <t>R0093874</t>
        </is>
      </c>
      <c r="D442" t="inlineStr">
        <is>
          <t>3313  MOLINE ST</t>
        </is>
      </c>
      <c r="E442" t="n">
        <v>339</v>
      </c>
      <c r="F442" t="inlineStr">
        <is>
          <t>AURORA</t>
        </is>
      </c>
      <c r="G442" t="inlineStr">
        <is>
          <t>6</t>
        </is>
      </c>
      <c r="H442" s="669">
        <f>Y442/J442</f>
        <v/>
      </c>
      <c r="I442" s="670" t="n">
        <v>44216</v>
      </c>
      <c r="J442" t="n">
        <v>14440</v>
      </c>
      <c r="L442" t="n">
        <v>14440</v>
      </c>
      <c r="M442" t="n">
        <v>1977</v>
      </c>
      <c r="P442" t="inlineStr">
        <is>
          <t>M-3</t>
        </is>
      </c>
      <c r="R442" t="inlineStr">
        <is>
          <t>Average</t>
        </is>
      </c>
      <c r="S442" t="n">
        <v>91040</v>
      </c>
      <c r="T442" s="467">
        <f>S442/J442</f>
        <v/>
      </c>
      <c r="U442" t="inlineStr">
        <is>
          <t>Average</t>
        </is>
      </c>
      <c r="Y442" t="n">
        <v>2700000</v>
      </c>
      <c r="AA442" t="n">
        <v>2700000</v>
      </c>
      <c r="AC442" t="inlineStr">
        <is>
          <t>0182326101024</t>
        </is>
      </c>
      <c r="AD442" t="inlineStr">
        <is>
          <t>2021000008532</t>
        </is>
      </c>
      <c r="AE442" t="inlineStr">
        <is>
          <t>3313 MOLINE STREET LLC</t>
        </is>
      </c>
      <c r="AF442" t="inlineStr">
        <is>
          <t>3313 MOLINE LLC, C/O GCRE MANAGMENT LLC</t>
        </is>
      </c>
      <c r="AI442" s="245">
        <f>AND(E442=Subj_OccCode,Subj_BldgSF&gt;0,L442&gt;=Subj_BldgSF*(1-Subj_SizeTol),L442&lt;=Subj_BldgSF*(1+Subj_SizeTol))</f>
        <v/>
      </c>
    </row>
    <row r="443" ht="15" customHeight="1">
      <c r="A443" s="471" t="n">
        <v>8</v>
      </c>
      <c r="B443" s="245" t="n">
        <v>437</v>
      </c>
      <c r="C443" t="inlineStr">
        <is>
          <t>R0082086</t>
        </is>
      </c>
      <c r="D443" t="inlineStr">
        <is>
          <t>56951 E COLFAX AVE</t>
        </is>
      </c>
      <c r="E443" t="n">
        <v>353</v>
      </c>
      <c r="F443" t="inlineStr">
        <is>
          <t>STRASBURG</t>
        </is>
      </c>
      <c r="G443" t="inlineStr">
        <is>
          <t>1</t>
        </is>
      </c>
      <c r="H443" s="669">
        <f>Y443/J443</f>
        <v/>
      </c>
      <c r="I443" s="670" t="n">
        <v>43479</v>
      </c>
      <c r="J443" t="n">
        <v>9100</v>
      </c>
      <c r="L443" t="n">
        <v>9100</v>
      </c>
      <c r="M443" t="n">
        <v>2018</v>
      </c>
      <c r="P443" t="inlineStr">
        <is>
          <t>Agricultural</t>
        </is>
      </c>
      <c r="R443" t="inlineStr">
        <is>
          <t>Average</t>
        </is>
      </c>
      <c r="S443" t="n">
        <v>55921</v>
      </c>
      <c r="T443" s="467">
        <f>S443/J443</f>
        <v/>
      </c>
      <c r="U443" t="inlineStr">
        <is>
          <t>Average</t>
        </is>
      </c>
      <c r="Y443" t="n">
        <v>1700000</v>
      </c>
      <c r="AA443" t="n">
        <v>1700000</v>
      </c>
      <c r="AC443" t="inlineStr">
        <is>
          <t>0181334300009</t>
        </is>
      </c>
      <c r="AD443" t="inlineStr">
        <is>
          <t>2019000003891</t>
        </is>
      </c>
      <c r="AE443" t="inlineStr">
        <is>
          <t>VAQUERO STRASBURG PARTNERS LP</t>
        </is>
      </c>
      <c r="AF443" t="inlineStr">
        <is>
          <t>JH DG 1 LLC</t>
        </is>
      </c>
      <c r="AI443" s="245">
        <f>AND(E443=Subj_OccCode,Subj_BldgSF&gt;0,L443&gt;=Subj_BldgSF*(1-Subj_SizeTol),L443&lt;=Subj_BldgSF*(1+Subj_SizeTol))</f>
        <v/>
      </c>
    </row>
    <row r="444" ht="15" customHeight="1">
      <c r="A444" s="471" t="n">
        <v>8</v>
      </c>
      <c r="B444" s="245" t="n">
        <v>438</v>
      </c>
      <c r="C444" t="inlineStr">
        <is>
          <t>R0161448</t>
        </is>
      </c>
      <c r="D444" t="inlineStr">
        <is>
          <t>16395  WASHINGTON ST</t>
        </is>
      </c>
      <c r="E444" t="n">
        <v>319</v>
      </c>
      <c r="F444" t="inlineStr">
        <is>
          <t>THORNTON</t>
        </is>
      </c>
      <c r="G444" t="inlineStr">
        <is>
          <t>3</t>
        </is>
      </c>
      <c r="H444" s="669">
        <f>Y444/J444</f>
        <v/>
      </c>
      <c r="I444" s="670" t="n">
        <v>44589</v>
      </c>
      <c r="J444" t="n">
        <v>180159</v>
      </c>
      <c r="L444" t="n">
        <v>180159</v>
      </c>
      <c r="M444" t="n">
        <v>2005</v>
      </c>
      <c r="P444" t="inlineStr">
        <is>
          <t>Regional Commercial</t>
        </is>
      </c>
      <c r="R444" t="inlineStr">
        <is>
          <t>Average</t>
        </is>
      </c>
      <c r="S444" t="n">
        <v>718914</v>
      </c>
      <c r="T444" s="467">
        <f>S444/J444</f>
        <v/>
      </c>
      <c r="U444" t="inlineStr">
        <is>
          <t>Average</t>
        </is>
      </c>
      <c r="Y444" t="n">
        <v>13000000</v>
      </c>
      <c r="AA444" t="n">
        <v>13000000</v>
      </c>
      <c r="AC444" t="inlineStr">
        <is>
          <t>0157303101002</t>
        </is>
      </c>
      <c r="AD444" t="inlineStr">
        <is>
          <t>2022000010328</t>
        </is>
      </c>
      <c r="AE444" t="inlineStr">
        <is>
          <t>TF THORNTON CO LLC</t>
        </is>
      </c>
      <c r="AF444" t="inlineStr">
        <is>
          <t>16395 WASHINGTON ST LLC</t>
        </is>
      </c>
      <c r="AI444" s="245">
        <f>AND(E444=Subj_OccCode,Subj_BldgSF&gt;0,L444&gt;=Subj_BldgSF*(1-Subj_SizeTol),L444&lt;=Subj_BldgSF*(1+Subj_SizeTol))</f>
        <v/>
      </c>
    </row>
    <row r="445" ht="15" customHeight="1">
      <c r="A445" s="471" t="n">
        <v>8</v>
      </c>
      <c r="B445" s="245" t="n">
        <v>439</v>
      </c>
      <c r="C445" t="inlineStr">
        <is>
          <t>R0048726</t>
        </is>
      </c>
      <c r="D445" t="inlineStr">
        <is>
          <t>2901 W 92ND AVE</t>
        </is>
      </c>
      <c r="E445" t="n">
        <v>325</v>
      </c>
      <c r="F445" t="inlineStr">
        <is>
          <t>FEDERAL HEIGHTS</t>
        </is>
      </c>
      <c r="G445" t="inlineStr">
        <is>
          <t>4</t>
        </is>
      </c>
      <c r="H445" s="669">
        <f>Y445/J445</f>
        <v/>
      </c>
      <c r="I445" s="670" t="n">
        <v>43179</v>
      </c>
      <c r="J445" t="n">
        <v>5400</v>
      </c>
      <c r="L445" t="n">
        <v>5400</v>
      </c>
      <c r="M445" t="n">
        <v>1985</v>
      </c>
      <c r="P445" t="inlineStr">
        <is>
          <t>Federal Heights</t>
        </is>
      </c>
      <c r="R445" t="inlineStr">
        <is>
          <t>Average</t>
        </is>
      </c>
      <c r="S445" t="n">
        <v>19293</v>
      </c>
      <c r="T445" s="467">
        <f>S445/J445</f>
        <v/>
      </c>
      <c r="U445" t="inlineStr">
        <is>
          <t>Average</t>
        </is>
      </c>
      <c r="Y445" t="n">
        <v>780000</v>
      </c>
      <c r="AA445" t="n">
        <v>780000</v>
      </c>
      <c r="AC445" t="inlineStr">
        <is>
          <t>0171920102030</t>
        </is>
      </c>
      <c r="AD445" t="inlineStr">
        <is>
          <t>2018000022792</t>
        </is>
      </c>
      <c r="AE445" t="inlineStr">
        <is>
          <t>WENZEL DANIEL D AND, WENZEL JUDITH G</t>
        </is>
      </c>
      <c r="AF445" t="inlineStr">
        <is>
          <t>COLORADO BD AUTO CARE LLC</t>
        </is>
      </c>
      <c r="AI445" s="245">
        <f>AND(E445=Subj_OccCode,Subj_BldgSF&gt;0,L445&gt;=Subj_BldgSF*(1-Subj_SizeTol),L445&lt;=Subj_BldgSF*(1+Subj_SizeTol))</f>
        <v/>
      </c>
    </row>
    <row r="446" ht="15" customHeight="1">
      <c r="A446" s="471" t="n">
        <v>8</v>
      </c>
      <c r="B446" s="245" t="n">
        <v>440</v>
      </c>
      <c r="C446" t="inlineStr">
        <is>
          <t>R0062925</t>
        </is>
      </c>
      <c r="D446" t="inlineStr">
        <is>
          <t>8791  WOLFF CT</t>
        </is>
      </c>
      <c r="E446" t="n">
        <v>344</v>
      </c>
      <c r="F446" t="inlineStr">
        <is>
          <t>WESTMINSTER</t>
        </is>
      </c>
      <c r="G446" t="inlineStr">
        <is>
          <t>4</t>
        </is>
      </c>
      <c r="H446" s="669">
        <f>Y446/J446</f>
        <v/>
      </c>
      <c r="I446" s="670" t="n">
        <v>44082</v>
      </c>
      <c r="J446" t="n">
        <v>10774</v>
      </c>
      <c r="L446" t="n">
        <v>10774</v>
      </c>
      <c r="M446" t="n">
        <v>1984</v>
      </c>
      <c r="P446" t="inlineStr">
        <is>
          <t>PUD-Wes</t>
        </is>
      </c>
      <c r="R446" t="inlineStr">
        <is>
          <t>Average</t>
        </is>
      </c>
      <c r="S446" t="n">
        <v>3842</v>
      </c>
      <c r="T446" s="467">
        <f>S446/J446</f>
        <v/>
      </c>
      <c r="U446" t="inlineStr">
        <is>
          <t>Average</t>
        </is>
      </c>
      <c r="Y446" t="n">
        <v>270000</v>
      </c>
      <c r="AA446" t="n">
        <v>270000</v>
      </c>
      <c r="AC446" t="inlineStr">
        <is>
          <t>0171930218020</t>
        </is>
      </c>
      <c r="AD446" t="inlineStr">
        <is>
          <t>2020000091290</t>
        </is>
      </c>
      <c r="AE446" t="inlineStr">
        <is>
          <t>GREEN ELEPHANT LLC THE</t>
        </is>
      </c>
      <c r="AF446" t="inlineStr">
        <is>
          <t>AVERY INVESTMENTS LLC</t>
        </is>
      </c>
      <c r="AI446" s="245">
        <f>AND(E446=Subj_OccCode,Subj_BldgSF&gt;0,L446&gt;=Subj_BldgSF*(1-Subj_SizeTol),L446&lt;=Subj_BldgSF*(1+Subj_SizeTol))</f>
        <v/>
      </c>
    </row>
    <row r="447" ht="15" customHeight="1">
      <c r="A447" s="471" t="n">
        <v>8</v>
      </c>
      <c r="B447" s="245" t="n">
        <v>441</v>
      </c>
      <c r="C447" t="inlineStr">
        <is>
          <t>R0142135</t>
        </is>
      </c>
      <c r="D447" t="inlineStr">
        <is>
          <t>21250 E 36TH DR</t>
        </is>
      </c>
      <c r="E447" t="n">
        <v>584</v>
      </c>
      <c r="F447" t="inlineStr">
        <is>
          <t>AURORA</t>
        </is>
      </c>
      <c r="G447" t="inlineStr">
        <is>
          <t>6</t>
        </is>
      </c>
      <c r="H447" s="669">
        <f>Y447/J447</f>
        <v/>
      </c>
      <c r="I447" s="670" t="n">
        <v>43200</v>
      </c>
      <c r="J447" t="n">
        <v>262620</v>
      </c>
      <c r="L447" t="n">
        <v>262620</v>
      </c>
      <c r="M447" t="n">
        <v>2002</v>
      </c>
      <c r="R447" t="inlineStr">
        <is>
          <t>Average</t>
        </is>
      </c>
      <c r="S447" t="n">
        <v>700880.4</v>
      </c>
      <c r="T447" s="467">
        <f>S447/J447</f>
        <v/>
      </c>
      <c r="U447" t="inlineStr">
        <is>
          <t>Average</t>
        </is>
      </c>
      <c r="Y447" t="n">
        <v>21400000</v>
      </c>
      <c r="AA447" t="n">
        <v>21400000</v>
      </c>
      <c r="AC447" t="inlineStr">
        <is>
          <t>0182126101001</t>
        </is>
      </c>
      <c r="AD447" t="inlineStr">
        <is>
          <t>2018000034023</t>
        </is>
      </c>
      <c r="AE447" t="inlineStr">
        <is>
          <t>EXETER 21250 EAST 36TH LLC</t>
        </is>
      </c>
      <c r="AF447" t="inlineStr">
        <is>
          <t>THOMSON LOGISTICS ASSETS LLC, C/O CORPORATION SERVICE</t>
        </is>
      </c>
      <c r="AI447" s="245">
        <f>AND(E447=Subj_OccCode,Subj_BldgSF&gt;0,L447&gt;=Subj_BldgSF*(1-Subj_SizeTol),L447&lt;=Subj_BldgSF*(1+Subj_SizeTol))</f>
        <v/>
      </c>
    </row>
    <row r="448" ht="15" customHeight="1">
      <c r="A448" s="471" t="n">
        <v>8</v>
      </c>
      <c r="B448" s="245" t="n">
        <v>442</v>
      </c>
      <c r="C448" t="inlineStr">
        <is>
          <t>R0081742</t>
        </is>
      </c>
      <c r="D448" t="inlineStr">
        <is>
          <t>1853  MONROE ST</t>
        </is>
      </c>
      <c r="E448" t="n">
        <v>426</v>
      </c>
      <c r="G448" t="inlineStr">
        <is>
          <t>1</t>
        </is>
      </c>
      <c r="H448" s="669">
        <f>Y448/J448</f>
        <v/>
      </c>
      <c r="I448" s="670" t="n">
        <v>43116</v>
      </c>
      <c r="J448" t="n">
        <v>2952</v>
      </c>
      <c r="L448" t="n">
        <v>2952</v>
      </c>
      <c r="M448" t="n">
        <v>1949</v>
      </c>
      <c r="P448" t="inlineStr">
        <is>
          <t>Residential</t>
        </is>
      </c>
      <c r="R448" t="inlineStr">
        <is>
          <t>Average</t>
        </is>
      </c>
      <c r="S448" t="n">
        <v>33660</v>
      </c>
      <c r="T448" s="467">
        <f>S448/J448</f>
        <v/>
      </c>
      <c r="U448" t="inlineStr">
        <is>
          <t>Average</t>
        </is>
      </c>
      <c r="Y448" t="n">
        <v>350000</v>
      </c>
      <c r="AA448" t="n">
        <v>350000</v>
      </c>
      <c r="AC448" t="inlineStr">
        <is>
          <t>0181333400011</t>
        </is>
      </c>
      <c r="AD448" t="inlineStr">
        <is>
          <t>2018000011536</t>
        </is>
      </c>
      <c r="AE448" t="inlineStr">
        <is>
          <t>BEAN BEVERLY A</t>
        </is>
      </c>
      <c r="AF448" t="inlineStr">
        <is>
          <t>JOSEPH SUMIT</t>
        </is>
      </c>
      <c r="AI448" s="245">
        <f>AND(E448=Subj_OccCode,Subj_BldgSF&gt;0,L448&gt;=Subj_BldgSF*(1-Subj_SizeTol),L448&lt;=Subj_BldgSF*(1+Subj_SizeTol))</f>
        <v/>
      </c>
    </row>
    <row r="449" ht="15" customHeight="1">
      <c r="A449" s="471" t="n">
        <v>8</v>
      </c>
      <c r="B449" s="245" t="n">
        <v>443</v>
      </c>
      <c r="C449" t="inlineStr">
        <is>
          <t>R0152796</t>
        </is>
      </c>
      <c r="D449" t="inlineStr">
        <is>
          <t>2525 W 92ND AVE</t>
        </is>
      </c>
      <c r="E449" t="n">
        <v>353</v>
      </c>
      <c r="F449" t="inlineStr">
        <is>
          <t>FEDERAL HEIGHTS</t>
        </is>
      </c>
      <c r="G449" t="inlineStr">
        <is>
          <t>4</t>
        </is>
      </c>
      <c r="H449" s="669">
        <f>Y449/J449</f>
        <v/>
      </c>
      <c r="I449" s="670" t="n">
        <v>44519</v>
      </c>
      <c r="J449" t="n">
        <v>6928</v>
      </c>
      <c r="L449" t="n">
        <v>6928</v>
      </c>
      <c r="M449" t="n">
        <v>2003</v>
      </c>
      <c r="P449" t="inlineStr">
        <is>
          <t>C-1-Fed</t>
        </is>
      </c>
      <c r="R449" t="inlineStr">
        <is>
          <t>Average</t>
        </is>
      </c>
      <c r="S449" t="n">
        <v>60968</v>
      </c>
      <c r="T449" s="467">
        <f>S449/J449</f>
        <v/>
      </c>
      <c r="U449" t="inlineStr">
        <is>
          <t>Good</t>
        </is>
      </c>
      <c r="Y449" t="n">
        <v>1900000</v>
      </c>
      <c r="AA449" t="n">
        <v>1900000</v>
      </c>
      <c r="AC449" t="inlineStr">
        <is>
          <t>0171920104013</t>
        </is>
      </c>
      <c r="AD449" t="inlineStr">
        <is>
          <t>2021000136577</t>
        </is>
      </c>
      <c r="AE449" t="inlineStr">
        <is>
          <t>BONE WILLIAM J JR/WENONA C TRUSTEES, BONE FAMILY TRUST U D T THE</t>
        </is>
      </c>
      <c r="AF449" t="inlineStr">
        <is>
          <t>120 HOLDINGS LLC UND INT 5.367%  ET AL</t>
        </is>
      </c>
      <c r="AI449" s="245">
        <f>AND(E449=Subj_OccCode,Subj_BldgSF&gt;0,L449&gt;=Subj_BldgSF*(1-Subj_SizeTol),L449&lt;=Subj_BldgSF*(1+Subj_SizeTol))</f>
        <v/>
      </c>
    </row>
    <row r="450" ht="15" customHeight="1">
      <c r="A450" s="471" t="n">
        <v>8</v>
      </c>
      <c r="B450" s="245" t="n">
        <v>444</v>
      </c>
      <c r="C450" t="inlineStr">
        <is>
          <t>R0154528</t>
        </is>
      </c>
      <c r="D450" t="inlineStr">
        <is>
          <t>37600 E 50TH AVE</t>
        </is>
      </c>
      <c r="E450" t="n">
        <v>328</v>
      </c>
      <c r="G450" t="inlineStr">
        <is>
          <t>1</t>
        </is>
      </c>
      <c r="H450" s="669">
        <f>Y450/J450</f>
        <v/>
      </c>
      <c r="I450" s="670" t="n">
        <v>43804</v>
      </c>
      <c r="J450" t="n">
        <v>13440</v>
      </c>
      <c r="L450" t="n">
        <v>13440</v>
      </c>
      <c r="M450" t="n">
        <v>2000</v>
      </c>
      <c r="R450" t="inlineStr">
        <is>
          <t>Average</t>
        </is>
      </c>
      <c r="S450" t="n">
        <v>0</v>
      </c>
      <c r="T450" s="467">
        <f>S450/J450</f>
        <v/>
      </c>
      <c r="U450" t="inlineStr">
        <is>
          <t>Average</t>
        </is>
      </c>
      <c r="Y450" t="n">
        <v>68000</v>
      </c>
      <c r="AA450" t="n">
        <v>68000</v>
      </c>
      <c r="AC450" t="inlineStr">
        <is>
          <t>0181716410001</t>
        </is>
      </c>
      <c r="AD450" t="inlineStr">
        <is>
          <t>2019000106716</t>
        </is>
      </c>
      <c r="AE450" t="inlineStr">
        <is>
          <t>DELCAMP RONALD</t>
        </is>
      </c>
      <c r="AF450" t="inlineStr">
        <is>
          <t>HOFER GALEN AND, PHIBBS STEPHANIE</t>
        </is>
      </c>
      <c r="AI450" s="245">
        <f>AND(E450=Subj_OccCode,Subj_BldgSF&gt;0,L450&gt;=Subj_BldgSF*(1-Subj_SizeTol),L450&lt;=Subj_BldgSF*(1+Subj_SizeTol))</f>
        <v/>
      </c>
    </row>
    <row r="451" ht="15" customHeight="1">
      <c r="A451" s="471" t="n">
        <v>8</v>
      </c>
      <c r="B451" s="245" t="n">
        <v>445</v>
      </c>
      <c r="C451" t="inlineStr">
        <is>
          <t>R0133759</t>
        </is>
      </c>
      <c r="D451" t="inlineStr">
        <is>
          <t>2450 W 63RD CT</t>
        </is>
      </c>
      <c r="E451" t="n">
        <v>534</v>
      </c>
      <c r="G451" t="inlineStr">
        <is>
          <t>5</t>
        </is>
      </c>
      <c r="H451" s="669">
        <f>Y451/J451</f>
        <v/>
      </c>
      <c r="I451" s="670" t="n">
        <v>43496</v>
      </c>
      <c r="J451" t="n">
        <v>12300</v>
      </c>
      <c r="L451" t="n">
        <v>12300</v>
      </c>
      <c r="M451" t="n">
        <v>2001</v>
      </c>
      <c r="R451" t="inlineStr">
        <is>
          <t>Average</t>
        </is>
      </c>
      <c r="S451" t="n">
        <v>67605.12</v>
      </c>
      <c r="T451" s="467">
        <f>S451/J451</f>
        <v/>
      </c>
      <c r="U451" t="inlineStr">
        <is>
          <t>Average</t>
        </is>
      </c>
      <c r="Y451" t="n">
        <v>1850000</v>
      </c>
      <c r="AA451" t="n">
        <v>1850000</v>
      </c>
      <c r="AC451" t="inlineStr">
        <is>
          <t>0182508103025</t>
        </is>
      </c>
      <c r="AD451" t="inlineStr">
        <is>
          <t>2019000007808</t>
        </is>
      </c>
      <c r="AE451" t="inlineStr">
        <is>
          <t>TRIPLE L LLC</t>
        </is>
      </c>
      <c r="AF451" t="inlineStr">
        <is>
          <t>CROWLEY DAVID P AND , CROWLEY LORRAINE K</t>
        </is>
      </c>
      <c r="AI451" s="245">
        <f>AND(E451=Subj_OccCode,Subj_BldgSF&gt;0,L451&gt;=Subj_BldgSF*(1-Subj_SizeTol),L451&lt;=Subj_BldgSF*(1+Subj_SizeTol))</f>
        <v/>
      </c>
    </row>
    <row r="452" ht="15" customHeight="1">
      <c r="A452" s="471" t="n">
        <v>8</v>
      </c>
      <c r="B452" s="245" t="n">
        <v>446</v>
      </c>
      <c r="C452" t="inlineStr">
        <is>
          <t>R0178320</t>
        </is>
      </c>
      <c r="D452" t="inlineStr">
        <is>
          <t>2551 E 120TH AVE</t>
        </is>
      </c>
      <c r="E452" t="n">
        <v>353</v>
      </c>
      <c r="F452" t="inlineStr">
        <is>
          <t>THORNTON</t>
        </is>
      </c>
      <c r="G452" t="inlineStr">
        <is>
          <t>3</t>
        </is>
      </c>
      <c r="H452" s="669">
        <f>Y452/J452</f>
        <v/>
      </c>
      <c r="I452" s="670" t="n">
        <v>43462</v>
      </c>
      <c r="J452" t="n">
        <v>4050</v>
      </c>
      <c r="L452" t="n">
        <v>4050</v>
      </c>
      <c r="M452" t="n">
        <v>2000</v>
      </c>
      <c r="R452" t="inlineStr">
        <is>
          <t>Average</t>
        </is>
      </c>
      <c r="S452" t="n">
        <v>19306</v>
      </c>
      <c r="T452" s="467">
        <f>S452/J452</f>
        <v/>
      </c>
      <c r="U452" t="inlineStr">
        <is>
          <t>Average</t>
        </is>
      </c>
      <c r="Y452" t="n">
        <v>575000</v>
      </c>
      <c r="AA452" t="n">
        <v>575000</v>
      </c>
      <c r="AC452" t="inlineStr">
        <is>
          <t>0157336309073</t>
        </is>
      </c>
      <c r="AD452" t="inlineStr">
        <is>
          <t>2019000000008</t>
        </is>
      </c>
      <c r="AE452" t="inlineStr">
        <is>
          <t>2551 PROPERTY PARTNERS LLC</t>
        </is>
      </c>
      <c r="AF452" t="inlineStr">
        <is>
          <t>COMPTON POINT LLC</t>
        </is>
      </c>
      <c r="AI452" s="245">
        <f>AND(E452=Subj_OccCode,Subj_BldgSF&gt;0,L452&gt;=Subj_BldgSF*(1-Subj_SizeTol),L452&lt;=Subj_BldgSF*(1+Subj_SizeTol))</f>
        <v/>
      </c>
    </row>
    <row r="453" ht="15" customHeight="1">
      <c r="A453" s="471" t="n">
        <v>8</v>
      </c>
      <c r="B453" s="245" t="n">
        <v>447</v>
      </c>
      <c r="C453" t="inlineStr">
        <is>
          <t>R0079896</t>
        </is>
      </c>
      <c r="D453" t="inlineStr">
        <is>
          <t>6454 E 72ND PL</t>
        </is>
      </c>
      <c r="E453" t="n">
        <v>353</v>
      </c>
      <c r="F453" t="inlineStr">
        <is>
          <t>COMMERCE CITY</t>
        </is>
      </c>
      <c r="G453" t="inlineStr">
        <is>
          <t>5</t>
        </is>
      </c>
      <c r="H453" s="669">
        <f>Y453/J453</f>
        <v/>
      </c>
      <c r="I453" s="670" t="n">
        <v>43796</v>
      </c>
      <c r="J453" t="n">
        <v>6435</v>
      </c>
      <c r="L453" t="n">
        <v>6435</v>
      </c>
      <c r="M453" t="n">
        <v>1951</v>
      </c>
      <c r="P453" t="inlineStr">
        <is>
          <t>PUD-Com</t>
        </is>
      </c>
      <c r="R453" t="inlineStr">
        <is>
          <t>Average</t>
        </is>
      </c>
      <c r="S453" t="n">
        <v>7480</v>
      </c>
      <c r="T453" s="467">
        <f>S453/J453</f>
        <v/>
      </c>
      <c r="U453" t="inlineStr">
        <is>
          <t>Average</t>
        </is>
      </c>
      <c r="Y453" t="n">
        <v>555000</v>
      </c>
      <c r="AA453" t="n">
        <v>555000</v>
      </c>
      <c r="AC453" t="inlineStr">
        <is>
          <t>0172132424001</t>
        </is>
      </c>
      <c r="AD453" t="inlineStr">
        <is>
          <t>2019000104458</t>
        </is>
      </c>
      <c r="AE453" t="inlineStr">
        <is>
          <t>E J CORP</t>
        </is>
      </c>
      <c r="AF453" t="inlineStr">
        <is>
          <t>TORRES INVESTMENTS LLC</t>
        </is>
      </c>
      <c r="AI453" s="245">
        <f>AND(E453=Subj_OccCode,Subj_BldgSF&gt;0,L453&gt;=Subj_BldgSF*(1-Subj_SizeTol),L453&lt;=Subj_BldgSF*(1+Subj_SizeTol))</f>
        <v/>
      </c>
    </row>
    <row r="454" ht="15" customHeight="1">
      <c r="A454" s="471" t="n">
        <v>8</v>
      </c>
      <c r="B454" s="245" t="n">
        <v>448</v>
      </c>
      <c r="C454" t="inlineStr">
        <is>
          <t>R0107746</t>
        </is>
      </c>
      <c r="D454" t="inlineStr">
        <is>
          <t>8075  PONTIAC ST</t>
        </is>
      </c>
      <c r="E454" t="n">
        <v>406</v>
      </c>
      <c r="F454" t="inlineStr">
        <is>
          <t>COMMERCE CITY</t>
        </is>
      </c>
      <c r="G454" t="inlineStr">
        <is>
          <t>5</t>
        </is>
      </c>
      <c r="H454" s="669">
        <f>Y454/J454</f>
        <v/>
      </c>
      <c r="I454" s="670" t="n">
        <v>44439</v>
      </c>
      <c r="J454" t="n">
        <v>18840</v>
      </c>
      <c r="L454" t="n">
        <v>18840</v>
      </c>
      <c r="M454" t="n">
        <v>1972</v>
      </c>
      <c r="P454" t="inlineStr">
        <is>
          <t>I-2-Com</t>
        </is>
      </c>
      <c r="R454" t="inlineStr">
        <is>
          <t>Low</t>
        </is>
      </c>
      <c r="S454" t="n">
        <v>147276.4</v>
      </c>
      <c r="T454" s="467">
        <f>S454/J454</f>
        <v/>
      </c>
      <c r="U454" t="inlineStr">
        <is>
          <t>Average</t>
        </is>
      </c>
      <c r="Y454" t="n">
        <v>2600000</v>
      </c>
      <c r="AA454" t="n">
        <v>2600000</v>
      </c>
      <c r="AC454" t="inlineStr">
        <is>
          <t>0172129404012</t>
        </is>
      </c>
      <c r="AD454" t="inlineStr">
        <is>
          <t>2021000103692</t>
        </is>
      </c>
      <c r="AE454" t="inlineStr">
        <is>
          <t>H AND B INDUSTRY LLC</t>
        </is>
      </c>
      <c r="AF454" t="inlineStr">
        <is>
          <t>HIGH TO LOW PROPERTIES LLC</t>
        </is>
      </c>
      <c r="AI454" s="245">
        <f>AND(E454=Subj_OccCode,Subj_BldgSF&gt;0,L454&gt;=Subj_BldgSF*(1-Subj_SizeTol),L454&lt;=Subj_BldgSF*(1+Subj_SizeTol))</f>
        <v/>
      </c>
    </row>
    <row r="455" ht="15" customHeight="1">
      <c r="A455" s="471" t="n">
        <v>8</v>
      </c>
      <c r="B455" s="245" t="n">
        <v>449</v>
      </c>
      <c r="C455" t="inlineStr">
        <is>
          <t>R0103555</t>
        </is>
      </c>
      <c r="D455" t="inlineStr">
        <is>
          <t>5801  LOGAN ST</t>
        </is>
      </c>
      <c r="E455" t="n">
        <v>334</v>
      </c>
      <c r="G455" t="inlineStr">
        <is>
          <t>5</t>
        </is>
      </c>
      <c r="H455" s="669">
        <f>Y455/J455</f>
        <v/>
      </c>
      <c r="I455" s="670" t="n">
        <v>44559</v>
      </c>
      <c r="J455" t="n">
        <v>11200</v>
      </c>
      <c r="L455" t="n">
        <v>11200</v>
      </c>
      <c r="M455" t="n">
        <v>1982</v>
      </c>
      <c r="P455" t="inlineStr">
        <is>
          <t>Industrial</t>
        </is>
      </c>
      <c r="R455" t="inlineStr">
        <is>
          <t>Average</t>
        </is>
      </c>
      <c r="S455" t="n">
        <v>26839</v>
      </c>
      <c r="T455" s="467">
        <f>S455/J455</f>
        <v/>
      </c>
      <c r="U455" t="inlineStr">
        <is>
          <t>Average</t>
        </is>
      </c>
      <c r="Y455" t="n">
        <v>2400000</v>
      </c>
      <c r="AA455" t="n">
        <v>2400000</v>
      </c>
      <c r="AC455" t="inlineStr">
        <is>
          <t>0182510402006</t>
        </is>
      </c>
      <c r="AD455" t="inlineStr">
        <is>
          <t>2021000150840</t>
        </is>
      </c>
      <c r="AE455" t="inlineStr">
        <is>
          <t>KLO PROPERTIES LLC</t>
        </is>
      </c>
      <c r="AF455" t="inlineStr">
        <is>
          <t>5801 LOGAN STREET LLC</t>
        </is>
      </c>
      <c r="AI455" s="245">
        <f>AND(E455=Subj_OccCode,Subj_BldgSF&gt;0,L455&gt;=Subj_BldgSF*(1-Subj_SizeTol),L455&lt;=Subj_BldgSF*(1+Subj_SizeTol))</f>
        <v/>
      </c>
    </row>
    <row r="456" ht="15" customHeight="1">
      <c r="A456" s="471" t="n">
        <v>8</v>
      </c>
      <c r="B456" s="245" t="n">
        <v>450</v>
      </c>
      <c r="C456" t="inlineStr">
        <is>
          <t>R0103568</t>
        </is>
      </c>
      <c r="D456" t="inlineStr">
        <is>
          <t>301 E 57TH AVE</t>
        </is>
      </c>
      <c r="E456" t="n">
        <v>353</v>
      </c>
      <c r="G456" t="inlineStr">
        <is>
          <t>5</t>
        </is>
      </c>
      <c r="H456" s="669">
        <f>Y456/J456</f>
        <v/>
      </c>
      <c r="I456" s="670" t="n">
        <v>44478</v>
      </c>
      <c r="J456" t="n">
        <v>14250</v>
      </c>
      <c r="L456" t="n">
        <v>14250</v>
      </c>
      <c r="M456" t="n">
        <v>1980</v>
      </c>
      <c r="P456" t="inlineStr">
        <is>
          <t>Industrial</t>
        </is>
      </c>
      <c r="R456" t="inlineStr">
        <is>
          <t>Average</t>
        </is>
      </c>
      <c r="S456" t="n">
        <v>49979</v>
      </c>
      <c r="T456" s="467">
        <f>S456/J456</f>
        <v/>
      </c>
      <c r="U456" t="inlineStr">
        <is>
          <t>Average</t>
        </is>
      </c>
      <c r="Y456" t="n">
        <v>3450000</v>
      </c>
      <c r="AA456" t="n">
        <v>3450000</v>
      </c>
      <c r="AC456" t="inlineStr">
        <is>
          <t>0182510406002</t>
        </is>
      </c>
      <c r="AD456" t="inlineStr">
        <is>
          <t>2021000132344</t>
        </is>
      </c>
      <c r="AE456" t="inlineStr">
        <is>
          <t>BOSCOE CHILDREN LLLP, C/O MICHAEL BLOOM REALTY COMPANY</t>
        </is>
      </c>
      <c r="AF456" t="inlineStr">
        <is>
          <t>WFS LLC UND 0.857% INT ET AL</t>
        </is>
      </c>
      <c r="AI456" s="245">
        <f>AND(E456=Subj_OccCode,Subj_BldgSF&gt;0,L456&gt;=Subj_BldgSF*(1-Subj_SizeTol),L456&lt;=Subj_BldgSF*(1+Subj_SizeTol))</f>
        <v/>
      </c>
    </row>
    <row r="457" ht="15" customHeight="1">
      <c r="A457" s="471" t="n">
        <v>8</v>
      </c>
      <c r="B457" s="245" t="n">
        <v>451</v>
      </c>
      <c r="C457" t="inlineStr">
        <is>
          <t>R0090141</t>
        </is>
      </c>
      <c r="D457" t="inlineStr">
        <is>
          <t>6955  DAHLIA ST</t>
        </is>
      </c>
      <c r="E457" t="n">
        <v>344</v>
      </c>
      <c r="F457" t="inlineStr">
        <is>
          <t>COMMERCE CITY</t>
        </is>
      </c>
      <c r="G457" t="inlineStr">
        <is>
          <t>5</t>
        </is>
      </c>
      <c r="H457" s="669">
        <f>Y457/J457</f>
        <v/>
      </c>
      <c r="I457" s="670" t="n">
        <v>43705</v>
      </c>
      <c r="J457" t="n">
        <v>3224</v>
      </c>
      <c r="L457" t="n">
        <v>3224</v>
      </c>
      <c r="M457" t="n">
        <v>1964</v>
      </c>
      <c r="P457" t="inlineStr">
        <is>
          <t>C-3-Com</t>
        </is>
      </c>
      <c r="R457" t="inlineStr">
        <is>
          <t>Low</t>
        </is>
      </c>
      <c r="S457" t="n">
        <v>14950</v>
      </c>
      <c r="T457" s="467">
        <f>S457/J457</f>
        <v/>
      </c>
      <c r="U457" t="inlineStr">
        <is>
          <t>Average</t>
        </is>
      </c>
      <c r="Y457" t="n">
        <v>380000</v>
      </c>
      <c r="AA457" t="n">
        <v>380000</v>
      </c>
      <c r="AC457" t="inlineStr">
        <is>
          <t>0182306213018</t>
        </is>
      </c>
      <c r="AD457" t="inlineStr">
        <is>
          <t>2019000072342</t>
        </is>
      </c>
      <c r="AE457" t="inlineStr">
        <is>
          <t>JAMES DONALD A</t>
        </is>
      </c>
      <c r="AF457" t="inlineStr">
        <is>
          <t>FEDERAL REAL ESTATE HOLDINGS LLC</t>
        </is>
      </c>
      <c r="AI457" s="245">
        <f>AND(E457=Subj_OccCode,Subj_BldgSF&gt;0,L457&gt;=Subj_BldgSF*(1-Subj_SizeTol),L457&lt;=Subj_BldgSF*(1+Subj_SizeTol))</f>
        <v/>
      </c>
    </row>
    <row r="458" ht="15" customHeight="1">
      <c r="A458" s="471" t="n">
        <v>8</v>
      </c>
      <c r="B458" s="245" t="n">
        <v>452</v>
      </c>
      <c r="C458" t="inlineStr">
        <is>
          <t>R0077169</t>
        </is>
      </c>
      <c r="D458" t="inlineStr">
        <is>
          <t>8420  QUEBEC ST</t>
        </is>
      </c>
      <c r="E458" t="n">
        <v>406</v>
      </c>
      <c r="F458" t="inlineStr">
        <is>
          <t>COMMERCE CITY</t>
        </is>
      </c>
      <c r="G458" t="inlineStr">
        <is>
          <t>5</t>
        </is>
      </c>
      <c r="H458" s="669">
        <f>Y458/J458</f>
        <v/>
      </c>
      <c r="I458" s="670" t="n">
        <v>44410</v>
      </c>
      <c r="J458" t="n">
        <v>7000</v>
      </c>
      <c r="L458" t="n">
        <v>7000</v>
      </c>
      <c r="M458" t="n">
        <v>1978</v>
      </c>
      <c r="P458" t="inlineStr">
        <is>
          <t>I-2-Com</t>
        </is>
      </c>
      <c r="R458" t="inlineStr">
        <is>
          <t>Average</t>
        </is>
      </c>
      <c r="S458" t="n">
        <v>153331.2</v>
      </c>
      <c r="T458" s="467">
        <f>S458/J458</f>
        <v/>
      </c>
      <c r="U458" t="inlineStr">
        <is>
          <t>Average</t>
        </is>
      </c>
      <c r="Y458" t="n">
        <v>2450000</v>
      </c>
      <c r="AA458" t="n">
        <v>2450000</v>
      </c>
      <c r="AC458" t="inlineStr">
        <is>
          <t>0172128200020</t>
        </is>
      </c>
      <c r="AD458" t="inlineStr">
        <is>
          <t>2021000091570</t>
        </is>
      </c>
      <c r="AE458" t="inlineStr">
        <is>
          <t>FOUR LEGACY INVESTMENTS LLC</t>
        </is>
      </c>
      <c r="AF458" t="inlineStr">
        <is>
          <t>FLEETPARK QUEBEC CO LLC</t>
        </is>
      </c>
      <c r="AI458" s="245">
        <f>AND(E458=Subj_OccCode,Subj_BldgSF&gt;0,L458&gt;=Subj_BldgSF*(1-Subj_SizeTol),L458&lt;=Subj_BldgSF*(1+Subj_SizeTol))</f>
        <v/>
      </c>
    </row>
    <row r="459" ht="15" customHeight="1">
      <c r="A459" s="471" t="n">
        <v>8</v>
      </c>
      <c r="B459" s="245" t="n">
        <v>453</v>
      </c>
      <c r="C459" t="inlineStr">
        <is>
          <t>R0075207</t>
        </is>
      </c>
      <c r="D459" t="inlineStr">
        <is>
          <t>10290 E 106TH AVE</t>
        </is>
      </c>
      <c r="E459" t="n">
        <v>406</v>
      </c>
      <c r="G459" t="inlineStr">
        <is>
          <t>2</t>
        </is>
      </c>
      <c r="H459" s="669">
        <f>Y459/J459</f>
        <v/>
      </c>
      <c r="I459" s="670" t="n">
        <v>43894</v>
      </c>
      <c r="J459" t="n">
        <v>14000</v>
      </c>
      <c r="L459" t="n">
        <v>14000</v>
      </c>
      <c r="M459" t="n">
        <v>1995</v>
      </c>
      <c r="P459" t="inlineStr">
        <is>
          <t>I-3-Com</t>
        </is>
      </c>
      <c r="R459" t="inlineStr">
        <is>
          <t>Average</t>
        </is>
      </c>
      <c r="S459" t="n">
        <v>93218</v>
      </c>
      <c r="T459" s="467">
        <f>S459/J459</f>
        <v/>
      </c>
      <c r="U459" t="inlineStr">
        <is>
          <t>Average</t>
        </is>
      </c>
      <c r="Y459" t="n">
        <v>2200000</v>
      </c>
      <c r="AA459" t="n">
        <v>2200000</v>
      </c>
      <c r="AC459" t="inlineStr">
        <is>
          <t>0172110006004</t>
        </is>
      </c>
      <c r="AD459" t="inlineStr">
        <is>
          <t>2020000021758</t>
        </is>
      </c>
      <c r="AE459" t="inlineStr">
        <is>
          <t>R AND R JOE ENTERPRISES LLC</t>
        </is>
      </c>
      <c r="AF459" t="inlineStr">
        <is>
          <t>ROCKY WELDING SERVICES LLC</t>
        </is>
      </c>
      <c r="AI459" s="245">
        <f>AND(E459=Subj_OccCode,Subj_BldgSF&gt;0,L459&gt;=Subj_BldgSF*(1-Subj_SizeTol),L459&lt;=Subj_BldgSF*(1+Subj_SizeTol))</f>
        <v/>
      </c>
    </row>
    <row r="460" ht="15" customHeight="1">
      <c r="A460" s="471" t="n">
        <v>8</v>
      </c>
      <c r="B460" s="245" t="n">
        <v>454</v>
      </c>
      <c r="C460" t="inlineStr">
        <is>
          <t>R0039073</t>
        </is>
      </c>
      <c r="D460" t="inlineStr">
        <is>
          <t>10475  IRMA DR #15</t>
        </is>
      </c>
      <c r="E460" t="n">
        <v>425</v>
      </c>
      <c r="F460" t="inlineStr">
        <is>
          <t>NORTHGLENN</t>
        </is>
      </c>
      <c r="G460" t="inlineStr">
        <is>
          <t>4</t>
        </is>
      </c>
      <c r="H460" s="669">
        <f>Y460/J460</f>
        <v/>
      </c>
      <c r="I460" s="670" t="n">
        <v>44175</v>
      </c>
      <c r="J460" t="n">
        <v>1500</v>
      </c>
      <c r="L460" t="n">
        <v>1500</v>
      </c>
      <c r="M460" t="n">
        <v>1984</v>
      </c>
      <c r="P460" t="inlineStr">
        <is>
          <t>I-2-Nor</t>
        </is>
      </c>
      <c r="R460" t="inlineStr">
        <is>
          <t>Average</t>
        </is>
      </c>
      <c r="S460" t="n">
        <v>4655</v>
      </c>
      <c r="T460" s="467">
        <f>S460/J460</f>
        <v/>
      </c>
      <c r="U460" t="inlineStr">
        <is>
          <t>Average</t>
        </is>
      </c>
      <c r="Y460" t="n">
        <v>233000</v>
      </c>
      <c r="AA460" t="n">
        <v>233000</v>
      </c>
      <c r="AC460" t="inlineStr">
        <is>
          <t>0171911411034</t>
        </is>
      </c>
      <c r="AD460" t="inlineStr">
        <is>
          <t>2020000131356</t>
        </is>
      </c>
      <c r="AE460" t="inlineStr">
        <is>
          <t>AFS RESIDENTIAL LLC</t>
        </is>
      </c>
      <c r="AF460" t="inlineStr">
        <is>
          <t>MACK VENTURES LLC</t>
        </is>
      </c>
      <c r="AI460" s="245">
        <f>AND(E460=Subj_OccCode,Subj_BldgSF&gt;0,L460&gt;=Subj_BldgSF*(1-Subj_SizeTol),L460&lt;=Subj_BldgSF*(1+Subj_SizeTol))</f>
        <v/>
      </c>
    </row>
    <row r="461" ht="15" customHeight="1">
      <c r="A461" s="471" t="n">
        <v>8</v>
      </c>
      <c r="B461" s="245" t="n">
        <v>455</v>
      </c>
      <c r="C461" t="inlineStr">
        <is>
          <t>R0066239</t>
        </is>
      </c>
      <c r="D461" t="inlineStr">
        <is>
          <t>7961  FEDERAL BLVD</t>
        </is>
      </c>
      <c r="E461" t="n">
        <v>344</v>
      </c>
      <c r="F461" t="inlineStr">
        <is>
          <t>WESTMINSTER</t>
        </is>
      </c>
      <c r="G461" t="inlineStr">
        <is>
          <t>4</t>
        </is>
      </c>
      <c r="H461" s="669">
        <f>Y461/J461</f>
        <v/>
      </c>
      <c r="I461" s="670" t="n">
        <v>43942</v>
      </c>
      <c r="J461" t="n">
        <v>4466</v>
      </c>
      <c r="L461" t="n">
        <v>4466</v>
      </c>
      <c r="M461" t="n">
        <v>1973</v>
      </c>
      <c r="P461" t="inlineStr">
        <is>
          <t>B-1-Wes</t>
        </is>
      </c>
      <c r="R461" t="inlineStr">
        <is>
          <t>Average</t>
        </is>
      </c>
      <c r="S461" t="n">
        <v>12330</v>
      </c>
      <c r="T461" s="467">
        <f>S461/J461</f>
        <v/>
      </c>
      <c r="U461" t="inlineStr">
        <is>
          <t>Average</t>
        </is>
      </c>
      <c r="Y461" t="n">
        <v>727200</v>
      </c>
      <c r="AA461" t="n">
        <v>727200</v>
      </c>
      <c r="AC461" t="inlineStr">
        <is>
          <t>0171932210053</t>
        </is>
      </c>
      <c r="AD461" t="inlineStr">
        <is>
          <t>2020000036513</t>
        </is>
      </c>
      <c r="AE461" t="inlineStr">
        <is>
          <t>DYLEE LLC</t>
        </is>
      </c>
      <c r="AF461" t="inlineStr">
        <is>
          <t>GOVEA LLC</t>
        </is>
      </c>
      <c r="AI461" s="245">
        <f>AND(E461=Subj_OccCode,Subj_BldgSF&gt;0,L461&gt;=Subj_BldgSF*(1-Subj_SizeTol),L461&lt;=Subj_BldgSF*(1+Subj_SizeTol))</f>
        <v/>
      </c>
    </row>
    <row r="462" ht="15" customHeight="1">
      <c r="A462" s="471" t="n">
        <v>8</v>
      </c>
      <c r="B462" s="245" t="n">
        <v>456</v>
      </c>
      <c r="C462" t="inlineStr">
        <is>
          <t>R0159799</t>
        </is>
      </c>
      <c r="D462" t="inlineStr">
        <is>
          <t>6345 IVANHOE ST</t>
        </is>
      </c>
      <c r="E462" t="n">
        <v>344</v>
      </c>
      <c r="F462" t="inlineStr">
        <is>
          <t>COMMERCE CITY</t>
        </is>
      </c>
      <c r="G462" t="inlineStr">
        <is>
          <t>5</t>
        </is>
      </c>
      <c r="H462" s="669">
        <f>Y462/J462</f>
        <v/>
      </c>
      <c r="I462" s="670" t="n">
        <v>43917</v>
      </c>
      <c r="J462" t="n">
        <v>6889</v>
      </c>
      <c r="L462" t="n">
        <v>6889</v>
      </c>
      <c r="M462" t="n">
        <v>2006</v>
      </c>
      <c r="P462" t="inlineStr">
        <is>
          <t>C-3-Com</t>
        </is>
      </c>
      <c r="R462" t="inlineStr">
        <is>
          <t>Average</t>
        </is>
      </c>
      <c r="S462" t="n">
        <v>19140</v>
      </c>
      <c r="T462" s="467">
        <f>S462/J462</f>
        <v/>
      </c>
      <c r="U462" t="inlineStr">
        <is>
          <t>Average</t>
        </is>
      </c>
      <c r="Y462" t="n">
        <v>900000</v>
      </c>
      <c r="AA462" t="n">
        <v>900000</v>
      </c>
      <c r="AC462" t="inlineStr">
        <is>
          <t>0182308207010</t>
        </is>
      </c>
      <c r="AD462" t="inlineStr">
        <is>
          <t>2020000030948</t>
        </is>
      </c>
      <c r="AE462" t="inlineStr">
        <is>
          <t>IVANHOE PROPERTY GROUP LLC</t>
        </is>
      </c>
      <c r="AF462" t="inlineStr">
        <is>
          <t>GRISWOLD MICHAEL M AND, GRISWOLD ANNETTE M</t>
        </is>
      </c>
      <c r="AI462" s="245">
        <f>AND(E462=Subj_OccCode,Subj_BldgSF&gt;0,L462&gt;=Subj_BldgSF*(1-Subj_SizeTol),L462&lt;=Subj_BldgSF*(1+Subj_SizeTol))</f>
        <v/>
      </c>
    </row>
    <row r="463" ht="15" customHeight="1">
      <c r="A463" s="471" t="n">
        <v>8</v>
      </c>
      <c r="B463" s="245" t="n">
        <v>457</v>
      </c>
      <c r="C463" t="inlineStr">
        <is>
          <t>R0164243</t>
        </is>
      </c>
      <c r="D463" t="inlineStr">
        <is>
          <t>9801  HAVANA ST</t>
        </is>
      </c>
      <c r="E463" t="n">
        <v>407</v>
      </c>
      <c r="F463" t="inlineStr">
        <is>
          <t>COMMERCE CITY</t>
        </is>
      </c>
      <c r="G463" t="inlineStr">
        <is>
          <t>5</t>
        </is>
      </c>
      <c r="H463" s="669">
        <f>Y463/J463</f>
        <v/>
      </c>
      <c r="I463" s="670" t="n">
        <v>44323</v>
      </c>
      <c r="J463" t="n">
        <v>32000</v>
      </c>
      <c r="L463" t="n">
        <v>32000</v>
      </c>
      <c r="M463" t="n">
        <v>2005</v>
      </c>
      <c r="P463" t="inlineStr">
        <is>
          <t>PUD-Com</t>
        </is>
      </c>
      <c r="R463" t="inlineStr">
        <is>
          <t>Average</t>
        </is>
      </c>
      <c r="S463" t="n">
        <v>135316</v>
      </c>
      <c r="T463" s="467">
        <f>S463/J463</f>
        <v/>
      </c>
      <c r="U463" t="inlineStr">
        <is>
          <t>Average</t>
        </is>
      </c>
      <c r="Y463" t="n">
        <v>4750000</v>
      </c>
      <c r="AA463" t="n">
        <v>4750000</v>
      </c>
      <c r="AC463" t="inlineStr">
        <is>
          <t>0172115401009</t>
        </is>
      </c>
      <c r="AD463" t="inlineStr">
        <is>
          <t>2021000056808</t>
        </is>
      </c>
      <c r="AE463" t="inlineStr">
        <is>
          <t>CAMIKA HOLDINGS LLC</t>
        </is>
      </c>
      <c r="AF463" t="inlineStr">
        <is>
          <t>HANLEY HOLDINGS LLC</t>
        </is>
      </c>
      <c r="AI463" s="245">
        <f>AND(E463=Subj_OccCode,Subj_BldgSF&gt;0,L463&gt;=Subj_BldgSF*(1-Subj_SizeTol),L463&lt;=Subj_BldgSF*(1+Subj_SizeTol))</f>
        <v/>
      </c>
    </row>
    <row r="464" ht="15" customHeight="1">
      <c r="A464" s="471" t="n">
        <v>8</v>
      </c>
      <c r="B464" s="245" t="n">
        <v>458</v>
      </c>
      <c r="C464" t="inlineStr">
        <is>
          <t>R0066455</t>
        </is>
      </c>
      <c r="D464" t="inlineStr">
        <is>
          <t>3031 W 74TH AVE</t>
        </is>
      </c>
      <c r="E464" t="n">
        <v>413</v>
      </c>
      <c r="F464" t="inlineStr">
        <is>
          <t>WESTMINSTER</t>
        </is>
      </c>
      <c r="G464" t="inlineStr">
        <is>
          <t>4</t>
        </is>
      </c>
      <c r="H464" s="669">
        <f>Y464/J464</f>
        <v/>
      </c>
      <c r="I464" s="670" t="n">
        <v>44468</v>
      </c>
      <c r="J464" t="n">
        <v>124700</v>
      </c>
      <c r="L464" t="n">
        <v>124700</v>
      </c>
      <c r="M464" t="n">
        <v>1963</v>
      </c>
      <c r="P464" t="inlineStr">
        <is>
          <t>PUD-Wes</t>
        </is>
      </c>
      <c r="R464" t="inlineStr">
        <is>
          <t>Average</t>
        </is>
      </c>
      <c r="S464" t="n">
        <v>349871</v>
      </c>
      <c r="T464" s="467">
        <f>S464/J464</f>
        <v/>
      </c>
      <c r="U464" t="inlineStr">
        <is>
          <t>Average</t>
        </is>
      </c>
      <c r="Y464" t="n">
        <v>14250000</v>
      </c>
      <c r="AA464" t="n">
        <v>14250000</v>
      </c>
      <c r="AC464" t="inlineStr">
        <is>
          <t>0171932300078</t>
        </is>
      </c>
      <c r="AD464" t="inlineStr">
        <is>
          <t>2021000115751</t>
        </is>
      </c>
      <c r="AE464" t="inlineStr">
        <is>
          <t>DYNAMIS LLC</t>
        </is>
      </c>
      <c r="AF464" t="inlineStr">
        <is>
          <t>BROADWAY SQUARE RLLP UND 85.773% INT AND, WESTMINSTER SQUARE LLC UND 14.227%INT</t>
        </is>
      </c>
      <c r="AI464" s="245">
        <f>AND(E464=Subj_OccCode,Subj_BldgSF&gt;0,L464&gt;=Subj_BldgSF*(1-Subj_SizeTol),L464&lt;=Subj_BldgSF*(1+Subj_SizeTol))</f>
        <v/>
      </c>
    </row>
    <row r="465" ht="15" customHeight="1">
      <c r="A465" s="471" t="n">
        <v>8</v>
      </c>
      <c r="B465" s="245" t="n">
        <v>459</v>
      </c>
      <c r="C465" t="inlineStr">
        <is>
          <t>R0131994</t>
        </is>
      </c>
      <c r="D465" t="inlineStr">
        <is>
          <t>12021  PENNSYLVANIA ST #109</t>
        </is>
      </c>
      <c r="E465" t="n">
        <v>344</v>
      </c>
      <c r="F465" t="inlineStr">
        <is>
          <t>THORNTON</t>
        </is>
      </c>
      <c r="G465" t="inlineStr">
        <is>
          <t>3</t>
        </is>
      </c>
      <c r="H465" s="669">
        <f>Y465/J465</f>
        <v/>
      </c>
      <c r="I465" s="670" t="n">
        <v>43735</v>
      </c>
      <c r="J465" t="n">
        <v>940</v>
      </c>
      <c r="L465" t="n">
        <v>940</v>
      </c>
      <c r="M465" t="n">
        <v>2000</v>
      </c>
      <c r="P465" t="inlineStr">
        <is>
          <t>Regional Commercial</t>
        </is>
      </c>
      <c r="R465" t="inlineStr">
        <is>
          <t>Average</t>
        </is>
      </c>
      <c r="S465" t="n">
        <v>3838.69</v>
      </c>
      <c r="T465" s="467">
        <f>S465/J465</f>
        <v/>
      </c>
      <c r="U465" t="inlineStr">
        <is>
          <t>Average</t>
        </is>
      </c>
      <c r="Y465" t="n">
        <v>240000</v>
      </c>
      <c r="AA465" t="n">
        <v>240000</v>
      </c>
      <c r="AC465" t="inlineStr">
        <is>
          <t>0157334401011</t>
        </is>
      </c>
      <c r="AD465" t="inlineStr">
        <is>
          <t>2019000081953</t>
        </is>
      </c>
      <c r="AE465" t="inlineStr">
        <is>
          <t>KOSOROK JOINT FAMILY TRUST THE AND, ELLISS JOINT FAMILY TRUST THE</t>
        </is>
      </c>
      <c r="AF465" t="inlineStr">
        <is>
          <t>PENN REAL ESTATE 109 LLC</t>
        </is>
      </c>
      <c r="AI465" s="245">
        <f>AND(E465=Subj_OccCode,Subj_BldgSF&gt;0,L465&gt;=Subj_BldgSF*(1-Subj_SizeTol),L465&lt;=Subj_BldgSF*(1+Subj_SizeTol))</f>
        <v/>
      </c>
    </row>
    <row r="466" ht="15" customHeight="1">
      <c r="A466" s="471" t="n">
        <v>8</v>
      </c>
      <c r="B466" s="245" t="n">
        <v>460</v>
      </c>
      <c r="C466" t="inlineStr">
        <is>
          <t>R0093922</t>
        </is>
      </c>
      <c r="D466" t="inlineStr">
        <is>
          <t>3151  OAKLAND ST</t>
        </is>
      </c>
      <c r="E466" t="n">
        <v>325</v>
      </c>
      <c r="F466" t="inlineStr">
        <is>
          <t>AURORA</t>
        </is>
      </c>
      <c r="G466" t="inlineStr">
        <is>
          <t>6</t>
        </is>
      </c>
      <c r="H466" s="669">
        <f>Y466/J466</f>
        <v/>
      </c>
      <c r="I466" s="670" t="n">
        <v>43728</v>
      </c>
      <c r="J466" t="n">
        <v>9700</v>
      </c>
      <c r="L466" t="n">
        <v>9700</v>
      </c>
      <c r="M466" t="n">
        <v>1966</v>
      </c>
      <c r="P466" t="inlineStr">
        <is>
          <t>M-3</t>
        </is>
      </c>
      <c r="R466" t="inlineStr">
        <is>
          <t>Average</t>
        </is>
      </c>
      <c r="S466" t="n">
        <v>22800</v>
      </c>
      <c r="T466" s="467">
        <f>S466/J466</f>
        <v/>
      </c>
      <c r="U466" t="inlineStr">
        <is>
          <t>Average</t>
        </is>
      </c>
      <c r="Y466" t="n">
        <v>1282000</v>
      </c>
      <c r="AA466" t="n">
        <v>1282000</v>
      </c>
      <c r="AC466" t="inlineStr">
        <is>
          <t>0182326402007</t>
        </is>
      </c>
      <c r="AD466" t="inlineStr">
        <is>
          <t>2019000079764</t>
        </is>
      </c>
      <c r="AE466" t="inlineStr">
        <is>
          <t>KORMISHKIN EUGENE</t>
        </is>
      </c>
      <c r="AF466" t="inlineStr">
        <is>
          <t>HTV COLORADO PROPERTIES LLC</t>
        </is>
      </c>
      <c r="AI466" s="245">
        <f>AND(E466=Subj_OccCode,Subj_BldgSF&gt;0,L466&gt;=Subj_BldgSF*(1-Subj_SizeTol),L466&lt;=Subj_BldgSF*(1+Subj_SizeTol))</f>
        <v/>
      </c>
    </row>
    <row r="467" ht="15" customHeight="1">
      <c r="A467" s="471" t="n">
        <v>8</v>
      </c>
      <c r="B467" s="245" t="n">
        <v>461</v>
      </c>
      <c r="C467" t="inlineStr">
        <is>
          <t>R0093880</t>
        </is>
      </c>
      <c r="D467" t="inlineStr">
        <is>
          <t>11951 E 33RD AVE</t>
        </is>
      </c>
      <c r="E467" t="n">
        <v>407</v>
      </c>
      <c r="F467" t="inlineStr">
        <is>
          <t>AURORA</t>
        </is>
      </c>
      <c r="G467" t="inlineStr">
        <is>
          <t>6</t>
        </is>
      </c>
      <c r="H467" s="669">
        <f>Y467/J467</f>
        <v/>
      </c>
      <c r="I467" s="670" t="n">
        <v>44396</v>
      </c>
      <c r="J467" t="n">
        <v>39600</v>
      </c>
      <c r="L467" t="n">
        <v>39600</v>
      </c>
      <c r="M467" t="n">
        <v>1979</v>
      </c>
      <c r="P467" t="inlineStr">
        <is>
          <t>M-2</t>
        </is>
      </c>
      <c r="R467" t="inlineStr">
        <is>
          <t>Average</t>
        </is>
      </c>
      <c r="S467" t="n">
        <v>204296</v>
      </c>
      <c r="T467" s="467">
        <f>S467/J467</f>
        <v/>
      </c>
      <c r="U467" t="inlineStr">
        <is>
          <t>Average</t>
        </is>
      </c>
      <c r="Y467" t="n">
        <v>7425000</v>
      </c>
      <c r="AA467" t="n">
        <v>7425000</v>
      </c>
      <c r="AC467" t="inlineStr">
        <is>
          <t>0182326101037</t>
        </is>
      </c>
      <c r="AD467" t="inlineStr">
        <is>
          <t>2021000085996</t>
        </is>
      </c>
      <c r="AE467" t="inlineStr">
        <is>
          <t>11951 E 33RD AVE LLC</t>
        </is>
      </c>
      <c r="AF467" t="inlineStr">
        <is>
          <t>NLA GCH AURORA LLC</t>
        </is>
      </c>
      <c r="AI467" s="245">
        <f>AND(E467=Subj_OccCode,Subj_BldgSF&gt;0,L467&gt;=Subj_BldgSF*(1-Subj_SizeTol),L467&lt;=Subj_BldgSF*(1+Subj_SizeTol))</f>
        <v/>
      </c>
    </row>
    <row r="468" ht="15" customHeight="1">
      <c r="A468" s="471" t="n">
        <v>8</v>
      </c>
      <c r="B468" s="245" t="n">
        <v>462</v>
      </c>
      <c r="C468" t="inlineStr">
        <is>
          <t>R0093894</t>
        </is>
      </c>
      <c r="D468" t="inlineStr">
        <is>
          <t>3223  OAKLAND ST</t>
        </is>
      </c>
      <c r="E468" t="n">
        <v>406</v>
      </c>
      <c r="F468" t="inlineStr">
        <is>
          <t>AURORA</t>
        </is>
      </c>
      <c r="G468" t="inlineStr">
        <is>
          <t>6</t>
        </is>
      </c>
      <c r="H468" s="669">
        <f>Y468/J468</f>
        <v/>
      </c>
      <c r="I468" s="670" t="n">
        <v>43725</v>
      </c>
      <c r="J468" t="n">
        <v>6250</v>
      </c>
      <c r="L468" t="n">
        <v>6250</v>
      </c>
      <c r="M468" t="n">
        <v>1971</v>
      </c>
      <c r="P468" t="inlineStr">
        <is>
          <t>M-3</t>
        </is>
      </c>
      <c r="R468" t="inlineStr">
        <is>
          <t>Average</t>
        </is>
      </c>
      <c r="S468" t="n">
        <v>23750</v>
      </c>
      <c r="T468" s="467">
        <f>S468/J468</f>
        <v/>
      </c>
      <c r="U468" t="inlineStr">
        <is>
          <t>Average</t>
        </is>
      </c>
      <c r="Y468" t="n">
        <v>968700</v>
      </c>
      <c r="AA468" t="n">
        <v>968700</v>
      </c>
      <c r="AC468" t="inlineStr">
        <is>
          <t>0182326102005</t>
        </is>
      </c>
      <c r="AD468" t="inlineStr">
        <is>
          <t>2019000080241</t>
        </is>
      </c>
      <c r="AE468" t="inlineStr">
        <is>
          <t>NORTH JAMES R AND, NORTH JOAN F</t>
        </is>
      </c>
      <c r="AF468" t="inlineStr">
        <is>
          <t>TRACKING INVESTMENTS LLC</t>
        </is>
      </c>
      <c r="AI468" s="245">
        <f>AND(E468=Subj_OccCode,Subj_BldgSF&gt;0,L468&gt;=Subj_BldgSF*(1-Subj_SizeTol),L468&lt;=Subj_BldgSF*(1+Subj_SizeTol))</f>
        <v/>
      </c>
    </row>
    <row r="469" ht="15" customHeight="1">
      <c r="A469" s="471" t="n">
        <v>8</v>
      </c>
      <c r="B469" s="245" t="n">
        <v>463</v>
      </c>
      <c r="C469" t="inlineStr">
        <is>
          <t>R0058427</t>
        </is>
      </c>
      <c r="D469" t="inlineStr">
        <is>
          <t>500 W 84TH AVE</t>
        </is>
      </c>
      <c r="E469" t="n">
        <v>384</v>
      </c>
      <c r="G469" t="inlineStr">
        <is>
          <t>4</t>
        </is>
      </c>
      <c r="H469" s="669">
        <f>Y469/J469</f>
        <v/>
      </c>
      <c r="I469" s="670" t="n">
        <v>44461</v>
      </c>
      <c r="J469" t="n">
        <v>2450</v>
      </c>
      <c r="L469" t="n">
        <v>2450</v>
      </c>
      <c r="M469" t="n">
        <v>1982</v>
      </c>
      <c r="P469" t="inlineStr">
        <is>
          <t>Commercial</t>
        </is>
      </c>
      <c r="R469" t="inlineStr">
        <is>
          <t>Average</t>
        </is>
      </c>
      <c r="S469" t="n">
        <v>8400</v>
      </c>
      <c r="T469" s="467">
        <f>S469/J469</f>
        <v/>
      </c>
      <c r="U469" t="inlineStr">
        <is>
          <t>Average</t>
        </is>
      </c>
      <c r="Y469" t="n">
        <v>740000</v>
      </c>
      <c r="AA469" t="n">
        <v>740000</v>
      </c>
      <c r="AC469" t="inlineStr">
        <is>
          <t>0171927305001</t>
        </is>
      </c>
      <c r="AD469" t="inlineStr">
        <is>
          <t>2021000112745</t>
        </is>
      </c>
      <c r="AE469" t="inlineStr">
        <is>
          <t>500 W 84 LLC</t>
        </is>
      </c>
      <c r="AF469" t="inlineStr">
        <is>
          <t>HERMOZ LLC</t>
        </is>
      </c>
      <c r="AI469" s="245">
        <f>AND(E469=Subj_OccCode,Subj_BldgSF&gt;0,L469&gt;=Subj_BldgSF*(1-Subj_SizeTol),L469&lt;=Subj_BldgSF*(1+Subj_SizeTol))</f>
        <v/>
      </c>
    </row>
    <row r="470" ht="15" customHeight="1">
      <c r="A470" s="471" t="n">
        <v>8</v>
      </c>
      <c r="B470" s="245" t="n">
        <v>464</v>
      </c>
      <c r="C470" t="inlineStr">
        <is>
          <t>R0091804</t>
        </is>
      </c>
      <c r="D470" t="inlineStr">
        <is>
          <t>6075 E 60TH AVE</t>
        </is>
      </c>
      <c r="E470" t="n">
        <v>344</v>
      </c>
      <c r="F470" t="inlineStr">
        <is>
          <t>COMMERCE CITY</t>
        </is>
      </c>
      <c r="G470" t="inlineStr">
        <is>
          <t>5</t>
        </is>
      </c>
      <c r="H470" s="669">
        <f>Y470/J470</f>
        <v/>
      </c>
      <c r="I470" s="670" t="n">
        <v>43731</v>
      </c>
      <c r="J470" t="n">
        <v>2080</v>
      </c>
      <c r="L470" t="n">
        <v>2080</v>
      </c>
      <c r="M470" t="n">
        <v>1974</v>
      </c>
      <c r="P470" t="inlineStr">
        <is>
          <t>C-1-Com</t>
        </is>
      </c>
      <c r="R470" t="inlineStr">
        <is>
          <t>Average</t>
        </is>
      </c>
      <c r="S470" t="n">
        <v>19375</v>
      </c>
      <c r="T470" s="467">
        <f>S470/J470</f>
        <v/>
      </c>
      <c r="U470" t="inlineStr">
        <is>
          <t>Average</t>
        </is>
      </c>
      <c r="Y470" t="n">
        <v>380000</v>
      </c>
      <c r="AA470" t="n">
        <v>380000</v>
      </c>
      <c r="AC470" t="inlineStr">
        <is>
          <t>0182308217013</t>
        </is>
      </c>
      <c r="AD470" t="inlineStr">
        <is>
          <t>2019000090076</t>
        </is>
      </c>
      <c r="AE470" t="inlineStr">
        <is>
          <t>TIS LEASING LLC</t>
        </is>
      </c>
      <c r="AF470" t="inlineStr">
        <is>
          <t>ANYHOME INVESTMENT GROUP LLC</t>
        </is>
      </c>
      <c r="AI470" s="245">
        <f>AND(E470=Subj_OccCode,Subj_BldgSF&gt;0,L470&gt;=Subj_BldgSF*(1-Subj_SizeTol),L470&lt;=Subj_BldgSF*(1+Subj_SizeTol))</f>
        <v/>
      </c>
    </row>
    <row r="471" ht="15" customHeight="1">
      <c r="A471" s="471" t="n">
        <v>8</v>
      </c>
      <c r="B471" s="245" t="n">
        <v>465</v>
      </c>
      <c r="C471" t="inlineStr">
        <is>
          <t>R0095615</t>
        </is>
      </c>
      <c r="D471" t="inlineStr">
        <is>
          <t>1550  ELMIRA ST</t>
        </is>
      </c>
      <c r="E471" t="n">
        <v>344</v>
      </c>
      <c r="F471" t="inlineStr">
        <is>
          <t>AURORA</t>
        </is>
      </c>
      <c r="G471" t="inlineStr">
        <is>
          <t>6</t>
        </is>
      </c>
      <c r="H471" s="669">
        <f>Y471/J471</f>
        <v/>
      </c>
      <c r="I471" s="670" t="n">
        <v>44348</v>
      </c>
      <c r="J471" t="n">
        <v>1994</v>
      </c>
      <c r="L471" t="n">
        <v>1994</v>
      </c>
      <c r="M471" t="n">
        <v>1969</v>
      </c>
      <c r="P471" t="inlineStr">
        <is>
          <t>OA-MS</t>
        </is>
      </c>
      <c r="R471" t="inlineStr">
        <is>
          <t>Average</t>
        </is>
      </c>
      <c r="S471" t="n">
        <v>6250</v>
      </c>
      <c r="T471" s="467">
        <f>S471/J471</f>
        <v/>
      </c>
      <c r="U471" t="inlineStr">
        <is>
          <t>Average</t>
        </is>
      </c>
      <c r="Y471" t="n">
        <v>385000</v>
      </c>
      <c r="AA471" t="n">
        <v>385000</v>
      </c>
      <c r="AC471" t="inlineStr">
        <is>
          <t>0182334425019</t>
        </is>
      </c>
      <c r="AD471" t="inlineStr">
        <is>
          <t>2021000067125</t>
        </is>
      </c>
      <c r="AE471" t="inlineStr">
        <is>
          <t>ROSS JENNIFER C LIVING TRUST</t>
        </is>
      </c>
      <c r="AF471" t="inlineStr">
        <is>
          <t>SCI-1550 ELMIRA LLC</t>
        </is>
      </c>
      <c r="AI471" s="245">
        <f>AND(E471=Subj_OccCode,Subj_BldgSF&gt;0,L471&gt;=Subj_BldgSF*(1-Subj_SizeTol),L471&lt;=Subj_BldgSF*(1+Subj_SizeTol))</f>
        <v/>
      </c>
    </row>
    <row r="472" ht="15" customHeight="1">
      <c r="A472" s="471" t="n">
        <v>8</v>
      </c>
      <c r="B472" s="245" t="n">
        <v>466</v>
      </c>
      <c r="C472" t="inlineStr">
        <is>
          <t>R0091298</t>
        </is>
      </c>
      <c r="D472" t="inlineStr">
        <is>
          <t>6171  OLIVE ST</t>
        </is>
      </c>
      <c r="E472" t="n">
        <v>442</v>
      </c>
      <c r="F472" t="inlineStr">
        <is>
          <t>COMMERCE CITY</t>
        </is>
      </c>
      <c r="G472" t="inlineStr">
        <is>
          <t>5</t>
        </is>
      </c>
      <c r="H472" s="669">
        <f>Y472/J472</f>
        <v/>
      </c>
      <c r="I472" s="670" t="n">
        <v>43271</v>
      </c>
      <c r="J472" t="n">
        <v>1500</v>
      </c>
      <c r="L472" t="n">
        <v>1500</v>
      </c>
      <c r="M472" t="n">
        <v>1942</v>
      </c>
      <c r="P472" t="inlineStr">
        <is>
          <t>Commerce City</t>
        </is>
      </c>
      <c r="R472" t="inlineStr">
        <is>
          <t>Average</t>
        </is>
      </c>
      <c r="S472" t="n">
        <v>21150</v>
      </c>
      <c r="T472" s="467">
        <f>S472/J472</f>
        <v/>
      </c>
      <c r="U472" t="inlineStr">
        <is>
          <t>Average</t>
        </is>
      </c>
      <c r="Y472" t="n">
        <v>300000</v>
      </c>
      <c r="AA472" t="n">
        <v>300000</v>
      </c>
      <c r="AC472" t="inlineStr">
        <is>
          <t>0182308114018</t>
        </is>
      </c>
      <c r="AD472" t="inlineStr">
        <is>
          <t>2018000050337</t>
        </is>
      </c>
      <c r="AE472" t="inlineStr">
        <is>
          <t>TAR HILL INVESTMENTS LLC</t>
        </is>
      </c>
      <c r="AF472" t="inlineStr">
        <is>
          <t>DANKO-HOLLOWAY LLC</t>
        </is>
      </c>
      <c r="AI472" s="245">
        <f>AND(E472=Subj_OccCode,Subj_BldgSF&gt;0,L472&gt;=Subj_BldgSF*(1-Subj_SizeTol),L472&lt;=Subj_BldgSF*(1+Subj_SizeTol))</f>
        <v/>
      </c>
    </row>
    <row r="473" ht="15" customHeight="1">
      <c r="A473" s="471" t="n">
        <v>8</v>
      </c>
      <c r="B473" s="245" t="n">
        <v>467</v>
      </c>
      <c r="C473" t="inlineStr">
        <is>
          <t>R0002834</t>
        </is>
      </c>
      <c r="D473" t="inlineStr">
        <is>
          <t>43 N MAIN ST</t>
        </is>
      </c>
      <c r="E473" t="n">
        <v>353</v>
      </c>
      <c r="F473" t="inlineStr">
        <is>
          <t>BRIGHTON</t>
        </is>
      </c>
      <c r="G473" t="inlineStr">
        <is>
          <t>2</t>
        </is>
      </c>
      <c r="H473" s="669">
        <f>Y473/J473</f>
        <v/>
      </c>
      <c r="I473" s="670" t="n">
        <v>44483</v>
      </c>
      <c r="J473" t="n">
        <v>2250</v>
      </c>
      <c r="L473" t="n">
        <v>2250</v>
      </c>
      <c r="M473" t="n">
        <v>1895</v>
      </c>
      <c r="P473" t="inlineStr">
        <is>
          <t>DT</t>
        </is>
      </c>
      <c r="R473" t="inlineStr">
        <is>
          <t>Low</t>
        </is>
      </c>
      <c r="S473" t="n">
        <v>5227</v>
      </c>
      <c r="T473" s="467">
        <f>S473/J473</f>
        <v/>
      </c>
      <c r="U473" t="inlineStr">
        <is>
          <t>Average</t>
        </is>
      </c>
      <c r="Y473" t="n">
        <v>420000</v>
      </c>
      <c r="AA473" t="n">
        <v>420000</v>
      </c>
      <c r="AC473" t="inlineStr">
        <is>
          <t>0156906314002</t>
        </is>
      </c>
      <c r="AD473" t="inlineStr">
        <is>
          <t>2021000121938</t>
        </is>
      </c>
      <c r="AE473" t="inlineStr">
        <is>
          <t>PLOCK GARY A AND, PLOCK PAMELA L</t>
        </is>
      </c>
      <c r="AF473" t="inlineStr">
        <is>
          <t>DOHERTY DANIEL R</t>
        </is>
      </c>
      <c r="AI473" s="245">
        <f>AND(E473=Subj_OccCode,Subj_BldgSF&gt;0,L473&gt;=Subj_BldgSF*(1-Subj_SizeTol),L473&lt;=Subj_BldgSF*(1+Subj_SizeTol))</f>
        <v/>
      </c>
    </row>
    <row r="474" ht="15" customHeight="1">
      <c r="A474" s="471" t="n">
        <v>8</v>
      </c>
      <c r="B474" s="245" t="n">
        <v>468</v>
      </c>
      <c r="C474" t="inlineStr">
        <is>
          <t>R0002835</t>
        </is>
      </c>
      <c r="D474" t="inlineStr">
        <is>
          <t>39 N MAIN ST</t>
        </is>
      </c>
      <c r="E474" t="n">
        <v>353</v>
      </c>
      <c r="F474" t="inlineStr">
        <is>
          <t>BRIGHTON</t>
        </is>
      </c>
      <c r="G474" t="inlineStr">
        <is>
          <t>2</t>
        </is>
      </c>
      <c r="H474" s="669">
        <f>Y474/J474</f>
        <v/>
      </c>
      <c r="I474" s="670" t="n">
        <v>44483</v>
      </c>
      <c r="J474" t="n">
        <v>2260</v>
      </c>
      <c r="L474" t="n">
        <v>2260</v>
      </c>
      <c r="M474" t="n">
        <v>1897</v>
      </c>
      <c r="P474" t="inlineStr">
        <is>
          <t>DT</t>
        </is>
      </c>
      <c r="R474" t="inlineStr">
        <is>
          <t>Average</t>
        </is>
      </c>
      <c r="S474" t="n">
        <v>4920</v>
      </c>
      <c r="T474" s="467">
        <f>S474/J474</f>
        <v/>
      </c>
      <c r="U474" t="inlineStr">
        <is>
          <t>Average</t>
        </is>
      </c>
      <c r="Y474" t="n">
        <v>420000</v>
      </c>
      <c r="AA474" t="n">
        <v>420000</v>
      </c>
      <c r="AC474" t="inlineStr">
        <is>
          <t>0156906314003</t>
        </is>
      </c>
      <c r="AD474" t="inlineStr">
        <is>
          <t>2021000121932</t>
        </is>
      </c>
      <c r="AE474" t="inlineStr">
        <is>
          <t>PLOCK GARY A AND, PLOCK PAMELA L</t>
        </is>
      </c>
      <c r="AF474" t="inlineStr">
        <is>
          <t>DOHERTY DANIEL R</t>
        </is>
      </c>
      <c r="AI474" s="245">
        <f>AND(E474=Subj_OccCode,Subj_BldgSF&gt;0,L474&gt;=Subj_BldgSF*(1-Subj_SizeTol),L474&lt;=Subj_BldgSF*(1+Subj_SizeTol))</f>
        <v/>
      </c>
    </row>
    <row r="475" ht="15" customHeight="1">
      <c r="A475" s="471" t="n">
        <v>8</v>
      </c>
      <c r="B475" s="245" t="n">
        <v>469</v>
      </c>
      <c r="C475" t="inlineStr">
        <is>
          <t>R0054373</t>
        </is>
      </c>
      <c r="D475" t="inlineStr">
        <is>
          <t>2301 E 88TH AVE</t>
        </is>
      </c>
      <c r="E475" t="n">
        <v>419</v>
      </c>
      <c r="F475" t="inlineStr">
        <is>
          <t>THORNTON</t>
        </is>
      </c>
      <c r="G475" t="inlineStr">
        <is>
          <t>4</t>
        </is>
      </c>
      <c r="H475" s="669">
        <f>Y475/J475</f>
        <v/>
      </c>
      <c r="I475" s="670" t="n">
        <v>44644</v>
      </c>
      <c r="J475" t="n">
        <v>2467</v>
      </c>
      <c r="L475" t="n">
        <v>2467</v>
      </c>
      <c r="M475" t="n">
        <v>1987</v>
      </c>
      <c r="P475" t="inlineStr">
        <is>
          <t>Community Retail</t>
        </is>
      </c>
      <c r="R475" t="inlineStr">
        <is>
          <t>Average</t>
        </is>
      </c>
      <c r="S475" t="n">
        <v>18750</v>
      </c>
      <c r="T475" s="467">
        <f>S475/J475</f>
        <v/>
      </c>
      <c r="U475" t="inlineStr">
        <is>
          <t>Average</t>
        </is>
      </c>
      <c r="Y475" t="n">
        <v>2470000</v>
      </c>
      <c r="AA475" t="n">
        <v>2470000</v>
      </c>
      <c r="AC475" t="inlineStr">
        <is>
          <t>0171924319001</t>
        </is>
      </c>
      <c r="AD475" t="inlineStr">
        <is>
          <t>2022000028346</t>
        </is>
      </c>
      <c r="AE475" t="inlineStr">
        <is>
          <t>CF ALTITUDE PROPCO II LLC</t>
        </is>
      </c>
      <c r="AF475" t="inlineStr">
        <is>
          <t>HAZARD LAKE LLC</t>
        </is>
      </c>
      <c r="AI475" s="245">
        <f>AND(E475=Subj_OccCode,Subj_BldgSF&gt;0,L475&gt;=Subj_BldgSF*(1-Subj_SizeTol),L475&lt;=Subj_BldgSF*(1+Subj_SizeTol))</f>
        <v/>
      </c>
    </row>
    <row r="476" ht="15" customHeight="1">
      <c r="A476" s="471" t="n">
        <v>8</v>
      </c>
      <c r="B476" s="245" t="n">
        <v>470</v>
      </c>
      <c r="C476" t="inlineStr">
        <is>
          <t>R0054373</t>
        </is>
      </c>
      <c r="D476" t="inlineStr">
        <is>
          <t>2301 E 88TH AVE</t>
        </is>
      </c>
      <c r="E476" t="n">
        <v>419</v>
      </c>
      <c r="F476" t="inlineStr">
        <is>
          <t>THORNTON</t>
        </is>
      </c>
      <c r="G476" t="inlineStr">
        <is>
          <t>4</t>
        </is>
      </c>
      <c r="H476" s="669">
        <f>Y476/J476</f>
        <v/>
      </c>
      <c r="I476" s="670" t="n">
        <v>43112</v>
      </c>
      <c r="J476" t="n">
        <v>2467</v>
      </c>
      <c r="L476" t="n">
        <v>2467</v>
      </c>
      <c r="M476" t="n">
        <v>1987</v>
      </c>
      <c r="P476" t="inlineStr">
        <is>
          <t>Thornton</t>
        </is>
      </c>
      <c r="R476" t="inlineStr">
        <is>
          <t>Average</t>
        </is>
      </c>
      <c r="S476" t="n">
        <v>18750</v>
      </c>
      <c r="T476" s="467">
        <f>S476/J476</f>
        <v/>
      </c>
      <c r="U476" t="inlineStr">
        <is>
          <t>Average</t>
        </is>
      </c>
      <c r="Y476" t="n">
        <v>1083700</v>
      </c>
      <c r="AA476" t="n">
        <v>1083700</v>
      </c>
      <c r="AC476" t="inlineStr">
        <is>
          <t>0171924319001</t>
        </is>
      </c>
      <c r="AD476" t="inlineStr">
        <is>
          <t>2018000006835</t>
        </is>
      </c>
      <c r="AE476" t="inlineStr">
        <is>
          <t>H.D.T. TEN LIMITED LIABILITY, COMPANY</t>
        </is>
      </c>
      <c r="AF476" t="inlineStr">
        <is>
          <t>CH REALTY VIII/CT CO WESTERN LLC</t>
        </is>
      </c>
      <c r="AI476" s="245">
        <f>AND(E476=Subj_OccCode,Subj_BldgSF&gt;0,L476&gt;=Subj_BldgSF*(1-Subj_SizeTol),L476&lt;=Subj_BldgSF*(1+Subj_SizeTol))</f>
        <v/>
      </c>
    </row>
    <row r="477" ht="15" customHeight="1">
      <c r="A477" s="471" t="n">
        <v>8</v>
      </c>
      <c r="B477" s="245" t="n">
        <v>471</v>
      </c>
      <c r="C477" t="inlineStr">
        <is>
          <t>R0048713</t>
        </is>
      </c>
      <c r="D477" t="inlineStr">
        <is>
          <t>9462  FEDERAL BLVD</t>
        </is>
      </c>
      <c r="E477" t="n">
        <v>344</v>
      </c>
      <c r="F477" t="inlineStr">
        <is>
          <t>FEDERAL HEIGHTS</t>
        </is>
      </c>
      <c r="G477" t="inlineStr">
        <is>
          <t>4</t>
        </is>
      </c>
      <c r="H477" s="669">
        <f>Y477/J477</f>
        <v/>
      </c>
      <c r="I477" s="670" t="n">
        <v>44564</v>
      </c>
      <c r="J477" t="n">
        <v>2976</v>
      </c>
      <c r="L477" t="n">
        <v>2976</v>
      </c>
      <c r="M477" t="n">
        <v>1979</v>
      </c>
      <c r="P477" t="inlineStr">
        <is>
          <t>C-1-Fed</t>
        </is>
      </c>
      <c r="R477" t="inlineStr">
        <is>
          <t>Average</t>
        </is>
      </c>
      <c r="S477" t="n">
        <v>13972</v>
      </c>
      <c r="T477" s="467">
        <f>S477/J477</f>
        <v/>
      </c>
      <c r="U477" t="inlineStr">
        <is>
          <t>Average</t>
        </is>
      </c>
      <c r="Y477" t="n">
        <v>1025000</v>
      </c>
      <c r="AA477" t="n">
        <v>1025000</v>
      </c>
      <c r="AC477" t="inlineStr">
        <is>
          <t>0171920101010</t>
        </is>
      </c>
      <c r="AD477" t="inlineStr">
        <is>
          <t>2022000000831</t>
        </is>
      </c>
      <c r="AE477" t="inlineStr">
        <is>
          <t>TJ INVESTMENTS LLC</t>
        </is>
      </c>
      <c r="AF477" t="inlineStr">
        <is>
          <t>FG LAND INVESTMENTS LLC</t>
        </is>
      </c>
      <c r="AI477" s="245">
        <f>AND(E477=Subj_OccCode,Subj_BldgSF&gt;0,L477&gt;=Subj_BldgSF*(1-Subj_SizeTol),L477&lt;=Subj_BldgSF*(1+Subj_SizeTol))</f>
        <v/>
      </c>
    </row>
    <row r="478" ht="15" customHeight="1">
      <c r="A478" s="471" t="n">
        <v>8</v>
      </c>
      <c r="B478" s="245" t="n">
        <v>472</v>
      </c>
      <c r="C478" t="inlineStr">
        <is>
          <t>R0051481</t>
        </is>
      </c>
      <c r="D478" t="inlineStr">
        <is>
          <t>401 E 88TH AVE</t>
        </is>
      </c>
      <c r="E478" t="n">
        <v>306</v>
      </c>
      <c r="F478" t="inlineStr">
        <is>
          <t>THORNTON</t>
        </is>
      </c>
      <c r="G478" t="inlineStr">
        <is>
          <t>4</t>
        </is>
      </c>
      <c r="H478" s="669">
        <f>Y478/J478</f>
        <v/>
      </c>
      <c r="I478" s="670" t="n">
        <v>43602</v>
      </c>
      <c r="J478" t="n">
        <v>36000</v>
      </c>
      <c r="L478" t="n">
        <v>36000</v>
      </c>
      <c r="M478" t="n">
        <v>1979</v>
      </c>
      <c r="P478" t="inlineStr">
        <is>
          <t>Thornton</t>
        </is>
      </c>
      <c r="R478" t="inlineStr">
        <is>
          <t>Average</t>
        </is>
      </c>
      <c r="S478" t="n">
        <v>267981</v>
      </c>
      <c r="T478" s="467">
        <f>S478/J478</f>
        <v/>
      </c>
      <c r="U478" t="inlineStr">
        <is>
          <t>Average</t>
        </is>
      </c>
      <c r="Y478" t="n">
        <v>3725900</v>
      </c>
      <c r="AA478" t="n">
        <v>3725900</v>
      </c>
      <c r="AC478" t="inlineStr">
        <is>
          <t>0171922408004</t>
        </is>
      </c>
      <c r="AD478" t="inlineStr">
        <is>
          <t>2019000041060</t>
        </is>
      </c>
      <c r="AE478" t="inlineStr">
        <is>
          <t>AMF BOWLING CENTERS INC</t>
        </is>
      </c>
      <c r="AF478" t="inlineStr">
        <is>
          <t>ISTAR BOWLING CENTER I LP</t>
        </is>
      </c>
      <c r="AI478" s="245">
        <f>AND(E478=Subj_OccCode,Subj_BldgSF&gt;0,L478&gt;=Subj_BldgSF*(1-Subj_SizeTol),L478&lt;=Subj_BldgSF*(1+Subj_SizeTol))</f>
        <v/>
      </c>
    </row>
    <row r="479" ht="15" customHeight="1">
      <c r="A479" s="471" t="n">
        <v>8</v>
      </c>
      <c r="B479" s="245" t="n">
        <v>473</v>
      </c>
      <c r="C479" t="inlineStr">
        <is>
          <t>R0050051</t>
        </is>
      </c>
      <c r="D479" t="inlineStr">
        <is>
          <t>2951 W 91ST PL</t>
        </is>
      </c>
      <c r="E479" t="n">
        <v>406</v>
      </c>
      <c r="F479" t="inlineStr">
        <is>
          <t>FEDERAL HEIGHTS</t>
        </is>
      </c>
      <c r="G479" t="inlineStr">
        <is>
          <t>4</t>
        </is>
      </c>
      <c r="H479" s="669">
        <f>Y479/J479</f>
        <v/>
      </c>
      <c r="I479" s="670" t="n">
        <v>44082</v>
      </c>
      <c r="J479" t="n">
        <v>3239</v>
      </c>
      <c r="L479" t="n">
        <v>3239</v>
      </c>
      <c r="M479" t="n">
        <v>2005</v>
      </c>
      <c r="P479" t="inlineStr">
        <is>
          <t>C-1-Fed</t>
        </is>
      </c>
      <c r="R479" t="inlineStr">
        <is>
          <t>Average</t>
        </is>
      </c>
      <c r="S479" t="n">
        <v>13678</v>
      </c>
      <c r="T479" s="467">
        <f>S479/J479</f>
        <v/>
      </c>
      <c r="U479" t="inlineStr">
        <is>
          <t>Average</t>
        </is>
      </c>
      <c r="Y479" t="n">
        <v>660000</v>
      </c>
      <c r="AA479" t="n">
        <v>660000</v>
      </c>
      <c r="AC479" t="inlineStr">
        <is>
          <t>0171920401019</t>
        </is>
      </c>
      <c r="AD479" t="inlineStr">
        <is>
          <t>2020000089757</t>
        </is>
      </c>
      <c r="AE479" t="inlineStr">
        <is>
          <t>BLUEPRINT INVESTMENT FUND LLC</t>
        </is>
      </c>
      <c r="AF479" t="inlineStr">
        <is>
          <t>KD INVESTMENTS LTD</t>
        </is>
      </c>
      <c r="AI479" s="245">
        <f>AND(E479=Subj_OccCode,Subj_BldgSF&gt;0,L479&gt;=Subj_BldgSF*(1-Subj_SizeTol),L479&lt;=Subj_BldgSF*(1+Subj_SizeTol))</f>
        <v/>
      </c>
    </row>
    <row r="480" ht="15" customHeight="1">
      <c r="A480" s="471" t="n">
        <v>8</v>
      </c>
      <c r="B480" s="245" t="n">
        <v>474</v>
      </c>
      <c r="C480" t="inlineStr">
        <is>
          <t>R0042962</t>
        </is>
      </c>
      <c r="D480" t="inlineStr">
        <is>
          <t>10250  URA LN</t>
        </is>
      </c>
      <c r="E480" t="n">
        <v>442</v>
      </c>
      <c r="F480" t="inlineStr">
        <is>
          <t>THORNTON</t>
        </is>
      </c>
      <c r="G480" t="inlineStr">
        <is>
          <t>4</t>
        </is>
      </c>
      <c r="H480" s="669">
        <f>Y480/J480</f>
        <v/>
      </c>
      <c r="I480" s="670" t="n">
        <v>44243</v>
      </c>
      <c r="J480" t="n">
        <v>6042</v>
      </c>
      <c r="L480" t="n">
        <v>6042</v>
      </c>
      <c r="M480" t="n">
        <v>1977</v>
      </c>
      <c r="P480" t="inlineStr">
        <is>
          <t>Community Retail</t>
        </is>
      </c>
      <c r="R480" t="inlineStr">
        <is>
          <t>Average</t>
        </is>
      </c>
      <c r="S480" t="n">
        <v>47600</v>
      </c>
      <c r="T480" s="467">
        <f>S480/J480</f>
        <v/>
      </c>
      <c r="U480" t="inlineStr">
        <is>
          <t>Average</t>
        </is>
      </c>
      <c r="Y480" t="n">
        <v>550000</v>
      </c>
      <c r="AA480" t="n">
        <v>550000</v>
      </c>
      <c r="AC480" t="inlineStr">
        <is>
          <t>0171916202018</t>
        </is>
      </c>
      <c r="AD480" t="inlineStr">
        <is>
          <t>2021000020257</t>
        </is>
      </c>
      <c r="AE480" t="inlineStr">
        <is>
          <t>URA SINGH LLC</t>
        </is>
      </c>
      <c r="AF480" t="inlineStr">
        <is>
          <t>LUNA MANUEL</t>
        </is>
      </c>
      <c r="AI480" s="245">
        <f>AND(E480=Subj_OccCode,Subj_BldgSF&gt;0,L480&gt;=Subj_BldgSF*(1-Subj_SizeTol),L480&lt;=Subj_BldgSF*(1+Subj_SizeTol))</f>
        <v/>
      </c>
    </row>
    <row r="481" ht="15" customHeight="1">
      <c r="A481" s="471" t="n">
        <v>8</v>
      </c>
      <c r="B481" s="245" t="n">
        <v>475</v>
      </c>
      <c r="C481" t="inlineStr">
        <is>
          <t>R0109963</t>
        </is>
      </c>
      <c r="D481" t="inlineStr">
        <is>
          <t>16475 E 40TH CIR</t>
        </is>
      </c>
      <c r="E481" t="n">
        <v>332</v>
      </c>
      <c r="F481" t="inlineStr">
        <is>
          <t>AURORA</t>
        </is>
      </c>
      <c r="G481" t="inlineStr">
        <is>
          <t>6</t>
        </is>
      </c>
      <c r="H481" s="669">
        <f>Y481/L481</f>
        <v/>
      </c>
      <c r="I481" s="670" t="n">
        <v>44537</v>
      </c>
      <c r="J481" t="n">
        <v>84934</v>
      </c>
      <c r="L481" t="n">
        <v>157</v>
      </c>
      <c r="M481" t="n">
        <v>1998</v>
      </c>
      <c r="P481" t="inlineStr">
        <is>
          <t>PD</t>
        </is>
      </c>
      <c r="R481" t="inlineStr">
        <is>
          <t>Average</t>
        </is>
      </c>
      <c r="S481" t="n">
        <v>152551.5</v>
      </c>
      <c r="T481" s="467">
        <f>S481/J481</f>
        <v/>
      </c>
      <c r="U481" t="inlineStr">
        <is>
          <t>Average</t>
        </is>
      </c>
      <c r="Y481" t="n">
        <v>27500000</v>
      </c>
      <c r="AA481" t="n">
        <v>27500000</v>
      </c>
      <c r="AC481" t="inlineStr">
        <is>
          <t>0182100011005</t>
        </is>
      </c>
      <c r="AD481" t="inlineStr">
        <is>
          <t>2022000014451</t>
        </is>
      </c>
      <c r="AE481" t="inlineStr">
        <is>
          <t>GATEWAY HOTEL LLC, C/O STANLEY A GALLERY</t>
        </is>
      </c>
      <c r="AF481" t="inlineStr">
        <is>
          <t>D CASA INVESTMENT LLC</t>
        </is>
      </c>
      <c r="AI481" s="245">
        <f>AND(E481=Subj_OccCode,Subj_BldgSF&gt;0,L481&gt;=Subj_BldgSF*(1-Subj_SizeTol),L481&lt;=Subj_BldgSF*(1+Subj_SizeTol))</f>
        <v/>
      </c>
    </row>
    <row r="482" ht="15" customHeight="1">
      <c r="A482" s="471" t="n">
        <v>8</v>
      </c>
      <c r="B482" s="245" t="n">
        <v>476</v>
      </c>
      <c r="C482" t="inlineStr">
        <is>
          <t>R0063285</t>
        </is>
      </c>
      <c r="D482" t="inlineStr">
        <is>
          <t>8060  SHERIDAN BLVD</t>
        </is>
      </c>
      <c r="E482" t="n">
        <v>325</v>
      </c>
      <c r="F482" t="inlineStr">
        <is>
          <t>WESTMINSTER</t>
        </is>
      </c>
      <c r="G482" t="inlineStr">
        <is>
          <t>4</t>
        </is>
      </c>
      <c r="H482" s="669">
        <f>Y482/J482</f>
        <v/>
      </c>
      <c r="I482" s="670" t="n">
        <v>43796</v>
      </c>
      <c r="J482" t="n">
        <v>3900</v>
      </c>
      <c r="L482" t="n">
        <v>3900</v>
      </c>
      <c r="M482" t="n">
        <v>1975</v>
      </c>
      <c r="P482" t="inlineStr">
        <is>
          <t>C-1-Wes</t>
        </is>
      </c>
      <c r="R482" t="inlineStr">
        <is>
          <t>Average</t>
        </is>
      </c>
      <c r="S482" t="n">
        <v>12910</v>
      </c>
      <c r="T482" s="467">
        <f>S482/J482</f>
        <v/>
      </c>
      <c r="U482" t="inlineStr">
        <is>
          <t>Average</t>
        </is>
      </c>
      <c r="Y482" t="n">
        <v>750000</v>
      </c>
      <c r="AA482" t="n">
        <v>750000</v>
      </c>
      <c r="AC482" t="inlineStr">
        <is>
          <t>0171930320006</t>
        </is>
      </c>
      <c r="AD482" t="inlineStr">
        <is>
          <t>2019000103805</t>
        </is>
      </c>
      <c r="AE482" t="inlineStr">
        <is>
          <t>LEIGH MICHAEL R</t>
        </is>
      </c>
      <c r="AF482" t="inlineStr">
        <is>
          <t>RJC HOLDINGS LLC</t>
        </is>
      </c>
      <c r="AI482" s="245">
        <f>AND(E482=Subj_OccCode,Subj_BldgSF&gt;0,L482&gt;=Subj_BldgSF*(1-Subj_SizeTol),L482&lt;=Subj_BldgSF*(1+Subj_SizeTol))</f>
        <v/>
      </c>
    </row>
    <row r="483" ht="15" customHeight="1">
      <c r="A483" s="471" t="n">
        <v>8</v>
      </c>
      <c r="B483" s="245" t="n">
        <v>477</v>
      </c>
      <c r="C483" t="inlineStr">
        <is>
          <t>R0003498</t>
        </is>
      </c>
      <c r="D483" t="inlineStr">
        <is>
          <t>20 S 5TH AVE</t>
        </is>
      </c>
      <c r="E483" t="n">
        <v>3441</v>
      </c>
      <c r="F483" t="inlineStr">
        <is>
          <t>BRIGHTON</t>
        </is>
      </c>
      <c r="G483" t="inlineStr">
        <is>
          <t>2</t>
        </is>
      </c>
      <c r="H483" s="669">
        <f>Y483/J483</f>
        <v/>
      </c>
      <c r="I483" s="670" t="n">
        <v>44281</v>
      </c>
      <c r="J483" t="n">
        <v>1707</v>
      </c>
      <c r="L483" t="n">
        <v>1707</v>
      </c>
      <c r="M483" t="n">
        <v>1917</v>
      </c>
      <c r="P483" t="inlineStr">
        <is>
          <t>C-2-Bri</t>
        </is>
      </c>
      <c r="R483" t="inlineStr">
        <is>
          <t>Average</t>
        </is>
      </c>
      <c r="S483" t="n">
        <v>7500</v>
      </c>
      <c r="T483" s="467">
        <f>S483/J483</f>
        <v/>
      </c>
      <c r="U483" t="inlineStr">
        <is>
          <t>Average</t>
        </is>
      </c>
      <c r="Y483" t="n">
        <v>430000</v>
      </c>
      <c r="AA483" t="n">
        <v>430000</v>
      </c>
      <c r="AC483" t="inlineStr">
        <is>
          <t>0156907106003</t>
        </is>
      </c>
      <c r="AD483" t="inlineStr">
        <is>
          <t>2021000037982</t>
        </is>
      </c>
      <c r="AE483" t="inlineStr">
        <is>
          <t>BRIGHTON PROFESSIONAL GROUP LLC</t>
        </is>
      </c>
      <c r="AF483" t="inlineStr">
        <is>
          <t>MARQUEZ PROFESSIONAL COMPANY LLC</t>
        </is>
      </c>
      <c r="AI483" s="245">
        <f>AND(E483=Subj_OccCode,Subj_BldgSF&gt;0,L483&gt;=Subj_BldgSF*(1-Subj_SizeTol),L483&lt;=Subj_BldgSF*(1+Subj_SizeTol))</f>
        <v/>
      </c>
    </row>
    <row r="484" ht="15" customHeight="1">
      <c r="A484" s="471" t="n">
        <v>8</v>
      </c>
      <c r="B484" s="245" t="n">
        <v>478</v>
      </c>
      <c r="C484" t="inlineStr">
        <is>
          <t>R0092656</t>
        </is>
      </c>
      <c r="D484" t="inlineStr">
        <is>
          <t>6430 E 50TH AVE</t>
        </is>
      </c>
      <c r="E484" t="n">
        <v>407</v>
      </c>
      <c r="F484" t="inlineStr">
        <is>
          <t>COMMERCE CITY</t>
        </is>
      </c>
      <c r="G484" t="inlineStr">
        <is>
          <t>2</t>
        </is>
      </c>
      <c r="H484" s="669">
        <f>Y484/J484</f>
        <v/>
      </c>
      <c r="I484" s="670" t="n">
        <v>43420</v>
      </c>
      <c r="J484" t="n">
        <v>11692</v>
      </c>
      <c r="L484" t="n">
        <v>11692</v>
      </c>
      <c r="M484" t="n">
        <v>1962</v>
      </c>
      <c r="P484" t="inlineStr">
        <is>
          <t>Commerce City</t>
        </is>
      </c>
      <c r="R484" t="inlineStr">
        <is>
          <t>Average</t>
        </is>
      </c>
      <c r="S484" t="n">
        <v>18500</v>
      </c>
      <c r="T484" s="467">
        <f>S484/J484</f>
        <v/>
      </c>
      <c r="U484" t="inlineStr">
        <is>
          <t>Average</t>
        </is>
      </c>
      <c r="Y484" t="n">
        <v>1210000</v>
      </c>
      <c r="AA484" t="n">
        <v>1210000</v>
      </c>
      <c r="AC484" t="inlineStr">
        <is>
          <t>0182317301001</t>
        </is>
      </c>
      <c r="AD484" t="inlineStr">
        <is>
          <t>2018000093283</t>
        </is>
      </c>
      <c r="AE484" t="inlineStr">
        <is>
          <t>JS BUILDERS LLC</t>
        </is>
      </c>
      <c r="AF484" t="inlineStr">
        <is>
          <t>BLACKWATER LLC</t>
        </is>
      </c>
      <c r="AI484" s="245">
        <f>AND(E484=Subj_OccCode,Subj_BldgSF&gt;0,L484&gt;=Subj_BldgSF*(1-Subj_SizeTol),L484&lt;=Subj_BldgSF*(1+Subj_SizeTol))</f>
        <v/>
      </c>
    </row>
    <row r="485" ht="15" customHeight="1">
      <c r="A485" s="471" t="n">
        <v>8</v>
      </c>
      <c r="B485" s="245" t="n">
        <v>479</v>
      </c>
      <c r="C485" t="inlineStr">
        <is>
          <t>R0054110</t>
        </is>
      </c>
      <c r="D485" t="inlineStr">
        <is>
          <t>2401 E 88TH AVE</t>
        </is>
      </c>
      <c r="E485" t="n">
        <v>353</v>
      </c>
      <c r="F485" t="inlineStr">
        <is>
          <t>THORNTON</t>
        </is>
      </c>
      <c r="G485" t="inlineStr">
        <is>
          <t>4</t>
        </is>
      </c>
      <c r="H485" s="669">
        <f>Y485/J485</f>
        <v/>
      </c>
      <c r="I485" s="670" t="n">
        <v>43789</v>
      </c>
      <c r="J485" t="n">
        <v>11368</v>
      </c>
      <c r="L485" t="n">
        <v>11368</v>
      </c>
      <c r="M485" t="n">
        <v>1979</v>
      </c>
      <c r="P485" t="inlineStr">
        <is>
          <t>Community Retail</t>
        </is>
      </c>
      <c r="R485" t="inlineStr">
        <is>
          <t>Average</t>
        </is>
      </c>
      <c r="S485" t="n">
        <v>48352</v>
      </c>
      <c r="T485" s="467">
        <f>S485/J485</f>
        <v/>
      </c>
      <c r="U485" t="inlineStr">
        <is>
          <t>Average</t>
        </is>
      </c>
      <c r="Y485" t="n">
        <v>2000000</v>
      </c>
      <c r="AA485" t="n">
        <v>2000000</v>
      </c>
      <c r="AC485" t="inlineStr">
        <is>
          <t>0171924300024</t>
        </is>
      </c>
      <c r="AD485" t="inlineStr">
        <is>
          <t>2019000103191</t>
        </is>
      </c>
      <c r="AE485" t="inlineStr">
        <is>
          <t>R IREY YORK PLAZA LLC UND 50% INT AND, D IREY YORK PLAZA LLC UND 50% INT</t>
        </is>
      </c>
      <c r="AF485" t="inlineStr">
        <is>
          <t>WEBER INCORPORATED</t>
        </is>
      </c>
      <c r="AI485" s="245">
        <f>AND(E485=Subj_OccCode,Subj_BldgSF&gt;0,L485&gt;=Subj_BldgSF*(1-Subj_SizeTol),L485&lt;=Subj_BldgSF*(1+Subj_SizeTol))</f>
        <v/>
      </c>
    </row>
    <row r="486" ht="15" customHeight="1">
      <c r="A486" s="471" t="n">
        <v>8</v>
      </c>
      <c r="B486" s="245" t="n">
        <v>480</v>
      </c>
      <c r="C486" t="inlineStr">
        <is>
          <t>R0031068</t>
        </is>
      </c>
      <c r="D486" t="inlineStr">
        <is>
          <t>11455  PEARL ST</t>
        </is>
      </c>
      <c r="E486" t="n">
        <v>304</v>
      </c>
      <c r="F486" t="inlineStr">
        <is>
          <t>NORTHGLENN</t>
        </is>
      </c>
      <c r="G486" t="inlineStr">
        <is>
          <t>4</t>
        </is>
      </c>
      <c r="H486" s="669">
        <f>Y486/J486</f>
        <v/>
      </c>
      <c r="I486" s="670" t="n">
        <v>44102</v>
      </c>
      <c r="J486" t="n">
        <v>11167</v>
      </c>
      <c r="L486" t="n">
        <v>11167</v>
      </c>
      <c r="M486" t="n">
        <v>1996</v>
      </c>
      <c r="P486" t="inlineStr">
        <is>
          <t>R-4-Nor</t>
        </is>
      </c>
      <c r="R486" t="inlineStr">
        <is>
          <t>Average</t>
        </is>
      </c>
      <c r="S486" t="n">
        <v>85159</v>
      </c>
      <c r="T486" s="467">
        <f>S486/J486</f>
        <v/>
      </c>
      <c r="U486" t="inlineStr">
        <is>
          <t>Average</t>
        </is>
      </c>
      <c r="Y486" t="n">
        <v>2130000</v>
      </c>
      <c r="AA486" t="n">
        <v>2130000</v>
      </c>
      <c r="AC486" t="inlineStr">
        <is>
          <t>0171903410021</t>
        </is>
      </c>
      <c r="AD486" t="inlineStr">
        <is>
          <t>2020000097451</t>
        </is>
      </c>
      <c r="AE486" t="inlineStr">
        <is>
          <t>SCHOOL DISTRICT 12 FEDERAL, CREDIT UNION</t>
        </is>
      </c>
      <c r="AF486" t="inlineStr">
        <is>
          <t>11455 PEARL STREET LLC</t>
        </is>
      </c>
      <c r="AI486" s="245">
        <f>AND(E486=Subj_OccCode,Subj_BldgSF&gt;0,L486&gt;=Subj_BldgSF*(1-Subj_SizeTol),L486&lt;=Subj_BldgSF*(1+Subj_SizeTol))</f>
        <v/>
      </c>
    </row>
    <row r="487" ht="15" customHeight="1">
      <c r="A487" s="471" t="n">
        <v>8</v>
      </c>
      <c r="B487" s="245" t="n">
        <v>481</v>
      </c>
      <c r="C487" t="inlineStr">
        <is>
          <t>R0004089</t>
        </is>
      </c>
      <c r="D487" t="inlineStr">
        <is>
          <t>301 S MAIN ST #100/#120/#220</t>
        </is>
      </c>
      <c r="E487" t="n">
        <v>353</v>
      </c>
      <c r="F487" t="inlineStr">
        <is>
          <t>BRIGHTON</t>
        </is>
      </c>
      <c r="G487" t="inlineStr">
        <is>
          <t>2</t>
        </is>
      </c>
      <c r="H487" s="669">
        <f>Y487/J487</f>
        <v/>
      </c>
      <c r="I487" s="670" t="n">
        <v>44529</v>
      </c>
      <c r="J487" t="n">
        <v>8120</v>
      </c>
      <c r="L487" t="n">
        <v>8120</v>
      </c>
      <c r="M487" t="n">
        <v>1920</v>
      </c>
      <c r="P487" t="inlineStr">
        <is>
          <t>DT</t>
        </is>
      </c>
      <c r="R487" t="inlineStr">
        <is>
          <t>Average</t>
        </is>
      </c>
      <c r="S487" t="n">
        <v>13000</v>
      </c>
      <c r="T487" s="467">
        <f>S487/J487</f>
        <v/>
      </c>
      <c r="U487" t="inlineStr">
        <is>
          <t>Average</t>
        </is>
      </c>
      <c r="Y487" t="n">
        <v>1500000</v>
      </c>
      <c r="AA487" t="n">
        <v>1500000</v>
      </c>
      <c r="AC487" t="inlineStr">
        <is>
          <t>0156907220001</t>
        </is>
      </c>
      <c r="AD487" t="inlineStr">
        <is>
          <t>2021000139875</t>
        </is>
      </c>
      <c r="AE487" t="inlineStr">
        <is>
          <t>301 SOUTH MAIN LLC</t>
        </is>
      </c>
      <c r="AF487" t="inlineStr">
        <is>
          <t>BRIGHTON MAIN STREET PRINTING LLC</t>
        </is>
      </c>
      <c r="AI487" s="245">
        <f>AND(E487=Subj_OccCode,Subj_BldgSF&gt;0,L487&gt;=Subj_BldgSF*(1-Subj_SizeTol),L487&lt;=Subj_BldgSF*(1+Subj_SizeTol))</f>
        <v/>
      </c>
    </row>
    <row r="488" ht="15" customHeight="1">
      <c r="A488" s="471" t="n">
        <v>8</v>
      </c>
      <c r="B488" s="245" t="n">
        <v>482</v>
      </c>
      <c r="C488" t="inlineStr">
        <is>
          <t>R0168581</t>
        </is>
      </c>
      <c r="D488" t="inlineStr">
        <is>
          <t>6121 CLERMONT ST</t>
        </is>
      </c>
      <c r="E488" t="n">
        <v>407</v>
      </c>
      <c r="F488" t="inlineStr">
        <is>
          <t>COMMERCE CITY</t>
        </is>
      </c>
      <c r="G488" t="inlineStr">
        <is>
          <t>5</t>
        </is>
      </c>
      <c r="H488" s="669">
        <f>Y488/J488</f>
        <v/>
      </c>
      <c r="I488" s="670" t="n">
        <v>43145</v>
      </c>
      <c r="J488" t="n">
        <v>18720</v>
      </c>
      <c r="L488" t="n">
        <v>18720</v>
      </c>
      <c r="M488" t="n">
        <v>1958</v>
      </c>
      <c r="P488" t="inlineStr">
        <is>
          <t>I-3-Com</t>
        </is>
      </c>
      <c r="R488" t="inlineStr">
        <is>
          <t>Average</t>
        </is>
      </c>
      <c r="S488" t="n">
        <v>60705</v>
      </c>
      <c r="T488" s="467">
        <f>S488/J488</f>
        <v/>
      </c>
      <c r="U488" t="inlineStr">
        <is>
          <t>Average</t>
        </is>
      </c>
      <c r="Y488" t="n">
        <v>1995000</v>
      </c>
      <c r="AA488" t="n">
        <v>1995000</v>
      </c>
      <c r="AC488" t="inlineStr">
        <is>
          <t>0182307204002</t>
        </is>
      </c>
      <c r="AD488" t="inlineStr">
        <is>
          <t>2018000013811</t>
        </is>
      </c>
      <c r="AE488" t="inlineStr">
        <is>
          <t>MC CALLIN REAL ESTATE LLC</t>
        </is>
      </c>
      <c r="AF488" t="inlineStr">
        <is>
          <t>KUMMER INVESTMENTS LLC</t>
        </is>
      </c>
      <c r="AI488" s="245">
        <f>AND(E488=Subj_OccCode,Subj_BldgSF&gt;0,L488&gt;=Subj_BldgSF*(1-Subj_SizeTol),L488&lt;=Subj_BldgSF*(1+Subj_SizeTol))</f>
        <v/>
      </c>
    </row>
    <row r="489" ht="15" customHeight="1">
      <c r="A489" s="471" t="n">
        <v>8</v>
      </c>
      <c r="B489" s="245" t="n">
        <v>483</v>
      </c>
      <c r="C489" t="inlineStr">
        <is>
          <t>R0037112</t>
        </is>
      </c>
      <c r="D489" t="inlineStr">
        <is>
          <t>11184 HURON ST #12</t>
        </is>
      </c>
      <c r="E489" t="n">
        <v>1344</v>
      </c>
      <c r="F489" t="inlineStr">
        <is>
          <t>NORTHGLENN</t>
        </is>
      </c>
      <c r="G489" t="inlineStr">
        <is>
          <t>4</t>
        </is>
      </c>
      <c r="H489" s="669">
        <f>Y489/J489</f>
        <v/>
      </c>
      <c r="I489" s="670" t="n">
        <v>44469</v>
      </c>
      <c r="J489" t="n">
        <v>1817</v>
      </c>
      <c r="L489" t="n">
        <v>1817</v>
      </c>
      <c r="M489" t="n">
        <v>1984</v>
      </c>
      <c r="P489" t="inlineStr">
        <is>
          <t>C-3-Nor</t>
        </is>
      </c>
      <c r="R489" t="inlineStr">
        <is>
          <t>Average</t>
        </is>
      </c>
      <c r="S489" t="n">
        <v>1108</v>
      </c>
      <c r="T489" s="467">
        <f>S489/J489</f>
        <v/>
      </c>
      <c r="U489" t="inlineStr">
        <is>
          <t>Average</t>
        </is>
      </c>
      <c r="Y489" t="n">
        <v>270000</v>
      </c>
      <c r="AA489" t="n">
        <v>270000</v>
      </c>
      <c r="AC489" t="inlineStr">
        <is>
          <t>0171910217012</t>
        </is>
      </c>
      <c r="AD489" t="inlineStr">
        <is>
          <t>2021000120946</t>
        </is>
      </c>
      <c r="AE489" t="inlineStr">
        <is>
          <t>BINGEL NATHANIEL</t>
        </is>
      </c>
      <c r="AF489" t="inlineStr">
        <is>
          <t>SEAMLESS COLORADO INSURANCE</t>
        </is>
      </c>
      <c r="AI489" s="245">
        <f>AND(E489=Subj_OccCode,Subj_BldgSF&gt;0,L489&gt;=Subj_BldgSF*(1-Subj_SizeTol),L489&lt;=Subj_BldgSF*(1+Subj_SizeTol))</f>
        <v/>
      </c>
    </row>
    <row r="490" ht="15" customHeight="1">
      <c r="A490" s="471" t="n">
        <v>8</v>
      </c>
      <c r="B490" s="245" t="n">
        <v>484</v>
      </c>
      <c r="C490" t="inlineStr">
        <is>
          <t>R0051128</t>
        </is>
      </c>
      <c r="D490" t="inlineStr">
        <is>
          <t>9162  HURON ST</t>
        </is>
      </c>
      <c r="E490" t="n">
        <v>353</v>
      </c>
      <c r="F490" t="inlineStr">
        <is>
          <t>THORNTON</t>
        </is>
      </c>
      <c r="G490" t="inlineStr">
        <is>
          <t>4</t>
        </is>
      </c>
      <c r="H490" s="669">
        <f>Y490/J490</f>
        <v/>
      </c>
      <c r="I490" s="670" t="n">
        <v>44607</v>
      </c>
      <c r="J490" t="n">
        <v>3000</v>
      </c>
      <c r="L490" t="n">
        <v>3000</v>
      </c>
      <c r="M490" t="n">
        <v>1973</v>
      </c>
      <c r="P490" t="inlineStr">
        <is>
          <t>Community Retail</t>
        </is>
      </c>
      <c r="R490" t="inlineStr">
        <is>
          <t>Average</t>
        </is>
      </c>
      <c r="S490" t="n">
        <v>14850</v>
      </c>
      <c r="T490" s="467">
        <f>S490/J490</f>
        <v/>
      </c>
      <c r="U490" t="inlineStr">
        <is>
          <t>Average</t>
        </is>
      </c>
      <c r="Y490" t="n">
        <v>668000</v>
      </c>
      <c r="AA490" t="n">
        <v>668000</v>
      </c>
      <c r="AC490" t="inlineStr">
        <is>
          <t>0171922302003</t>
        </is>
      </c>
      <c r="AD490" t="inlineStr">
        <is>
          <t>2022000014772</t>
        </is>
      </c>
      <c r="AE490" t="inlineStr">
        <is>
          <t xml:space="preserve">NGUYEN DUNG ANH AND , TRAN LOAN </t>
        </is>
      </c>
      <c r="AF490" t="inlineStr">
        <is>
          <t>BIG HW LLC</t>
        </is>
      </c>
      <c r="AI490" s="245">
        <f>AND(E490=Subj_OccCode,Subj_BldgSF&gt;0,L490&gt;=Subj_BldgSF*(1-Subj_SizeTol),L490&lt;=Subj_BldgSF*(1+Subj_SizeTol))</f>
        <v/>
      </c>
    </row>
    <row r="491" ht="15" customHeight="1">
      <c r="A491" s="471" t="n">
        <v>8</v>
      </c>
      <c r="B491" s="245" t="n">
        <v>485</v>
      </c>
      <c r="C491" t="inlineStr">
        <is>
          <t>R0059576</t>
        </is>
      </c>
      <c r="D491" t="inlineStr">
        <is>
          <t>8410  UMATILLA ST</t>
        </is>
      </c>
      <c r="E491" t="n">
        <v>344</v>
      </c>
      <c r="F491" t="inlineStr">
        <is>
          <t>FEDERAL HEIGHTS</t>
        </is>
      </c>
      <c r="G491" t="inlineStr">
        <is>
          <t>4</t>
        </is>
      </c>
      <c r="H491" s="669">
        <f>Y491/J491</f>
        <v/>
      </c>
      <c r="I491" s="670" t="n">
        <v>44309</v>
      </c>
      <c r="J491" t="n">
        <v>8325</v>
      </c>
      <c r="L491" t="n">
        <v>8325</v>
      </c>
      <c r="M491" t="n">
        <v>1982</v>
      </c>
      <c r="P491" t="inlineStr">
        <is>
          <t>C-1-Fed</t>
        </is>
      </c>
      <c r="R491" t="inlineStr">
        <is>
          <t>Good</t>
        </is>
      </c>
      <c r="S491" t="n">
        <v>44858</v>
      </c>
      <c r="T491" s="467">
        <f>S491/J491</f>
        <v/>
      </c>
      <c r="U491" t="inlineStr">
        <is>
          <t>Average</t>
        </is>
      </c>
      <c r="Y491" t="n">
        <v>1375000</v>
      </c>
      <c r="AA491" t="n">
        <v>1375000</v>
      </c>
      <c r="AC491" t="inlineStr">
        <is>
          <t>0171928206005</t>
        </is>
      </c>
      <c r="AD491" t="inlineStr">
        <is>
          <t>2021000050541</t>
        </is>
      </c>
      <c r="AE491" t="inlineStr">
        <is>
          <t>QUALITY CONTROL INT'L LIMITED PARTNERSHIP</t>
        </is>
      </c>
      <c r="AF491" t="inlineStr">
        <is>
          <t>LEVEL 7 PROPERTY GROUP LLC</t>
        </is>
      </c>
      <c r="AI491" s="245">
        <f>AND(E491=Subj_OccCode,Subj_BldgSF&gt;0,L491&gt;=Subj_BldgSF*(1-Subj_SizeTol),L491&lt;=Subj_BldgSF*(1+Subj_SizeTol))</f>
        <v/>
      </c>
    </row>
    <row r="492" ht="15" customHeight="1">
      <c r="A492" s="471" t="n">
        <v>8</v>
      </c>
      <c r="B492" s="245" t="n">
        <v>486</v>
      </c>
      <c r="C492" t="inlineStr">
        <is>
          <t>R0100007</t>
        </is>
      </c>
      <c r="D492" t="inlineStr">
        <is>
          <t>3440 W 71ST PL</t>
        </is>
      </c>
      <c r="E492" t="n">
        <v>344</v>
      </c>
      <c r="F492" t="inlineStr">
        <is>
          <t>WESTMINSTER</t>
        </is>
      </c>
      <c r="G492" t="inlineStr">
        <is>
          <t>4</t>
        </is>
      </c>
      <c r="H492" s="669">
        <f>Y492/J492</f>
        <v/>
      </c>
      <c r="I492" s="670" t="n">
        <v>43671</v>
      </c>
      <c r="J492" t="n">
        <v>6385</v>
      </c>
      <c r="L492" t="n">
        <v>6385</v>
      </c>
      <c r="M492" t="n">
        <v>1998</v>
      </c>
      <c r="P492" t="inlineStr">
        <is>
          <t>Westminster</t>
        </is>
      </c>
      <c r="R492" t="inlineStr">
        <is>
          <t>Average</t>
        </is>
      </c>
      <c r="S492" t="n">
        <v>44081</v>
      </c>
      <c r="T492" s="467">
        <f>S492/J492</f>
        <v/>
      </c>
      <c r="U492" t="inlineStr">
        <is>
          <t>Average</t>
        </is>
      </c>
      <c r="Y492" t="n">
        <v>1755000</v>
      </c>
      <c r="AA492" t="n">
        <v>1755000</v>
      </c>
      <c r="AC492" t="inlineStr">
        <is>
          <t>0182505207006</t>
        </is>
      </c>
      <c r="AD492" t="inlineStr">
        <is>
          <t>2019000059161</t>
        </is>
      </c>
      <c r="AE492" t="inlineStr">
        <is>
          <t>BROWN JUNCTION HOLDINGS LLC</t>
        </is>
      </c>
      <c r="AF492" t="inlineStr">
        <is>
          <t>WESTMINSTER STATION TOD LLC</t>
        </is>
      </c>
      <c r="AI492" s="245">
        <f>AND(E492=Subj_OccCode,Subj_BldgSF&gt;0,L492&gt;=Subj_BldgSF*(1-Subj_SizeTol),L492&lt;=Subj_BldgSF*(1+Subj_SizeTol))</f>
        <v/>
      </c>
    </row>
    <row r="493" ht="15" customHeight="1">
      <c r="A493" s="471" t="n">
        <v>8</v>
      </c>
      <c r="B493" s="245" t="n">
        <v>487</v>
      </c>
      <c r="C493" t="inlineStr">
        <is>
          <t>R0002795</t>
        </is>
      </c>
      <c r="D493" t="inlineStr">
        <is>
          <t>390  WALNUT ST</t>
        </is>
      </c>
      <c r="E493" t="n">
        <v>344</v>
      </c>
      <c r="F493" t="inlineStr">
        <is>
          <t>BRIGHTON</t>
        </is>
      </c>
      <c r="G493" t="inlineStr">
        <is>
          <t>2</t>
        </is>
      </c>
      <c r="H493" s="669">
        <f>Y493/J493</f>
        <v/>
      </c>
      <c r="I493" s="670" t="n">
        <v>44713</v>
      </c>
      <c r="J493" t="n">
        <v>3705</v>
      </c>
      <c r="L493" t="n">
        <v>3705</v>
      </c>
      <c r="M493" t="n">
        <v>1974</v>
      </c>
      <c r="P493" t="inlineStr">
        <is>
          <t>DT</t>
        </is>
      </c>
      <c r="R493" t="inlineStr">
        <is>
          <t>Average</t>
        </is>
      </c>
      <c r="S493" t="n">
        <v>7500</v>
      </c>
      <c r="T493" s="467">
        <f>S493/J493</f>
        <v/>
      </c>
      <c r="U493" t="inlineStr">
        <is>
          <t>Average</t>
        </is>
      </c>
      <c r="Y493" t="n">
        <v>585000</v>
      </c>
      <c r="AA493" t="n">
        <v>585000</v>
      </c>
      <c r="AC493" t="inlineStr">
        <is>
          <t>0156906309011</t>
        </is>
      </c>
      <c r="AD493" t="inlineStr">
        <is>
          <t>2022000049243</t>
        </is>
      </c>
      <c r="AE493" t="inlineStr">
        <is>
          <t>S AND K KIM INC</t>
        </is>
      </c>
      <c r="AF493" t="inlineStr">
        <is>
          <t>HOPE FIRST FAMILY RESOURCE CENTER</t>
        </is>
      </c>
      <c r="AI493" s="245">
        <f>AND(E493=Subj_OccCode,Subj_BldgSF&gt;0,L493&gt;=Subj_BldgSF*(1-Subj_SizeTol),L493&lt;=Subj_BldgSF*(1+Subj_SizeTol))</f>
        <v/>
      </c>
    </row>
    <row r="494" ht="15" customHeight="1">
      <c r="A494" s="471" t="n">
        <v>8</v>
      </c>
      <c r="B494" s="245" t="n">
        <v>488</v>
      </c>
      <c r="C494" t="inlineStr">
        <is>
          <t>R0062925</t>
        </is>
      </c>
      <c r="D494" t="inlineStr">
        <is>
          <t>8791  WOLFF CT #230</t>
        </is>
      </c>
      <c r="E494" t="n">
        <v>344</v>
      </c>
      <c r="F494" t="inlineStr">
        <is>
          <t>WESTMINSTER</t>
        </is>
      </c>
      <c r="G494" t="inlineStr">
        <is>
          <t>4</t>
        </is>
      </c>
      <c r="H494" s="669">
        <f>Y494/J494</f>
        <v/>
      </c>
      <c r="I494" s="670" t="n">
        <v>43117</v>
      </c>
      <c r="J494" t="n">
        <v>1592</v>
      </c>
      <c r="L494" t="n">
        <v>1592</v>
      </c>
      <c r="M494" t="n">
        <v>1984</v>
      </c>
      <c r="P494" t="inlineStr">
        <is>
          <t>Westminster</t>
        </is>
      </c>
      <c r="R494" t="inlineStr">
        <is>
          <t>Average</t>
        </is>
      </c>
      <c r="S494" t="n">
        <v>3842</v>
      </c>
      <c r="T494" s="467">
        <f>S494/J494</f>
        <v/>
      </c>
      <c r="U494" t="inlineStr">
        <is>
          <t>Average</t>
        </is>
      </c>
      <c r="Y494" t="n">
        <v>200000</v>
      </c>
      <c r="AA494" t="n">
        <v>200000</v>
      </c>
      <c r="AC494" t="inlineStr">
        <is>
          <t>0171930218020</t>
        </is>
      </c>
      <c r="AD494" t="inlineStr">
        <is>
          <t>2018000005929</t>
        </is>
      </c>
      <c r="AE494" t="inlineStr">
        <is>
          <t>PETERSON STEVEN W</t>
        </is>
      </c>
      <c r="AF494" t="inlineStr">
        <is>
          <t>GREEN ELEPHANT LLC THE</t>
        </is>
      </c>
      <c r="AI494" s="245">
        <f>AND(E494=Subj_OccCode,Subj_BldgSF&gt;0,L494&gt;=Subj_BldgSF*(1-Subj_SizeTol),L494&lt;=Subj_BldgSF*(1+Subj_SizeTol))</f>
        <v/>
      </c>
    </row>
    <row r="495" ht="15" customHeight="1">
      <c r="A495" s="471" t="n">
        <v>8</v>
      </c>
      <c r="B495" s="245" t="n">
        <v>489</v>
      </c>
      <c r="C495" t="inlineStr">
        <is>
          <t>R0091506</t>
        </is>
      </c>
      <c r="D495" t="inlineStr">
        <is>
          <t>6200 E 64TH AVE</t>
        </is>
      </c>
      <c r="E495" t="n">
        <v>350</v>
      </c>
      <c r="F495" t="inlineStr">
        <is>
          <t>COMMERCE CITY</t>
        </is>
      </c>
      <c r="G495" t="inlineStr">
        <is>
          <t>5</t>
        </is>
      </c>
      <c r="H495" s="669">
        <f>Y495/J495</f>
        <v/>
      </c>
      <c r="I495" s="670" t="n">
        <v>44124</v>
      </c>
      <c r="J495" t="n">
        <v>780</v>
      </c>
      <c r="L495" t="n">
        <v>780</v>
      </c>
      <c r="M495" t="n">
        <v>1964</v>
      </c>
      <c r="P495" t="inlineStr">
        <is>
          <t>C-1-Com</t>
        </is>
      </c>
      <c r="R495" t="inlineStr">
        <is>
          <t>Average</t>
        </is>
      </c>
      <c r="S495" t="n">
        <v>22012</v>
      </c>
      <c r="T495" s="467">
        <f>S495/J495</f>
        <v/>
      </c>
      <c r="U495" t="inlineStr">
        <is>
          <t>Average</t>
        </is>
      </c>
      <c r="Y495" t="n">
        <v>191500</v>
      </c>
      <c r="AA495" t="n">
        <v>191500</v>
      </c>
      <c r="AC495" t="inlineStr">
        <is>
          <t>0182308201003</t>
        </is>
      </c>
      <c r="AD495" t="inlineStr">
        <is>
          <t>2020000109419</t>
        </is>
      </c>
      <c r="AE495" t="inlineStr">
        <is>
          <t>PIERCE NOLA N</t>
        </is>
      </c>
      <c r="AF495" t="inlineStr">
        <is>
          <t>NIKKO CUCINA LLC</t>
        </is>
      </c>
      <c r="AI495" s="245">
        <f>AND(E495=Subj_OccCode,Subj_BldgSF&gt;0,L495&gt;=Subj_BldgSF*(1-Subj_SizeTol),L495&lt;=Subj_BldgSF*(1+Subj_SizeTol))</f>
        <v/>
      </c>
    </row>
    <row r="496" ht="15" customHeight="1">
      <c r="A496" s="471" t="n">
        <v>8</v>
      </c>
      <c r="B496" s="245" t="n">
        <v>490</v>
      </c>
      <c r="C496" t="inlineStr">
        <is>
          <t>R0112049</t>
        </is>
      </c>
      <c r="D496" t="inlineStr">
        <is>
          <t>320 E 128TH AVE</t>
        </is>
      </c>
      <c r="E496" t="n">
        <v>426</v>
      </c>
      <c r="F496" t="inlineStr">
        <is>
          <t>THORNTON</t>
        </is>
      </c>
      <c r="G496" t="inlineStr">
        <is>
          <t>3</t>
        </is>
      </c>
      <c r="H496" s="669">
        <f>Y496/J496</f>
        <v/>
      </c>
      <c r="I496" s="670" t="n">
        <v>43402</v>
      </c>
      <c r="J496" t="n">
        <v>2122</v>
      </c>
      <c r="L496" t="n">
        <v>2122</v>
      </c>
      <c r="M496" t="n">
        <v>1977</v>
      </c>
      <c r="P496" t="inlineStr">
        <is>
          <t>Thornton</t>
        </is>
      </c>
      <c r="R496" t="inlineStr">
        <is>
          <t>Average</t>
        </is>
      </c>
      <c r="S496" t="n">
        <v>25264.8008</v>
      </c>
      <c r="T496" s="467">
        <f>S496/J496</f>
        <v/>
      </c>
      <c r="U496" t="inlineStr">
        <is>
          <t>Average</t>
        </is>
      </c>
      <c r="Y496" t="n">
        <v>585000</v>
      </c>
      <c r="AA496" t="n">
        <v>585000</v>
      </c>
      <c r="AC496" t="inlineStr">
        <is>
          <t>0157334011002</t>
        </is>
      </c>
      <c r="AD496" t="inlineStr">
        <is>
          <t>2018000099707</t>
        </is>
      </c>
      <c r="AE496" t="inlineStr">
        <is>
          <t>JK PROPERTIES LLC</t>
        </is>
      </c>
      <c r="AF496" t="inlineStr">
        <is>
          <t>A POD OF PEAS REAL ESTATE LLC</t>
        </is>
      </c>
      <c r="AI496" s="245">
        <f>AND(E496=Subj_OccCode,Subj_BldgSF&gt;0,L496&gt;=Subj_BldgSF*(1-Subj_SizeTol),L496&lt;=Subj_BldgSF*(1+Subj_SizeTol))</f>
        <v/>
      </c>
    </row>
    <row r="497" ht="15" customHeight="1">
      <c r="A497" s="471" t="n">
        <v>8</v>
      </c>
      <c r="B497" s="245" t="n">
        <v>491</v>
      </c>
      <c r="C497" t="inlineStr">
        <is>
          <t>R0050497</t>
        </is>
      </c>
      <c r="D497" t="inlineStr">
        <is>
          <t>1600 W 92ND AVE</t>
        </is>
      </c>
      <c r="E497" t="n">
        <v>419</v>
      </c>
      <c r="F497" t="inlineStr">
        <is>
          <t>FEDERAL HEIGHTS</t>
        </is>
      </c>
      <c r="G497" t="inlineStr">
        <is>
          <t>4</t>
        </is>
      </c>
      <c r="H497" s="669">
        <f>Y497/J497</f>
        <v/>
      </c>
      <c r="I497" s="670" t="n">
        <v>44676</v>
      </c>
      <c r="J497" t="n">
        <v>2400</v>
      </c>
      <c r="L497" t="n">
        <v>2400</v>
      </c>
      <c r="M497" t="n">
        <v>1974</v>
      </c>
      <c r="P497" t="inlineStr">
        <is>
          <t>C-1-Fed</t>
        </is>
      </c>
      <c r="R497" t="inlineStr">
        <is>
          <t>Average</t>
        </is>
      </c>
      <c r="S497" t="n">
        <v>20000</v>
      </c>
      <c r="T497" s="467">
        <f>S497/J497</f>
        <v/>
      </c>
      <c r="U497" t="inlineStr">
        <is>
          <t>Average</t>
        </is>
      </c>
      <c r="Y497" t="n">
        <v>1250000</v>
      </c>
      <c r="AA497" t="n">
        <v>1250000</v>
      </c>
      <c r="AC497" t="inlineStr">
        <is>
          <t>0171921300010</t>
        </is>
      </c>
      <c r="AD497" t="inlineStr">
        <is>
          <t>2022000036852</t>
        </is>
      </c>
      <c r="AE497" t="inlineStr">
        <is>
          <t>CAP INVESTMENT PROPERTIES III LLC</t>
        </is>
      </c>
      <c r="AF497" t="inlineStr">
        <is>
          <t>DON EDWARDS WALTER AND JANET STEWART WALTER FAMILY TRUST</t>
        </is>
      </c>
      <c r="AI497" s="245">
        <f>AND(E497=Subj_OccCode,Subj_BldgSF&gt;0,L497&gt;=Subj_BldgSF*(1-Subj_SizeTol),L497&lt;=Subj_BldgSF*(1+Subj_SizeTol))</f>
        <v/>
      </c>
    </row>
    <row r="498" ht="15" customHeight="1">
      <c r="A498" s="471" t="n">
        <v>8</v>
      </c>
      <c r="B498" s="245" t="n">
        <v>492</v>
      </c>
      <c r="C498" t="inlineStr">
        <is>
          <t>R0056567</t>
        </is>
      </c>
      <c r="D498" t="inlineStr">
        <is>
          <t>8600  WASHINGTON ST</t>
        </is>
      </c>
      <c r="E498" t="n">
        <v>353</v>
      </c>
      <c r="F498" t="inlineStr">
        <is>
          <t>THORNTON</t>
        </is>
      </c>
      <c r="G498" t="inlineStr">
        <is>
          <t>4</t>
        </is>
      </c>
      <c r="H498" s="669">
        <f>Y498/J498</f>
        <v/>
      </c>
      <c r="I498" s="670" t="n">
        <v>43614</v>
      </c>
      <c r="J498" t="n">
        <v>2988</v>
      </c>
      <c r="L498" t="n">
        <v>2988</v>
      </c>
      <c r="M498" t="n">
        <v>1979</v>
      </c>
      <c r="P498" t="inlineStr">
        <is>
          <t>Thornton</t>
        </is>
      </c>
      <c r="R498" t="inlineStr">
        <is>
          <t>Average</t>
        </is>
      </c>
      <c r="S498" t="n">
        <v>30800</v>
      </c>
      <c r="T498" s="467">
        <f>S498/J498</f>
        <v/>
      </c>
      <c r="U498" t="inlineStr">
        <is>
          <t>Average</t>
        </is>
      </c>
      <c r="Y498" t="n">
        <v>665000</v>
      </c>
      <c r="AA498" t="n">
        <v>665000</v>
      </c>
      <c r="AC498" t="inlineStr">
        <is>
          <t>0171926218030</t>
        </is>
      </c>
      <c r="AD498" t="inlineStr">
        <is>
          <t>2019000047704</t>
        </is>
      </c>
      <c r="AE498" t="inlineStr">
        <is>
          <t>THORNTON PROPERTY 1 LLC</t>
        </is>
      </c>
      <c r="AF498" t="inlineStr">
        <is>
          <t>SIMON &amp; MOSES REAL ESTATE LLC</t>
        </is>
      </c>
      <c r="AI498" s="245">
        <f>AND(E498=Subj_OccCode,Subj_BldgSF&gt;0,L498&gt;=Subj_BldgSF*(1-Subj_SizeTol),L498&lt;=Subj_BldgSF*(1+Subj_SizeTol))</f>
        <v/>
      </c>
    </row>
    <row r="499" ht="15" customHeight="1">
      <c r="A499" s="471" t="n">
        <v>8</v>
      </c>
      <c r="B499" s="245" t="n">
        <v>493</v>
      </c>
      <c r="C499" t="inlineStr">
        <is>
          <t>R0153545</t>
        </is>
      </c>
      <c r="D499" t="inlineStr">
        <is>
          <t>50 E 70TH AVE</t>
        </is>
      </c>
      <c r="E499" t="n">
        <v>325</v>
      </c>
      <c r="G499" t="inlineStr">
        <is>
          <t>5</t>
        </is>
      </c>
      <c r="H499" s="669">
        <f>Y499/J499</f>
        <v/>
      </c>
      <c r="I499" s="670" t="n">
        <v>43259</v>
      </c>
      <c r="J499" t="n">
        <v>1576</v>
      </c>
      <c r="L499" t="n">
        <v>1576</v>
      </c>
      <c r="M499" t="n">
        <v>1958</v>
      </c>
      <c r="R499" t="inlineStr">
        <is>
          <t>Average</t>
        </is>
      </c>
      <c r="S499" t="n">
        <v>19471.32</v>
      </c>
      <c r="T499" s="467">
        <f>S499/J499</f>
        <v/>
      </c>
      <c r="U499" t="inlineStr">
        <is>
          <t>Average</t>
        </is>
      </c>
      <c r="Y499" t="n">
        <v>325000</v>
      </c>
      <c r="AA499" t="n">
        <v>325000</v>
      </c>
      <c r="AC499" t="inlineStr">
        <is>
          <t>0182503103029</t>
        </is>
      </c>
      <c r="AD499" t="inlineStr">
        <is>
          <t>2018000046530</t>
        </is>
      </c>
      <c r="AE499" t="inlineStr">
        <is>
          <t>BRONCUCIA JOSEPH ANTHONY AND, BRONCUCIA PATRICIA ANN</t>
        </is>
      </c>
      <c r="AF499" t="inlineStr">
        <is>
          <t>GUSMAN-CISNEROS GEORGE A</t>
        </is>
      </c>
      <c r="AI499" s="245">
        <f>AND(E499=Subj_OccCode,Subj_BldgSF&gt;0,L499&gt;=Subj_BldgSF*(1-Subj_SizeTol),L499&lt;=Subj_BldgSF*(1+Subj_SizeTol))</f>
        <v/>
      </c>
    </row>
    <row r="500" ht="15" customHeight="1">
      <c r="A500" s="471" t="n">
        <v>8</v>
      </c>
      <c r="B500" s="245" t="n">
        <v>494</v>
      </c>
      <c r="C500" t="inlineStr">
        <is>
          <t>R0093973</t>
        </is>
      </c>
      <c r="D500" t="inlineStr">
        <is>
          <t>2332  DAYTON ST</t>
        </is>
      </c>
      <c r="E500" t="n">
        <v>325</v>
      </c>
      <c r="F500" t="inlineStr">
        <is>
          <t>AURORA</t>
        </is>
      </c>
      <c r="G500" t="inlineStr">
        <is>
          <t>6</t>
        </is>
      </c>
      <c r="H500" s="669">
        <f>Y500/J500</f>
        <v/>
      </c>
      <c r="I500" s="670" t="n">
        <v>44344</v>
      </c>
      <c r="J500" t="n">
        <v>3500</v>
      </c>
      <c r="L500" t="n">
        <v>3500</v>
      </c>
      <c r="M500" t="n">
        <v>1957</v>
      </c>
      <c r="P500" t="inlineStr">
        <is>
          <t>OA-MS</t>
        </is>
      </c>
      <c r="R500" t="inlineStr">
        <is>
          <t>Average</t>
        </is>
      </c>
      <c r="S500" t="n">
        <v>6250</v>
      </c>
      <c r="T500" s="467">
        <f>S500/J500</f>
        <v/>
      </c>
      <c r="U500" t="inlineStr">
        <is>
          <t>Average</t>
        </is>
      </c>
      <c r="Y500" t="n">
        <v>600000</v>
      </c>
      <c r="AA500" t="n">
        <v>600000</v>
      </c>
      <c r="AC500" t="inlineStr">
        <is>
          <t>0182334109027</t>
        </is>
      </c>
      <c r="AD500" t="inlineStr">
        <is>
          <t>2021000067865</t>
        </is>
      </c>
      <c r="AE500" t="inlineStr">
        <is>
          <t>BOMGARDNER DAVID</t>
        </is>
      </c>
      <c r="AF500" t="inlineStr">
        <is>
          <t>FOREST COFFEE PROPERTIES LLC</t>
        </is>
      </c>
      <c r="AI500" s="245">
        <f>AND(E500=Subj_OccCode,Subj_BldgSF&gt;0,L500&gt;=Subj_BldgSF*(1-Subj_SizeTol),L500&lt;=Subj_BldgSF*(1+Subj_SizeTol))</f>
        <v/>
      </c>
    </row>
    <row r="501" ht="15" customHeight="1">
      <c r="A501" s="471" t="n">
        <v>8</v>
      </c>
      <c r="B501" s="245" t="n">
        <v>495</v>
      </c>
      <c r="C501" t="inlineStr">
        <is>
          <t>R0003904</t>
        </is>
      </c>
      <c r="D501" t="inlineStr">
        <is>
          <t>151 S 1ST AVE</t>
        </is>
      </c>
      <c r="E501" t="n">
        <v>344</v>
      </c>
      <c r="F501" t="inlineStr">
        <is>
          <t>BRIGHTON</t>
        </is>
      </c>
      <c r="G501" t="inlineStr">
        <is>
          <t>2</t>
        </is>
      </c>
      <c r="H501" s="669">
        <f>Y501/J501</f>
        <v/>
      </c>
      <c r="I501" s="670" t="n">
        <v>44532</v>
      </c>
      <c r="J501" t="n">
        <v>1152</v>
      </c>
      <c r="L501" t="n">
        <v>1152</v>
      </c>
      <c r="M501" t="n">
        <v>1972</v>
      </c>
      <c r="P501" t="inlineStr">
        <is>
          <t>DT</t>
        </is>
      </c>
      <c r="R501" t="inlineStr">
        <is>
          <t>Average</t>
        </is>
      </c>
      <c r="S501" t="n">
        <v>8775</v>
      </c>
      <c r="T501" s="467">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245">
        <f>AND(E501=Subj_OccCode,Subj_BldgSF&gt;0,L501&gt;=Subj_BldgSF*(1-Subj_SizeTol),L501&lt;=Subj_BldgSF*(1+Subj_SizeTol))</f>
        <v/>
      </c>
    </row>
    <row r="502" ht="15" customHeight="1">
      <c r="A502" s="471" t="n">
        <v>8</v>
      </c>
      <c r="B502" s="245" t="n">
        <v>496</v>
      </c>
      <c r="C502" t="inlineStr">
        <is>
          <t>R0059114</t>
        </is>
      </c>
      <c r="D502" t="inlineStr">
        <is>
          <t>1407 W 84TH AVE</t>
        </is>
      </c>
      <c r="E502" t="n">
        <v>412</v>
      </c>
      <c r="F502" t="inlineStr">
        <is>
          <t>FEDERAL HEIGHTS</t>
        </is>
      </c>
      <c r="G502" t="inlineStr">
        <is>
          <t>4</t>
        </is>
      </c>
      <c r="H502" s="669">
        <f>Y502/J502</f>
        <v/>
      </c>
      <c r="I502" s="670" t="n">
        <v>43735</v>
      </c>
      <c r="J502" t="n">
        <v>102756</v>
      </c>
      <c r="L502" t="n">
        <v>102756</v>
      </c>
      <c r="M502" t="n">
        <v>1973</v>
      </c>
      <c r="P502" t="inlineStr">
        <is>
          <t>C-1-Fed</t>
        </is>
      </c>
      <c r="R502" t="inlineStr">
        <is>
          <t>Good</t>
        </is>
      </c>
      <c r="S502" t="n">
        <v>348480</v>
      </c>
      <c r="T502" s="467">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245">
        <f>AND(E502=Subj_OccCode,Subj_BldgSF&gt;0,L502&gt;=Subj_BldgSF*(1-Subj_SizeTol),L502&lt;=Subj_BldgSF*(1+Subj_SizeTol))</f>
        <v/>
      </c>
    </row>
    <row r="503" ht="15" customHeight="1">
      <c r="A503" s="471" t="n">
        <v>8</v>
      </c>
      <c r="B503" s="245" t="n">
        <v>497</v>
      </c>
      <c r="C503" t="inlineStr">
        <is>
          <t>R0114329</t>
        </is>
      </c>
      <c r="D503" t="inlineStr">
        <is>
          <t>1611 W 84TH AVE</t>
        </is>
      </c>
      <c r="E503" t="n">
        <v>353</v>
      </c>
      <c r="F503" t="inlineStr">
        <is>
          <t>FEDERAL HEIGHTS</t>
        </is>
      </c>
      <c r="G503" t="inlineStr">
        <is>
          <t>4</t>
        </is>
      </c>
      <c r="H503" s="669">
        <f>Y503/J503</f>
        <v/>
      </c>
      <c r="I503" s="670" t="n">
        <v>44245</v>
      </c>
      <c r="J503" t="n">
        <v>6720</v>
      </c>
      <c r="L503" t="n">
        <v>6720</v>
      </c>
      <c r="M503" t="n">
        <v>1999</v>
      </c>
      <c r="P503" t="inlineStr">
        <is>
          <t>C-1-Fed</t>
        </is>
      </c>
      <c r="R503" t="inlineStr">
        <is>
          <t>Average</t>
        </is>
      </c>
      <c r="S503" t="n">
        <v>49963.3203</v>
      </c>
      <c r="T503" s="467">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245">
        <f>AND(E503=Subj_OccCode,Subj_BldgSF&gt;0,L503&gt;=Subj_BldgSF*(1-Subj_SizeTol),L503&lt;=Subj_BldgSF*(1+Subj_SizeTol))</f>
        <v/>
      </c>
    </row>
    <row r="504" ht="15" customHeight="1">
      <c r="A504" s="471" t="n">
        <v>8</v>
      </c>
      <c r="B504" s="245" t="n">
        <v>498</v>
      </c>
      <c r="C504" t="inlineStr">
        <is>
          <t>R0003870</t>
        </is>
      </c>
      <c r="D504" t="inlineStr">
        <is>
          <t>59  CABBAGE ST</t>
        </is>
      </c>
      <c r="E504" t="n">
        <v>406</v>
      </c>
      <c r="F504" t="inlineStr">
        <is>
          <t>BRIGHTON</t>
        </is>
      </c>
      <c r="G504" t="inlineStr">
        <is>
          <t>2</t>
        </is>
      </c>
      <c r="H504" s="669">
        <f>Y504/J504</f>
        <v/>
      </c>
      <c r="I504" s="670" t="n">
        <v>44155</v>
      </c>
      <c r="J504" t="n">
        <v>1451</v>
      </c>
      <c r="L504" t="n">
        <v>1451</v>
      </c>
      <c r="M504" t="n">
        <v>1936</v>
      </c>
      <c r="P504" t="inlineStr">
        <is>
          <t>DT</t>
        </is>
      </c>
      <c r="R504" t="inlineStr">
        <is>
          <t>Average</t>
        </is>
      </c>
      <c r="S504" t="n">
        <v>2350</v>
      </c>
      <c r="T504" s="467">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245">
        <f>AND(E504=Subj_OccCode,Subj_BldgSF&gt;0,L504&gt;=Subj_BldgSF*(1-Subj_SizeTol),L504&lt;=Subj_BldgSF*(1+Subj_SizeTol))</f>
        <v/>
      </c>
    </row>
    <row r="505" ht="15" customHeight="1">
      <c r="A505" s="471" t="n">
        <v>8</v>
      </c>
      <c r="B505" s="245" t="n">
        <v>499</v>
      </c>
      <c r="C505" t="inlineStr">
        <is>
          <t>R0024473</t>
        </is>
      </c>
      <c r="D505" t="inlineStr">
        <is>
          <t>12421  WASHINGTON ST</t>
        </is>
      </c>
      <c r="E505" t="n">
        <v>334</v>
      </c>
      <c r="F505" t="inlineStr">
        <is>
          <t>THORNTON</t>
        </is>
      </c>
      <c r="G505" t="inlineStr">
        <is>
          <t>3</t>
        </is>
      </c>
      <c r="H505" s="669">
        <f>Y505/J505</f>
        <v/>
      </c>
      <c r="I505" s="670" t="n">
        <v>43490</v>
      </c>
      <c r="J505" t="n">
        <v>32961</v>
      </c>
      <c r="L505" t="n">
        <v>32961</v>
      </c>
      <c r="M505" t="n">
        <v>1983</v>
      </c>
      <c r="P505" t="inlineStr">
        <is>
          <t>Thornton</t>
        </is>
      </c>
      <c r="R505" t="inlineStr">
        <is>
          <t>Good</t>
        </is>
      </c>
      <c r="S505" t="n">
        <v>112471</v>
      </c>
      <c r="T505" s="467">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245">
        <f>AND(E505=Subj_OccCode,Subj_BldgSF&gt;0,L505&gt;=Subj_BldgSF*(1-Subj_SizeTol),L505&lt;=Subj_BldgSF*(1+Subj_SizeTol))</f>
        <v/>
      </c>
    </row>
    <row r="506" ht="15" customHeight="1">
      <c r="A506" s="471" t="n">
        <v>8</v>
      </c>
      <c r="B506" s="245" t="n">
        <v>500</v>
      </c>
      <c r="C506" t="inlineStr">
        <is>
          <t>R0098080</t>
        </is>
      </c>
      <c r="D506" t="inlineStr">
        <is>
          <t>851  HIGHWAY 224  #4A</t>
        </is>
      </c>
      <c r="E506" t="n">
        <v>425</v>
      </c>
      <c r="G506" t="inlineStr">
        <is>
          <t>5</t>
        </is>
      </c>
      <c r="H506" s="669">
        <f>Y506/J506</f>
        <v/>
      </c>
      <c r="I506" s="670" t="n">
        <v>43168</v>
      </c>
      <c r="J506" t="n">
        <v>1500</v>
      </c>
      <c r="L506" t="n">
        <v>1500</v>
      </c>
      <c r="M506" t="n">
        <v>1984</v>
      </c>
      <c r="P506" t="inlineStr">
        <is>
          <t>Industrial</t>
        </is>
      </c>
      <c r="R506" t="inlineStr">
        <is>
          <t>Average</t>
        </is>
      </c>
      <c r="S506" t="n">
        <v>4340</v>
      </c>
      <c r="T506" s="467">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245">
        <f>AND(E506=Subj_OccCode,Subj_BldgSF&gt;0,L506&gt;=Subj_BldgSF*(1-Subj_SizeTol),L506&lt;=Subj_BldgSF*(1+Subj_SizeTol))</f>
        <v/>
      </c>
    </row>
    <row r="507" ht="15" customHeight="1">
      <c r="A507" s="471" t="n">
        <v>8</v>
      </c>
      <c r="B507" s="245" t="n">
        <v>501</v>
      </c>
      <c r="C507" t="inlineStr">
        <is>
          <t>R0103509</t>
        </is>
      </c>
      <c r="D507" t="inlineStr">
        <is>
          <t xml:space="preserve">6185  BROADWAY </t>
        </is>
      </c>
      <c r="E507" t="n">
        <v>419</v>
      </c>
      <c r="G507" t="inlineStr">
        <is>
          <t>5</t>
        </is>
      </c>
      <c r="H507" s="669">
        <f>Y507/J507</f>
        <v/>
      </c>
      <c r="I507" s="670" t="n">
        <v>44692</v>
      </c>
      <c r="J507" t="n">
        <v>2700</v>
      </c>
      <c r="L507" t="n">
        <v>2700</v>
      </c>
      <c r="M507" t="n">
        <v>1995</v>
      </c>
      <c r="P507" t="inlineStr">
        <is>
          <t>Industrial</t>
        </is>
      </c>
      <c r="R507" t="inlineStr">
        <is>
          <t>Average</t>
        </is>
      </c>
      <c r="S507" t="n">
        <v>110640</v>
      </c>
      <c r="T507" s="467">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245">
        <f>AND(E507=Subj_OccCode,Subj_BldgSF&gt;0,L507&gt;=Subj_BldgSF*(1-Subj_SizeTol),L507&lt;=Subj_BldgSF*(1+Subj_SizeTol))</f>
        <v/>
      </c>
    </row>
    <row r="508" ht="15" customHeight="1">
      <c r="A508" s="471" t="n">
        <v>8</v>
      </c>
      <c r="B508" s="245" t="n">
        <v>502</v>
      </c>
      <c r="C508" t="inlineStr">
        <is>
          <t>R0104080</t>
        </is>
      </c>
      <c r="D508" t="inlineStr">
        <is>
          <t>5347  SHERMAN ST</t>
        </is>
      </c>
      <c r="E508" t="n">
        <v>406</v>
      </c>
      <c r="G508" t="inlineStr">
        <is>
          <t>5</t>
        </is>
      </c>
      <c r="H508" s="669">
        <f>Y508/J508</f>
        <v/>
      </c>
      <c r="I508" s="670" t="n">
        <v>44270</v>
      </c>
      <c r="J508" t="n">
        <v>17980</v>
      </c>
      <c r="L508" t="n">
        <v>17980</v>
      </c>
      <c r="M508" t="n">
        <v>1986</v>
      </c>
      <c r="P508" t="inlineStr">
        <is>
          <t>Industrial</t>
        </is>
      </c>
      <c r="R508" t="inlineStr">
        <is>
          <t>Average</t>
        </is>
      </c>
      <c r="S508" t="n">
        <v>76200</v>
      </c>
      <c r="T508" s="467">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245">
        <f>AND(E508=Subj_OccCode,Subj_BldgSF&gt;0,L508&gt;=Subj_BldgSF*(1-Subj_SizeTol),L508&lt;=Subj_BldgSF*(1+Subj_SizeTol))</f>
        <v/>
      </c>
    </row>
    <row r="509" ht="15" customHeight="1">
      <c r="A509" s="471" t="n">
        <v>8</v>
      </c>
      <c r="B509" s="245" t="n">
        <v>503</v>
      </c>
      <c r="C509" t="inlineStr">
        <is>
          <t>R0092264</t>
        </is>
      </c>
      <c r="D509" t="inlineStr">
        <is>
          <t>5490  NEWPORT ST</t>
        </is>
      </c>
      <c r="E509" t="n">
        <v>325</v>
      </c>
      <c r="F509" t="inlineStr">
        <is>
          <t>COMMERCE CITY</t>
        </is>
      </c>
      <c r="G509" t="inlineStr">
        <is>
          <t>5</t>
        </is>
      </c>
      <c r="H509" s="669">
        <f>Y509/J509</f>
        <v/>
      </c>
      <c r="I509" s="670" t="n">
        <v>44715</v>
      </c>
      <c r="J509" t="n">
        <v>4600</v>
      </c>
      <c r="L509" t="n">
        <v>4600</v>
      </c>
      <c r="M509" t="n">
        <v>1973</v>
      </c>
      <c r="P509" t="inlineStr">
        <is>
          <t>I-2-Com</t>
        </is>
      </c>
      <c r="R509" t="inlineStr">
        <is>
          <t>Average</t>
        </is>
      </c>
      <c r="S509" t="n">
        <v>16800</v>
      </c>
      <c r="T509" s="467">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245">
        <f>AND(E509=Subj_OccCode,Subj_BldgSF&gt;0,L509&gt;=Subj_BldgSF*(1-Subj_SizeTol),L509&lt;=Subj_BldgSF*(1+Subj_SizeTol))</f>
        <v/>
      </c>
    </row>
    <row r="510" ht="15" customHeight="1">
      <c r="A510" s="471" t="n">
        <v>8</v>
      </c>
      <c r="B510" s="245" t="n">
        <v>504</v>
      </c>
      <c r="C510" t="inlineStr">
        <is>
          <t>R0037193</t>
        </is>
      </c>
      <c r="D510" t="inlineStr">
        <is>
          <t>650 W 106TH AVE</t>
        </is>
      </c>
      <c r="E510" t="n">
        <v>325</v>
      </c>
      <c r="F510" t="inlineStr">
        <is>
          <t>NORTHGLENN</t>
        </is>
      </c>
      <c r="G510" t="inlineStr">
        <is>
          <t>4</t>
        </is>
      </c>
      <c r="H510" s="669">
        <f>Y510/J510</f>
        <v/>
      </c>
      <c r="I510" s="670" t="n">
        <v>43440</v>
      </c>
      <c r="J510" t="n">
        <v>30020</v>
      </c>
      <c r="L510" t="n">
        <v>30020</v>
      </c>
      <c r="M510" t="n">
        <v>1973</v>
      </c>
      <c r="P510" t="inlineStr">
        <is>
          <t>Northglenn</t>
        </is>
      </c>
      <c r="R510" t="inlineStr">
        <is>
          <t>Average</t>
        </is>
      </c>
      <c r="S510" t="n">
        <v>120456</v>
      </c>
      <c r="T510" s="467">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245">
        <f>AND(E510=Subj_OccCode,Subj_BldgSF&gt;0,L510&gt;=Subj_BldgSF*(1-Subj_SizeTol),L510&lt;=Subj_BldgSF*(1+Subj_SizeTol))</f>
        <v/>
      </c>
    </row>
    <row r="511" ht="15" customHeight="1">
      <c r="A511" s="471" t="n">
        <v>8</v>
      </c>
      <c r="B511" s="245" t="n">
        <v>505</v>
      </c>
      <c r="C511" t="inlineStr">
        <is>
          <t>R0114277</t>
        </is>
      </c>
      <c r="D511" t="inlineStr">
        <is>
          <t>4915 E 52ND AVE</t>
        </is>
      </c>
      <c r="E511" t="n">
        <v>407</v>
      </c>
      <c r="F511" t="inlineStr">
        <is>
          <t>COMMERCE CITY</t>
        </is>
      </c>
      <c r="G511" t="inlineStr">
        <is>
          <t>5</t>
        </is>
      </c>
      <c r="H511" s="669">
        <f>Y511/J511</f>
        <v/>
      </c>
      <c r="I511" s="670" t="n">
        <v>44187</v>
      </c>
      <c r="J511" t="n">
        <v>54607</v>
      </c>
      <c r="L511" t="n">
        <v>54607</v>
      </c>
      <c r="M511" t="n">
        <v>1970</v>
      </c>
      <c r="P511" t="inlineStr">
        <is>
          <t>I-3-Com</t>
        </is>
      </c>
      <c r="R511" t="inlineStr">
        <is>
          <t>Average</t>
        </is>
      </c>
      <c r="S511" t="n">
        <v>161338</v>
      </c>
      <c r="T511" s="467">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245">
        <f>AND(E511=Subj_OccCode,Subj_BldgSF&gt;0,L511&gt;=Subj_BldgSF*(1-Subj_SizeTol),L511&lt;=Subj_BldgSF*(1+Subj_SizeTol))</f>
        <v/>
      </c>
    </row>
    <row r="512" ht="15" customHeight="1">
      <c r="A512" s="471" t="n">
        <v>8</v>
      </c>
      <c r="B512" s="245" t="n">
        <v>506</v>
      </c>
      <c r="C512" t="inlineStr">
        <is>
          <t>R0092867</t>
        </is>
      </c>
      <c r="D512" t="inlineStr">
        <is>
          <t>5505 E 48TH AVE</t>
        </is>
      </c>
      <c r="E512" t="n">
        <v>325</v>
      </c>
      <c r="F512" t="inlineStr">
        <is>
          <t>COMMERCE CITY</t>
        </is>
      </c>
      <c r="G512" t="inlineStr">
        <is>
          <t>5</t>
        </is>
      </c>
      <c r="H512" s="669">
        <f>Y512/J512</f>
        <v/>
      </c>
      <c r="I512" s="670" t="n">
        <v>43815</v>
      </c>
      <c r="J512" t="n">
        <v>11940</v>
      </c>
      <c r="L512" t="n">
        <v>11940</v>
      </c>
      <c r="M512" t="n">
        <v>1965</v>
      </c>
      <c r="P512" t="inlineStr">
        <is>
          <t>I-3-Com</t>
        </is>
      </c>
      <c r="R512" t="inlineStr">
        <is>
          <t>Average</t>
        </is>
      </c>
      <c r="S512" t="n">
        <v>51052</v>
      </c>
      <c r="T512" s="467">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245">
        <f>AND(E512=Subj_OccCode,Subj_BldgSF&gt;0,L512&gt;=Subj_BldgSF*(1-Subj_SizeTol),L512&lt;=Subj_BldgSF*(1+Subj_SizeTol))</f>
        <v/>
      </c>
    </row>
    <row r="513" ht="15" customHeight="1">
      <c r="A513" s="471" t="n">
        <v>8</v>
      </c>
      <c r="B513" s="245" t="n">
        <v>507</v>
      </c>
      <c r="C513" t="inlineStr">
        <is>
          <t>R0145674</t>
        </is>
      </c>
      <c r="D513" t="inlineStr">
        <is>
          <t>6079  QUEBEC ST</t>
        </is>
      </c>
      <c r="E513" t="n">
        <v>353</v>
      </c>
      <c r="F513" t="inlineStr">
        <is>
          <t>COMMERCE CITY</t>
        </is>
      </c>
      <c r="G513" t="inlineStr">
        <is>
          <t>5</t>
        </is>
      </c>
      <c r="H513" s="669">
        <f>Y513/J513</f>
        <v/>
      </c>
      <c r="I513" s="670" t="n">
        <v>44329</v>
      </c>
      <c r="J513" t="n">
        <v>4521</v>
      </c>
      <c r="L513" t="n">
        <v>4521</v>
      </c>
      <c r="M513" t="n">
        <v>1964</v>
      </c>
      <c r="P513" t="inlineStr">
        <is>
          <t>C-3-Com</t>
        </is>
      </c>
      <c r="R513" t="inlineStr">
        <is>
          <t>Average</t>
        </is>
      </c>
      <c r="S513" t="n">
        <v>16173</v>
      </c>
      <c r="T513" s="467">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245">
        <f>AND(E513=Subj_OccCode,Subj_BldgSF&gt;0,L513&gt;=Subj_BldgSF*(1-Subj_SizeTol),L513&lt;=Subj_BldgSF*(1+Subj_SizeTol))</f>
        <v/>
      </c>
    </row>
    <row r="514" ht="15" customHeight="1">
      <c r="A514" s="471" t="n">
        <v>8</v>
      </c>
      <c r="B514" s="245" t="n">
        <v>508</v>
      </c>
      <c r="C514" t="inlineStr">
        <is>
          <t>R0103648</t>
        </is>
      </c>
      <c r="D514" t="inlineStr">
        <is>
          <t>1390 E 64TH AVE</t>
        </is>
      </c>
      <c r="E514" t="n">
        <v>406</v>
      </c>
      <c r="G514" t="inlineStr">
        <is>
          <t>5</t>
        </is>
      </c>
      <c r="H514" s="669">
        <f>Y514/J514</f>
        <v/>
      </c>
      <c r="I514" s="670" t="n">
        <v>44175</v>
      </c>
      <c r="J514" t="n">
        <v>7450</v>
      </c>
      <c r="L514" t="n">
        <v>7450</v>
      </c>
      <c r="M514" t="n">
        <v>1992</v>
      </c>
      <c r="P514" t="inlineStr">
        <is>
          <t>Industrial</t>
        </is>
      </c>
      <c r="R514" t="inlineStr">
        <is>
          <t>Average</t>
        </is>
      </c>
      <c r="S514" t="n">
        <v>46560</v>
      </c>
      <c r="T514" s="467">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245">
        <f>AND(E514=Subj_OccCode,Subj_BldgSF&gt;0,L514&gt;=Subj_BldgSF*(1-Subj_SizeTol),L514&lt;=Subj_BldgSF*(1+Subj_SizeTol))</f>
        <v/>
      </c>
    </row>
    <row r="515" ht="15" customHeight="1">
      <c r="A515" s="471" t="n">
        <v>8</v>
      </c>
      <c r="B515" s="245" t="n">
        <v>509</v>
      </c>
      <c r="C515" t="inlineStr">
        <is>
          <t>R0086237</t>
        </is>
      </c>
      <c r="D515" t="inlineStr">
        <is>
          <t>2200  TOWER RD</t>
        </is>
      </c>
      <c r="E515" t="n">
        <v>100</v>
      </c>
      <c r="F515" t="inlineStr">
        <is>
          <t>AURORA</t>
        </is>
      </c>
      <c r="G515" t="inlineStr">
        <is>
          <t>620</t>
        </is>
      </c>
      <c r="H515" s="669">
        <f>Y515/J515</f>
        <v/>
      </c>
      <c r="I515" s="670" t="n">
        <v>44469</v>
      </c>
      <c r="J515" t="n">
        <v>1176</v>
      </c>
      <c r="L515" t="n">
        <v>1176</v>
      </c>
      <c r="M515" t="n">
        <v>1963</v>
      </c>
      <c r="P515" t="inlineStr">
        <is>
          <t>M-1-Aur</t>
        </is>
      </c>
      <c r="R515" t="inlineStr">
        <is>
          <t>Average</t>
        </is>
      </c>
      <c r="S515" t="n">
        <v>99752.39999999999</v>
      </c>
      <c r="T515" s="467">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245">
        <f>AND(E515=Subj_OccCode,Subj_BldgSF&gt;0,L515&gt;=Subj_BldgSF*(1-Subj_SizeTol),L515&lt;=Subj_BldgSF*(1+Subj_SizeTol))</f>
        <v/>
      </c>
    </row>
    <row r="516" ht="15" customHeight="1">
      <c r="A516" s="471" t="n">
        <v>8</v>
      </c>
      <c r="B516" s="245" t="n">
        <v>510</v>
      </c>
      <c r="C516" t="inlineStr">
        <is>
          <t>R0059553</t>
        </is>
      </c>
      <c r="D516" t="inlineStr">
        <is>
          <t>2385 W 84TH AVE</t>
        </is>
      </c>
      <c r="E516" t="n">
        <v>419</v>
      </c>
      <c r="G516" t="inlineStr">
        <is>
          <t>1</t>
        </is>
      </c>
      <c r="H516" s="669">
        <f>Y516/J516</f>
        <v/>
      </c>
      <c r="I516" s="670" t="n">
        <v>43342</v>
      </c>
      <c r="J516" t="n">
        <v>1958</v>
      </c>
      <c r="L516" t="n">
        <v>1958</v>
      </c>
      <c r="M516" t="n">
        <v>1972</v>
      </c>
      <c r="P516" t="inlineStr">
        <is>
          <t>Commercial</t>
        </is>
      </c>
      <c r="R516" t="inlineStr">
        <is>
          <t>Average</t>
        </is>
      </c>
      <c r="S516" t="n">
        <v>16443</v>
      </c>
      <c r="T516" s="467">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245">
        <f>AND(E516=Subj_OccCode,Subj_BldgSF&gt;0,L516&gt;=Subj_BldgSF*(1-Subj_SizeTol),L516&lt;=Subj_BldgSF*(1+Subj_SizeTol))</f>
        <v/>
      </c>
    </row>
    <row r="517" ht="15" customHeight="1">
      <c r="A517" s="471" t="n">
        <v>8</v>
      </c>
      <c r="B517" s="245" t="n">
        <v>511</v>
      </c>
      <c r="C517" t="inlineStr">
        <is>
          <t>R0002429</t>
        </is>
      </c>
      <c r="D517" t="inlineStr">
        <is>
          <t>695 N 7TH AVE</t>
        </is>
      </c>
      <c r="E517" t="n">
        <v>334</v>
      </c>
      <c r="F517" t="inlineStr">
        <is>
          <t>BRIGHTON</t>
        </is>
      </c>
      <c r="G517" t="inlineStr">
        <is>
          <t>2</t>
        </is>
      </c>
      <c r="H517" s="669">
        <f>Y517/J517</f>
        <v/>
      </c>
      <c r="I517" s="670" t="n">
        <v>44405</v>
      </c>
      <c r="J517" t="n">
        <v>10106</v>
      </c>
      <c r="L517" t="n">
        <v>10106</v>
      </c>
      <c r="M517" t="n">
        <v>1987</v>
      </c>
      <c r="P517" t="inlineStr">
        <is>
          <t>I-1-Bri</t>
        </is>
      </c>
      <c r="R517" t="inlineStr">
        <is>
          <t>Average</t>
        </is>
      </c>
      <c r="S517" t="n">
        <v>86500</v>
      </c>
      <c r="T517" s="467">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245">
        <f>AND(E517=Subj_OccCode,Subj_BldgSF&gt;0,L517&gt;=Subj_BldgSF*(1-Subj_SizeTol),L517&lt;=Subj_BldgSF*(1+Subj_SizeTol))</f>
        <v/>
      </c>
    </row>
    <row r="518" ht="15" customHeight="1">
      <c r="A518" s="471" t="n">
        <v>8</v>
      </c>
      <c r="B518" s="245" t="n">
        <v>512</v>
      </c>
      <c r="C518" t="inlineStr">
        <is>
          <t>R0125399</t>
        </is>
      </c>
      <c r="D518" t="inlineStr">
        <is>
          <t>6550  FRANKLIN ST</t>
        </is>
      </c>
      <c r="E518" t="n">
        <v>407</v>
      </c>
      <c r="G518" t="inlineStr">
        <is>
          <t>5</t>
        </is>
      </c>
      <c r="H518" s="669">
        <f>Y518/J518</f>
        <v/>
      </c>
      <c r="I518" s="670" t="n">
        <v>43767</v>
      </c>
      <c r="J518" t="n">
        <v>10384</v>
      </c>
      <c r="L518" t="n">
        <v>10384</v>
      </c>
      <c r="M518" t="n">
        <v>2001</v>
      </c>
      <c r="P518" t="inlineStr">
        <is>
          <t>Planned Unit Development</t>
        </is>
      </c>
      <c r="R518" t="inlineStr">
        <is>
          <t>Average</t>
        </is>
      </c>
      <c r="S518" t="n">
        <v>43560</v>
      </c>
      <c r="T518" s="467">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245">
        <f>AND(E518=Subj_OccCode,Subj_BldgSF&gt;0,L518&gt;=Subj_BldgSF*(1-Subj_SizeTol),L518&lt;=Subj_BldgSF*(1+Subj_SizeTol))</f>
        <v/>
      </c>
    </row>
    <row r="519" ht="15" customHeight="1">
      <c r="A519" s="471" t="n">
        <v>8</v>
      </c>
      <c r="B519" s="245" t="n">
        <v>513</v>
      </c>
      <c r="C519" t="inlineStr">
        <is>
          <t>R0002759</t>
        </is>
      </c>
      <c r="D519" t="inlineStr">
        <is>
          <t>257 N MAIN ST</t>
        </is>
      </c>
      <c r="E519" t="n">
        <v>325</v>
      </c>
      <c r="F519" t="inlineStr">
        <is>
          <t>BRIGHTON</t>
        </is>
      </c>
      <c r="G519" t="inlineStr">
        <is>
          <t>2</t>
        </is>
      </c>
      <c r="H519" s="669">
        <f>Y519/J519</f>
        <v/>
      </c>
      <c r="I519" s="670" t="n">
        <v>43217</v>
      </c>
      <c r="J519" t="n">
        <v>2210</v>
      </c>
      <c r="L519" t="n">
        <v>2210</v>
      </c>
      <c r="M519" t="n">
        <v>1982</v>
      </c>
      <c r="P519" t="inlineStr">
        <is>
          <t>Brighton</t>
        </is>
      </c>
      <c r="R519" t="inlineStr">
        <is>
          <t>Average</t>
        </is>
      </c>
      <c r="S519" t="n">
        <v>6800</v>
      </c>
      <c r="T519" s="467">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245">
        <f>AND(E519=Subj_OccCode,Subj_BldgSF&gt;0,L519&gt;=Subj_BldgSF*(1-Subj_SizeTol),L519&lt;=Subj_BldgSF*(1+Subj_SizeTol))</f>
        <v/>
      </c>
    </row>
    <row r="520" ht="15" customHeight="1">
      <c r="A520" s="471" t="n">
        <v>8</v>
      </c>
      <c r="B520" s="245" t="n">
        <v>515</v>
      </c>
      <c r="C520" t="inlineStr">
        <is>
          <t>R0129932</t>
        </is>
      </c>
      <c r="D520" t="inlineStr">
        <is>
          <t>37550  ASTRA WAY #5E</t>
        </is>
      </c>
      <c r="E520" t="n">
        <v>328</v>
      </c>
      <c r="G520" t="inlineStr">
        <is>
          <t>6</t>
        </is>
      </c>
      <c r="H520" s="669">
        <f>Y520/J520</f>
        <v/>
      </c>
      <c r="I520" s="670" t="n">
        <v>43237</v>
      </c>
      <c r="J520" t="n">
        <v>2900</v>
      </c>
      <c r="L520" t="n">
        <v>2900</v>
      </c>
      <c r="M520" t="n">
        <v>2000</v>
      </c>
      <c r="R520" t="inlineStr">
        <is>
          <t>Average</t>
        </is>
      </c>
      <c r="T520" s="467">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245">
        <f>AND(E520=Subj_OccCode,Subj_BldgSF&gt;0,L520&gt;=Subj_BldgSF*(1-Subj_SizeTol),L520&lt;=Subj_BldgSF*(1+Subj_SizeTol))</f>
        <v/>
      </c>
    </row>
    <row r="521" ht="15" customHeight="1">
      <c r="A521" s="471" t="n">
        <v>8</v>
      </c>
      <c r="B521" s="245" t="n">
        <v>516</v>
      </c>
      <c r="C521" t="inlineStr">
        <is>
          <t>R0092695</t>
        </is>
      </c>
      <c r="D521" t="inlineStr">
        <is>
          <t>6390 E 49TH DR</t>
        </is>
      </c>
      <c r="E521" t="n">
        <v>407</v>
      </c>
      <c r="F521" t="inlineStr">
        <is>
          <t>COMMERCE CITY</t>
        </is>
      </c>
      <c r="G521" t="inlineStr">
        <is>
          <t>5</t>
        </is>
      </c>
      <c r="H521" s="669">
        <f>Y521/J521</f>
        <v/>
      </c>
      <c r="I521" s="670" t="n">
        <v>43509</v>
      </c>
      <c r="J521" t="n">
        <v>13000</v>
      </c>
      <c r="L521" t="n">
        <v>13000</v>
      </c>
      <c r="M521" t="n">
        <v>1979</v>
      </c>
      <c r="P521" t="inlineStr">
        <is>
          <t>Commerce City</t>
        </is>
      </c>
      <c r="R521" t="inlineStr">
        <is>
          <t>Average</t>
        </is>
      </c>
      <c r="S521" t="n">
        <v>32000</v>
      </c>
      <c r="T521" s="467">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245">
        <f>AND(E521=Subj_OccCode,Subj_BldgSF&gt;0,L521&gt;=Subj_BldgSF*(1-Subj_SizeTol),L521&lt;=Subj_BldgSF*(1+Subj_SizeTol))</f>
        <v/>
      </c>
    </row>
    <row r="522" ht="15" customHeight="1">
      <c r="A522" s="471" t="n">
        <v>8</v>
      </c>
      <c r="B522" s="245" t="n">
        <v>517</v>
      </c>
      <c r="C522" t="inlineStr">
        <is>
          <t>R0141093</t>
        </is>
      </c>
      <c r="D522" t="inlineStr">
        <is>
          <t>37700  CESSNA WAY</t>
        </is>
      </c>
      <c r="E522" t="n">
        <v>328</v>
      </c>
      <c r="G522" t="inlineStr">
        <is>
          <t>1</t>
        </is>
      </c>
      <c r="H522" s="669">
        <f>Y522/J522</f>
        <v/>
      </c>
      <c r="I522" s="670" t="n">
        <v>44128</v>
      </c>
      <c r="J522" t="n">
        <v>2850</v>
      </c>
      <c r="L522" t="n">
        <v>2850</v>
      </c>
      <c r="M522" t="n">
        <v>2001</v>
      </c>
      <c r="R522" t="inlineStr">
        <is>
          <t>Average</t>
        </is>
      </c>
      <c r="T522" s="467">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245">
        <f>AND(E522=Subj_OccCode,Subj_BldgSF&gt;0,L522&gt;=Subj_BldgSF*(1-Subj_SizeTol),L522&lt;=Subj_BldgSF*(1+Subj_SizeTol))</f>
        <v/>
      </c>
    </row>
    <row r="523" ht="15" customHeight="1">
      <c r="A523" s="471" t="n">
        <v>8</v>
      </c>
      <c r="B523" s="245" t="n">
        <v>518</v>
      </c>
      <c r="C523" t="inlineStr">
        <is>
          <t>R0129305</t>
        </is>
      </c>
      <c r="D523" t="inlineStr">
        <is>
          <t>7175 IVY ST</t>
        </is>
      </c>
      <c r="E523" t="n">
        <v>406</v>
      </c>
      <c r="F523" t="inlineStr">
        <is>
          <t>COMMERCE CITY</t>
        </is>
      </c>
      <c r="G523" t="inlineStr">
        <is>
          <t>5</t>
        </is>
      </c>
      <c r="H523" s="669">
        <f>Y523/J523</f>
        <v/>
      </c>
      <c r="I523" s="670" t="n">
        <v>43106</v>
      </c>
      <c r="J523" t="n">
        <v>4500</v>
      </c>
      <c r="L523" t="n">
        <v>4500</v>
      </c>
      <c r="M523" t="n">
        <v>2001</v>
      </c>
      <c r="R523" t="inlineStr">
        <is>
          <t>Average</t>
        </is>
      </c>
      <c r="S523" t="n">
        <v>21675</v>
      </c>
      <c r="T523" s="467">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245">
        <f>AND(E523=Subj_OccCode,Subj_BldgSF&gt;0,L523&gt;=Subj_BldgSF*(1-Subj_SizeTol),L523&lt;=Subj_BldgSF*(1+Subj_SizeTol))</f>
        <v/>
      </c>
    </row>
    <row r="524" ht="15" customHeight="1">
      <c r="A524" s="471" t="n">
        <v>8</v>
      </c>
      <c r="B524" s="245" t="n">
        <v>519</v>
      </c>
      <c r="C524" t="inlineStr">
        <is>
          <t>R0037110</t>
        </is>
      </c>
      <c r="D524" t="inlineStr">
        <is>
          <t>11184  HURON ST #10</t>
        </is>
      </c>
      <c r="E524" t="n">
        <v>1344</v>
      </c>
      <c r="F524" t="inlineStr">
        <is>
          <t>NORTHGLENN</t>
        </is>
      </c>
      <c r="G524" t="inlineStr">
        <is>
          <t>4</t>
        </is>
      </c>
      <c r="H524" s="669">
        <f>Y524/J524</f>
        <v/>
      </c>
      <c r="I524" s="670" t="n">
        <v>44568</v>
      </c>
      <c r="J524" t="n">
        <v>1742</v>
      </c>
      <c r="L524" t="n">
        <v>1742</v>
      </c>
      <c r="M524" t="n">
        <v>1984</v>
      </c>
      <c r="P524" t="inlineStr">
        <is>
          <t>C-3-Nor</t>
        </is>
      </c>
      <c r="R524" t="inlineStr">
        <is>
          <t>Average</t>
        </is>
      </c>
      <c r="S524" t="n">
        <v>1108</v>
      </c>
      <c r="T524" s="467">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245">
        <f>AND(E524=Subj_OccCode,Subj_BldgSF&gt;0,L524&gt;=Subj_BldgSF*(1-Subj_SizeTol),L524&lt;=Subj_BldgSF*(1+Subj_SizeTol))</f>
        <v/>
      </c>
    </row>
    <row r="525" ht="15" customHeight="1">
      <c r="A525" s="471" t="n">
        <v>8</v>
      </c>
      <c r="B525" s="245" t="n">
        <v>520</v>
      </c>
      <c r="C525" t="inlineStr">
        <is>
          <t>R0138742</t>
        </is>
      </c>
      <c r="D525" t="inlineStr">
        <is>
          <t>10420  MELODY DR</t>
        </is>
      </c>
      <c r="E525" t="n">
        <v>325</v>
      </c>
      <c r="F525" t="inlineStr">
        <is>
          <t>NORTHGLENN</t>
        </is>
      </c>
      <c r="G525" t="inlineStr">
        <is>
          <t>4</t>
        </is>
      </c>
      <c r="H525" s="669">
        <f>Y525/J525</f>
        <v/>
      </c>
      <c r="I525" s="670" t="n">
        <v>44182</v>
      </c>
      <c r="J525" t="n">
        <v>9036</v>
      </c>
      <c r="L525" t="n">
        <v>9036</v>
      </c>
      <c r="M525" t="n">
        <v>1964</v>
      </c>
      <c r="P525" t="inlineStr">
        <is>
          <t>C-5-Nor</t>
        </is>
      </c>
      <c r="R525" t="inlineStr">
        <is>
          <t>Average</t>
        </is>
      </c>
      <c r="S525" t="n">
        <v>26250</v>
      </c>
      <c r="T525" s="467">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245">
        <f>AND(E525=Subj_OccCode,Subj_BldgSF&gt;0,L525&gt;=Subj_BldgSF*(1-Subj_SizeTol),L525&lt;=Subj_BldgSF*(1+Subj_SizeTol))</f>
        <v/>
      </c>
    </row>
    <row r="526" ht="15" customHeight="1">
      <c r="A526" s="471" t="n">
        <v>8</v>
      </c>
      <c r="B526" s="245" t="n">
        <v>521</v>
      </c>
      <c r="C526" t="inlineStr">
        <is>
          <t>R0119551</t>
        </is>
      </c>
      <c r="D526" t="inlineStr">
        <is>
          <t>9101  PEARL ST</t>
        </is>
      </c>
      <c r="E526" t="n">
        <v>344</v>
      </c>
      <c r="F526" t="inlineStr">
        <is>
          <t>THORNTON</t>
        </is>
      </c>
      <c r="G526" t="inlineStr">
        <is>
          <t>4</t>
        </is>
      </c>
      <c r="H526" s="669">
        <f>Y526/J526</f>
        <v/>
      </c>
      <c r="I526" s="670" t="n">
        <v>43880</v>
      </c>
      <c r="J526" t="n">
        <v>26628</v>
      </c>
      <c r="L526" t="n">
        <v>26628</v>
      </c>
      <c r="M526" t="n">
        <v>1982</v>
      </c>
      <c r="P526" t="inlineStr">
        <is>
          <t>City Center</t>
        </is>
      </c>
      <c r="R526" t="inlineStr">
        <is>
          <t>Average</t>
        </is>
      </c>
      <c r="S526" t="n">
        <v>91780.92</v>
      </c>
      <c r="T526" s="467">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245">
        <f>AND(E526=Subj_OccCode,Subj_BldgSF&gt;0,L526&gt;=Subj_BldgSF*(1-Subj_SizeTol),L526&lt;=Subj_BldgSF*(1+Subj_SizeTol))</f>
        <v/>
      </c>
    </row>
    <row r="527" ht="15" customHeight="1">
      <c r="A527" s="471" t="n">
        <v>8</v>
      </c>
      <c r="B527" s="245" t="n">
        <v>522</v>
      </c>
      <c r="C527" t="inlineStr">
        <is>
          <t>R0062919</t>
        </is>
      </c>
      <c r="D527" t="inlineStr">
        <is>
          <t>8791  WOLFF CT #120</t>
        </is>
      </c>
      <c r="E527" t="n">
        <v>344</v>
      </c>
      <c r="F527" t="inlineStr">
        <is>
          <t>WESTMINSTER</t>
        </is>
      </c>
      <c r="G527" t="inlineStr">
        <is>
          <t>4</t>
        </is>
      </c>
      <c r="H527" s="669">
        <f>Y527/J527</f>
        <v/>
      </c>
      <c r="I527" s="670" t="n">
        <v>43528</v>
      </c>
      <c r="J527" t="n">
        <v>840</v>
      </c>
      <c r="L527" t="n">
        <v>840</v>
      </c>
      <c r="M527" t="n">
        <v>1984</v>
      </c>
      <c r="P527" t="inlineStr">
        <is>
          <t>Westminster</t>
        </is>
      </c>
      <c r="R527" t="inlineStr">
        <is>
          <t>Average</t>
        </is>
      </c>
      <c r="S527" t="n">
        <v>3842</v>
      </c>
      <c r="T527" s="467">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245">
        <f>AND(E527=Subj_OccCode,Subj_BldgSF&gt;0,L527&gt;=Subj_BldgSF*(1-Subj_SizeTol),L527&lt;=Subj_BldgSF*(1+Subj_SizeTol))</f>
        <v/>
      </c>
    </row>
    <row r="528" ht="15" customHeight="1">
      <c r="A528" s="471" t="n">
        <v>8</v>
      </c>
      <c r="B528" s="245" t="n">
        <v>523</v>
      </c>
      <c r="C528" t="inlineStr">
        <is>
          <t>R0085941</t>
        </is>
      </c>
      <c r="D528" t="inlineStr">
        <is>
          <t>1660  CHAMBERS RD</t>
        </is>
      </c>
      <c r="E528" t="n">
        <v>406</v>
      </c>
      <c r="F528" t="inlineStr">
        <is>
          <t>AURORA</t>
        </is>
      </c>
      <c r="G528" t="inlineStr">
        <is>
          <t>6</t>
        </is>
      </c>
      <c r="H528" s="669">
        <f>Y528/J528</f>
        <v/>
      </c>
      <c r="I528" s="670" t="n">
        <v>43430</v>
      </c>
      <c r="J528" t="n">
        <v>9310</v>
      </c>
      <c r="L528" t="n">
        <v>9310</v>
      </c>
      <c r="M528" t="n">
        <v>1969</v>
      </c>
      <c r="R528" t="inlineStr">
        <is>
          <t>Average</t>
        </is>
      </c>
      <c r="S528" t="n">
        <v>20000</v>
      </c>
      <c r="T528" s="467">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245">
        <f>AND(E528=Subj_OccCode,Subj_BldgSF&gt;0,L528&gt;=Subj_BldgSF*(1-Subj_SizeTol),L528&lt;=Subj_BldgSF*(1+Subj_SizeTol))</f>
        <v/>
      </c>
    </row>
    <row r="529" ht="15" customHeight="1">
      <c r="A529" s="471" t="n">
        <v>8</v>
      </c>
      <c r="B529" s="245" t="n">
        <v>524</v>
      </c>
      <c r="C529" t="inlineStr">
        <is>
          <t>R0091927</t>
        </is>
      </c>
      <c r="D529" t="inlineStr">
        <is>
          <t>6333 E 56TH AVE</t>
        </is>
      </c>
      <c r="E529" t="n">
        <v>407</v>
      </c>
      <c r="F529" t="inlineStr">
        <is>
          <t>COMMERCE CITY</t>
        </is>
      </c>
      <c r="G529" t="inlineStr">
        <is>
          <t>5</t>
        </is>
      </c>
      <c r="H529" s="669">
        <f>Y529/J529</f>
        <v/>
      </c>
      <c r="I529" s="670" t="n">
        <v>43738</v>
      </c>
      <c r="J529" t="n">
        <v>14572</v>
      </c>
      <c r="L529" t="n">
        <v>14572</v>
      </c>
      <c r="M529" t="n">
        <v>1980</v>
      </c>
      <c r="P529" t="inlineStr">
        <is>
          <t>I-1-Com</t>
        </is>
      </c>
      <c r="R529" t="inlineStr">
        <is>
          <t>Average</t>
        </is>
      </c>
      <c r="S529" t="n">
        <v>72000</v>
      </c>
      <c r="T529" s="467">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245">
        <f>AND(E529=Subj_OccCode,Subj_BldgSF&gt;0,L529&gt;=Subj_BldgSF*(1-Subj_SizeTol),L529&lt;=Subj_BldgSF*(1+Subj_SizeTol))</f>
        <v/>
      </c>
    </row>
    <row r="530" ht="15" customHeight="1">
      <c r="A530" s="471" t="n">
        <v>8</v>
      </c>
      <c r="B530" s="245" t="n">
        <v>525</v>
      </c>
      <c r="C530" t="inlineStr">
        <is>
          <t>R0003372</t>
        </is>
      </c>
      <c r="D530" t="inlineStr">
        <is>
          <t>715  BRIDGE ST</t>
        </is>
      </c>
      <c r="E530" t="n">
        <v>384</v>
      </c>
      <c r="F530" t="inlineStr">
        <is>
          <t>BRIGHTON</t>
        </is>
      </c>
      <c r="G530" t="inlineStr">
        <is>
          <t>2</t>
        </is>
      </c>
      <c r="H530" s="669">
        <f>Y530/J530</f>
        <v/>
      </c>
      <c r="I530" s="670" t="n">
        <v>44351</v>
      </c>
      <c r="J530" t="n">
        <v>600</v>
      </c>
      <c r="L530" t="n">
        <v>600</v>
      </c>
      <c r="M530" t="n">
        <v>1964</v>
      </c>
      <c r="P530" t="inlineStr">
        <is>
          <t>C-2-Bri</t>
        </is>
      </c>
      <c r="R530" t="inlineStr">
        <is>
          <t>Average</t>
        </is>
      </c>
      <c r="S530" t="n">
        <v>6500</v>
      </c>
      <c r="T530" s="467">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245">
        <f>AND(E530=Subj_OccCode,Subj_BldgSF&gt;0,L530&gt;=Subj_BldgSF*(1-Subj_SizeTol),L530&lt;=Subj_BldgSF*(1+Subj_SizeTol))</f>
        <v/>
      </c>
    </row>
    <row r="531" ht="15" customHeight="1">
      <c r="A531" s="471" t="n">
        <v>8</v>
      </c>
      <c r="B531" s="245" t="n">
        <v>526</v>
      </c>
      <c r="C531" t="inlineStr">
        <is>
          <t>R0062927</t>
        </is>
      </c>
      <c r="D531" t="inlineStr">
        <is>
          <t>8771  WOLFF CT</t>
        </is>
      </c>
      <c r="E531" t="n">
        <v>344</v>
      </c>
      <c r="F531" t="inlineStr">
        <is>
          <t>WESTMINSTER</t>
        </is>
      </c>
      <c r="G531" t="inlineStr">
        <is>
          <t>1</t>
        </is>
      </c>
      <c r="H531" s="669">
        <f>Y531/J531</f>
        <v/>
      </c>
      <c r="I531" s="670" t="n">
        <v>43404</v>
      </c>
      <c r="J531" t="n">
        <v>11720</v>
      </c>
      <c r="L531" t="n">
        <v>11720</v>
      </c>
      <c r="M531" t="n">
        <v>1983</v>
      </c>
      <c r="P531" t="inlineStr">
        <is>
          <t>Westminster</t>
        </is>
      </c>
      <c r="R531" t="inlineStr">
        <is>
          <t>Good</t>
        </is>
      </c>
      <c r="S531" t="n">
        <v>28467</v>
      </c>
      <c r="T531" s="467">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245">
        <f>AND(E531=Subj_OccCode,Subj_BldgSF&gt;0,L531&gt;=Subj_BldgSF*(1-Subj_SizeTol),L531&lt;=Subj_BldgSF*(1+Subj_SizeTol))</f>
        <v/>
      </c>
    </row>
    <row r="532" ht="15" customHeight="1">
      <c r="A532" s="471" t="n">
        <v>8</v>
      </c>
      <c r="B532" s="245" t="n">
        <v>527</v>
      </c>
      <c r="C532" t="inlineStr">
        <is>
          <t>R0002853</t>
        </is>
      </c>
      <c r="D532" t="inlineStr">
        <is>
          <t>12 N MAIN ST</t>
        </is>
      </c>
      <c r="E532" t="n">
        <v>353</v>
      </c>
      <c r="F532" t="inlineStr">
        <is>
          <t>BRIGHTON</t>
        </is>
      </c>
      <c r="G532" t="inlineStr">
        <is>
          <t>2</t>
        </is>
      </c>
      <c r="H532" s="669">
        <f>Y532/J532</f>
        <v/>
      </c>
      <c r="I532" s="670" t="n">
        <v>43168</v>
      </c>
      <c r="J532" t="n">
        <v>5088</v>
      </c>
      <c r="L532" t="n">
        <v>5088</v>
      </c>
      <c r="M532" t="n">
        <v>1902</v>
      </c>
      <c r="P532" t="inlineStr">
        <is>
          <t>Brighton</t>
        </is>
      </c>
      <c r="R532" t="inlineStr">
        <is>
          <t>Fair</t>
        </is>
      </c>
      <c r="S532" t="n">
        <v>4000</v>
      </c>
      <c r="T532" s="467">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245">
        <f>AND(E532=Subj_OccCode,Subj_BldgSF&gt;0,L532&gt;=Subj_BldgSF*(1-Subj_SizeTol),L532&lt;=Subj_BldgSF*(1+Subj_SizeTol))</f>
        <v/>
      </c>
    </row>
    <row r="533" ht="15" customHeight="1">
      <c r="A533" s="471" t="n">
        <v>8</v>
      </c>
      <c r="B533" s="245" t="n">
        <v>528</v>
      </c>
      <c r="C533" t="inlineStr">
        <is>
          <t>R0098017</t>
        </is>
      </c>
      <c r="D533" t="inlineStr">
        <is>
          <t>1680 E 69TH AVE</t>
        </is>
      </c>
      <c r="E533" t="n">
        <v>334</v>
      </c>
      <c r="G533" t="inlineStr">
        <is>
          <t>5</t>
        </is>
      </c>
      <c r="H533" s="669">
        <f>Y533/J533</f>
        <v/>
      </c>
      <c r="I533" s="670" t="n">
        <v>43530</v>
      </c>
      <c r="J533" t="n">
        <v>13500</v>
      </c>
      <c r="L533" t="n">
        <v>13500</v>
      </c>
      <c r="M533" t="n">
        <v>1989</v>
      </c>
      <c r="P533" t="inlineStr">
        <is>
          <t>Industrial</t>
        </is>
      </c>
      <c r="R533" t="inlineStr">
        <is>
          <t>Average</t>
        </is>
      </c>
      <c r="S533" t="n">
        <v>80781</v>
      </c>
      <c r="T533" s="467">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245">
        <f>AND(E533=Subj_OccCode,Subj_BldgSF&gt;0,L533&gt;=Subj_BldgSF*(1-Subj_SizeTol),L533&lt;=Subj_BldgSF*(1+Subj_SizeTol))</f>
        <v/>
      </c>
    </row>
    <row r="534" ht="15" customHeight="1">
      <c r="A534" s="471" t="n">
        <v>8</v>
      </c>
      <c r="B534" s="245" t="n">
        <v>529</v>
      </c>
      <c r="C534" t="inlineStr">
        <is>
          <t>R0077333</t>
        </is>
      </c>
      <c r="D534" t="inlineStr">
        <is>
          <t>8150  ROSEMARY ST</t>
        </is>
      </c>
      <c r="E534" t="n">
        <v>406</v>
      </c>
      <c r="F534" t="inlineStr">
        <is>
          <t>COMMERCE CITY</t>
        </is>
      </c>
      <c r="G534" t="inlineStr">
        <is>
          <t>5</t>
        </is>
      </c>
      <c r="H534" s="669">
        <f>Y534/J534</f>
        <v/>
      </c>
      <c r="I534" s="670" t="n">
        <v>44603</v>
      </c>
      <c r="J534" t="n">
        <v>1200</v>
      </c>
      <c r="L534" t="n">
        <v>1200</v>
      </c>
      <c r="M534" t="n">
        <v>2001</v>
      </c>
      <c r="P534" t="inlineStr">
        <is>
          <t>I-1-Com</t>
        </is>
      </c>
      <c r="R534" t="inlineStr">
        <is>
          <t>Fair</t>
        </is>
      </c>
      <c r="S534" t="n">
        <v>11080</v>
      </c>
      <c r="T534" s="467">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245">
        <f>AND(E534=Subj_OccCode,Subj_BldgSF&gt;0,L534&gt;=Subj_BldgSF*(1-Subj_SizeTol),L534&lt;=Subj_BldgSF*(1+Subj_SizeTol))</f>
        <v/>
      </c>
    </row>
    <row r="535" ht="15" customHeight="1">
      <c r="A535" s="471" t="n">
        <v>8</v>
      </c>
      <c r="B535" s="245" t="n">
        <v>530</v>
      </c>
      <c r="C535" t="inlineStr">
        <is>
          <t>R0112069</t>
        </is>
      </c>
      <c r="D535" t="inlineStr">
        <is>
          <t>10310  GRANT ST</t>
        </is>
      </c>
      <c r="E535" t="n">
        <v>350</v>
      </c>
      <c r="F535" t="inlineStr">
        <is>
          <t>THORNTON</t>
        </is>
      </c>
      <c r="G535" t="inlineStr">
        <is>
          <t>4</t>
        </is>
      </c>
      <c r="H535" s="669">
        <f>Y535/J535</f>
        <v/>
      </c>
      <c r="I535" s="670" t="n">
        <v>43748</v>
      </c>
      <c r="J535" t="n">
        <v>7603</v>
      </c>
      <c r="L535" t="n">
        <v>7603</v>
      </c>
      <c r="M535" t="n">
        <v>1998</v>
      </c>
      <c r="P535" t="inlineStr">
        <is>
          <t>Community Retail</t>
        </is>
      </c>
      <c r="R535" t="inlineStr">
        <is>
          <t>Good</t>
        </is>
      </c>
      <c r="S535" t="n">
        <v>78843.60159999999</v>
      </c>
      <c r="T535" s="467">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245">
        <f>AND(E535=Subj_OccCode,Subj_BldgSF&gt;0,L535&gt;=Subj_BldgSF*(1-Subj_SizeTol),L535&lt;=Subj_BldgSF*(1+Subj_SizeTol))</f>
        <v/>
      </c>
    </row>
    <row r="536" ht="15" customHeight="1">
      <c r="A536" s="471" t="n">
        <v>8</v>
      </c>
      <c r="B536" s="245" t="n">
        <v>531</v>
      </c>
      <c r="C536" t="inlineStr">
        <is>
          <t>R0150922</t>
        </is>
      </c>
      <c r="D536" t="inlineStr">
        <is>
          <t>3520 W 92ND AVE #100</t>
        </is>
      </c>
      <c r="E536" t="n">
        <v>1344</v>
      </c>
      <c r="G536" t="inlineStr">
        <is>
          <t>4</t>
        </is>
      </c>
      <c r="H536" s="669">
        <f>Y536/J536</f>
        <v/>
      </c>
      <c r="I536" s="670" t="n">
        <v>44246</v>
      </c>
      <c r="J536" t="n">
        <v>1163</v>
      </c>
      <c r="L536" t="n">
        <v>1163</v>
      </c>
      <c r="M536" t="n">
        <v>2002</v>
      </c>
      <c r="P536" t="inlineStr">
        <is>
          <t>Commercial</t>
        </is>
      </c>
      <c r="R536" t="inlineStr">
        <is>
          <t>Average</t>
        </is>
      </c>
      <c r="S536" t="n">
        <v>4954.36</v>
      </c>
      <c r="T536" s="467">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245">
        <f>AND(E536=Subj_OccCode,Subj_BldgSF&gt;0,L536&gt;=Subj_BldgSF*(1-Subj_SizeTol),L536&lt;=Subj_BldgSF*(1+Subj_SizeTol))</f>
        <v/>
      </c>
    </row>
    <row r="537" ht="15" customHeight="1">
      <c r="A537" s="471" t="n">
        <v>8</v>
      </c>
      <c r="B537" s="245" t="n">
        <v>532</v>
      </c>
      <c r="C537" t="inlineStr">
        <is>
          <t>R0090965</t>
        </is>
      </c>
      <c r="D537" t="inlineStr">
        <is>
          <t>4100 E 60TH AVE</t>
        </is>
      </c>
      <c r="E537" t="n">
        <v>392</v>
      </c>
      <c r="F537" t="inlineStr">
        <is>
          <t>COMMERCE CITY</t>
        </is>
      </c>
      <c r="G537" t="inlineStr">
        <is>
          <t>5</t>
        </is>
      </c>
      <c r="H537" s="669">
        <f>Y537/J537</f>
        <v/>
      </c>
      <c r="I537" s="670" t="n">
        <v>43465</v>
      </c>
      <c r="J537" t="n">
        <v>14499</v>
      </c>
      <c r="L537" t="n">
        <v>14499</v>
      </c>
      <c r="M537" t="n">
        <v>1922</v>
      </c>
      <c r="P537" t="inlineStr">
        <is>
          <t>Commerce City</t>
        </is>
      </c>
      <c r="R537" t="inlineStr">
        <is>
          <t>Low</t>
        </is>
      </c>
      <c r="S537" t="n">
        <v>63713</v>
      </c>
      <c r="T537" s="467">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245">
        <f>AND(E537=Subj_OccCode,Subj_BldgSF&gt;0,L537&gt;=Subj_BldgSF*(1-Subj_SizeTol),L537&lt;=Subj_BldgSF*(1+Subj_SizeTol))</f>
        <v/>
      </c>
    </row>
    <row r="538" ht="15" customHeight="1">
      <c r="A538" s="471" t="n">
        <v>8</v>
      </c>
      <c r="B538" s="245" t="n">
        <v>533</v>
      </c>
      <c r="C538" t="inlineStr">
        <is>
          <t>R0124579</t>
        </is>
      </c>
      <c r="D538" t="inlineStr">
        <is>
          <t>11152  HURON ST #209</t>
        </is>
      </c>
      <c r="E538" t="n">
        <v>344</v>
      </c>
      <c r="F538" t="inlineStr">
        <is>
          <t>NORTHGLENN</t>
        </is>
      </c>
      <c r="G538" t="inlineStr">
        <is>
          <t>4</t>
        </is>
      </c>
      <c r="H538" s="669">
        <f>Y538/J538</f>
        <v/>
      </c>
      <c r="I538" s="670" t="n">
        <v>43279</v>
      </c>
      <c r="J538" t="n">
        <v>1192</v>
      </c>
      <c r="L538" t="n">
        <v>1192</v>
      </c>
      <c r="M538" t="n">
        <v>2000</v>
      </c>
      <c r="R538" t="inlineStr">
        <is>
          <t>Good</t>
        </is>
      </c>
      <c r="S538" t="n">
        <v>3100</v>
      </c>
      <c r="T538" s="467">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245">
        <f>AND(E538=Subj_OccCode,Subj_BldgSF&gt;0,L538&gt;=Subj_BldgSF*(1-Subj_SizeTol),L538&lt;=Subj_BldgSF*(1+Subj_SizeTol))</f>
        <v/>
      </c>
    </row>
    <row r="539" ht="15" customHeight="1">
      <c r="A539" s="471" t="n">
        <v>8</v>
      </c>
      <c r="B539" s="245" t="n">
        <v>534</v>
      </c>
      <c r="C539" t="inlineStr">
        <is>
          <t>R0155098</t>
        </is>
      </c>
      <c r="D539" t="inlineStr">
        <is>
          <t>6941  BROADWAY ST</t>
        </is>
      </c>
      <c r="E539" t="n">
        <v>425</v>
      </c>
      <c r="G539" t="inlineStr">
        <is>
          <t>5</t>
        </is>
      </c>
      <c r="H539" s="669">
        <f>Y539/J539</f>
        <v/>
      </c>
      <c r="I539" s="670" t="n">
        <v>44497</v>
      </c>
      <c r="J539" t="n">
        <v>1310</v>
      </c>
      <c r="L539" t="n">
        <v>1310</v>
      </c>
      <c r="M539" t="n">
        <v>2003</v>
      </c>
      <c r="P539" t="inlineStr">
        <is>
          <t>Planned Unit Development</t>
        </is>
      </c>
      <c r="R539" t="inlineStr">
        <is>
          <t>Good</t>
        </is>
      </c>
      <c r="S539" t="n">
        <v>4402</v>
      </c>
      <c r="T539" s="467">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245">
        <f>AND(E539=Subj_OccCode,Subj_BldgSF&gt;0,L539&gt;=Subj_BldgSF*(1-Subj_SizeTol),L539&lt;=Subj_BldgSF*(1+Subj_SizeTol))</f>
        <v/>
      </c>
    </row>
    <row r="540" ht="15" customHeight="1">
      <c r="A540" s="471" t="n">
        <v>8</v>
      </c>
      <c r="B540" s="245" t="n">
        <v>535</v>
      </c>
      <c r="C540" t="inlineStr">
        <is>
          <t>R0089683</t>
        </is>
      </c>
      <c r="D540" t="inlineStr">
        <is>
          <t>6970  EUDORA DR</t>
        </is>
      </c>
      <c r="E540" t="n">
        <v>442</v>
      </c>
      <c r="F540" t="inlineStr">
        <is>
          <t>COMMERCE CITY</t>
        </is>
      </c>
      <c r="G540" t="inlineStr">
        <is>
          <t>5</t>
        </is>
      </c>
      <c r="H540" s="669">
        <f>Y540/J540</f>
        <v/>
      </c>
      <c r="I540" s="670" t="n">
        <v>44356</v>
      </c>
      <c r="J540" t="n">
        <v>1403</v>
      </c>
      <c r="L540" t="n">
        <v>1403</v>
      </c>
      <c r="M540" t="n">
        <v>1955</v>
      </c>
      <c r="P540" t="inlineStr">
        <is>
          <t>I-2-Com</t>
        </is>
      </c>
      <c r="R540" t="inlineStr">
        <is>
          <t>Average</t>
        </is>
      </c>
      <c r="S540" t="n">
        <v>15008</v>
      </c>
      <c r="T540" s="467">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245">
        <f>AND(E540=Subj_OccCode,Subj_BldgSF&gt;0,L540&gt;=Subj_BldgSF*(1-Subj_SizeTol),L540&lt;=Subj_BldgSF*(1+Subj_SizeTol))</f>
        <v/>
      </c>
    </row>
    <row r="541" ht="15" customHeight="1">
      <c r="A541" s="471" t="n">
        <v>8</v>
      </c>
      <c r="B541" s="245" t="n">
        <v>536</v>
      </c>
      <c r="C541" t="inlineStr">
        <is>
          <t>R0085963</t>
        </is>
      </c>
      <c r="D541" t="inlineStr">
        <is>
          <t>1563  JASPER ST</t>
        </is>
      </c>
      <c r="E541" t="n">
        <v>386</v>
      </c>
      <c r="F541" t="inlineStr">
        <is>
          <t>AURORA</t>
        </is>
      </c>
      <c r="G541" t="inlineStr">
        <is>
          <t>6</t>
        </is>
      </c>
      <c r="H541" s="669">
        <f>Y541/J541</f>
        <v/>
      </c>
      <c r="I541" s="670" t="n">
        <v>44539</v>
      </c>
      <c r="J541" t="n">
        <v>29650</v>
      </c>
      <c r="L541" t="n">
        <v>29650</v>
      </c>
      <c r="M541" t="n">
        <v>1985</v>
      </c>
      <c r="P541" t="inlineStr">
        <is>
          <t>B-4-Aur</t>
        </is>
      </c>
      <c r="R541" t="inlineStr">
        <is>
          <t>Average</t>
        </is>
      </c>
      <c r="S541" t="n">
        <v>62929</v>
      </c>
      <c r="T541" s="467">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245">
        <f>AND(E541=Subj_OccCode,Subj_BldgSF&gt;0,L541&gt;=Subj_BldgSF*(1-Subj_SizeTol),L541&lt;=Subj_BldgSF*(1+Subj_SizeTol))</f>
        <v/>
      </c>
    </row>
    <row r="542" ht="15" customHeight="1">
      <c r="A542" s="471" t="n">
        <v>8</v>
      </c>
      <c r="B542" s="245" t="n">
        <v>537</v>
      </c>
      <c r="C542" t="inlineStr">
        <is>
          <t>R0024086</t>
        </is>
      </c>
      <c r="D542" t="inlineStr">
        <is>
          <t>1401 W 122ND AVE</t>
        </is>
      </c>
      <c r="E542" t="n">
        <v>210</v>
      </c>
      <c r="F542" t="inlineStr">
        <is>
          <t>WESTMINSTER</t>
        </is>
      </c>
      <c r="G542" t="inlineStr">
        <is>
          <t>3</t>
        </is>
      </c>
      <c r="H542" s="669">
        <f>Y542/J542</f>
        <v/>
      </c>
      <c r="I542" s="670" t="n">
        <v>44117</v>
      </c>
      <c r="J542" t="n">
        <v>73499</v>
      </c>
      <c r="L542" t="n">
        <v>73499</v>
      </c>
      <c r="M542" t="n">
        <v>1994</v>
      </c>
      <c r="P542" t="inlineStr">
        <is>
          <t>PUD-Wes</t>
        </is>
      </c>
      <c r="R542" t="inlineStr">
        <is>
          <t>Very Good</t>
        </is>
      </c>
      <c r="S542" t="n">
        <v>888615.98496</v>
      </c>
      <c r="T542" s="467">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245">
        <f>AND(E542=Subj_OccCode,Subj_BldgSF&gt;0,L542&gt;=Subj_BldgSF*(1-Subj_SizeTol),L542&lt;=Subj_BldgSF*(1+Subj_SizeTol))</f>
        <v/>
      </c>
    </row>
    <row r="543" ht="15" customHeight="1">
      <c r="A543" s="471" t="n">
        <v>8</v>
      </c>
      <c r="B543" s="245" t="n">
        <v>538</v>
      </c>
      <c r="C543" t="inlineStr">
        <is>
          <t>R0132004</t>
        </is>
      </c>
      <c r="D543" t="inlineStr">
        <is>
          <t>12021  PENNSYLVANIA AVE #205</t>
        </is>
      </c>
      <c r="E543" t="n">
        <v>1344</v>
      </c>
      <c r="F543" t="inlineStr">
        <is>
          <t>THORNTON</t>
        </is>
      </c>
      <c r="G543" t="inlineStr">
        <is>
          <t>3</t>
        </is>
      </c>
      <c r="H543" s="669">
        <f>Y543/J543</f>
        <v/>
      </c>
      <c r="I543" s="670" t="n">
        <v>44253</v>
      </c>
      <c r="J543" t="n">
        <v>974</v>
      </c>
      <c r="L543" t="n">
        <v>974</v>
      </c>
      <c r="M543" t="n">
        <v>2000</v>
      </c>
      <c r="P543" t="inlineStr">
        <is>
          <t>Regional Commercial</t>
        </is>
      </c>
      <c r="R543" t="inlineStr">
        <is>
          <t>Average</t>
        </is>
      </c>
      <c r="S543" t="n">
        <v>3838.69</v>
      </c>
      <c r="T543" s="467">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245">
        <f>AND(E543=Subj_OccCode,Subj_BldgSF&gt;0,L543&gt;=Subj_BldgSF*(1-Subj_SizeTol),L543&lt;=Subj_BldgSF*(1+Subj_SizeTol))</f>
        <v/>
      </c>
    </row>
    <row r="544" ht="15" customHeight="1">
      <c r="A544" s="471" t="n">
        <v>8</v>
      </c>
      <c r="B544" s="245" t="n">
        <v>539</v>
      </c>
      <c r="C544" t="inlineStr">
        <is>
          <t>R0159472</t>
        </is>
      </c>
      <c r="D544" t="inlineStr">
        <is>
          <t>12001 E 33RD AVE #N</t>
        </is>
      </c>
      <c r="E544" t="n">
        <v>425</v>
      </c>
      <c r="F544" t="inlineStr">
        <is>
          <t>AURORA</t>
        </is>
      </c>
      <c r="G544" t="inlineStr">
        <is>
          <t>6</t>
        </is>
      </c>
      <c r="H544" s="669">
        <f>Y544/J544</f>
        <v/>
      </c>
      <c r="I544" s="670" t="n">
        <v>44726</v>
      </c>
      <c r="J544" t="n">
        <v>1625</v>
      </c>
      <c r="L544" t="n">
        <v>1625</v>
      </c>
      <c r="M544" t="n">
        <v>2004</v>
      </c>
      <c r="P544" t="inlineStr">
        <is>
          <t>M-2</t>
        </is>
      </c>
      <c r="R544" t="inlineStr">
        <is>
          <t>Average</t>
        </is>
      </c>
      <c r="S544" t="n">
        <v>4740</v>
      </c>
      <c r="T544" s="467">
        <f>S544/J544</f>
        <v/>
      </c>
      <c r="U544" t="inlineStr">
        <is>
          <t>Average</t>
        </is>
      </c>
      <c r="Y544" t="n">
        <v>550000</v>
      </c>
      <c r="AA544" t="n">
        <v>550000</v>
      </c>
      <c r="AC544" t="inlineStr">
        <is>
          <t>0182326103036</t>
        </is>
      </c>
      <c r="AD544" t="inlineStr">
        <is>
          <t>2022000053071</t>
        </is>
      </c>
      <c r="AE544" t="inlineStr">
        <is>
          <t>KEIL WILLIAM D</t>
        </is>
      </c>
      <c r="AF544" t="inlineStr">
        <is>
          <t>R/E LLC</t>
        </is>
      </c>
      <c r="AI544" s="245">
        <f>AND(E544=Subj_OccCode,Subj_BldgSF&gt;0,L544&gt;=Subj_BldgSF*(1-Subj_SizeTol),L544&lt;=Subj_BldgSF*(1+Subj_SizeTol))</f>
        <v/>
      </c>
    </row>
    <row r="545" ht="15" customHeight="1">
      <c r="A545" s="471" t="n">
        <v>8</v>
      </c>
      <c r="B545" s="245" t="n">
        <v>540</v>
      </c>
      <c r="C545" t="inlineStr">
        <is>
          <t>R0173173</t>
        </is>
      </c>
      <c r="D545" t="inlineStr">
        <is>
          <t>11154 HURON ST #210</t>
        </is>
      </c>
      <c r="E545" t="n">
        <v>344</v>
      </c>
      <c r="F545" t="inlineStr">
        <is>
          <t>NORTHGLENN</t>
        </is>
      </c>
      <c r="G545" t="inlineStr">
        <is>
          <t>4</t>
        </is>
      </c>
      <c r="H545" s="669">
        <f>Y545/J545</f>
        <v/>
      </c>
      <c r="I545" s="670" t="n">
        <v>44077</v>
      </c>
      <c r="J545" t="n">
        <v>1480</v>
      </c>
      <c r="L545" t="n">
        <v>1480</v>
      </c>
      <c r="M545" t="n">
        <v>2001</v>
      </c>
      <c r="P545" t="inlineStr">
        <is>
          <t>C-0-Nor</t>
        </is>
      </c>
      <c r="R545" t="inlineStr">
        <is>
          <t>Good</t>
        </is>
      </c>
      <c r="S545" t="n">
        <v>5862</v>
      </c>
      <c r="T545" s="467">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245">
        <f>AND(E545=Subj_OccCode,Subj_BldgSF&gt;0,L545&gt;=Subj_BldgSF*(1-Subj_SizeTol),L545&lt;=Subj_BldgSF*(1+Subj_SizeTol))</f>
        <v/>
      </c>
    </row>
    <row r="546" ht="15" customHeight="1">
      <c r="A546" s="471" t="n">
        <v>8</v>
      </c>
      <c r="B546" s="245" t="n">
        <v>541</v>
      </c>
      <c r="C546" t="inlineStr">
        <is>
          <t>R0177682</t>
        </is>
      </c>
      <c r="D546" t="inlineStr">
        <is>
          <t>535 W 115TH AVE</t>
        </is>
      </c>
      <c r="E546" t="n">
        <v>325</v>
      </c>
      <c r="F546" t="inlineStr">
        <is>
          <t>NORTHGLENN</t>
        </is>
      </c>
      <c r="G546" t="inlineStr">
        <is>
          <t>4</t>
        </is>
      </c>
      <c r="H546" s="669">
        <f>Y546/J546</f>
        <v/>
      </c>
      <c r="I546" s="670" t="n">
        <v>44560</v>
      </c>
      <c r="J546" t="n">
        <v>11288</v>
      </c>
      <c r="L546" t="n">
        <v>11288</v>
      </c>
      <c r="M546" t="n">
        <v>2000</v>
      </c>
      <c r="P546" t="inlineStr">
        <is>
          <t>PUD-Nor</t>
        </is>
      </c>
      <c r="R546" t="inlineStr">
        <is>
          <t>Average</t>
        </is>
      </c>
      <c r="S546" t="n">
        <v>40262</v>
      </c>
      <c r="T546" s="467">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245">
        <f>AND(E546=Subj_OccCode,Subj_BldgSF&gt;0,L546&gt;=Subj_BldgSF*(1-Subj_SizeTol),L546&lt;=Subj_BldgSF*(1+Subj_SizeTol))</f>
        <v/>
      </c>
    </row>
    <row r="547" ht="15" customHeight="1">
      <c r="A547" s="471" t="n">
        <v>8</v>
      </c>
      <c r="B547" s="245" t="n">
        <v>542</v>
      </c>
      <c r="C547" t="inlineStr">
        <is>
          <t>R0113336</t>
        </is>
      </c>
      <c r="D547" t="inlineStr">
        <is>
          <t>1750 E 112TH AVE</t>
        </is>
      </c>
      <c r="E547" t="n">
        <v>319</v>
      </c>
      <c r="F547" t="inlineStr">
        <is>
          <t>NORTHGLENN</t>
        </is>
      </c>
      <c r="G547" t="inlineStr">
        <is>
          <t>4</t>
        </is>
      </c>
      <c r="H547" s="669">
        <f>Y547/J547</f>
        <v/>
      </c>
      <c r="I547" s="670" t="n">
        <v>44582</v>
      </c>
      <c r="J547" t="n">
        <v>15276</v>
      </c>
      <c r="L547" t="n">
        <v>15276</v>
      </c>
      <c r="M547" t="n">
        <v>1964</v>
      </c>
      <c r="P547" t="inlineStr">
        <is>
          <t>C-4-Nor</t>
        </is>
      </c>
      <c r="R547" t="inlineStr">
        <is>
          <t>Low</t>
        </is>
      </c>
      <c r="S547" t="n">
        <v>69391.0781</v>
      </c>
      <c r="T547" s="467">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245">
        <f>AND(E547=Subj_OccCode,Subj_BldgSF&gt;0,L547&gt;=Subj_BldgSF*(1-Subj_SizeTol),L547&lt;=Subj_BldgSF*(1+Subj_SizeTol))</f>
        <v/>
      </c>
    </row>
    <row r="548" ht="15" customHeight="1">
      <c r="A548" s="471" t="n">
        <v>8</v>
      </c>
      <c r="B548" s="245" t="n">
        <v>543</v>
      </c>
      <c r="C548" t="inlineStr">
        <is>
          <t>R0147985</t>
        </is>
      </c>
      <c r="D548" t="inlineStr">
        <is>
          <t>15800 E 40TH AVE</t>
        </is>
      </c>
      <c r="E548" t="n">
        <v>407</v>
      </c>
      <c r="F548" t="inlineStr">
        <is>
          <t>AURORA</t>
        </is>
      </c>
      <c r="G548" t="inlineStr">
        <is>
          <t>6</t>
        </is>
      </c>
      <c r="H548" s="669">
        <f>Y548/J548</f>
        <v/>
      </c>
      <c r="I548" s="670" t="n">
        <v>43951</v>
      </c>
      <c r="J548" t="n">
        <v>75000</v>
      </c>
      <c r="L548" t="n">
        <v>75000</v>
      </c>
      <c r="M548" t="n">
        <v>2003</v>
      </c>
      <c r="P548" t="inlineStr">
        <is>
          <t>PD</t>
        </is>
      </c>
      <c r="R548" t="inlineStr">
        <is>
          <t>Average</t>
        </is>
      </c>
      <c r="S548" t="n">
        <v>415287.97</v>
      </c>
      <c r="T548" s="467">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245">
        <f>AND(E548=Subj_OccCode,Subj_BldgSF&gt;0,L548&gt;=Subj_BldgSF*(1-Subj_SizeTol),L548&lt;=Subj_BldgSF*(1+Subj_SizeTol))</f>
        <v/>
      </c>
    </row>
    <row r="549" ht="15" customHeight="1">
      <c r="A549" s="471" t="n">
        <v>8</v>
      </c>
      <c r="B549" s="245" t="n">
        <v>544</v>
      </c>
      <c r="C549" t="inlineStr">
        <is>
          <t>R0179935</t>
        </is>
      </c>
      <c r="D549" t="inlineStr">
        <is>
          <t>9410 FEDERAL BLVD</t>
        </is>
      </c>
      <c r="E549" t="n">
        <v>353</v>
      </c>
      <c r="F549" t="inlineStr">
        <is>
          <t>FEDERAL HEIGHTS</t>
        </is>
      </c>
      <c r="G549" t="inlineStr">
        <is>
          <t>4</t>
        </is>
      </c>
      <c r="H549" s="669">
        <f>Y549/J549</f>
        <v/>
      </c>
      <c r="I549" s="670" t="n">
        <v>44335</v>
      </c>
      <c r="J549" t="n">
        <v>8000</v>
      </c>
      <c r="L549" t="n">
        <v>8000</v>
      </c>
      <c r="M549" t="n">
        <v>2011</v>
      </c>
      <c r="P549" t="inlineStr">
        <is>
          <t>C-1-Fed</t>
        </is>
      </c>
      <c r="R549" t="inlineStr">
        <is>
          <t>Average</t>
        </is>
      </c>
      <c r="S549" t="n">
        <v>53023</v>
      </c>
      <c r="T549" s="467">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245">
        <f>AND(E549=Subj_OccCode,Subj_BldgSF&gt;0,L549&gt;=Subj_BldgSF*(1-Subj_SizeTol),L549&lt;=Subj_BldgSF*(1+Subj_SizeTol))</f>
        <v/>
      </c>
    </row>
    <row r="550" ht="15" customHeight="1">
      <c r="A550" s="471" t="n">
        <v>8</v>
      </c>
      <c r="B550" s="245" t="n">
        <v>545</v>
      </c>
      <c r="C550" t="inlineStr">
        <is>
          <t>R0110689</t>
        </is>
      </c>
      <c r="D550" t="inlineStr">
        <is>
          <t>9141 GRANT ST #206</t>
        </is>
      </c>
      <c r="E550" t="n">
        <v>341</v>
      </c>
      <c r="F550" t="inlineStr">
        <is>
          <t>THORNTON</t>
        </is>
      </c>
      <c r="G550" t="inlineStr">
        <is>
          <t>3</t>
        </is>
      </c>
      <c r="H550" s="669">
        <f>Y550/J550</f>
        <v/>
      </c>
      <c r="I550" s="670" t="n">
        <v>43273</v>
      </c>
      <c r="J550" t="n">
        <v>1400</v>
      </c>
      <c r="L550" t="n">
        <v>1400</v>
      </c>
      <c r="M550" t="n">
        <v>1986</v>
      </c>
      <c r="P550" t="inlineStr">
        <is>
          <t>Thornton</t>
        </is>
      </c>
      <c r="R550" t="inlineStr">
        <is>
          <t>Average</t>
        </is>
      </c>
      <c r="S550" t="n">
        <v>692</v>
      </c>
      <c r="T550" s="467">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245">
        <f>AND(E550=Subj_OccCode,Subj_BldgSF&gt;0,L550&gt;=Subj_BldgSF*(1-Subj_SizeTol),L550&lt;=Subj_BldgSF*(1+Subj_SizeTol))</f>
        <v/>
      </c>
    </row>
    <row r="551" ht="15" customHeight="1">
      <c r="A551" s="471" t="n">
        <v>8</v>
      </c>
      <c r="B551" s="245" t="n">
        <v>546</v>
      </c>
      <c r="C551" t="inlineStr">
        <is>
          <t>R0168907</t>
        </is>
      </c>
      <c r="D551" t="inlineStr">
        <is>
          <t>14777 E 35TH PL</t>
        </is>
      </c>
      <c r="E551" t="n">
        <v>406</v>
      </c>
      <c r="F551" t="inlineStr">
        <is>
          <t>AURORA</t>
        </is>
      </c>
      <c r="G551" t="inlineStr">
        <is>
          <t>6</t>
        </is>
      </c>
      <c r="H551" s="669">
        <f>Y551/J551</f>
        <v/>
      </c>
      <c r="I551" s="670" t="n">
        <v>43462</v>
      </c>
      <c r="J551" t="n">
        <v>19968</v>
      </c>
      <c r="L551" t="n">
        <v>19968</v>
      </c>
      <c r="M551" t="n">
        <v>2006</v>
      </c>
      <c r="R551" t="inlineStr">
        <is>
          <t>Average</t>
        </is>
      </c>
      <c r="S551" t="n">
        <v>130617</v>
      </c>
      <c r="T551" s="467">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245">
        <f>AND(E551=Subj_OccCode,Subj_BldgSF&gt;0,L551&gt;=Subj_BldgSF*(1-Subj_SizeTol),L551&lt;=Subj_BldgSF*(1+Subj_SizeTol))</f>
        <v/>
      </c>
    </row>
    <row r="552" ht="15" customHeight="1">
      <c r="A552" s="471" t="n">
        <v>8</v>
      </c>
      <c r="B552" s="245" t="n">
        <v>547</v>
      </c>
      <c r="C552" t="inlineStr">
        <is>
          <t>R0169154</t>
        </is>
      </c>
      <c r="D552" t="inlineStr">
        <is>
          <t>1137  BRIDGE ST</t>
        </is>
      </c>
      <c r="E552" t="n">
        <v>3441</v>
      </c>
      <c r="F552" t="inlineStr">
        <is>
          <t>BRIGHTON</t>
        </is>
      </c>
      <c r="G552" t="inlineStr">
        <is>
          <t>2</t>
        </is>
      </c>
      <c r="H552" s="669">
        <f>Y552/J552</f>
        <v/>
      </c>
      <c r="I552" s="670" t="n">
        <v>43213</v>
      </c>
      <c r="J552" t="n">
        <v>1056</v>
      </c>
      <c r="L552" t="n">
        <v>1056</v>
      </c>
      <c r="M552" t="n">
        <v>1949</v>
      </c>
      <c r="R552" t="inlineStr">
        <is>
          <t>Average</t>
        </is>
      </c>
      <c r="S552" t="n">
        <v>7624</v>
      </c>
      <c r="T552" s="467">
        <f>S552/J552</f>
        <v/>
      </c>
      <c r="U552" t="inlineStr">
        <is>
          <t>Good</t>
        </is>
      </c>
      <c r="Y552" t="n">
        <v>262200</v>
      </c>
      <c r="AA552" t="n">
        <v>262200</v>
      </c>
      <c r="AC552" t="inlineStr">
        <is>
          <t>0156905321008</t>
        </is>
      </c>
      <c r="AD552" t="inlineStr">
        <is>
          <t>2018000033834</t>
        </is>
      </c>
      <c r="AE552" t="inlineStr">
        <is>
          <t>5 G LLC</t>
        </is>
      </c>
      <c r="AF552" t="inlineStr">
        <is>
          <t>LANZER RACHEL L</t>
        </is>
      </c>
      <c r="AI552" s="245">
        <f>AND(E552=Subj_OccCode,Subj_BldgSF&gt;0,L552&gt;=Subj_BldgSF*(1-Subj_SizeTol),L552&lt;=Subj_BldgSF*(1+Subj_SizeTol))</f>
        <v/>
      </c>
    </row>
    <row r="553" ht="15" customHeight="1">
      <c r="A553" s="471" t="n">
        <v>8</v>
      </c>
      <c r="B553" s="245" t="n">
        <v>548</v>
      </c>
      <c r="C553" t="inlineStr">
        <is>
          <t>R0173180</t>
        </is>
      </c>
      <c r="D553" t="inlineStr">
        <is>
          <t>5454  WASHINGTON ST#1</t>
        </is>
      </c>
      <c r="E553" t="n">
        <v>425</v>
      </c>
      <c r="G553" t="inlineStr">
        <is>
          <t>5</t>
        </is>
      </c>
      <c r="H553" s="669">
        <f>Y553/J553</f>
        <v/>
      </c>
      <c r="I553" s="670" t="n">
        <v>43838</v>
      </c>
      <c r="J553" t="n">
        <v>3158</v>
      </c>
      <c r="L553" t="n">
        <v>3158</v>
      </c>
      <c r="M553" t="n">
        <v>1985</v>
      </c>
      <c r="P553" t="inlineStr">
        <is>
          <t>Industrial</t>
        </is>
      </c>
      <c r="R553" t="inlineStr">
        <is>
          <t>Average</t>
        </is>
      </c>
      <c r="S553" t="n">
        <v>7920</v>
      </c>
      <c r="T553" s="467">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245">
        <f>AND(E553=Subj_OccCode,Subj_BldgSF&gt;0,L553&gt;=Subj_BldgSF*(1-Subj_SizeTol),L553&lt;=Subj_BldgSF*(1+Subj_SizeTol))</f>
        <v/>
      </c>
    </row>
    <row r="554" ht="15" customHeight="1">
      <c r="A554" s="471" t="n">
        <v>8</v>
      </c>
      <c r="B554" s="245" t="n">
        <v>549</v>
      </c>
      <c r="C554" t="inlineStr">
        <is>
          <t>R0173187</t>
        </is>
      </c>
      <c r="D554" t="inlineStr">
        <is>
          <t>5454  WASHINGTON ST #8</t>
        </is>
      </c>
      <c r="E554" t="n">
        <v>425</v>
      </c>
      <c r="G554" t="inlineStr">
        <is>
          <t>5</t>
        </is>
      </c>
      <c r="H554" s="669">
        <f>Y554/J554</f>
        <v/>
      </c>
      <c r="I554" s="670" t="n">
        <v>44384</v>
      </c>
      <c r="J554" t="n">
        <v>3158</v>
      </c>
      <c r="L554" t="n">
        <v>3158</v>
      </c>
      <c r="M554" t="n">
        <v>1985</v>
      </c>
      <c r="P554" t="inlineStr">
        <is>
          <t>Industrial</t>
        </is>
      </c>
      <c r="R554" t="inlineStr">
        <is>
          <t>Average</t>
        </is>
      </c>
      <c r="S554" t="n">
        <v>7920</v>
      </c>
      <c r="T554" s="467">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245">
        <f>AND(E554=Subj_OccCode,Subj_BldgSF&gt;0,L554&gt;=Subj_BldgSF*(1-Subj_SizeTol),L554&lt;=Subj_BldgSF*(1+Subj_SizeTol))</f>
        <v/>
      </c>
    </row>
    <row r="555" ht="15" customHeight="1">
      <c r="A555" s="471" t="n">
        <v>8</v>
      </c>
      <c r="B555" s="245" t="n">
        <v>550</v>
      </c>
      <c r="C555" t="inlineStr">
        <is>
          <t>R0098573</t>
        </is>
      </c>
      <c r="D555" t="inlineStr">
        <is>
          <t>75 W 64TH AVE</t>
        </is>
      </c>
      <c r="E555" t="n">
        <v>213</v>
      </c>
      <c r="G555" t="inlineStr">
        <is>
          <t>5</t>
        </is>
      </c>
      <c r="H555" s="669">
        <f>Y555/J555</f>
        <v/>
      </c>
      <c r="I555" s="670" t="n">
        <v>43116</v>
      </c>
      <c r="J555" t="n">
        <v>1920</v>
      </c>
      <c r="L555" t="n">
        <v>1920</v>
      </c>
      <c r="M555" t="n">
        <v>2003</v>
      </c>
      <c r="P555" t="inlineStr">
        <is>
          <t>Industrial</t>
        </is>
      </c>
      <c r="R555" t="inlineStr">
        <is>
          <t>Fair</t>
        </is>
      </c>
      <c r="S555" t="n">
        <v>75794</v>
      </c>
      <c r="T555" s="467">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245">
        <f>AND(E555=Subj_OccCode,Subj_BldgSF&gt;0,L555&gt;=Subj_BldgSF*(1-Subj_SizeTol),L555&lt;=Subj_BldgSF*(1+Subj_SizeTol))</f>
        <v/>
      </c>
    </row>
    <row r="556" ht="15" customHeight="1">
      <c r="A556" s="471" t="n">
        <v>8</v>
      </c>
      <c r="B556" s="245" t="n">
        <v>551</v>
      </c>
      <c r="C556" t="inlineStr">
        <is>
          <t>R0002837</t>
        </is>
      </c>
      <c r="D556" t="inlineStr">
        <is>
          <t>29 N MAIN ST</t>
        </is>
      </c>
      <c r="E556" t="n">
        <v>353</v>
      </c>
      <c r="F556" t="inlineStr">
        <is>
          <t>BRIGHTON</t>
        </is>
      </c>
      <c r="G556" t="inlineStr">
        <is>
          <t>2</t>
        </is>
      </c>
      <c r="H556" s="669">
        <f>Y556/J556</f>
        <v/>
      </c>
      <c r="I556" s="670" t="n">
        <v>43271</v>
      </c>
      <c r="J556" t="n">
        <v>5750</v>
      </c>
      <c r="L556" t="n">
        <v>5750</v>
      </c>
      <c r="M556" t="n">
        <v>1966</v>
      </c>
      <c r="P556" t="inlineStr">
        <is>
          <t>Brighton</t>
        </is>
      </c>
      <c r="R556" t="inlineStr">
        <is>
          <t>Average</t>
        </is>
      </c>
      <c r="S556" t="n">
        <v>10150</v>
      </c>
      <c r="T556" s="467">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245">
        <f>AND(E556=Subj_OccCode,Subj_BldgSF&gt;0,L556&gt;=Subj_BldgSF*(1-Subj_SizeTol),L556&lt;=Subj_BldgSF*(1+Subj_SizeTol))</f>
        <v/>
      </c>
    </row>
    <row r="557" ht="15" customHeight="1">
      <c r="A557" s="471" t="n">
        <v>8</v>
      </c>
      <c r="B557" s="245" t="n">
        <v>552</v>
      </c>
      <c r="C557" t="inlineStr">
        <is>
          <t>R0004562</t>
        </is>
      </c>
      <c r="D557" t="inlineStr">
        <is>
          <t>599 S MAIN ST</t>
        </is>
      </c>
      <c r="E557" t="n">
        <v>339</v>
      </c>
      <c r="F557" t="inlineStr">
        <is>
          <t>BRIGHTON</t>
        </is>
      </c>
      <c r="G557" t="inlineStr">
        <is>
          <t>2</t>
        </is>
      </c>
      <c r="H557" s="669">
        <f>Y557/J557</f>
        <v/>
      </c>
      <c r="I557" s="670" t="n">
        <v>43199</v>
      </c>
      <c r="J557" t="n">
        <v>7200</v>
      </c>
      <c r="L557" t="n">
        <v>7200</v>
      </c>
      <c r="M557" t="n">
        <v>1983</v>
      </c>
      <c r="P557" t="inlineStr">
        <is>
          <t>Brighton</t>
        </is>
      </c>
      <c r="R557" t="inlineStr">
        <is>
          <t>Low</t>
        </is>
      </c>
      <c r="S557" t="n">
        <v>96965</v>
      </c>
      <c r="T557" s="467">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245">
        <f>AND(E557=Subj_OccCode,Subj_BldgSF&gt;0,L557&gt;=Subj_BldgSF*(1-Subj_SizeTol),L557&lt;=Subj_BldgSF*(1+Subj_SizeTol))</f>
        <v/>
      </c>
    </row>
    <row r="558" ht="15" customHeight="1">
      <c r="A558" s="471" t="n">
        <v>8</v>
      </c>
      <c r="B558" s="245" t="n">
        <v>553</v>
      </c>
      <c r="C558" t="inlineStr">
        <is>
          <t>R0004562</t>
        </is>
      </c>
      <c r="D558" t="inlineStr">
        <is>
          <t>599 S MAIN ST</t>
        </is>
      </c>
      <c r="E558" t="n">
        <v>353</v>
      </c>
      <c r="F558" t="inlineStr">
        <is>
          <t>BRIGHTON</t>
        </is>
      </c>
      <c r="G558" t="inlineStr">
        <is>
          <t>2</t>
        </is>
      </c>
      <c r="H558" s="669">
        <f>Y558/J558</f>
        <v/>
      </c>
      <c r="I558" s="670" t="n">
        <v>44182</v>
      </c>
      <c r="J558" t="n">
        <v>7200</v>
      </c>
      <c r="L558" t="n">
        <v>7200</v>
      </c>
      <c r="M558" t="n">
        <v>1983</v>
      </c>
      <c r="P558" t="inlineStr">
        <is>
          <t>I-1-Bri</t>
        </is>
      </c>
      <c r="R558" t="inlineStr">
        <is>
          <t>Low</t>
        </is>
      </c>
      <c r="S558" t="n">
        <v>96965</v>
      </c>
      <c r="T558" s="467">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245">
        <f>AND(E558=Subj_OccCode,Subj_BldgSF&gt;0,L558&gt;=Subj_BldgSF*(1-Subj_SizeTol),L558&lt;=Subj_BldgSF*(1+Subj_SizeTol))</f>
        <v/>
      </c>
    </row>
    <row r="559" ht="15" customHeight="1">
      <c r="A559" s="471" t="n">
        <v>8</v>
      </c>
      <c r="B559" s="245" t="n">
        <v>554</v>
      </c>
      <c r="C559" t="inlineStr">
        <is>
          <t>R0075346</t>
        </is>
      </c>
      <c r="D559" t="inlineStr">
        <is>
          <t>10001  BRIGHTON RD</t>
        </is>
      </c>
      <c r="E559" t="n">
        <v>325</v>
      </c>
      <c r="G559" t="inlineStr">
        <is>
          <t>5</t>
        </is>
      </c>
      <c r="H559" s="669">
        <f>Y559/J559</f>
        <v/>
      </c>
      <c r="I559" s="670" t="n">
        <v>43874</v>
      </c>
      <c r="J559" t="n">
        <v>4927</v>
      </c>
      <c r="L559" t="n">
        <v>4927</v>
      </c>
      <c r="M559" t="n">
        <v>1950</v>
      </c>
      <c r="P559" t="inlineStr">
        <is>
          <t>Commercial</t>
        </is>
      </c>
      <c r="R559" t="inlineStr">
        <is>
          <t>Average</t>
        </is>
      </c>
      <c r="S559" t="n">
        <v>30492</v>
      </c>
      <c r="T559" s="467">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245">
        <f>AND(E559=Subj_OccCode,Subj_BldgSF&gt;0,L559&gt;=Subj_BldgSF*(1-Subj_SizeTol),L559&lt;=Subj_BldgSF*(1+Subj_SizeTol))</f>
        <v/>
      </c>
    </row>
    <row r="560" ht="15" customHeight="1">
      <c r="A560" s="471" t="n">
        <v>8</v>
      </c>
      <c r="B560" s="245" t="n">
        <v>555</v>
      </c>
      <c r="C560" t="inlineStr">
        <is>
          <t>R0098211</t>
        </is>
      </c>
      <c r="D560" t="inlineStr">
        <is>
          <t>6580  VINE CT</t>
        </is>
      </c>
      <c r="E560" t="n">
        <v>407</v>
      </c>
      <c r="G560" t="inlineStr">
        <is>
          <t>5</t>
        </is>
      </c>
      <c r="H560" s="669">
        <f>Y560/J560</f>
        <v/>
      </c>
      <c r="I560" s="670" t="n">
        <v>43189</v>
      </c>
      <c r="J560" t="n">
        <v>9520</v>
      </c>
      <c r="L560" t="n">
        <v>9520</v>
      </c>
      <c r="M560" t="n">
        <v>1997</v>
      </c>
      <c r="P560" t="inlineStr">
        <is>
          <t>Industrial</t>
        </is>
      </c>
      <c r="R560" t="inlineStr">
        <is>
          <t>Average</t>
        </is>
      </c>
      <c r="S560" t="n">
        <v>30056</v>
      </c>
      <c r="T560" s="467">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245">
        <f>AND(E560=Subj_OccCode,Subj_BldgSF&gt;0,L560&gt;=Subj_BldgSF*(1-Subj_SizeTol),L560&lt;=Subj_BldgSF*(1+Subj_SizeTol))</f>
        <v/>
      </c>
    </row>
    <row r="561" ht="15" customHeight="1">
      <c r="A561" s="471" t="n">
        <v>8</v>
      </c>
      <c r="B561" s="245" t="n">
        <v>556</v>
      </c>
      <c r="C561" t="inlineStr">
        <is>
          <t>R0103717</t>
        </is>
      </c>
      <c r="D561" t="inlineStr">
        <is>
          <t>5960  MARION DR</t>
        </is>
      </c>
      <c r="E561" t="n">
        <v>406</v>
      </c>
      <c r="G561" t="inlineStr">
        <is>
          <t>5</t>
        </is>
      </c>
      <c r="H561" s="669">
        <f>Y561/J561</f>
        <v/>
      </c>
      <c r="I561" s="670" t="n">
        <v>43259</v>
      </c>
      <c r="J561" t="n">
        <v>5000</v>
      </c>
      <c r="L561" t="n">
        <v>5000</v>
      </c>
      <c r="M561" t="n">
        <v>1999</v>
      </c>
      <c r="P561" t="inlineStr">
        <is>
          <t>Industrial</t>
        </is>
      </c>
      <c r="R561" t="inlineStr">
        <is>
          <t>Average</t>
        </is>
      </c>
      <c r="S561" t="n">
        <v>35250</v>
      </c>
      <c r="T561" s="467">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245">
        <f>AND(E561=Subj_OccCode,Subj_BldgSF&gt;0,L561&gt;=Subj_BldgSF*(1-Subj_SizeTol),L561&lt;=Subj_BldgSF*(1+Subj_SizeTol))</f>
        <v/>
      </c>
    </row>
    <row r="562" ht="15" customHeight="1">
      <c r="A562" s="471" t="n">
        <v>8</v>
      </c>
      <c r="B562" s="245" t="n">
        <v>557</v>
      </c>
      <c r="C562" t="inlineStr">
        <is>
          <t>R0071224</t>
        </is>
      </c>
      <c r="D562" t="inlineStr">
        <is>
          <t>12555 E 112TH AVE</t>
        </is>
      </c>
      <c r="E562" t="n">
        <v>100</v>
      </c>
      <c r="F562" t="inlineStr">
        <is>
          <t>BRIGHTON</t>
        </is>
      </c>
      <c r="G562" t="inlineStr">
        <is>
          <t>530</t>
        </is>
      </c>
      <c r="H562" s="669">
        <f>Y562/J562</f>
        <v/>
      </c>
      <c r="I562" s="670" t="n">
        <v>43105</v>
      </c>
      <c r="J562" t="n">
        <v>3280</v>
      </c>
      <c r="L562" t="n">
        <v>3280</v>
      </c>
      <c r="M562" t="n">
        <v>1957</v>
      </c>
      <c r="P562" t="inlineStr">
        <is>
          <t>Brighton</t>
        </is>
      </c>
      <c r="R562" t="inlineStr">
        <is>
          <t>Fair</t>
        </is>
      </c>
      <c r="S562" t="n">
        <v>255958.56</v>
      </c>
      <c r="T562" s="467">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245">
        <f>AND(E562=Subj_OccCode,Subj_BldgSF&gt;0,L562&gt;=Subj_BldgSF*(1-Subj_SizeTol),L562&lt;=Subj_BldgSF*(1+Subj_SizeTol))</f>
        <v/>
      </c>
    </row>
    <row r="563" ht="15" customHeight="1">
      <c r="A563" s="471" t="n">
        <v>8</v>
      </c>
      <c r="B563" s="245" t="n">
        <v>558</v>
      </c>
      <c r="C563" t="inlineStr">
        <is>
          <t>R0068361</t>
        </is>
      </c>
      <c r="D563" t="inlineStr">
        <is>
          <t>2387 W 72ND AVE</t>
        </is>
      </c>
      <c r="E563" t="n">
        <v>531</v>
      </c>
      <c r="G563" t="inlineStr">
        <is>
          <t>4</t>
        </is>
      </c>
      <c r="H563" s="669">
        <f>Y563/J563</f>
        <v/>
      </c>
      <c r="I563" s="670" t="n">
        <v>44560</v>
      </c>
      <c r="J563" t="n">
        <v>1054</v>
      </c>
      <c r="L563" t="n">
        <v>1054</v>
      </c>
      <c r="M563" t="n">
        <v>1966</v>
      </c>
      <c r="P563" t="inlineStr">
        <is>
          <t>Commercial</t>
        </is>
      </c>
      <c r="R563" t="inlineStr">
        <is>
          <t>Average</t>
        </is>
      </c>
      <c r="S563" t="n">
        <v>18750</v>
      </c>
      <c r="T563" s="467">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245">
        <f>AND(E563=Subj_OccCode,Subj_BldgSF&gt;0,L563&gt;=Subj_BldgSF*(1-Subj_SizeTol),L563&lt;=Subj_BldgSF*(1+Subj_SizeTol))</f>
        <v/>
      </c>
    </row>
    <row r="564" ht="15" customHeight="1">
      <c r="A564" s="471" t="n">
        <v>8</v>
      </c>
      <c r="B564" s="245" t="n">
        <v>559</v>
      </c>
      <c r="C564" t="inlineStr">
        <is>
          <t>R0174705</t>
        </is>
      </c>
      <c r="D564" t="inlineStr">
        <is>
          <t>15550 E 103RD PL</t>
        </is>
      </c>
      <c r="E564" t="n">
        <v>413</v>
      </c>
      <c r="F564" t="inlineStr">
        <is>
          <t>COMMERCE CITY</t>
        </is>
      </c>
      <c r="G564" t="inlineStr">
        <is>
          <t>3</t>
        </is>
      </c>
      <c r="H564" s="669">
        <f>Y564/J564</f>
        <v/>
      </c>
      <c r="I564" s="670" t="n">
        <v>43364</v>
      </c>
      <c r="J564" t="n">
        <v>17160</v>
      </c>
      <c r="L564" t="n">
        <v>17160</v>
      </c>
      <c r="M564" t="n">
        <v>2007</v>
      </c>
      <c r="R564" t="inlineStr">
        <is>
          <t>Average</t>
        </is>
      </c>
      <c r="S564" t="n">
        <v>89445</v>
      </c>
      <c r="T564" s="467">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245">
        <f>AND(E564=Subj_OccCode,Subj_BldgSF&gt;0,L564&gt;=Subj_BldgSF*(1-Subj_SizeTol),L564&lt;=Subj_BldgSF*(1+Subj_SizeTol))</f>
        <v/>
      </c>
    </row>
    <row r="565" ht="15" customHeight="1">
      <c r="A565" s="471" t="n">
        <v>8</v>
      </c>
      <c r="B565" s="245" t="n">
        <v>560</v>
      </c>
      <c r="C565" t="inlineStr">
        <is>
          <t>R0178833</t>
        </is>
      </c>
      <c r="D565" t="inlineStr">
        <is>
          <t>5190  VIOLET HILL ST #F</t>
        </is>
      </c>
      <c r="E565" t="n">
        <v>328</v>
      </c>
      <c r="F565" t="inlineStr">
        <is>
          <t>BENNETT</t>
        </is>
      </c>
      <c r="G565" t="inlineStr">
        <is>
          <t>1</t>
        </is>
      </c>
      <c r="H565" s="669">
        <f>Y565/J565</f>
        <v/>
      </c>
      <c r="I565" s="670" t="n">
        <v>44544</v>
      </c>
      <c r="J565" t="n">
        <v>4500</v>
      </c>
      <c r="L565" t="n">
        <v>4500</v>
      </c>
      <c r="M565" t="n">
        <v>2006</v>
      </c>
      <c r="R565" t="inlineStr">
        <is>
          <t>Average</t>
        </is>
      </c>
      <c r="T565" s="467">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245">
        <f>AND(E565=Subj_OccCode,Subj_BldgSF&gt;0,L565&gt;=Subj_BldgSF*(1-Subj_SizeTol),L565&lt;=Subj_BldgSF*(1+Subj_SizeTol))</f>
        <v/>
      </c>
    </row>
    <row r="566" ht="15" customHeight="1">
      <c r="A566" s="471" t="n">
        <v>8</v>
      </c>
      <c r="B566" s="245" t="n">
        <v>561</v>
      </c>
      <c r="C566" t="inlineStr">
        <is>
          <t>R0178835</t>
        </is>
      </c>
      <c r="D566" t="inlineStr">
        <is>
          <t>5190  VIOLET HILL ST #B</t>
        </is>
      </c>
      <c r="E566" t="n">
        <v>328</v>
      </c>
      <c r="G566" t="inlineStr">
        <is>
          <t>1</t>
        </is>
      </c>
      <c r="H566" s="669">
        <f>Y566/J566</f>
        <v/>
      </c>
      <c r="I566" s="670" t="n">
        <v>44105</v>
      </c>
      <c r="J566" t="n">
        <v>4500</v>
      </c>
      <c r="L566" t="n">
        <v>4500</v>
      </c>
      <c r="M566" t="n">
        <v>2006</v>
      </c>
      <c r="R566" t="inlineStr">
        <is>
          <t>Average</t>
        </is>
      </c>
      <c r="T566" s="467">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245">
        <f>AND(E566=Subj_OccCode,Subj_BldgSF&gt;0,L566&gt;=Subj_BldgSF*(1-Subj_SizeTol),L566&lt;=Subj_BldgSF*(1+Subj_SizeTol))</f>
        <v/>
      </c>
    </row>
    <row r="567" ht="15" customHeight="1">
      <c r="A567" s="471" t="n">
        <v>8</v>
      </c>
      <c r="B567" s="245" t="n">
        <v>562</v>
      </c>
      <c r="C567" t="inlineStr">
        <is>
          <t>R0178830</t>
        </is>
      </c>
      <c r="D567" t="inlineStr">
        <is>
          <t>5190  VIOLET HILL ST #A</t>
        </is>
      </c>
      <c r="E567" t="n">
        <v>328</v>
      </c>
      <c r="G567" t="inlineStr">
        <is>
          <t>1</t>
        </is>
      </c>
      <c r="H567" s="669">
        <f>Y567/J567</f>
        <v/>
      </c>
      <c r="I567" s="670" t="n">
        <v>44287</v>
      </c>
      <c r="J567" t="n">
        <v>4500</v>
      </c>
      <c r="L567" t="n">
        <v>4500</v>
      </c>
      <c r="M567" t="n">
        <v>2006</v>
      </c>
      <c r="R567" t="inlineStr">
        <is>
          <t>Average</t>
        </is>
      </c>
      <c r="T567" s="467">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245">
        <f>AND(E567=Subj_OccCode,Subj_BldgSF&gt;0,L567&gt;=Subj_BldgSF*(1-Subj_SizeTol),L567&lt;=Subj_BldgSF*(1+Subj_SizeTol))</f>
        <v/>
      </c>
    </row>
    <row r="568" ht="15" customHeight="1">
      <c r="A568" s="471" t="n">
        <v>8</v>
      </c>
      <c r="B568" s="245" t="n">
        <v>563</v>
      </c>
      <c r="C568" t="inlineStr">
        <is>
          <t>R0130283</t>
        </is>
      </c>
      <c r="D568" t="inlineStr">
        <is>
          <t>5635  FRANKLIN ST</t>
        </is>
      </c>
      <c r="E568" t="n">
        <v>407</v>
      </c>
      <c r="G568" t="inlineStr">
        <is>
          <t>5</t>
        </is>
      </c>
      <c r="H568" s="669">
        <f>Y568/J568</f>
        <v/>
      </c>
      <c r="I568" s="670" t="n">
        <v>44666</v>
      </c>
      <c r="J568" t="n">
        <v>30000</v>
      </c>
      <c r="L568" t="n">
        <v>30000</v>
      </c>
      <c r="M568" t="n">
        <v>2001</v>
      </c>
      <c r="P568" t="inlineStr">
        <is>
          <t>Industrial</t>
        </is>
      </c>
      <c r="R568" t="inlineStr">
        <is>
          <t>Average</t>
        </is>
      </c>
      <c r="S568" t="n">
        <v>96703.2</v>
      </c>
      <c r="T568" s="467">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245">
        <f>AND(E568=Subj_OccCode,Subj_BldgSF&gt;0,L568&gt;=Subj_BldgSF*(1-Subj_SizeTol),L568&lt;=Subj_BldgSF*(1+Subj_SizeTol))</f>
        <v/>
      </c>
    </row>
    <row r="569" ht="15" customHeight="1">
      <c r="A569" s="471" t="n">
        <v>8</v>
      </c>
      <c r="B569" s="245" t="n">
        <v>564</v>
      </c>
      <c r="C569" t="inlineStr">
        <is>
          <t>R0178847</t>
        </is>
      </c>
      <c r="D569" t="inlineStr">
        <is>
          <t>2091  CORONADO PKYN</t>
        </is>
      </c>
      <c r="E569" t="n">
        <v>442</v>
      </c>
      <c r="G569" t="inlineStr">
        <is>
          <t>4</t>
        </is>
      </c>
      <c r="H569" s="669">
        <f>Y569/J569</f>
        <v/>
      </c>
      <c r="I569" s="670" t="n">
        <v>44501</v>
      </c>
      <c r="J569" t="n">
        <v>2000</v>
      </c>
      <c r="L569" t="n">
        <v>2000</v>
      </c>
      <c r="M569" t="n">
        <v>1974</v>
      </c>
      <c r="P569" t="inlineStr">
        <is>
          <t>Commercial</t>
        </is>
      </c>
      <c r="R569" t="inlineStr">
        <is>
          <t>Average</t>
        </is>
      </c>
      <c r="S569" t="n">
        <v>27934</v>
      </c>
      <c r="T569" s="467">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245">
        <f>AND(E569=Subj_OccCode,Subj_BldgSF&gt;0,L569&gt;=Subj_BldgSF*(1-Subj_SizeTol),L569&lt;=Subj_BldgSF*(1+Subj_SizeTol))</f>
        <v/>
      </c>
    </row>
    <row r="570" ht="15" customHeight="1">
      <c r="A570" s="471" t="n">
        <v>8</v>
      </c>
      <c r="B570" s="245" t="n">
        <v>565</v>
      </c>
      <c r="C570" t="inlineStr">
        <is>
          <t>R0164255</t>
        </is>
      </c>
      <c r="D570" t="inlineStr">
        <is>
          <t>19401 E 23RD AVE</t>
        </is>
      </c>
      <c r="E570" t="n">
        <v>407</v>
      </c>
      <c r="F570" t="inlineStr">
        <is>
          <t>AURORA</t>
        </is>
      </c>
      <c r="G570" t="inlineStr">
        <is>
          <t>6</t>
        </is>
      </c>
      <c r="H570" s="669">
        <f>Y570/J570</f>
        <v/>
      </c>
      <c r="I570" s="670" t="n">
        <v>43966</v>
      </c>
      <c r="J570" t="n">
        <v>14120</v>
      </c>
      <c r="L570" t="n">
        <v>14120</v>
      </c>
      <c r="M570" t="n">
        <v>2005</v>
      </c>
      <c r="P570" t="inlineStr">
        <is>
          <t>M-1-Aur</t>
        </is>
      </c>
      <c r="R570" t="inlineStr">
        <is>
          <t>Average</t>
        </is>
      </c>
      <c r="S570" t="n">
        <v>56361</v>
      </c>
      <c r="T570" s="467">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245">
        <f>AND(E570=Subj_OccCode,Subj_BldgSF&gt;0,L570&gt;=Subj_BldgSF*(1-Subj_SizeTol),L570&lt;=Subj_BldgSF*(1+Subj_SizeTol))</f>
        <v/>
      </c>
    </row>
    <row r="571" ht="15" customHeight="1">
      <c r="A571" s="471" t="n">
        <v>8</v>
      </c>
      <c r="B571" s="245" t="n">
        <v>566</v>
      </c>
      <c r="C571" t="inlineStr">
        <is>
          <t>R0165727</t>
        </is>
      </c>
      <c r="D571" t="inlineStr">
        <is>
          <t>997  PLATTE RIVER BLVD</t>
        </is>
      </c>
      <c r="E571" t="n">
        <v>344</v>
      </c>
      <c r="F571" t="inlineStr">
        <is>
          <t>BRIGHTON</t>
        </is>
      </c>
      <c r="G571" t="inlineStr">
        <is>
          <t>2</t>
        </is>
      </c>
      <c r="H571" s="669">
        <f>Y571/J571</f>
        <v/>
      </c>
      <c r="I571" s="670" t="n">
        <v>43213</v>
      </c>
      <c r="J571" t="n">
        <v>7500</v>
      </c>
      <c r="L571" t="n">
        <v>7500</v>
      </c>
      <c r="M571" t="n">
        <v>2005</v>
      </c>
      <c r="R571" t="inlineStr">
        <is>
          <t>Average</t>
        </is>
      </c>
      <c r="S571" t="n">
        <v>50033</v>
      </c>
      <c r="T571" s="467">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245">
        <f>AND(E571=Subj_OccCode,Subj_BldgSF&gt;0,L571&gt;=Subj_BldgSF*(1-Subj_SizeTol),L571&lt;=Subj_BldgSF*(1+Subj_SizeTol))</f>
        <v/>
      </c>
    </row>
    <row r="572" ht="15" customHeight="1">
      <c r="A572" s="471" t="n">
        <v>8</v>
      </c>
      <c r="B572" s="245" t="n">
        <v>567</v>
      </c>
      <c r="C572" t="inlineStr">
        <is>
          <t>R0082795</t>
        </is>
      </c>
      <c r="D572" t="inlineStr">
        <is>
          <t>475  PALMER AVE</t>
        </is>
      </c>
      <c r="E572" t="n">
        <v>3441</v>
      </c>
      <c r="F572" t="inlineStr">
        <is>
          <t>BENNETT</t>
        </is>
      </c>
      <c r="G572" t="inlineStr">
        <is>
          <t>1</t>
        </is>
      </c>
      <c r="H572" s="669">
        <f>Y572/J572</f>
        <v/>
      </c>
      <c r="I572" s="670" t="n">
        <v>43329</v>
      </c>
      <c r="J572" t="n">
        <v>2990</v>
      </c>
      <c r="L572" t="n">
        <v>2990</v>
      </c>
      <c r="M572" t="n">
        <v>1901</v>
      </c>
      <c r="P572" t="inlineStr">
        <is>
          <t>Bennett</t>
        </is>
      </c>
      <c r="R572" t="inlineStr">
        <is>
          <t>Average</t>
        </is>
      </c>
      <c r="S572" t="n">
        <v>17750</v>
      </c>
      <c r="T572" s="467">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245">
        <f>AND(E572=Subj_OccCode,Subj_BldgSF&gt;0,L572&gt;=Subj_BldgSF*(1-Subj_SizeTol),L572&lt;=Subj_BldgSF*(1+Subj_SizeTol))</f>
        <v/>
      </c>
    </row>
    <row r="573" ht="15" customHeight="1">
      <c r="A573" s="471" t="n">
        <v>8</v>
      </c>
      <c r="B573" s="245" t="n">
        <v>568</v>
      </c>
      <c r="C573" t="inlineStr">
        <is>
          <t>R0003845</t>
        </is>
      </c>
      <c r="D573" t="inlineStr">
        <is>
          <t>55 S 4TH AVE</t>
        </is>
      </c>
      <c r="E573" t="n">
        <v>353</v>
      </c>
      <c r="F573" t="inlineStr">
        <is>
          <t>BRIGHTON</t>
        </is>
      </c>
      <c r="G573" t="inlineStr">
        <is>
          <t>2</t>
        </is>
      </c>
      <c r="H573" s="669">
        <f>Y573/J573</f>
        <v/>
      </c>
      <c r="I573" s="670" t="n">
        <v>43616</v>
      </c>
      <c r="J573" t="n">
        <v>1810</v>
      </c>
      <c r="L573" t="n">
        <v>1810</v>
      </c>
      <c r="M573" t="n">
        <v>1910</v>
      </c>
      <c r="P573" t="inlineStr">
        <is>
          <t>Brighton</t>
        </is>
      </c>
      <c r="R573" t="inlineStr">
        <is>
          <t>Average</t>
        </is>
      </c>
      <c r="S573" t="n">
        <v>9000</v>
      </c>
      <c r="T573" s="467">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245">
        <f>AND(E573=Subj_OccCode,Subj_BldgSF&gt;0,L573&gt;=Subj_BldgSF*(1-Subj_SizeTol),L573&lt;=Subj_BldgSF*(1+Subj_SizeTol))</f>
        <v/>
      </c>
    </row>
    <row r="574" ht="15" customHeight="1">
      <c r="A574" s="471" t="n">
        <v>8</v>
      </c>
      <c r="B574" s="245" t="n">
        <v>569</v>
      </c>
      <c r="C574" t="inlineStr">
        <is>
          <t>R0024059</t>
        </is>
      </c>
      <c r="D574" t="inlineStr">
        <is>
          <t>12095 MARIPOSA ST</t>
        </is>
      </c>
      <c r="E574" t="n">
        <v>1332</v>
      </c>
      <c r="F574" t="inlineStr">
        <is>
          <t>WESTMINSTER</t>
        </is>
      </c>
      <c r="G574" t="inlineStr">
        <is>
          <t>3</t>
        </is>
      </c>
      <c r="H574" s="669">
        <f>Y574/J574</f>
        <v/>
      </c>
      <c r="I574" s="670" t="n">
        <v>44691</v>
      </c>
      <c r="J574" t="n">
        <v>56376</v>
      </c>
      <c r="L574" t="n">
        <v>56376</v>
      </c>
      <c r="M574" t="n">
        <v>2008</v>
      </c>
      <c r="P574" t="inlineStr">
        <is>
          <t>PUD-Wes</t>
        </is>
      </c>
      <c r="R574" t="inlineStr">
        <is>
          <t>Average</t>
        </is>
      </c>
      <c r="S574" t="n">
        <v>128502</v>
      </c>
      <c r="T574" s="467">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245">
        <f>AND(E574=Subj_OccCode,Subj_BldgSF&gt;0,L574&gt;=Subj_BldgSF*(1-Subj_SizeTol),L574&lt;=Subj_BldgSF*(1+Subj_SizeTol))</f>
        <v/>
      </c>
    </row>
    <row r="575" ht="15" customHeight="1">
      <c r="A575" s="471" t="n">
        <v>8</v>
      </c>
      <c r="B575" s="245" t="n">
        <v>570</v>
      </c>
      <c r="C575" t="inlineStr">
        <is>
          <t>R0125142</t>
        </is>
      </c>
      <c r="D575" t="inlineStr">
        <is>
          <t>9670  DALLAS ST UNIT 11</t>
        </is>
      </c>
      <c r="E575" t="n">
        <v>425</v>
      </c>
      <c r="G575" t="inlineStr">
        <is>
          <t>5</t>
        </is>
      </c>
      <c r="H575" s="669">
        <f>Y575/J575</f>
        <v/>
      </c>
      <c r="I575" s="670" t="n">
        <v>44336</v>
      </c>
      <c r="J575" t="n">
        <v>2500</v>
      </c>
      <c r="L575" t="n">
        <v>2500</v>
      </c>
      <c r="M575" t="n">
        <v>2000</v>
      </c>
      <c r="P575" t="inlineStr">
        <is>
          <t>I-3-Com</t>
        </is>
      </c>
      <c r="R575" t="inlineStr">
        <is>
          <t>Average</t>
        </is>
      </c>
      <c r="S575" t="n">
        <v>7949</v>
      </c>
      <c r="T575" s="467">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245">
        <f>AND(E575=Subj_OccCode,Subj_BldgSF&gt;0,L575&gt;=Subj_BldgSF*(1-Subj_SizeTol),L575&lt;=Subj_BldgSF*(1+Subj_SizeTol))</f>
        <v/>
      </c>
    </row>
    <row r="576" ht="15" customHeight="1">
      <c r="A576" s="471" t="n">
        <v>8</v>
      </c>
      <c r="B576" s="245" t="n">
        <v>571</v>
      </c>
      <c r="C576" t="inlineStr">
        <is>
          <t>R0125131</t>
        </is>
      </c>
      <c r="D576" t="inlineStr">
        <is>
          <t>9670  DALLAS ST UNIT 1</t>
        </is>
      </c>
      <c r="E576" t="n">
        <v>425</v>
      </c>
      <c r="G576" t="inlineStr">
        <is>
          <t>5</t>
        </is>
      </c>
      <c r="H576" s="669">
        <f>Y576/J576</f>
        <v/>
      </c>
      <c r="I576" s="670" t="n">
        <v>44742</v>
      </c>
      <c r="J576" t="n">
        <v>2500</v>
      </c>
      <c r="L576" t="n">
        <v>2500</v>
      </c>
      <c r="M576" t="n">
        <v>2000</v>
      </c>
      <c r="P576" t="inlineStr">
        <is>
          <t>I-3-Com</t>
        </is>
      </c>
      <c r="R576" t="inlineStr">
        <is>
          <t>Average</t>
        </is>
      </c>
      <c r="S576" t="n">
        <v>7949</v>
      </c>
      <c r="T576" s="467">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245">
        <f>AND(E576=Subj_OccCode,Subj_BldgSF&gt;0,L576&gt;=Subj_BldgSF*(1-Subj_SizeTol),L576&lt;=Subj_BldgSF*(1+Subj_SizeTol))</f>
        <v/>
      </c>
    </row>
    <row r="577" ht="15" customHeight="1">
      <c r="A577" s="471" t="n">
        <v>8</v>
      </c>
      <c r="B577" s="245" t="n">
        <v>572</v>
      </c>
      <c r="C577" t="inlineStr">
        <is>
          <t>R0075193</t>
        </is>
      </c>
      <c r="D577" t="inlineStr">
        <is>
          <t>10301 E 107TH PL</t>
        </is>
      </c>
      <c r="E577" t="n">
        <v>406</v>
      </c>
      <c r="G577" t="inlineStr">
        <is>
          <t>2</t>
        </is>
      </c>
      <c r="H577" s="669">
        <f>Y577/J577</f>
        <v/>
      </c>
      <c r="I577" s="670" t="n">
        <v>43727</v>
      </c>
      <c r="J577" t="n">
        <v>10000</v>
      </c>
      <c r="L577" t="n">
        <v>10000</v>
      </c>
      <c r="M577" t="n">
        <v>1983</v>
      </c>
      <c r="P577" t="inlineStr">
        <is>
          <t>I-3-Com</t>
        </is>
      </c>
      <c r="R577" t="inlineStr">
        <is>
          <t>Average</t>
        </is>
      </c>
      <c r="S577" t="n">
        <v>87120</v>
      </c>
      <c r="T577" s="467">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245">
        <f>AND(E577=Subj_OccCode,Subj_BldgSF&gt;0,L577&gt;=Subj_BldgSF*(1-Subj_SizeTol),L577&lt;=Subj_BldgSF*(1+Subj_SizeTol))</f>
        <v/>
      </c>
    </row>
    <row r="578" ht="15" customHeight="1">
      <c r="A578" s="471" t="n">
        <v>8</v>
      </c>
      <c r="B578" s="245" t="n">
        <v>573</v>
      </c>
      <c r="C578" t="inlineStr">
        <is>
          <t>R0003510</t>
        </is>
      </c>
      <c r="D578" t="inlineStr">
        <is>
          <t>420  COURT PL</t>
        </is>
      </c>
      <c r="E578" t="n">
        <v>3441</v>
      </c>
      <c r="F578" t="inlineStr">
        <is>
          <t>BRIGHTON</t>
        </is>
      </c>
      <c r="G578" t="inlineStr">
        <is>
          <t>2</t>
        </is>
      </c>
      <c r="H578" s="669">
        <f>Y578/J578</f>
        <v/>
      </c>
      <c r="I578" s="670" t="n">
        <v>44063</v>
      </c>
      <c r="J578" t="n">
        <v>1195</v>
      </c>
      <c r="L578" t="n">
        <v>1195</v>
      </c>
      <c r="M578" t="n">
        <v>1919</v>
      </c>
      <c r="P578" t="inlineStr">
        <is>
          <t>C-O</t>
        </is>
      </c>
      <c r="R578" t="inlineStr">
        <is>
          <t>Average</t>
        </is>
      </c>
      <c r="S578" t="n">
        <v>7500</v>
      </c>
      <c r="T578" s="467">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245">
        <f>AND(E578=Subj_OccCode,Subj_BldgSF&gt;0,L578&gt;=Subj_BldgSF*(1-Subj_SizeTol),L578&lt;=Subj_BldgSF*(1+Subj_SizeTol))</f>
        <v/>
      </c>
    </row>
    <row r="579" ht="15" customHeight="1">
      <c r="A579" s="471" t="n">
        <v>8</v>
      </c>
      <c r="B579" s="245" t="n">
        <v>574</v>
      </c>
      <c r="C579" t="inlineStr">
        <is>
          <t>R0031065</t>
        </is>
      </c>
      <c r="D579" t="inlineStr">
        <is>
          <t>11411  PEARL ST</t>
        </is>
      </c>
      <c r="E579" t="n">
        <v>341</v>
      </c>
      <c r="F579" t="inlineStr">
        <is>
          <t>NORTHGLENN</t>
        </is>
      </c>
      <c r="G579" t="inlineStr">
        <is>
          <t>4</t>
        </is>
      </c>
      <c r="H579" s="669">
        <f>Y579/J579</f>
        <v/>
      </c>
      <c r="I579" s="670" t="n">
        <v>44739</v>
      </c>
      <c r="J579" t="n">
        <v>5750</v>
      </c>
      <c r="L579" t="n">
        <v>5750</v>
      </c>
      <c r="M579" t="n">
        <v>1972</v>
      </c>
      <c r="P579" t="inlineStr">
        <is>
          <t>C-0-Nor</t>
        </is>
      </c>
      <c r="R579" t="inlineStr">
        <is>
          <t>Average</t>
        </is>
      </c>
      <c r="S579" t="n">
        <v>38180</v>
      </c>
      <c r="T579" s="467">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245">
        <f>AND(E579=Subj_OccCode,Subj_BldgSF&gt;0,L579&gt;=Subj_BldgSF*(1-Subj_SizeTol),L579&lt;=Subj_BldgSF*(1+Subj_SizeTol))</f>
        <v/>
      </c>
    </row>
    <row r="580" ht="15" customHeight="1">
      <c r="A580" s="471" t="n">
        <v>8</v>
      </c>
      <c r="B580" s="245" t="n">
        <v>575</v>
      </c>
      <c r="C580" t="inlineStr">
        <is>
          <t>R0152700</t>
        </is>
      </c>
      <c r="D580" t="inlineStr">
        <is>
          <t>2600 W 62ND AVE</t>
        </is>
      </c>
      <c r="E580" t="n">
        <v>406</v>
      </c>
      <c r="G580" t="inlineStr">
        <is>
          <t>5</t>
        </is>
      </c>
      <c r="H580" s="669">
        <f>Y580/J580</f>
        <v/>
      </c>
      <c r="I580" s="670" t="n">
        <v>43791</v>
      </c>
      <c r="J580" t="n">
        <v>11250</v>
      </c>
      <c r="L580" t="n">
        <v>11250</v>
      </c>
      <c r="M580" t="n">
        <v>2003</v>
      </c>
      <c r="P580" t="inlineStr">
        <is>
          <t>Planned Unit Development</t>
        </is>
      </c>
      <c r="R580" t="inlineStr">
        <is>
          <t>Average</t>
        </is>
      </c>
      <c r="S580" t="n">
        <v>80716.67999999999</v>
      </c>
      <c r="T580" s="467">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245">
        <f>AND(E580=Subj_OccCode,Subj_BldgSF&gt;0,L580&gt;=Subj_BldgSF*(1-Subj_SizeTol),L580&lt;=Subj_BldgSF*(1+Subj_SizeTol))</f>
        <v/>
      </c>
    </row>
    <row r="581" ht="15" customHeight="1">
      <c r="A581" s="471" t="n">
        <v>8</v>
      </c>
      <c r="B581" s="245" t="n">
        <v>576</v>
      </c>
      <c r="C581" t="inlineStr">
        <is>
          <t>R0085791</t>
        </is>
      </c>
      <c r="D581" t="inlineStr">
        <is>
          <t>2200  CHAMBERS RD #F</t>
        </is>
      </c>
      <c r="E581" t="n">
        <v>425</v>
      </c>
      <c r="F581" t="inlineStr">
        <is>
          <t>AURORA</t>
        </is>
      </c>
      <c r="G581" t="inlineStr">
        <is>
          <t>6</t>
        </is>
      </c>
      <c r="H581" s="669">
        <f>Y581/J581</f>
        <v/>
      </c>
      <c r="I581" s="670" t="n">
        <v>44134</v>
      </c>
      <c r="J581" t="n">
        <v>1500</v>
      </c>
      <c r="L581" t="n">
        <v>1500</v>
      </c>
      <c r="M581" t="n">
        <v>1984</v>
      </c>
      <c r="P581" t="inlineStr">
        <is>
          <t>M-1-Aur</t>
        </is>
      </c>
      <c r="R581" t="inlineStr">
        <is>
          <t>Good</t>
        </is>
      </c>
      <c r="S581" t="n">
        <v>5227</v>
      </c>
      <c r="T581" s="467">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245">
        <f>AND(E581=Subj_OccCode,Subj_BldgSF&gt;0,L581&gt;=Subj_BldgSF*(1-Subj_SizeTol),L581&lt;=Subj_BldgSF*(1+Subj_SizeTol))</f>
        <v/>
      </c>
    </row>
    <row r="582" ht="15" customHeight="1">
      <c r="A582" s="471" t="n">
        <v>8</v>
      </c>
      <c r="B582" s="245" t="n">
        <v>577</v>
      </c>
      <c r="C582" t="inlineStr">
        <is>
          <t>R0129049</t>
        </is>
      </c>
      <c r="D582" t="inlineStr">
        <is>
          <t>2530 W 63RD CT</t>
        </is>
      </c>
      <c r="E582" t="n">
        <v>407</v>
      </c>
      <c r="G582" t="inlineStr">
        <is>
          <t>5</t>
        </is>
      </c>
      <c r="H582" s="669">
        <f>Y582/J582</f>
        <v/>
      </c>
      <c r="I582" s="670" t="n">
        <v>44498</v>
      </c>
      <c r="J582" t="n">
        <v>6041</v>
      </c>
      <c r="L582" t="n">
        <v>6041</v>
      </c>
      <c r="M582" t="n">
        <v>2001</v>
      </c>
      <c r="P582" t="inlineStr">
        <is>
          <t>Planned Unit Development</t>
        </is>
      </c>
      <c r="R582" t="inlineStr">
        <is>
          <t>Average</t>
        </is>
      </c>
      <c r="S582" t="n">
        <v>43560</v>
      </c>
      <c r="T582" s="467">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245">
        <f>AND(E582=Subj_OccCode,Subj_BldgSF&gt;0,L582&gt;=Subj_BldgSF*(1-Subj_SizeTol),L582&lt;=Subj_BldgSF*(1+Subj_SizeTol))</f>
        <v/>
      </c>
    </row>
    <row r="583" ht="15" customHeight="1">
      <c r="A583" s="471" t="n">
        <v>8</v>
      </c>
      <c r="B583" s="245" t="n">
        <v>578</v>
      </c>
      <c r="C583" t="inlineStr">
        <is>
          <t>R0084104</t>
        </is>
      </c>
      <c r="D583" t="inlineStr">
        <is>
          <t>15370  SMITH RD</t>
        </is>
      </c>
      <c r="E583" t="n">
        <v>407</v>
      </c>
      <c r="F583" t="inlineStr">
        <is>
          <t>AURORA</t>
        </is>
      </c>
      <c r="G583" t="inlineStr">
        <is>
          <t>6</t>
        </is>
      </c>
      <c r="H583" s="669">
        <f>Y583/J583</f>
        <v/>
      </c>
      <c r="I583" s="670" t="n">
        <v>44650</v>
      </c>
      <c r="J583" t="n">
        <v>16200</v>
      </c>
      <c r="L583" t="n">
        <v>16200</v>
      </c>
      <c r="M583" t="n">
        <v>1975</v>
      </c>
      <c r="P583" t="inlineStr">
        <is>
          <t>M-1-Aur</t>
        </is>
      </c>
      <c r="R583" t="inlineStr">
        <is>
          <t>Average</t>
        </is>
      </c>
      <c r="S583" t="n">
        <v>57847.68</v>
      </c>
      <c r="T583" s="467">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245">
        <f>AND(E583=Subj_OccCode,Subj_BldgSF&gt;0,L583&gt;=Subj_BldgSF*(1-Subj_SizeTol),L583&lt;=Subj_BldgSF*(1+Subj_SizeTol))</f>
        <v/>
      </c>
    </row>
    <row r="584" ht="15" customHeight="1">
      <c r="A584" s="471" t="n">
        <v>8</v>
      </c>
      <c r="B584" s="245" t="n">
        <v>579</v>
      </c>
      <c r="C584" t="inlineStr">
        <is>
          <t>R0117232</t>
        </is>
      </c>
      <c r="D584" t="inlineStr">
        <is>
          <t>1801 W 64TH LN</t>
        </is>
      </c>
      <c r="E584" t="n">
        <v>334</v>
      </c>
      <c r="G584" t="inlineStr">
        <is>
          <t>5</t>
        </is>
      </c>
      <c r="H584" s="669">
        <f>Y584/J584</f>
        <v/>
      </c>
      <c r="I584" s="670" t="n">
        <v>44538</v>
      </c>
      <c r="J584" t="n">
        <v>11375</v>
      </c>
      <c r="L584" t="n">
        <v>11375</v>
      </c>
      <c r="M584" t="n">
        <v>2000</v>
      </c>
      <c r="P584" t="inlineStr">
        <is>
          <t>Planned Unit Development</t>
        </is>
      </c>
      <c r="R584" t="inlineStr">
        <is>
          <t>Average</t>
        </is>
      </c>
      <c r="S584" t="n">
        <v>43995.6</v>
      </c>
      <c r="T584" s="467">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245">
        <f>AND(E584=Subj_OccCode,Subj_BldgSF&gt;0,L584&gt;=Subj_BldgSF*(1-Subj_SizeTol),L584&lt;=Subj_BldgSF*(1+Subj_SizeTol))</f>
        <v/>
      </c>
    </row>
    <row r="585" ht="15" customHeight="1">
      <c r="A585" s="471" t="n">
        <v>8</v>
      </c>
      <c r="B585" s="245" t="n">
        <v>580</v>
      </c>
      <c r="C585" t="inlineStr">
        <is>
          <t>R0077603</t>
        </is>
      </c>
      <c r="D585" t="inlineStr">
        <is>
          <t>8021  PONTIAC ST</t>
        </is>
      </c>
      <c r="E585" t="n">
        <v>336</v>
      </c>
      <c r="G585" t="inlineStr">
        <is>
          <t>5</t>
        </is>
      </c>
      <c r="H585" s="669">
        <f>Y585/J585</f>
        <v/>
      </c>
      <c r="I585" s="670" t="n">
        <v>43495</v>
      </c>
      <c r="J585" t="n">
        <v>1500</v>
      </c>
      <c r="L585" t="n">
        <v>1500</v>
      </c>
      <c r="M585" t="n">
        <v>1960</v>
      </c>
      <c r="P585" t="inlineStr">
        <is>
          <t>Commercial</t>
        </is>
      </c>
      <c r="R585" t="inlineStr">
        <is>
          <t>Average</t>
        </is>
      </c>
      <c r="S585" t="n">
        <v>6250</v>
      </c>
      <c r="T585" s="467">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245">
        <f>AND(E585=Subj_OccCode,Subj_BldgSF&gt;0,L585&gt;=Subj_BldgSF*(1-Subj_SizeTol),L585&lt;=Subj_BldgSF*(1+Subj_SizeTol))</f>
        <v/>
      </c>
    </row>
    <row r="586" ht="15" customHeight="1">
      <c r="A586" s="471" t="n">
        <v>8</v>
      </c>
      <c r="B586" s="245" t="n">
        <v>581</v>
      </c>
      <c r="C586" t="inlineStr">
        <is>
          <t>R0173191</t>
        </is>
      </c>
      <c r="D586" t="inlineStr">
        <is>
          <t>1511 W 70TH AVE</t>
        </is>
      </c>
      <c r="E586" t="n">
        <v>353</v>
      </c>
      <c r="G586" t="inlineStr">
        <is>
          <t>4</t>
        </is>
      </c>
      <c r="H586" s="669">
        <f>Y586/J586</f>
        <v/>
      </c>
      <c r="I586" s="670" t="n">
        <v>43759</v>
      </c>
      <c r="J586" t="n">
        <v>5345</v>
      </c>
      <c r="L586" t="n">
        <v>5345</v>
      </c>
      <c r="M586" t="n">
        <v>1971</v>
      </c>
      <c r="P586" t="inlineStr">
        <is>
          <t>Planned Unit Development</t>
        </is>
      </c>
      <c r="R586" t="inlineStr">
        <is>
          <t>Average</t>
        </is>
      </c>
      <c r="S586" t="n">
        <v>5192</v>
      </c>
      <c r="T586" s="467">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245">
        <f>AND(E586=Subj_OccCode,Subj_BldgSF&gt;0,L586&gt;=Subj_BldgSF*(1-Subj_SizeTol),L586&lt;=Subj_BldgSF*(1+Subj_SizeTol))</f>
        <v/>
      </c>
    </row>
    <row r="587" ht="15" customHeight="1">
      <c r="A587" s="471" t="n">
        <v>8</v>
      </c>
      <c r="B587" s="245" t="n">
        <v>582</v>
      </c>
      <c r="C587" t="inlineStr">
        <is>
          <t>R0079075</t>
        </is>
      </c>
      <c r="D587" t="inlineStr">
        <is>
          <t>5640 E 77TH AVE</t>
        </is>
      </c>
      <c r="E587" t="n">
        <v>325</v>
      </c>
      <c r="G587" t="inlineStr">
        <is>
          <t>5</t>
        </is>
      </c>
      <c r="H587" s="669">
        <f>Y587/J587</f>
        <v/>
      </c>
      <c r="I587" s="670" t="n">
        <v>43133</v>
      </c>
      <c r="J587" t="n">
        <v>11350</v>
      </c>
      <c r="L587" t="n">
        <v>11350</v>
      </c>
      <c r="M587" t="n">
        <v>1978</v>
      </c>
      <c r="R587" t="inlineStr">
        <is>
          <t>Average</t>
        </is>
      </c>
      <c r="S587" t="n">
        <v>47916</v>
      </c>
      <c r="T587" s="467">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245">
        <f>AND(E587=Subj_OccCode,Subj_BldgSF&gt;0,L587&gt;=Subj_BldgSF*(1-Subj_SizeTol),L587&lt;=Subj_BldgSF*(1+Subj_SizeTol))</f>
        <v/>
      </c>
    </row>
    <row r="588" ht="15" customHeight="1">
      <c r="A588" s="471" t="n">
        <v>8</v>
      </c>
      <c r="B588" s="245" t="n">
        <v>583</v>
      </c>
      <c r="C588" t="inlineStr">
        <is>
          <t>R0100916</t>
        </is>
      </c>
      <c r="D588" t="inlineStr">
        <is>
          <t>3720 W 72ND AVE</t>
        </is>
      </c>
      <c r="E588" t="n">
        <v>325</v>
      </c>
      <c r="F588" t="inlineStr">
        <is>
          <t>WESTMINSTER</t>
        </is>
      </c>
      <c r="G588" t="inlineStr">
        <is>
          <t>4</t>
        </is>
      </c>
      <c r="H588" s="669">
        <f>Y588/J588</f>
        <v/>
      </c>
      <c r="I588" s="670" t="n">
        <v>43922</v>
      </c>
      <c r="J588" t="n">
        <v>6000</v>
      </c>
      <c r="L588" t="n">
        <v>6000</v>
      </c>
      <c r="M588" t="n">
        <v>1990</v>
      </c>
      <c r="P588" t="inlineStr">
        <is>
          <t>C-1-Wes</t>
        </is>
      </c>
      <c r="R588" t="inlineStr">
        <is>
          <t>Average</t>
        </is>
      </c>
      <c r="S588" t="n">
        <v>17564</v>
      </c>
      <c r="T588" s="467">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245">
        <f>AND(E588=Subj_OccCode,Subj_BldgSF&gt;0,L588&gt;=Subj_BldgSF*(1-Subj_SizeTol),L588&lt;=Subj_BldgSF*(1+Subj_SizeTol))</f>
        <v/>
      </c>
    </row>
    <row r="589" ht="15" customHeight="1">
      <c r="A589" s="471" t="n">
        <v>8</v>
      </c>
      <c r="B589" s="245" t="n">
        <v>584</v>
      </c>
      <c r="C589" t="inlineStr">
        <is>
          <t>R0187068</t>
        </is>
      </c>
      <c r="D589" t="inlineStr">
        <is>
          <t>12774 S COLORADO BLVD #B-1</t>
        </is>
      </c>
      <c r="E589" t="n">
        <v>341</v>
      </c>
      <c r="F589" t="inlineStr">
        <is>
          <t>THORNTON</t>
        </is>
      </c>
      <c r="G589" t="inlineStr">
        <is>
          <t>3</t>
        </is>
      </c>
      <c r="H589" s="669">
        <f>Y589/J589</f>
        <v/>
      </c>
      <c r="I589" s="670" t="n">
        <v>43455</v>
      </c>
      <c r="J589" t="n">
        <v>4933</v>
      </c>
      <c r="L589" t="n">
        <v>4933</v>
      </c>
      <c r="M589" t="n">
        <v>2004</v>
      </c>
      <c r="R589" t="inlineStr">
        <is>
          <t>Average</t>
        </is>
      </c>
      <c r="S589" t="n">
        <v>22563</v>
      </c>
      <c r="T589" s="467">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245">
        <f>AND(E589=Subj_OccCode,Subj_BldgSF&gt;0,L589&gt;=Subj_BldgSF*(1-Subj_SizeTol),L589&lt;=Subj_BldgSF*(1+Subj_SizeTol))</f>
        <v/>
      </c>
    </row>
    <row r="590" ht="15" customHeight="1">
      <c r="A590" s="471" t="n">
        <v>8</v>
      </c>
      <c r="B590" s="245" t="n">
        <v>585</v>
      </c>
      <c r="C590" t="inlineStr">
        <is>
          <t>R0125143</t>
        </is>
      </c>
      <c r="D590" t="inlineStr">
        <is>
          <t>9670  DALLAS ST #12</t>
        </is>
      </c>
      <c r="E590" t="n">
        <v>425</v>
      </c>
      <c r="G590" t="inlineStr">
        <is>
          <t>2</t>
        </is>
      </c>
      <c r="H590" s="669">
        <f>Y590/J590</f>
        <v/>
      </c>
      <c r="I590" s="670" t="n">
        <v>43395</v>
      </c>
      <c r="J590" t="n">
        <v>2500</v>
      </c>
      <c r="L590" t="n">
        <v>2500</v>
      </c>
      <c r="M590" t="n">
        <v>2000</v>
      </c>
      <c r="R590" t="inlineStr">
        <is>
          <t>Average</t>
        </is>
      </c>
      <c r="S590" t="n">
        <v>7949</v>
      </c>
      <c r="T590" s="467">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245">
        <f>AND(E590=Subj_OccCode,Subj_BldgSF&gt;0,L590&gt;=Subj_BldgSF*(1-Subj_SizeTol),L590&lt;=Subj_BldgSF*(1+Subj_SizeTol))</f>
        <v/>
      </c>
    </row>
    <row r="591" ht="15" customHeight="1">
      <c r="A591" s="471" t="n">
        <v>8</v>
      </c>
      <c r="B591" s="245" t="n">
        <v>586</v>
      </c>
      <c r="C591" t="inlineStr">
        <is>
          <t>R0125131</t>
        </is>
      </c>
      <c r="D591" t="inlineStr">
        <is>
          <t>9670  DALLAS ST #1</t>
        </is>
      </c>
      <c r="E591" t="n">
        <v>425</v>
      </c>
      <c r="G591" t="inlineStr">
        <is>
          <t>2</t>
        </is>
      </c>
      <c r="H591" s="669">
        <f>Y591/J591</f>
        <v/>
      </c>
      <c r="I591" s="670" t="n">
        <v>43433</v>
      </c>
      <c r="J591" t="n">
        <v>2500</v>
      </c>
      <c r="L591" t="n">
        <v>2500</v>
      </c>
      <c r="M591" t="n">
        <v>2000</v>
      </c>
      <c r="R591" t="inlineStr">
        <is>
          <t>Average</t>
        </is>
      </c>
      <c r="S591" t="n">
        <v>7949</v>
      </c>
      <c r="T591" s="467">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245">
        <f>AND(E591=Subj_OccCode,Subj_BldgSF&gt;0,L591&gt;=Subj_BldgSF*(1-Subj_SizeTol),L591&lt;=Subj_BldgSF*(1+Subj_SizeTol))</f>
        <v/>
      </c>
    </row>
    <row r="592" ht="15" customHeight="1">
      <c r="A592" s="471" t="n">
        <v>8</v>
      </c>
      <c r="B592" s="245" t="n">
        <v>587</v>
      </c>
      <c r="C592" t="inlineStr">
        <is>
          <t>R0153403</t>
        </is>
      </c>
      <c r="D592" t="inlineStr">
        <is>
          <t>2150  BRIDGE ST</t>
        </is>
      </c>
      <c r="E592" t="n">
        <v>419</v>
      </c>
      <c r="F592" t="inlineStr">
        <is>
          <t>BRIGHTON</t>
        </is>
      </c>
      <c r="G592" t="inlineStr">
        <is>
          <t>2</t>
        </is>
      </c>
      <c r="H592" s="669">
        <f>Y592/J592</f>
        <v/>
      </c>
      <c r="I592" s="670" t="n">
        <v>44369</v>
      </c>
      <c r="J592" t="n">
        <v>3456</v>
      </c>
      <c r="L592" t="n">
        <v>3456</v>
      </c>
      <c r="M592" t="n">
        <v>2008</v>
      </c>
      <c r="P592" t="inlineStr">
        <is>
          <t>C-2-Bri</t>
        </is>
      </c>
      <c r="R592" t="inlineStr">
        <is>
          <t>Average</t>
        </is>
      </c>
      <c r="S592" t="n">
        <v>76534.92</v>
      </c>
      <c r="T592" s="467">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245">
        <f>AND(E592=Subj_OccCode,Subj_BldgSF&gt;0,L592&gt;=Subj_BldgSF*(1-Subj_SizeTol),L592&lt;=Subj_BldgSF*(1+Subj_SizeTol))</f>
        <v/>
      </c>
    </row>
    <row r="593" ht="15" customHeight="1">
      <c r="A593" s="471" t="n">
        <v>8</v>
      </c>
      <c r="B593" s="245" t="n">
        <v>588</v>
      </c>
      <c r="C593" t="inlineStr">
        <is>
          <t>R0095069</t>
        </is>
      </c>
      <c r="D593" t="inlineStr">
        <is>
          <t>1520  CHESTER ST</t>
        </is>
      </c>
      <c r="E593" t="n">
        <v>325</v>
      </c>
      <c r="F593" t="inlineStr">
        <is>
          <t>AURORA</t>
        </is>
      </c>
      <c r="G593" t="inlineStr">
        <is>
          <t>6</t>
        </is>
      </c>
      <c r="H593" s="669">
        <f>Y593/J593</f>
        <v/>
      </c>
      <c r="I593" s="670" t="n">
        <v>43866</v>
      </c>
      <c r="J593" t="n">
        <v>6455</v>
      </c>
      <c r="L593" t="n">
        <v>6455</v>
      </c>
      <c r="M593" t="n">
        <v>1962</v>
      </c>
      <c r="P593" t="inlineStr">
        <is>
          <t>OA-MS</t>
        </is>
      </c>
      <c r="R593" t="inlineStr">
        <is>
          <t>Average</t>
        </is>
      </c>
      <c r="S593" t="n">
        <v>18335</v>
      </c>
      <c r="T593" s="467">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245">
        <f>AND(E593=Subj_OccCode,Subj_BldgSF&gt;0,L593&gt;=Subj_BldgSF*(1-Subj_SizeTol),L593&lt;=Subj_BldgSF*(1+Subj_SizeTol))</f>
        <v/>
      </c>
    </row>
    <row r="594" ht="15" customHeight="1">
      <c r="A594" s="471" t="n">
        <v>8</v>
      </c>
      <c r="B594" s="245" t="n">
        <v>589</v>
      </c>
      <c r="C594" t="inlineStr">
        <is>
          <t>R0176451</t>
        </is>
      </c>
      <c r="D594" t="inlineStr">
        <is>
          <t>848 E 78TH AVE  3 UNITS</t>
        </is>
      </c>
      <c r="E594" t="n">
        <v>425</v>
      </c>
      <c r="G594" t="inlineStr">
        <is>
          <t>5</t>
        </is>
      </c>
      <c r="H594" s="669">
        <f>Y594/J594</f>
        <v/>
      </c>
      <c r="I594" s="670" t="n">
        <v>44042</v>
      </c>
      <c r="J594" t="n">
        <v>5625</v>
      </c>
      <c r="L594" t="n">
        <v>5625</v>
      </c>
      <c r="M594" t="n">
        <v>2006</v>
      </c>
      <c r="P594" t="inlineStr">
        <is>
          <t>Industrial</t>
        </is>
      </c>
      <c r="R594" t="inlineStr">
        <is>
          <t>Average</t>
        </is>
      </c>
      <c r="S594" t="n">
        <v>21888</v>
      </c>
      <c r="T594" s="467">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245">
        <f>AND(E594=Subj_OccCode,Subj_BldgSF&gt;0,L594&gt;=Subj_BldgSF*(1-Subj_SizeTol),L594&lt;=Subj_BldgSF*(1+Subj_SizeTol))</f>
        <v/>
      </c>
    </row>
    <row r="595" ht="15" customHeight="1">
      <c r="A595" s="471" t="n">
        <v>8</v>
      </c>
      <c r="B595" s="245" t="n">
        <v>590</v>
      </c>
      <c r="C595" t="inlineStr">
        <is>
          <t>R0187234</t>
        </is>
      </c>
      <c r="D595" t="inlineStr">
        <is>
          <t>70  BRIDGE ST</t>
        </is>
      </c>
      <c r="E595" t="n">
        <v>419</v>
      </c>
      <c r="F595" t="inlineStr">
        <is>
          <t>BRIGHTON</t>
        </is>
      </c>
      <c r="G595" t="inlineStr">
        <is>
          <t>2</t>
        </is>
      </c>
      <c r="H595" s="669">
        <f>Y595/J595</f>
        <v/>
      </c>
      <c r="I595" s="670" t="n">
        <v>44559</v>
      </c>
      <c r="J595" t="n">
        <v>3401</v>
      </c>
      <c r="L595" t="n">
        <v>3401</v>
      </c>
      <c r="M595" t="n">
        <v>2009</v>
      </c>
      <c r="P595" t="inlineStr">
        <is>
          <t>C-3-Bri</t>
        </is>
      </c>
      <c r="R595" t="inlineStr">
        <is>
          <t>Average</t>
        </is>
      </c>
      <c r="S595" t="n">
        <v>59440</v>
      </c>
      <c r="T595" s="467">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245">
        <f>AND(E595=Subj_OccCode,Subj_BldgSF&gt;0,L595&gt;=Subj_BldgSF*(1-Subj_SizeTol),L595&lt;=Subj_BldgSF*(1+Subj_SizeTol))</f>
        <v/>
      </c>
    </row>
    <row r="596" ht="15" customHeight="1">
      <c r="A596" s="471" t="n">
        <v>8</v>
      </c>
      <c r="B596" s="245" t="n">
        <v>591</v>
      </c>
      <c r="C596" t="inlineStr">
        <is>
          <t>R0091505</t>
        </is>
      </c>
      <c r="D596" t="inlineStr">
        <is>
          <t>6100 E 64TH AVE</t>
        </is>
      </c>
      <c r="E596" t="n">
        <v>325</v>
      </c>
      <c r="F596" t="inlineStr">
        <is>
          <t>COMMERCE CITY</t>
        </is>
      </c>
      <c r="G596" t="inlineStr">
        <is>
          <t>5</t>
        </is>
      </c>
      <c r="H596" s="669">
        <f>Y596/J596</f>
        <v/>
      </c>
      <c r="I596" s="670" t="n">
        <v>43294</v>
      </c>
      <c r="J596" t="n">
        <v>2050</v>
      </c>
      <c r="L596" t="n">
        <v>2050</v>
      </c>
      <c r="M596" t="n">
        <v>1968</v>
      </c>
      <c r="P596" t="inlineStr">
        <is>
          <t>Commerce City</t>
        </is>
      </c>
      <c r="R596" t="inlineStr">
        <is>
          <t>Average</t>
        </is>
      </c>
      <c r="S596" t="n">
        <v>15540</v>
      </c>
      <c r="T596" s="467">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245">
        <f>AND(E596=Subj_OccCode,Subj_BldgSF&gt;0,L596&gt;=Subj_BldgSF*(1-Subj_SizeTol),L596&lt;=Subj_BldgSF*(1+Subj_SizeTol))</f>
        <v/>
      </c>
    </row>
    <row r="597" ht="15" customHeight="1">
      <c r="A597" s="471" t="n">
        <v>8</v>
      </c>
      <c r="B597" s="245" t="n">
        <v>592</v>
      </c>
      <c r="C597" t="inlineStr">
        <is>
          <t>R0037125</t>
        </is>
      </c>
      <c r="D597" t="inlineStr">
        <is>
          <t>11172  HURON ST #25</t>
        </is>
      </c>
      <c r="E597" t="n">
        <v>1344</v>
      </c>
      <c r="F597" t="inlineStr">
        <is>
          <t>NORTHGLENN</t>
        </is>
      </c>
      <c r="G597" t="inlineStr">
        <is>
          <t>4</t>
        </is>
      </c>
      <c r="H597" s="669">
        <f>Y597/J597</f>
        <v/>
      </c>
      <c r="I597" s="670" t="n">
        <v>44298</v>
      </c>
      <c r="J597" t="n">
        <v>1817</v>
      </c>
      <c r="L597" t="n">
        <v>1817</v>
      </c>
      <c r="M597" t="n">
        <v>1984</v>
      </c>
      <c r="P597" t="inlineStr">
        <is>
          <t>C-3-Nor</t>
        </is>
      </c>
      <c r="R597" t="inlineStr">
        <is>
          <t>Average</t>
        </is>
      </c>
      <c r="S597" t="n">
        <v>1108</v>
      </c>
      <c r="T597" s="467">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245">
        <f>AND(E597=Subj_OccCode,Subj_BldgSF&gt;0,L597&gt;=Subj_BldgSF*(1-Subj_SizeTol),L597&lt;=Subj_BldgSF*(1+Subj_SizeTol))</f>
        <v/>
      </c>
    </row>
    <row r="598" ht="15" customHeight="1">
      <c r="A598" s="471" t="n">
        <v>8</v>
      </c>
      <c r="B598" s="245" t="n">
        <v>593</v>
      </c>
      <c r="C598" t="inlineStr">
        <is>
          <t>R0145696</t>
        </is>
      </c>
      <c r="D598" t="inlineStr">
        <is>
          <t>5418  FEDERAL BLVD</t>
        </is>
      </c>
      <c r="E598" t="n">
        <v>353</v>
      </c>
      <c r="G598" t="inlineStr">
        <is>
          <t>5</t>
        </is>
      </c>
      <c r="H598" s="669">
        <f>Y598/J598</f>
        <v/>
      </c>
      <c r="I598" s="670" t="n">
        <v>43167</v>
      </c>
      <c r="J598" t="n">
        <v>10220</v>
      </c>
      <c r="L598" t="n">
        <v>10220</v>
      </c>
      <c r="M598" t="n">
        <v>1983</v>
      </c>
      <c r="R598" t="inlineStr">
        <is>
          <t>Average</t>
        </is>
      </c>
      <c r="S598" t="n">
        <v>44938</v>
      </c>
      <c r="T598" s="467">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245">
        <f>AND(E598=Subj_OccCode,Subj_BldgSF&gt;0,L598&gt;=Subj_BldgSF*(1-Subj_SizeTol),L598&lt;=Subj_BldgSF*(1+Subj_SizeTol))</f>
        <v/>
      </c>
    </row>
    <row r="599" ht="15" customHeight="1">
      <c r="A599" s="471" t="n">
        <v>8</v>
      </c>
      <c r="B599" s="245" t="n">
        <v>594</v>
      </c>
      <c r="C599" t="inlineStr">
        <is>
          <t>R0037823</t>
        </is>
      </c>
      <c r="D599" t="inlineStr">
        <is>
          <t>10795  IRMA DR</t>
        </is>
      </c>
      <c r="E599" t="n">
        <v>406</v>
      </c>
      <c r="F599" t="inlineStr">
        <is>
          <t>NORTHGLENN</t>
        </is>
      </c>
      <c r="G599" t="inlineStr">
        <is>
          <t>4</t>
        </is>
      </c>
      <c r="H599" s="669">
        <f>Y599/J599</f>
        <v/>
      </c>
      <c r="I599" s="670" t="n">
        <v>43448</v>
      </c>
      <c r="J599" t="n">
        <v>4000</v>
      </c>
      <c r="L599" t="n">
        <v>4000</v>
      </c>
      <c r="M599" t="n">
        <v>1974</v>
      </c>
      <c r="R599" t="inlineStr">
        <is>
          <t>Average</t>
        </is>
      </c>
      <c r="S599" t="n">
        <v>35086</v>
      </c>
      <c r="T599" s="467">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245">
        <f>AND(E599=Subj_OccCode,Subj_BldgSF&gt;0,L599&gt;=Subj_BldgSF*(1-Subj_SizeTol),L599&lt;=Subj_BldgSF*(1+Subj_SizeTol))</f>
        <v/>
      </c>
    </row>
    <row r="600" ht="15" customHeight="1">
      <c r="A600" s="471" t="n">
        <v>8</v>
      </c>
      <c r="B600" s="245" t="n">
        <v>595</v>
      </c>
      <c r="C600" t="inlineStr">
        <is>
          <t>R0118776</t>
        </is>
      </c>
      <c r="D600" t="inlineStr">
        <is>
          <t>6071 E 72ND AVE</t>
        </is>
      </c>
      <c r="E600" t="n">
        <v>319</v>
      </c>
      <c r="F600" t="inlineStr">
        <is>
          <t>COMMERCE CITY</t>
        </is>
      </c>
      <c r="G600" t="inlineStr">
        <is>
          <t>5</t>
        </is>
      </c>
      <c r="H600" s="669">
        <f>Y600/J600</f>
        <v/>
      </c>
      <c r="I600" s="670" t="n">
        <v>43654</v>
      </c>
      <c r="J600" t="n">
        <v>7880</v>
      </c>
      <c r="L600" t="n">
        <v>7880</v>
      </c>
      <c r="M600" t="n">
        <v>2004</v>
      </c>
      <c r="R600" t="inlineStr">
        <is>
          <t>Good</t>
        </is>
      </c>
      <c r="S600" t="n">
        <v>33671.88</v>
      </c>
      <c r="T600" s="467">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245">
        <f>AND(E600=Subj_OccCode,Subj_BldgSF&gt;0,L600&gt;=Subj_BldgSF*(1-Subj_SizeTol),L600&lt;=Subj_BldgSF*(1+Subj_SizeTol))</f>
        <v/>
      </c>
    </row>
    <row r="601" ht="15" customHeight="1">
      <c r="A601" s="471" t="n">
        <v>8</v>
      </c>
      <c r="B601" s="245" t="n">
        <v>596</v>
      </c>
      <c r="C601" t="inlineStr">
        <is>
          <t>R0137582</t>
        </is>
      </c>
      <c r="D601" t="inlineStr">
        <is>
          <t>5610  PECOS ST</t>
        </is>
      </c>
      <c r="E601" t="n">
        <v>406</v>
      </c>
      <c r="G601" t="inlineStr">
        <is>
          <t>5</t>
        </is>
      </c>
      <c r="H601" s="669">
        <f>Y601/J601</f>
        <v/>
      </c>
      <c r="I601" s="670" t="n">
        <v>43250</v>
      </c>
      <c r="J601" t="n">
        <v>17399</v>
      </c>
      <c r="L601" t="n">
        <v>17399</v>
      </c>
      <c r="M601" t="n">
        <v>2004</v>
      </c>
      <c r="R601" t="inlineStr">
        <is>
          <t>Average</t>
        </is>
      </c>
      <c r="S601" t="n">
        <v>321860.48</v>
      </c>
      <c r="T601" s="467">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245">
        <f>AND(E601=Subj_OccCode,Subj_BldgSF&gt;0,L601&gt;=Subj_BldgSF*(1-Subj_SizeTol),L601&lt;=Subj_BldgSF*(1+Subj_SizeTol))</f>
        <v/>
      </c>
    </row>
    <row r="602" ht="15" customHeight="1">
      <c r="A602" s="471" t="n">
        <v>8</v>
      </c>
      <c r="B602" s="245" t="n">
        <v>597</v>
      </c>
      <c r="C602" t="inlineStr">
        <is>
          <t>R0051858</t>
        </is>
      </c>
      <c r="D602" t="inlineStr">
        <is>
          <t>1540  EPPINGER BLVD</t>
        </is>
      </c>
      <c r="E602" t="n">
        <v>426</v>
      </c>
      <c r="F602" t="inlineStr">
        <is>
          <t>THORNTON</t>
        </is>
      </c>
      <c r="G602" t="inlineStr">
        <is>
          <t>4</t>
        </is>
      </c>
      <c r="H602" s="669">
        <f>Y602/J602</f>
        <v/>
      </c>
      <c r="I602" s="670" t="n">
        <v>43675</v>
      </c>
      <c r="J602" t="n">
        <v>2428</v>
      </c>
      <c r="L602" t="n">
        <v>2428</v>
      </c>
      <c r="M602" t="n">
        <v>1954</v>
      </c>
      <c r="P602" t="inlineStr">
        <is>
          <t>Single Family Detached</t>
        </is>
      </c>
      <c r="R602" t="inlineStr">
        <is>
          <t>Average</t>
        </is>
      </c>
      <c r="S602" t="n">
        <v>6500</v>
      </c>
      <c r="T602" s="467">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245">
        <f>AND(E602=Subj_OccCode,Subj_BldgSF&gt;0,L602&gt;=Subj_BldgSF*(1-Subj_SizeTol),L602&lt;=Subj_BldgSF*(1+Subj_SizeTol))</f>
        <v/>
      </c>
    </row>
    <row r="603" ht="15" customHeight="1">
      <c r="A603" s="471" t="n">
        <v>8</v>
      </c>
      <c r="B603" s="245" t="n">
        <v>598</v>
      </c>
      <c r="C603" t="inlineStr">
        <is>
          <t>R0141086</t>
        </is>
      </c>
      <c r="D603" t="inlineStr">
        <is>
          <t>37700  CESSNA WAY #1E</t>
        </is>
      </c>
      <c r="E603" t="n">
        <v>328</v>
      </c>
      <c r="G603" t="inlineStr">
        <is>
          <t>1</t>
        </is>
      </c>
      <c r="H603" s="669">
        <f>Y603/J603</f>
        <v/>
      </c>
      <c r="I603" s="670" t="n">
        <v>44715</v>
      </c>
      <c r="J603" t="n">
        <v>2900</v>
      </c>
      <c r="L603" t="n">
        <v>2900</v>
      </c>
      <c r="M603" t="n">
        <v>2001</v>
      </c>
      <c r="R603" t="inlineStr">
        <is>
          <t>Average</t>
        </is>
      </c>
      <c r="T603" s="467">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245">
        <f>AND(E603=Subj_OccCode,Subj_BldgSF&gt;0,L603&gt;=Subj_BldgSF*(1-Subj_SizeTol),L603&lt;=Subj_BldgSF*(1+Subj_SizeTol))</f>
        <v/>
      </c>
    </row>
    <row r="604" ht="15" customHeight="1">
      <c r="A604" s="471" t="n">
        <v>8</v>
      </c>
      <c r="B604" s="245" t="n">
        <v>600</v>
      </c>
      <c r="C604" t="inlineStr">
        <is>
          <t>R0138741</t>
        </is>
      </c>
      <c r="D604" t="inlineStr">
        <is>
          <t>10410  MELODY DR</t>
        </is>
      </c>
      <c r="E604" t="n">
        <v>419</v>
      </c>
      <c r="F604" t="inlineStr">
        <is>
          <t>NORTHGLENN</t>
        </is>
      </c>
      <c r="G604" t="inlineStr">
        <is>
          <t>4</t>
        </is>
      </c>
      <c r="H604" s="669">
        <f>Y604/J604</f>
        <v/>
      </c>
      <c r="I604" s="670" t="n">
        <v>44182</v>
      </c>
      <c r="J604" t="n">
        <v>2995</v>
      </c>
      <c r="L604" t="n">
        <v>2995</v>
      </c>
      <c r="M604" t="n">
        <v>1989</v>
      </c>
      <c r="P604" t="inlineStr">
        <is>
          <t>C-5-Nor</t>
        </is>
      </c>
      <c r="R604" t="inlineStr">
        <is>
          <t>Average</t>
        </is>
      </c>
      <c r="S604" t="n">
        <v>22500</v>
      </c>
      <c r="T604" s="467">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245">
        <f>AND(E604=Subj_OccCode,Subj_BldgSF&gt;0,L604&gt;=Subj_BldgSF*(1-Subj_SizeTol),L604&lt;=Subj_BldgSF*(1+Subj_SizeTol))</f>
        <v/>
      </c>
    </row>
    <row r="605" ht="15" customHeight="1">
      <c r="A605" s="471" t="n">
        <v>8</v>
      </c>
      <c r="B605" s="245" t="n">
        <v>601</v>
      </c>
      <c r="C605" t="inlineStr">
        <is>
          <t>R0178850</t>
        </is>
      </c>
      <c r="D605" t="inlineStr">
        <is>
          <t>10337  WASHINGTON ST</t>
        </is>
      </c>
      <c r="E605" t="n">
        <v>353</v>
      </c>
      <c r="F605" t="inlineStr">
        <is>
          <t>THORNTON</t>
        </is>
      </c>
      <c r="G605" t="inlineStr">
        <is>
          <t>4</t>
        </is>
      </c>
      <c r="H605" s="669">
        <f>Y605/J605</f>
        <v/>
      </c>
      <c r="I605" s="670" t="n">
        <v>44595</v>
      </c>
      <c r="J605" t="n">
        <v>14980</v>
      </c>
      <c r="L605" t="n">
        <v>14980</v>
      </c>
      <c r="M605" t="n">
        <v>2009</v>
      </c>
      <c r="P605" t="inlineStr">
        <is>
          <t>Community Retail</t>
        </is>
      </c>
      <c r="R605" t="inlineStr">
        <is>
          <t>Low</t>
        </is>
      </c>
      <c r="S605" t="n">
        <v>90147</v>
      </c>
      <c r="T605" s="467">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245">
        <f>AND(E605=Subj_OccCode,Subj_BldgSF&gt;0,L605&gt;=Subj_BldgSF*(1-Subj_SizeTol),L605&lt;=Subj_BldgSF*(1+Subj_SizeTol))</f>
        <v/>
      </c>
    </row>
    <row r="606" ht="15" customHeight="1">
      <c r="A606" s="471" t="n">
        <v>8</v>
      </c>
      <c r="B606" s="245" t="n">
        <v>602</v>
      </c>
      <c r="C606" t="inlineStr">
        <is>
          <t>R0173800</t>
        </is>
      </c>
      <c r="D606" t="inlineStr">
        <is>
          <t>12302 E 104TH PL</t>
        </is>
      </c>
      <c r="E606" t="n">
        <v>353</v>
      </c>
      <c r="F606" t="inlineStr">
        <is>
          <t>COMMERCE CITY</t>
        </is>
      </c>
      <c r="G606" t="inlineStr">
        <is>
          <t>2</t>
        </is>
      </c>
      <c r="H606" s="669">
        <f>Y606/J606</f>
        <v/>
      </c>
      <c r="I606" s="670" t="n">
        <v>44225</v>
      </c>
      <c r="J606" t="n">
        <v>4720</v>
      </c>
      <c r="L606" t="n">
        <v>4720</v>
      </c>
      <c r="M606" t="n">
        <v>2007</v>
      </c>
      <c r="P606" t="inlineStr">
        <is>
          <t>PUD-Com</t>
        </is>
      </c>
      <c r="R606" t="inlineStr">
        <is>
          <t>Average</t>
        </is>
      </c>
      <c r="S606" t="n">
        <v>53215</v>
      </c>
      <c r="T606" s="467">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245">
        <f>AND(E606=Subj_OccCode,Subj_BldgSF&gt;0,L606&gt;=Subj_BldgSF*(1-Subj_SizeTol),L606&lt;=Subj_BldgSF*(1+Subj_SizeTol))</f>
        <v/>
      </c>
    </row>
    <row r="607" ht="15" customHeight="1">
      <c r="A607" s="471" t="n">
        <v>8</v>
      </c>
      <c r="B607" s="245" t="n">
        <v>603</v>
      </c>
      <c r="C607" t="inlineStr">
        <is>
          <t>R0155372</t>
        </is>
      </c>
      <c r="D607" t="inlineStr">
        <is>
          <t>1101 W 62ND AVE</t>
        </is>
      </c>
      <c r="E607" t="n">
        <v>406</v>
      </c>
      <c r="G607" t="inlineStr">
        <is>
          <t>5</t>
        </is>
      </c>
      <c r="H607" s="669">
        <f>Y607/J607</f>
        <v/>
      </c>
      <c r="I607" s="670" t="n">
        <v>43249</v>
      </c>
      <c r="J607" t="n">
        <v>3500</v>
      </c>
      <c r="L607" t="n">
        <v>3500</v>
      </c>
      <c r="M607" t="n">
        <v>2008</v>
      </c>
      <c r="R607" t="inlineStr">
        <is>
          <t>Average</t>
        </is>
      </c>
      <c r="S607" t="n">
        <v>30759</v>
      </c>
      <c r="T607" s="467">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245">
        <f>AND(E607=Subj_OccCode,Subj_BldgSF&gt;0,L607&gt;=Subj_BldgSF*(1-Subj_SizeTol),L607&lt;=Subj_BldgSF*(1+Subj_SizeTol))</f>
        <v/>
      </c>
    </row>
    <row r="608" ht="15" customHeight="1">
      <c r="A608" s="471" t="n">
        <v>8</v>
      </c>
      <c r="B608" s="245" t="n">
        <v>604</v>
      </c>
      <c r="C608" t="inlineStr">
        <is>
          <t>R0178237</t>
        </is>
      </c>
      <c r="D608" t="inlineStr">
        <is>
          <t>12295  PENNSYLVANIA ST</t>
        </is>
      </c>
      <c r="E608" t="n">
        <v>425</v>
      </c>
      <c r="F608" t="inlineStr">
        <is>
          <t>THORNTON</t>
        </is>
      </c>
      <c r="G608" t="inlineStr">
        <is>
          <t>3</t>
        </is>
      </c>
      <c r="H608" s="669">
        <f>Y608/J608</f>
        <v/>
      </c>
      <c r="I608" s="670" t="n">
        <v>44218</v>
      </c>
      <c r="J608" t="n">
        <v>10372</v>
      </c>
      <c r="L608" t="n">
        <v>10372</v>
      </c>
      <c r="M608" t="n">
        <v>2007</v>
      </c>
      <c r="P608" t="inlineStr">
        <is>
          <t>Business Park</t>
        </is>
      </c>
      <c r="R608" t="inlineStr">
        <is>
          <t>Average</t>
        </is>
      </c>
      <c r="S608" t="n">
        <v>9086.379999999999</v>
      </c>
      <c r="T608" s="467">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245">
        <f>AND(E608=Subj_OccCode,Subj_BldgSF&gt;0,L608&gt;=Subj_BldgSF*(1-Subj_SizeTol),L608&lt;=Subj_BldgSF*(1+Subj_SizeTol))</f>
        <v/>
      </c>
    </row>
    <row r="609" ht="15" customHeight="1">
      <c r="A609" s="471" t="n">
        <v>8</v>
      </c>
      <c r="B609" s="245" t="n">
        <v>605</v>
      </c>
      <c r="C609" t="inlineStr">
        <is>
          <t>R0169173</t>
        </is>
      </c>
      <c r="D609" t="inlineStr">
        <is>
          <t>2751 W 120TH AVE</t>
        </is>
      </c>
      <c r="E609" t="n">
        <v>353</v>
      </c>
      <c r="F609" t="inlineStr">
        <is>
          <t>WESTMINSTER</t>
        </is>
      </c>
      <c r="G609" t="inlineStr">
        <is>
          <t>3</t>
        </is>
      </c>
      <c r="H609" s="669">
        <f>Y609/J609</f>
        <v/>
      </c>
      <c r="I609" s="670" t="n">
        <v>44050</v>
      </c>
      <c r="J609" t="n">
        <v>6306</v>
      </c>
      <c r="L609" t="n">
        <v>6306</v>
      </c>
      <c r="M609" t="n">
        <v>2006</v>
      </c>
      <c r="P609" t="inlineStr">
        <is>
          <t>PUD-Wes</t>
        </is>
      </c>
      <c r="R609" t="inlineStr">
        <is>
          <t>Good</t>
        </is>
      </c>
      <c r="S609" t="n">
        <v>40087</v>
      </c>
      <c r="T609" s="467">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245">
        <f>AND(E609=Subj_OccCode,Subj_BldgSF&gt;0,L609&gt;=Subj_BldgSF*(1-Subj_SizeTol),L609&lt;=Subj_BldgSF*(1+Subj_SizeTol))</f>
        <v/>
      </c>
    </row>
    <row r="610" ht="15" customHeight="1">
      <c r="A610" s="471" t="n">
        <v>8</v>
      </c>
      <c r="B610" s="245" t="n">
        <v>606</v>
      </c>
      <c r="C610" t="inlineStr">
        <is>
          <t>R0165671</t>
        </is>
      </c>
      <c r="D610" t="inlineStr">
        <is>
          <t>37800  ASTRA WAY #5E</t>
        </is>
      </c>
      <c r="E610" t="n">
        <v>409</v>
      </c>
      <c r="G610" t="inlineStr">
        <is>
          <t>1</t>
        </is>
      </c>
      <c r="H610" s="669">
        <f>Y610/J610</f>
        <v/>
      </c>
      <c r="I610" s="670" t="n">
        <v>44244</v>
      </c>
      <c r="J610" t="n">
        <v>1234</v>
      </c>
      <c r="L610" t="n">
        <v>1234</v>
      </c>
      <c r="M610" t="n">
        <v>2002</v>
      </c>
      <c r="R610" t="inlineStr">
        <is>
          <t>Average</t>
        </is>
      </c>
      <c r="T610" s="467">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245">
        <f>AND(E610=Subj_OccCode,Subj_BldgSF&gt;0,L610&gt;=Subj_BldgSF*(1-Subj_SizeTol),L610&lt;=Subj_BldgSF*(1+Subj_SizeTol))</f>
        <v/>
      </c>
    </row>
    <row r="611" ht="15" customHeight="1">
      <c r="A611" s="471" t="n">
        <v>8</v>
      </c>
      <c r="B611" s="245" t="n">
        <v>607</v>
      </c>
      <c r="C611" t="inlineStr">
        <is>
          <t>R0051118</t>
        </is>
      </c>
      <c r="D611" t="inlineStr">
        <is>
          <t>9190  HURON ST</t>
        </is>
      </c>
      <c r="E611" t="n">
        <v>419</v>
      </c>
      <c r="F611" t="inlineStr">
        <is>
          <t>THORNTON</t>
        </is>
      </c>
      <c r="G611" t="inlineStr">
        <is>
          <t>4</t>
        </is>
      </c>
      <c r="H611" s="669">
        <f>Y611/J611</f>
        <v/>
      </c>
      <c r="I611" s="670" t="n">
        <v>43118</v>
      </c>
      <c r="J611" t="n">
        <v>1713</v>
      </c>
      <c r="L611" t="n">
        <v>1713</v>
      </c>
      <c r="M611" t="n">
        <v>1971</v>
      </c>
      <c r="P611" t="inlineStr">
        <is>
          <t>Thornton</t>
        </is>
      </c>
      <c r="R611" t="inlineStr">
        <is>
          <t>Average</t>
        </is>
      </c>
      <c r="S611" t="n">
        <v>41411</v>
      </c>
      <c r="T611" s="467">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245">
        <f>AND(E611=Subj_OccCode,Subj_BldgSF&gt;0,L611&gt;=Subj_BldgSF*(1-Subj_SizeTol),L611&lt;=Subj_BldgSF*(1+Subj_SizeTol))</f>
        <v/>
      </c>
    </row>
    <row r="612" ht="15" customHeight="1">
      <c r="A612" s="471" t="n">
        <v>8</v>
      </c>
      <c r="B612" s="245" t="n">
        <v>608</v>
      </c>
      <c r="C612" t="inlineStr">
        <is>
          <t>R0051118</t>
        </is>
      </c>
      <c r="D612" t="inlineStr">
        <is>
          <t>9190  HURON ST</t>
        </is>
      </c>
      <c r="E612" t="n">
        <v>419</v>
      </c>
      <c r="F612" t="inlineStr">
        <is>
          <t>THORNTON</t>
        </is>
      </c>
      <c r="G612" t="inlineStr">
        <is>
          <t>4</t>
        </is>
      </c>
      <c r="H612" s="669">
        <f>Y612/J612</f>
        <v/>
      </c>
      <c r="I612" s="670" t="n">
        <v>44592</v>
      </c>
      <c r="J612" t="n">
        <v>1713</v>
      </c>
      <c r="L612" t="n">
        <v>1713</v>
      </c>
      <c r="M612" t="n">
        <v>1971</v>
      </c>
      <c r="P612" t="inlineStr">
        <is>
          <t>Community Retail</t>
        </is>
      </c>
      <c r="R612" t="inlineStr">
        <is>
          <t>Average</t>
        </is>
      </c>
      <c r="S612" t="n">
        <v>41411</v>
      </c>
      <c r="T612" s="467">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245">
        <f>AND(E612=Subj_OccCode,Subj_BldgSF&gt;0,L612&gt;=Subj_BldgSF*(1-Subj_SizeTol),L612&lt;=Subj_BldgSF*(1+Subj_SizeTol))</f>
        <v/>
      </c>
    </row>
    <row r="613" ht="15" customHeight="1">
      <c r="A613" s="471" t="n">
        <v>8</v>
      </c>
      <c r="B613" s="245" t="n">
        <v>609</v>
      </c>
      <c r="C613" t="inlineStr">
        <is>
          <t>R0174043</t>
        </is>
      </c>
      <c r="D613" t="inlineStr">
        <is>
          <t>2761 W 120TH AVE #220</t>
        </is>
      </c>
      <c r="E613" t="n">
        <v>1344</v>
      </c>
      <c r="F613" t="inlineStr">
        <is>
          <t>WESTMINSTER</t>
        </is>
      </c>
      <c r="G613" t="inlineStr">
        <is>
          <t>3</t>
        </is>
      </c>
      <c r="H613" s="669">
        <f>Y613/J613</f>
        <v/>
      </c>
      <c r="I613" s="670" t="n">
        <v>44659</v>
      </c>
      <c r="J613" t="n">
        <v>1689</v>
      </c>
      <c r="L613" t="n">
        <v>1689</v>
      </c>
      <c r="M613" t="n">
        <v>2006</v>
      </c>
      <c r="P613" t="inlineStr">
        <is>
          <t>PUD-Wes</t>
        </is>
      </c>
      <c r="R613" t="inlineStr">
        <is>
          <t>Average</t>
        </is>
      </c>
      <c r="S613" t="n">
        <v>7699.56</v>
      </c>
      <c r="T613" s="467">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245">
        <f>AND(E613=Subj_OccCode,Subj_BldgSF&gt;0,L613&gt;=Subj_BldgSF*(1-Subj_SizeTol),L613&lt;=Subj_BldgSF*(1+Subj_SizeTol))</f>
        <v/>
      </c>
    </row>
    <row r="614" ht="15" customHeight="1">
      <c r="A614" s="471" t="n">
        <v>8</v>
      </c>
      <c r="B614" s="245" t="n">
        <v>610</v>
      </c>
      <c r="C614" t="inlineStr">
        <is>
          <t>R0173177</t>
        </is>
      </c>
      <c r="D614" t="inlineStr">
        <is>
          <t>2761 W 120TH AVE #110</t>
        </is>
      </c>
      <c r="E614" t="n">
        <v>1344</v>
      </c>
      <c r="F614" t="inlineStr">
        <is>
          <t>WESTMINSTER</t>
        </is>
      </c>
      <c r="G614" t="inlineStr">
        <is>
          <t>3</t>
        </is>
      </c>
      <c r="H614" s="669">
        <f>Y614/J614</f>
        <v/>
      </c>
      <c r="I614" s="670" t="n">
        <v>44533</v>
      </c>
      <c r="J614" t="n">
        <v>3761</v>
      </c>
      <c r="L614" t="n">
        <v>3761</v>
      </c>
      <c r="M614" t="n">
        <v>2006</v>
      </c>
      <c r="P614" t="inlineStr">
        <is>
          <t>PUD-Wes</t>
        </is>
      </c>
      <c r="R614" t="inlineStr">
        <is>
          <t>Average</t>
        </is>
      </c>
      <c r="S614" t="n">
        <v>17499</v>
      </c>
      <c r="T614" s="467">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245">
        <f>AND(E614=Subj_OccCode,Subj_BldgSF&gt;0,L614&gt;=Subj_BldgSF*(1-Subj_SizeTol),L614&lt;=Subj_BldgSF*(1+Subj_SizeTol))</f>
        <v/>
      </c>
    </row>
    <row r="615" ht="15" customHeight="1">
      <c r="A615" s="471" t="n">
        <v>8</v>
      </c>
      <c r="B615" s="245" t="n">
        <v>611</v>
      </c>
      <c r="C615" t="inlineStr">
        <is>
          <t>R0003495</t>
        </is>
      </c>
      <c r="D615" t="inlineStr">
        <is>
          <t>618  BRIDGE ST</t>
        </is>
      </c>
      <c r="E615" t="n">
        <v>344</v>
      </c>
      <c r="F615" t="inlineStr">
        <is>
          <t>BRIGHTON</t>
        </is>
      </c>
      <c r="G615" t="inlineStr">
        <is>
          <t>2</t>
        </is>
      </c>
      <c r="H615" s="669">
        <f>Y615/J615</f>
        <v/>
      </c>
      <c r="I615" s="670" t="n">
        <v>43145</v>
      </c>
      <c r="J615" t="n">
        <v>912</v>
      </c>
      <c r="L615" t="n">
        <v>912</v>
      </c>
      <c r="M615" t="n">
        <v>1918</v>
      </c>
      <c r="P615" t="inlineStr">
        <is>
          <t>Brighton</t>
        </is>
      </c>
      <c r="R615" t="inlineStr">
        <is>
          <t>Average</t>
        </is>
      </c>
      <c r="S615" t="n">
        <v>6250</v>
      </c>
      <c r="T615" s="467">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245">
        <f>AND(E615=Subj_OccCode,Subj_BldgSF&gt;0,L615&gt;=Subj_BldgSF*(1-Subj_SizeTol),L615&lt;=Subj_BldgSF*(1+Subj_SizeTol))</f>
        <v/>
      </c>
    </row>
    <row r="616" ht="15" customHeight="1">
      <c r="A616" s="471" t="n">
        <v>8</v>
      </c>
      <c r="B616" s="245" t="n">
        <v>612</v>
      </c>
      <c r="C616" t="inlineStr">
        <is>
          <t>R0082008</t>
        </is>
      </c>
      <c r="D616" t="inlineStr">
        <is>
          <t>56841 E COLFAX AVE</t>
        </is>
      </c>
      <c r="E616" t="n">
        <v>344</v>
      </c>
      <c r="G616" t="inlineStr">
        <is>
          <t>1</t>
        </is>
      </c>
      <c r="H616" s="669">
        <f>Y616/J616</f>
        <v/>
      </c>
      <c r="I616" s="670" t="n">
        <v>44012</v>
      </c>
      <c r="J616" t="n">
        <v>952</v>
      </c>
      <c r="L616" t="n">
        <v>952</v>
      </c>
      <c r="M616" t="n">
        <v>1954</v>
      </c>
      <c r="P616" t="inlineStr">
        <is>
          <t>Commercial</t>
        </is>
      </c>
      <c r="R616" t="inlineStr">
        <is>
          <t>Average</t>
        </is>
      </c>
      <c r="S616" t="n">
        <v>9375</v>
      </c>
      <c r="T616" s="467">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245">
        <f>AND(E616=Subj_OccCode,Subj_BldgSF&gt;0,L616&gt;=Subj_BldgSF*(1-Subj_SizeTol),L616&lt;=Subj_BldgSF*(1+Subj_SizeTol))</f>
        <v/>
      </c>
    </row>
    <row r="617" ht="15" customHeight="1">
      <c r="A617" s="471" t="n">
        <v>8</v>
      </c>
      <c r="B617" s="245" t="n">
        <v>613</v>
      </c>
      <c r="C617" t="inlineStr">
        <is>
          <t>R0102985</t>
        </is>
      </c>
      <c r="D617" t="inlineStr">
        <is>
          <t>5861  TENNYSON ST</t>
        </is>
      </c>
      <c r="E617" t="n">
        <v>334</v>
      </c>
      <c r="F617" t="inlineStr">
        <is>
          <t>ARVADA</t>
        </is>
      </c>
      <c r="G617" t="inlineStr">
        <is>
          <t>5</t>
        </is>
      </c>
      <c r="H617" s="669">
        <f>Y617/J617</f>
        <v/>
      </c>
      <c r="I617" s="670" t="n">
        <v>44733</v>
      </c>
      <c r="J617" t="n">
        <v>80640</v>
      </c>
      <c r="L617" t="n">
        <v>80640</v>
      </c>
      <c r="M617" t="n">
        <v>2000</v>
      </c>
      <c r="P617" t="inlineStr">
        <is>
          <t>I-1-Arv</t>
        </is>
      </c>
      <c r="R617" t="inlineStr">
        <is>
          <t>Good</t>
        </is>
      </c>
      <c r="S617" t="n">
        <v>230428</v>
      </c>
      <c r="T617" s="467">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245">
        <f>AND(E617=Subj_OccCode,Subj_BldgSF&gt;0,L617&gt;=Subj_BldgSF*(1-Subj_SizeTol),L617&lt;=Subj_BldgSF*(1+Subj_SizeTol))</f>
        <v/>
      </c>
    </row>
    <row r="618" ht="15" customHeight="1">
      <c r="A618" s="471" t="n">
        <v>8</v>
      </c>
      <c r="B618" s="245" t="n">
        <v>614</v>
      </c>
      <c r="C618" t="inlineStr">
        <is>
          <t>R0058113</t>
        </is>
      </c>
      <c r="D618" t="inlineStr">
        <is>
          <t>8490  PEARL ST</t>
        </is>
      </c>
      <c r="E618" t="n">
        <v>325</v>
      </c>
      <c r="F618" t="inlineStr">
        <is>
          <t>THORNTON</t>
        </is>
      </c>
      <c r="G618" t="inlineStr">
        <is>
          <t>4</t>
        </is>
      </c>
      <c r="H618" s="669">
        <f>Y618/J618</f>
        <v/>
      </c>
      <c r="I618" s="670" t="n">
        <v>44516</v>
      </c>
      <c r="J618" t="n">
        <v>4530</v>
      </c>
      <c r="L618" t="n">
        <v>4530</v>
      </c>
      <c r="M618" t="n">
        <v>1962</v>
      </c>
      <c r="P618" t="inlineStr">
        <is>
          <t>Regional Commercial</t>
        </is>
      </c>
      <c r="R618" t="inlineStr">
        <is>
          <t>Average</t>
        </is>
      </c>
      <c r="S618" t="n">
        <v>13650</v>
      </c>
      <c r="T618" s="467">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245">
        <f>AND(E618=Subj_OccCode,Subj_BldgSF&gt;0,L618&gt;=Subj_BldgSF*(1-Subj_SizeTol),L618&lt;=Subj_BldgSF*(1+Subj_SizeTol))</f>
        <v/>
      </c>
    </row>
    <row r="619" ht="15" customHeight="1">
      <c r="A619" s="471" t="n">
        <v>8</v>
      </c>
      <c r="B619" s="245" t="n">
        <v>615</v>
      </c>
      <c r="C619" t="inlineStr">
        <is>
          <t>R0173166</t>
        </is>
      </c>
      <c r="D619" t="inlineStr">
        <is>
          <t>11154  HURON ST #103</t>
        </is>
      </c>
      <c r="E619" t="n">
        <v>1344</v>
      </c>
      <c r="F619" t="inlineStr">
        <is>
          <t>NORTHGLENN</t>
        </is>
      </c>
      <c r="G619" t="inlineStr">
        <is>
          <t>4</t>
        </is>
      </c>
      <c r="H619" s="669">
        <f>Y619/J619</f>
        <v/>
      </c>
      <c r="I619" s="670" t="n">
        <v>44523</v>
      </c>
      <c r="J619" t="n">
        <v>1500</v>
      </c>
      <c r="L619" t="n">
        <v>1500</v>
      </c>
      <c r="M619" t="n">
        <v>2001</v>
      </c>
      <c r="P619" t="inlineStr">
        <is>
          <t>C-0-Nor</t>
        </is>
      </c>
      <c r="R619" t="inlineStr">
        <is>
          <t>Average</t>
        </is>
      </c>
      <c r="S619" t="n">
        <v>5862</v>
      </c>
      <c r="T619" s="467">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245">
        <f>AND(E619=Subj_OccCode,Subj_BldgSF&gt;0,L619&gt;=Subj_BldgSF*(1-Subj_SizeTol),L619&lt;=Subj_BldgSF*(1+Subj_SizeTol))</f>
        <v/>
      </c>
    </row>
    <row r="620" ht="15" customHeight="1">
      <c r="A620" s="471" t="n">
        <v>8</v>
      </c>
      <c r="B620" s="245" t="n">
        <v>616</v>
      </c>
      <c r="C620" t="inlineStr">
        <is>
          <t>R0173170</t>
        </is>
      </c>
      <c r="D620" t="inlineStr">
        <is>
          <t>11154  HURON ST #207</t>
        </is>
      </c>
      <c r="E620" t="n">
        <v>1344</v>
      </c>
      <c r="F620" t="inlineStr">
        <is>
          <t>NORTHGLENN</t>
        </is>
      </c>
      <c r="G620" t="inlineStr">
        <is>
          <t>4</t>
        </is>
      </c>
      <c r="H620" s="669">
        <f>Y620/J620</f>
        <v/>
      </c>
      <c r="I620" s="670" t="n">
        <v>44470</v>
      </c>
      <c r="J620" t="n">
        <v>1829</v>
      </c>
      <c r="L620" t="n">
        <v>1829</v>
      </c>
      <c r="M620" t="n">
        <v>2001</v>
      </c>
      <c r="P620" t="inlineStr">
        <is>
          <t>C-0-Nor</t>
        </is>
      </c>
      <c r="R620" t="inlineStr">
        <is>
          <t>Average</t>
        </is>
      </c>
      <c r="S620" t="n">
        <v>5862</v>
      </c>
      <c r="T620" s="467">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245">
        <f>AND(E620=Subj_OccCode,Subj_BldgSF&gt;0,L620&gt;=Subj_BldgSF*(1-Subj_SizeTol),L620&lt;=Subj_BldgSF*(1+Subj_SizeTol))</f>
        <v/>
      </c>
    </row>
    <row r="621" ht="15" customHeight="1">
      <c r="A621" s="471" t="n">
        <v>8</v>
      </c>
      <c r="B621" s="245" t="n">
        <v>617</v>
      </c>
      <c r="C621" t="inlineStr">
        <is>
          <t>R0164391</t>
        </is>
      </c>
      <c r="D621" t="inlineStr">
        <is>
          <t>2611 W 64TH AVE #B</t>
        </is>
      </c>
      <c r="E621" t="n">
        <v>425</v>
      </c>
      <c r="G621" t="inlineStr">
        <is>
          <t>5</t>
        </is>
      </c>
      <c r="H621" s="669">
        <f>Y621/J621</f>
        <v/>
      </c>
      <c r="I621" s="670" t="n">
        <v>44315</v>
      </c>
      <c r="J621" t="n">
        <v>2005</v>
      </c>
      <c r="L621" t="n">
        <v>2005</v>
      </c>
      <c r="M621" t="n">
        <v>2005</v>
      </c>
      <c r="P621" t="inlineStr">
        <is>
          <t>Industrial</t>
        </is>
      </c>
      <c r="R621" t="inlineStr">
        <is>
          <t>Average</t>
        </is>
      </c>
      <c r="S621" t="n">
        <v>10924</v>
      </c>
      <c r="T621" s="467">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245">
        <f>AND(E621=Subj_OccCode,Subj_BldgSF&gt;0,L621&gt;=Subj_BldgSF*(1-Subj_SizeTol),L621&lt;=Subj_BldgSF*(1+Subj_SizeTol))</f>
        <v/>
      </c>
    </row>
    <row r="622" ht="15" customHeight="1">
      <c r="A622" s="471" t="n">
        <v>8</v>
      </c>
      <c r="B622" s="245" t="n">
        <v>618</v>
      </c>
      <c r="C622" t="inlineStr">
        <is>
          <t>R0150308</t>
        </is>
      </c>
      <c r="D622" t="inlineStr">
        <is>
          <t>7140  IVY ST #F</t>
        </is>
      </c>
      <c r="E622" t="n">
        <v>534</v>
      </c>
      <c r="F622" t="inlineStr">
        <is>
          <t>COMMERCE CITY</t>
        </is>
      </c>
      <c r="G622" t="inlineStr">
        <is>
          <t>2</t>
        </is>
      </c>
      <c r="H622" s="669">
        <f>Y622/J622</f>
        <v/>
      </c>
      <c r="I622" s="670" t="n">
        <v>43328</v>
      </c>
      <c r="J622" t="n">
        <v>1500</v>
      </c>
      <c r="L622" t="n">
        <v>1500</v>
      </c>
      <c r="M622" t="n">
        <v>2002</v>
      </c>
      <c r="R622" t="inlineStr">
        <is>
          <t>Average</t>
        </is>
      </c>
      <c r="S622" t="n">
        <v>6448</v>
      </c>
      <c r="T622" s="467">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245">
        <f>AND(E622=Subj_OccCode,Subj_BldgSF&gt;0,L622&gt;=Subj_BldgSF*(1-Subj_SizeTol),L622&lt;=Subj_BldgSF*(1+Subj_SizeTol))</f>
        <v/>
      </c>
    </row>
    <row r="623" ht="15" customHeight="1">
      <c r="A623" s="471" t="n">
        <v>8</v>
      </c>
      <c r="B623" s="245" t="n">
        <v>619</v>
      </c>
      <c r="C623" t="inlineStr">
        <is>
          <t>R0155093</t>
        </is>
      </c>
      <c r="D623" t="inlineStr">
        <is>
          <t>6915  BROADWAY ST</t>
        </is>
      </c>
      <c r="E623" t="n">
        <v>425</v>
      </c>
      <c r="G623" t="inlineStr">
        <is>
          <t>5</t>
        </is>
      </c>
      <c r="H623" s="669">
        <f>Y623/J623</f>
        <v/>
      </c>
      <c r="I623" s="670" t="n">
        <v>43539</v>
      </c>
      <c r="J623" t="n">
        <v>1310</v>
      </c>
      <c r="L623" t="n">
        <v>1310</v>
      </c>
      <c r="M623" t="n">
        <v>2003</v>
      </c>
      <c r="R623" t="inlineStr">
        <is>
          <t>Good</t>
        </is>
      </c>
      <c r="S623" t="n">
        <v>4402</v>
      </c>
      <c r="T623" s="467">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245">
        <f>AND(E623=Subj_OccCode,Subj_BldgSF&gt;0,L623&gt;=Subj_BldgSF*(1-Subj_SizeTol),L623&lt;=Subj_BldgSF*(1+Subj_SizeTol))</f>
        <v/>
      </c>
    </row>
    <row r="624" ht="15" customHeight="1">
      <c r="A624" s="471" t="n">
        <v>8</v>
      </c>
      <c r="B624" s="245" t="n">
        <v>620</v>
      </c>
      <c r="C624" t="inlineStr">
        <is>
          <t>R0175491</t>
        </is>
      </c>
      <c r="D624" t="inlineStr">
        <is>
          <t>9461 HURON ST</t>
        </is>
      </c>
      <c r="E624" t="n">
        <v>382</v>
      </c>
      <c r="F624" t="inlineStr">
        <is>
          <t>THORNTON</t>
        </is>
      </c>
      <c r="G624" t="inlineStr">
        <is>
          <t>4</t>
        </is>
      </c>
      <c r="H624" s="669">
        <f>Y624/J624</f>
        <v/>
      </c>
      <c r="I624" s="670" t="n">
        <v>43731</v>
      </c>
      <c r="J624" t="n">
        <v>19254</v>
      </c>
      <c r="L624" t="n">
        <v>19254</v>
      </c>
      <c r="M624" t="n">
        <v>2007</v>
      </c>
      <c r="P624" t="inlineStr">
        <is>
          <t>Community Retail</t>
        </is>
      </c>
      <c r="R624" t="inlineStr">
        <is>
          <t>Average</t>
        </is>
      </c>
      <c r="S624" t="n">
        <v>100440</v>
      </c>
      <c r="T624" s="467">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245">
        <f>AND(E624=Subj_OccCode,Subj_BldgSF&gt;0,L624&gt;=Subj_BldgSF*(1-Subj_SizeTol),L624&lt;=Subj_BldgSF*(1+Subj_SizeTol))</f>
        <v/>
      </c>
    </row>
    <row r="625" ht="15" customHeight="1">
      <c r="A625" s="471" t="n">
        <v>8</v>
      </c>
      <c r="B625" s="245" t="n">
        <v>621</v>
      </c>
      <c r="C625" t="inlineStr">
        <is>
          <t>R0168918</t>
        </is>
      </c>
      <c r="D625" t="inlineStr">
        <is>
          <t>640  MALLEY DR</t>
        </is>
      </c>
      <c r="E625" t="n">
        <v>353</v>
      </c>
      <c r="F625" t="inlineStr">
        <is>
          <t>NORTHGLENN</t>
        </is>
      </c>
      <c r="G625" t="inlineStr">
        <is>
          <t>4</t>
        </is>
      </c>
      <c r="H625" s="669">
        <f>Y625/J625</f>
        <v/>
      </c>
      <c r="I625" s="670" t="n">
        <v>44348</v>
      </c>
      <c r="J625" t="n">
        <v>4020</v>
      </c>
      <c r="L625" t="n">
        <v>4020</v>
      </c>
      <c r="M625" t="n">
        <v>1978</v>
      </c>
      <c r="P625" t="inlineStr">
        <is>
          <t>C-4-Nor</t>
        </is>
      </c>
      <c r="R625" t="inlineStr">
        <is>
          <t>Average</t>
        </is>
      </c>
      <c r="S625" t="n">
        <v>36199</v>
      </c>
      <c r="T625" s="467">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245">
        <f>AND(E625=Subj_OccCode,Subj_BldgSF&gt;0,L625&gt;=Subj_BldgSF*(1-Subj_SizeTol),L625&lt;=Subj_BldgSF*(1+Subj_SizeTol))</f>
        <v/>
      </c>
    </row>
    <row r="626" ht="15" customHeight="1">
      <c r="A626" s="471" t="n">
        <v>8</v>
      </c>
      <c r="B626" s="245" t="n">
        <v>622</v>
      </c>
      <c r="C626" t="inlineStr">
        <is>
          <t>R0178560</t>
        </is>
      </c>
      <c r="D626" t="inlineStr">
        <is>
          <t>8450 ROSEMARY ST</t>
        </is>
      </c>
      <c r="E626" t="n">
        <v>406</v>
      </c>
      <c r="F626" t="inlineStr">
        <is>
          <t>COMMERCE CITY</t>
        </is>
      </c>
      <c r="G626" t="inlineStr">
        <is>
          <t>5</t>
        </is>
      </c>
      <c r="H626" s="669">
        <f>Y626/J626</f>
        <v/>
      </c>
      <c r="I626" s="670" t="n">
        <v>44687</v>
      </c>
      <c r="J626" t="n">
        <v>18980</v>
      </c>
      <c r="L626" t="n">
        <v>18980</v>
      </c>
      <c r="M626" t="n">
        <v>1972</v>
      </c>
      <c r="P626" t="inlineStr">
        <is>
          <t>I-1-Com</t>
        </is>
      </c>
      <c r="R626" t="inlineStr">
        <is>
          <t>Average</t>
        </is>
      </c>
      <c r="S626" t="n">
        <v>53025.588</v>
      </c>
      <c r="T626" s="467">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245">
        <f>AND(E626=Subj_OccCode,Subj_BldgSF&gt;0,L626&gt;=Subj_BldgSF*(1-Subj_SizeTol),L626&lt;=Subj_BldgSF*(1+Subj_SizeTol))</f>
        <v/>
      </c>
    </row>
    <row r="627" ht="15" customHeight="1">
      <c r="A627" s="471" t="n">
        <v>8</v>
      </c>
      <c r="B627" s="245" t="n">
        <v>623</v>
      </c>
      <c r="C627" t="inlineStr">
        <is>
          <t>R0132254</t>
        </is>
      </c>
      <c r="D627" t="inlineStr">
        <is>
          <t>9752  HANOVER CT</t>
        </is>
      </c>
      <c r="E627" t="n">
        <v>407</v>
      </c>
      <c r="F627" t="inlineStr">
        <is>
          <t>COMMERCE CITY</t>
        </is>
      </c>
      <c r="G627" t="inlineStr">
        <is>
          <t>5</t>
        </is>
      </c>
      <c r="H627" s="669">
        <f>Y627/J627</f>
        <v/>
      </c>
      <c r="I627" s="670" t="n">
        <v>43983</v>
      </c>
      <c r="J627" t="n">
        <v>14500</v>
      </c>
      <c r="L627" t="n">
        <v>14500</v>
      </c>
      <c r="M627" t="n">
        <v>1999</v>
      </c>
      <c r="P627" t="inlineStr">
        <is>
          <t>PUD-Com</t>
        </is>
      </c>
      <c r="R627" t="inlineStr">
        <is>
          <t>Good</t>
        </is>
      </c>
      <c r="S627" t="n">
        <v>93252</v>
      </c>
      <c r="T627" s="467">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245">
        <f>AND(E627=Subj_OccCode,Subj_BldgSF&gt;0,L627&gt;=Subj_BldgSF*(1-Subj_SizeTol),L627&lt;=Subj_BldgSF*(1+Subj_SizeTol))</f>
        <v/>
      </c>
    </row>
    <row r="628" ht="15" customHeight="1">
      <c r="A628" s="471" t="n">
        <v>8</v>
      </c>
      <c r="B628" s="245" t="n">
        <v>624</v>
      </c>
      <c r="C628" t="inlineStr">
        <is>
          <t>R0179639</t>
        </is>
      </c>
      <c r="D628" t="inlineStr">
        <is>
          <t>18335 E 103RD AVE #203</t>
        </is>
      </c>
      <c r="E628" t="n">
        <v>344</v>
      </c>
      <c r="F628" t="inlineStr">
        <is>
          <t>COMMERCE CITY</t>
        </is>
      </c>
      <c r="G628" t="inlineStr">
        <is>
          <t>2</t>
        </is>
      </c>
      <c r="H628" s="669">
        <f>Y628/J628</f>
        <v/>
      </c>
      <c r="I628" s="670" t="n">
        <v>43900</v>
      </c>
      <c r="J628" t="n">
        <v>2621</v>
      </c>
      <c r="L628" t="n">
        <v>2624</v>
      </c>
      <c r="M628" t="n">
        <v>2010</v>
      </c>
      <c r="P628" t="inlineStr">
        <is>
          <t>PUD-Com</t>
        </is>
      </c>
      <c r="R628" t="inlineStr">
        <is>
          <t>Average</t>
        </is>
      </c>
      <c r="S628" t="n">
        <v>10132</v>
      </c>
      <c r="T628" s="467">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245">
        <f>AND(E628=Subj_OccCode,Subj_BldgSF&gt;0,L628&gt;=Subj_BldgSF*(1-Subj_SizeTol),L628&lt;=Subj_BldgSF*(1+Subj_SizeTol))</f>
        <v/>
      </c>
    </row>
    <row r="629" ht="15" customHeight="1">
      <c r="A629" s="471" t="n">
        <v>8</v>
      </c>
      <c r="B629" s="245" t="n">
        <v>625</v>
      </c>
      <c r="C629" t="inlineStr">
        <is>
          <t>R0162825</t>
        </is>
      </c>
      <c r="D629" t="inlineStr">
        <is>
          <t>11495  WASHINGTON ST</t>
        </is>
      </c>
      <c r="E629" t="n">
        <v>436</v>
      </c>
      <c r="F629" t="inlineStr">
        <is>
          <t>NORTHGLENN</t>
        </is>
      </c>
      <c r="G629" t="inlineStr">
        <is>
          <t>4</t>
        </is>
      </c>
      <c r="H629" s="669">
        <f>Y629/J629</f>
        <v/>
      </c>
      <c r="I629" s="670" t="n">
        <v>43147</v>
      </c>
      <c r="J629" t="n">
        <v>5416</v>
      </c>
      <c r="L629" t="n">
        <v>5416</v>
      </c>
      <c r="M629" t="n">
        <v>2006</v>
      </c>
      <c r="R629" t="inlineStr">
        <is>
          <t>Average</t>
        </is>
      </c>
      <c r="S629" t="n">
        <v>35777</v>
      </c>
      <c r="T629" s="467">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245">
        <f>AND(E629=Subj_OccCode,Subj_BldgSF&gt;0,L629&gt;=Subj_BldgSF*(1-Subj_SizeTol),L629&lt;=Subj_BldgSF*(1+Subj_SizeTol))</f>
        <v/>
      </c>
    </row>
    <row r="630" ht="15" customHeight="1">
      <c r="A630" s="471" t="n">
        <v>8</v>
      </c>
      <c r="B630" s="245" t="n">
        <v>626</v>
      </c>
      <c r="C630" t="inlineStr">
        <is>
          <t>R0155092</t>
        </is>
      </c>
      <c r="D630" t="inlineStr">
        <is>
          <t>6911  BROADWAY ST</t>
        </is>
      </c>
      <c r="E630" t="n">
        <v>425</v>
      </c>
      <c r="G630" t="inlineStr">
        <is>
          <t>5</t>
        </is>
      </c>
      <c r="H630" s="669">
        <f>Y630/J630</f>
        <v/>
      </c>
      <c r="I630" s="670" t="n">
        <v>44153</v>
      </c>
      <c r="J630" t="n">
        <v>2197</v>
      </c>
      <c r="L630" t="n">
        <v>2197</v>
      </c>
      <c r="M630" t="n">
        <v>2003</v>
      </c>
      <c r="P630" t="inlineStr">
        <is>
          <t>Planned Unit Development</t>
        </is>
      </c>
      <c r="R630" t="inlineStr">
        <is>
          <t>Good</t>
        </is>
      </c>
      <c r="S630" t="n">
        <v>4402</v>
      </c>
      <c r="T630" s="467">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245">
        <f>AND(E630=Subj_OccCode,Subj_BldgSF&gt;0,L630&gt;=Subj_BldgSF*(1-Subj_SizeTol),L630&lt;=Subj_BldgSF*(1+Subj_SizeTol))</f>
        <v/>
      </c>
    </row>
    <row r="631" ht="15" customHeight="1">
      <c r="A631" s="471" t="n">
        <v>8</v>
      </c>
      <c r="B631" s="245" t="n">
        <v>627</v>
      </c>
      <c r="C631" t="inlineStr">
        <is>
          <t>R0165222</t>
        </is>
      </c>
      <c r="D631" t="inlineStr">
        <is>
          <t>18364 E 104TH AVE</t>
        </is>
      </c>
      <c r="E631" t="n">
        <v>353</v>
      </c>
      <c r="F631" t="inlineStr">
        <is>
          <t>COMMERCE CITY</t>
        </is>
      </c>
      <c r="G631" t="inlineStr">
        <is>
          <t>2</t>
        </is>
      </c>
      <c r="H631" s="669">
        <f>Y631/J631</f>
        <v/>
      </c>
      <c r="I631" s="670" t="n">
        <v>43441</v>
      </c>
      <c r="J631" t="n">
        <v>7225</v>
      </c>
      <c r="L631" t="n">
        <v>7225</v>
      </c>
      <c r="M631" t="n">
        <v>2007</v>
      </c>
      <c r="R631" t="inlineStr">
        <is>
          <t>Average</t>
        </is>
      </c>
      <c r="S631" t="n">
        <v>24968</v>
      </c>
      <c r="T631" s="467">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245">
        <f>AND(E631=Subj_OccCode,Subj_BldgSF&gt;0,L631&gt;=Subj_BldgSF*(1-Subj_SizeTol),L631&lt;=Subj_BldgSF*(1+Subj_SizeTol))</f>
        <v/>
      </c>
    </row>
    <row r="632" ht="15" customHeight="1">
      <c r="A632" s="471" t="n">
        <v>8</v>
      </c>
      <c r="B632" s="245" t="n">
        <v>628</v>
      </c>
      <c r="C632" t="inlineStr">
        <is>
          <t>R0174706</t>
        </is>
      </c>
      <c r="D632" t="inlineStr">
        <is>
          <t>21 N 42ND AVE</t>
        </is>
      </c>
      <c r="E632" t="n">
        <v>412</v>
      </c>
      <c r="F632" t="inlineStr">
        <is>
          <t>BRIGHTON</t>
        </is>
      </c>
      <c r="G632" t="inlineStr">
        <is>
          <t>2</t>
        </is>
      </c>
      <c r="H632" s="669">
        <f>Y632/J632</f>
        <v/>
      </c>
      <c r="I632" s="670" t="n">
        <v>43103</v>
      </c>
      <c r="J632" t="n">
        <v>15400</v>
      </c>
      <c r="L632" t="n">
        <v>15400</v>
      </c>
      <c r="M632" t="n">
        <v>2004</v>
      </c>
      <c r="R632" t="inlineStr">
        <is>
          <t>Average</t>
        </is>
      </c>
      <c r="S632" t="n">
        <v>14512</v>
      </c>
      <c r="T632" s="467">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245">
        <f>AND(E632=Subj_OccCode,Subj_BldgSF&gt;0,L632&gt;=Subj_BldgSF*(1-Subj_SizeTol),L632&lt;=Subj_BldgSF*(1+Subj_SizeTol))</f>
        <v/>
      </c>
    </row>
    <row r="633" ht="15" customHeight="1">
      <c r="A633" s="471" t="n">
        <v>8</v>
      </c>
      <c r="B633" s="245" t="n">
        <v>629</v>
      </c>
      <c r="C633" t="inlineStr">
        <is>
          <t>R0178209</t>
        </is>
      </c>
      <c r="D633" t="inlineStr">
        <is>
          <t>8940 COLORADO BLVD</t>
        </is>
      </c>
      <c r="E633" t="n">
        <v>434</v>
      </c>
      <c r="F633" t="inlineStr">
        <is>
          <t>THORNTON</t>
        </is>
      </c>
      <c r="G633" t="inlineStr">
        <is>
          <t>5</t>
        </is>
      </c>
      <c r="H633" s="669">
        <f>Y633/J633</f>
        <v/>
      </c>
      <c r="I633" s="670" t="n">
        <v>43767</v>
      </c>
      <c r="J633" t="n">
        <v>3760</v>
      </c>
      <c r="L633" t="n">
        <v>3760</v>
      </c>
      <c r="M633" t="n">
        <v>2009</v>
      </c>
      <c r="P633" t="inlineStr">
        <is>
          <t>Community Retail</t>
        </is>
      </c>
      <c r="R633" t="inlineStr">
        <is>
          <t>Average</t>
        </is>
      </c>
      <c r="S633" t="n">
        <v>55756.8</v>
      </c>
      <c r="T633" s="467">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245">
        <f>AND(E633=Subj_OccCode,Subj_BldgSF&gt;0,L633&gt;=Subj_BldgSF*(1-Subj_SizeTol),L633&lt;=Subj_BldgSF*(1+Subj_SizeTol))</f>
        <v/>
      </c>
    </row>
    <row r="634" ht="15" customHeight="1">
      <c r="A634" s="471" t="n">
        <v>8</v>
      </c>
      <c r="B634" s="245" t="n">
        <v>630</v>
      </c>
      <c r="C634" t="inlineStr">
        <is>
          <t>R0179953</t>
        </is>
      </c>
      <c r="D634" t="inlineStr">
        <is>
          <t xml:space="preserve">7770  HIGHWAY 2 </t>
        </is>
      </c>
      <c r="E634" t="n">
        <v>353</v>
      </c>
      <c r="F634" t="inlineStr">
        <is>
          <t>COMMERCE CITY</t>
        </is>
      </c>
      <c r="G634" t="inlineStr">
        <is>
          <t>5</t>
        </is>
      </c>
      <c r="H634" s="669">
        <f>Y634/J634</f>
        <v/>
      </c>
      <c r="I634" s="670" t="n">
        <v>43801</v>
      </c>
      <c r="J634" t="n">
        <v>360</v>
      </c>
      <c r="L634" t="n">
        <v>360</v>
      </c>
      <c r="M634" t="n">
        <v>1967</v>
      </c>
      <c r="P634" t="inlineStr">
        <is>
          <t>C-2-Com</t>
        </is>
      </c>
      <c r="R634" t="inlineStr">
        <is>
          <t>Average</t>
        </is>
      </c>
      <c r="S634" t="n">
        <v>13869</v>
      </c>
      <c r="T634" s="467">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245">
        <f>AND(E634=Subj_OccCode,Subj_BldgSF&gt;0,L634&gt;=Subj_BldgSF*(1-Subj_SizeTol),L634&lt;=Subj_BldgSF*(1+Subj_SizeTol))</f>
        <v/>
      </c>
    </row>
    <row r="635" ht="15" customHeight="1">
      <c r="A635" s="471" t="n">
        <v>8</v>
      </c>
      <c r="B635" s="245" t="n">
        <v>631</v>
      </c>
      <c r="C635" t="inlineStr">
        <is>
          <t>R0088294</t>
        </is>
      </c>
      <c r="D635" t="inlineStr">
        <is>
          <t>6301 E 71ST AVE</t>
        </is>
      </c>
      <c r="E635" t="n">
        <v>325</v>
      </c>
      <c r="F635" t="inlineStr">
        <is>
          <t>COMMERCE CITY</t>
        </is>
      </c>
      <c r="G635" t="inlineStr">
        <is>
          <t>5</t>
        </is>
      </c>
      <c r="H635" s="669">
        <f>Y635/J635</f>
        <v/>
      </c>
      <c r="I635" s="670" t="n">
        <v>44273</v>
      </c>
      <c r="J635" t="n">
        <v>4320</v>
      </c>
      <c r="L635" t="n">
        <v>4320</v>
      </c>
      <c r="M635" t="n">
        <v>1970</v>
      </c>
      <c r="P635" t="inlineStr">
        <is>
          <t>C-3-Com</t>
        </is>
      </c>
      <c r="R635" t="inlineStr">
        <is>
          <t>Average</t>
        </is>
      </c>
      <c r="S635" t="n">
        <v>12075</v>
      </c>
      <c r="T635" s="467">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245">
        <f>AND(E635=Subj_OccCode,Subj_BldgSF&gt;0,L635&gt;=Subj_BldgSF*(1-Subj_SizeTol),L635&lt;=Subj_BldgSF*(1+Subj_SizeTol))</f>
        <v/>
      </c>
    </row>
    <row r="636" ht="15" customHeight="1">
      <c r="A636" s="471" t="n">
        <v>8</v>
      </c>
      <c r="B636" s="245" t="n">
        <v>632</v>
      </c>
      <c r="C636" t="inlineStr">
        <is>
          <t>R0067136</t>
        </is>
      </c>
      <c r="D636" t="inlineStr">
        <is>
          <t>2957 W 72ND AVE</t>
        </is>
      </c>
      <c r="E636" t="n">
        <v>353</v>
      </c>
      <c r="F636" t="inlineStr">
        <is>
          <t>WESTMINSTER</t>
        </is>
      </c>
      <c r="G636" t="inlineStr">
        <is>
          <t>4</t>
        </is>
      </c>
      <c r="H636" s="669">
        <f>Y636/J636</f>
        <v/>
      </c>
      <c r="I636" s="670" t="n">
        <v>43112</v>
      </c>
      <c r="J636" t="n">
        <v>5145</v>
      </c>
      <c r="L636" t="n">
        <v>5145</v>
      </c>
      <c r="M636" t="n">
        <v>1962</v>
      </c>
      <c r="P636" t="inlineStr">
        <is>
          <t>Westminster</t>
        </is>
      </c>
      <c r="R636" t="inlineStr">
        <is>
          <t>Average</t>
        </is>
      </c>
      <c r="S636" t="n">
        <v>14761</v>
      </c>
      <c r="T636" s="467">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245">
        <f>AND(E636=Subj_OccCode,Subj_BldgSF&gt;0,L636&gt;=Subj_BldgSF*(1-Subj_SizeTol),L636&lt;=Subj_BldgSF*(1+Subj_SizeTol))</f>
        <v/>
      </c>
    </row>
    <row r="637" ht="15" customHeight="1">
      <c r="A637" s="471" t="n">
        <v>8</v>
      </c>
      <c r="B637" s="245" t="n">
        <v>633</v>
      </c>
      <c r="C637" t="inlineStr">
        <is>
          <t>R0059548</t>
        </is>
      </c>
      <c r="D637" t="inlineStr">
        <is>
          <t>2185 W 84TH AVE</t>
        </is>
      </c>
      <c r="E637" t="n">
        <v>325</v>
      </c>
      <c r="G637" t="inlineStr">
        <is>
          <t>4</t>
        </is>
      </c>
      <c r="H637" s="669">
        <f>Y637/J637</f>
        <v/>
      </c>
      <c r="I637" s="670" t="n">
        <v>44685</v>
      </c>
      <c r="J637" t="n">
        <v>2204</v>
      </c>
      <c r="L637" t="n">
        <v>2204</v>
      </c>
      <c r="M637" t="n">
        <v>1967</v>
      </c>
      <c r="P637" t="inlineStr">
        <is>
          <t>Commercial</t>
        </is>
      </c>
      <c r="R637" t="inlineStr">
        <is>
          <t>Average</t>
        </is>
      </c>
      <c r="S637" t="n">
        <v>14941.0801</v>
      </c>
      <c r="T637" s="467">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245">
        <f>AND(E637=Subj_OccCode,Subj_BldgSF&gt;0,L637&gt;=Subj_BldgSF*(1-Subj_SizeTol),L637&lt;=Subj_BldgSF*(1+Subj_SizeTol))</f>
        <v/>
      </c>
    </row>
    <row r="638" ht="15" customHeight="1">
      <c r="A638" s="471" t="n">
        <v>8</v>
      </c>
      <c r="B638" s="245" t="n">
        <v>634</v>
      </c>
      <c r="C638" t="inlineStr">
        <is>
          <t>R0133766</t>
        </is>
      </c>
      <c r="D638" t="inlineStr">
        <is>
          <t>8080  PONTIAC ST</t>
        </is>
      </c>
      <c r="E638" t="n">
        <v>407</v>
      </c>
      <c r="G638" t="inlineStr">
        <is>
          <t>5</t>
        </is>
      </c>
      <c r="H638" s="669">
        <f>Y638/J638</f>
        <v/>
      </c>
      <c r="I638" s="670" t="n">
        <v>44427</v>
      </c>
      <c r="J638" t="n">
        <v>10600</v>
      </c>
      <c r="L638" t="n">
        <v>10600</v>
      </c>
      <c r="M638" t="n">
        <v>2005</v>
      </c>
      <c r="P638" t="inlineStr">
        <is>
          <t>Agricultural</t>
        </is>
      </c>
      <c r="R638" t="inlineStr">
        <is>
          <t>Average</t>
        </is>
      </c>
      <c r="S638" t="n">
        <v>68389.2</v>
      </c>
      <c r="T638" s="467">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245">
        <f>AND(E638=Subj_OccCode,Subj_BldgSF&gt;0,L638&gt;=Subj_BldgSF*(1-Subj_SizeTol),L638&lt;=Subj_BldgSF*(1+Subj_SizeTol))</f>
        <v/>
      </c>
    </row>
    <row r="639" ht="15" customHeight="1">
      <c r="A639" s="471" t="n">
        <v>8</v>
      </c>
      <c r="B639" s="245" t="n">
        <v>635</v>
      </c>
      <c r="C639" t="inlineStr">
        <is>
          <t>R0085794</t>
        </is>
      </c>
      <c r="D639" t="inlineStr">
        <is>
          <t>2200 N CHAMBERS RD #I</t>
        </is>
      </c>
      <c r="E639" t="n">
        <v>425</v>
      </c>
      <c r="F639" t="inlineStr">
        <is>
          <t>AURORA</t>
        </is>
      </c>
      <c r="G639" t="inlineStr">
        <is>
          <t>6</t>
        </is>
      </c>
      <c r="H639" s="669">
        <f>Y639/J639</f>
        <v/>
      </c>
      <c r="I639" s="670" t="n">
        <v>44459</v>
      </c>
      <c r="J639" t="n">
        <v>1500</v>
      </c>
      <c r="L639" t="n">
        <v>1500</v>
      </c>
      <c r="M639" t="n">
        <v>1984</v>
      </c>
      <c r="P639" t="inlineStr">
        <is>
          <t>M-1-Aur</t>
        </is>
      </c>
      <c r="R639" t="inlineStr">
        <is>
          <t>Good</t>
        </is>
      </c>
      <c r="S639" t="n">
        <v>5227</v>
      </c>
      <c r="T639" s="467">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245">
        <f>AND(E639=Subj_OccCode,Subj_BldgSF&gt;0,L639&gt;=Subj_BldgSF*(1-Subj_SizeTol),L639&lt;=Subj_BldgSF*(1+Subj_SizeTol))</f>
        <v/>
      </c>
    </row>
    <row r="640" ht="15" customHeight="1">
      <c r="A640" s="471" t="n">
        <v>8</v>
      </c>
      <c r="B640" s="245" t="n">
        <v>636</v>
      </c>
      <c r="C640" t="inlineStr">
        <is>
          <t>R0147573</t>
        </is>
      </c>
      <c r="D640" t="inlineStr">
        <is>
          <t>9751 E 102ND AVE</t>
        </is>
      </c>
      <c r="E640" t="n">
        <v>407</v>
      </c>
      <c r="F640" t="inlineStr">
        <is>
          <t>COMMERCE CITY</t>
        </is>
      </c>
      <c r="G640" t="inlineStr">
        <is>
          <t>5</t>
        </is>
      </c>
      <c r="H640" s="669">
        <f>Y640/J640</f>
        <v/>
      </c>
      <c r="I640" s="670" t="n">
        <v>44222</v>
      </c>
      <c r="J640" t="n">
        <v>34051</v>
      </c>
      <c r="L640" t="n">
        <v>34051</v>
      </c>
      <c r="M640" t="n">
        <v>2003</v>
      </c>
      <c r="P640" t="inlineStr">
        <is>
          <t>PUD-Com</t>
        </is>
      </c>
      <c r="R640" t="inlineStr">
        <is>
          <t>Average</t>
        </is>
      </c>
      <c r="S640" t="n">
        <v>217800</v>
      </c>
      <c r="T640" s="467">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245">
        <f>AND(E640=Subj_OccCode,Subj_BldgSF&gt;0,L640&gt;=Subj_BldgSF*(1-Subj_SizeTol),L640&lt;=Subj_BldgSF*(1+Subj_SizeTol))</f>
        <v/>
      </c>
    </row>
    <row r="641" ht="15" customHeight="1">
      <c r="A641" s="471" t="n">
        <v>8</v>
      </c>
      <c r="B641" s="245" t="n">
        <v>637</v>
      </c>
      <c r="C641" t="inlineStr">
        <is>
          <t>R0030406</t>
        </is>
      </c>
      <c r="D641" t="inlineStr">
        <is>
          <t>400 E 120TH AVE</t>
        </is>
      </c>
      <c r="E641" t="n">
        <v>353</v>
      </c>
      <c r="F641" t="inlineStr">
        <is>
          <t>NORTHGLENN</t>
        </is>
      </c>
      <c r="G641" t="inlineStr">
        <is>
          <t>4</t>
        </is>
      </c>
      <c r="H641" s="669">
        <f>Y641/J641</f>
        <v/>
      </c>
      <c r="I641" s="670" t="n">
        <v>44651</v>
      </c>
      <c r="J641" t="n">
        <v>7000</v>
      </c>
      <c r="L641" t="n">
        <v>7000</v>
      </c>
      <c r="M641" t="n">
        <v>1995</v>
      </c>
      <c r="P641" t="inlineStr">
        <is>
          <t>C-4-Nor</t>
        </is>
      </c>
      <c r="R641" t="inlineStr">
        <is>
          <t>Average</t>
        </is>
      </c>
      <c r="S641" t="n">
        <v>41427</v>
      </c>
      <c r="T641" s="467">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245">
        <f>AND(E641=Subj_OccCode,Subj_BldgSF&gt;0,L641&gt;=Subj_BldgSF*(1-Subj_SizeTol),L641&lt;=Subj_BldgSF*(1+Subj_SizeTol))</f>
        <v/>
      </c>
    </row>
    <row r="642" ht="15" customHeight="1">
      <c r="A642" s="471" t="n">
        <v>8</v>
      </c>
      <c r="B642" s="245" t="n">
        <v>638</v>
      </c>
      <c r="C642" t="inlineStr">
        <is>
          <t>R0164254</t>
        </is>
      </c>
      <c r="D642" t="inlineStr">
        <is>
          <t>19301 E 23RD AVE</t>
        </is>
      </c>
      <c r="E642" t="n">
        <v>407</v>
      </c>
      <c r="F642" t="inlineStr">
        <is>
          <t>AURORA</t>
        </is>
      </c>
      <c r="G642" t="inlineStr">
        <is>
          <t>6</t>
        </is>
      </c>
      <c r="H642" s="669">
        <f>Y642/J642</f>
        <v/>
      </c>
      <c r="I642" s="670" t="n">
        <v>43522</v>
      </c>
      <c r="J642" t="n">
        <v>18680</v>
      </c>
      <c r="L642" t="n">
        <v>18680</v>
      </c>
      <c r="M642" t="n">
        <v>2005</v>
      </c>
      <c r="R642" t="inlineStr">
        <is>
          <t>Average</t>
        </is>
      </c>
      <c r="S642" t="n">
        <v>73617</v>
      </c>
      <c r="T642" s="467">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245">
        <f>AND(E642=Subj_OccCode,Subj_BldgSF&gt;0,L642&gt;=Subj_BldgSF*(1-Subj_SizeTol),L642&lt;=Subj_BldgSF*(1+Subj_SizeTol))</f>
        <v/>
      </c>
    </row>
    <row r="643" ht="15" customHeight="1">
      <c r="A643" s="471" t="n">
        <v>8</v>
      </c>
      <c r="B643" s="245" t="n">
        <v>639</v>
      </c>
      <c r="C643" t="inlineStr">
        <is>
          <t>R0178832</t>
        </is>
      </c>
      <c r="D643" t="inlineStr">
        <is>
          <t>5190  VIOLET HILL ST #E</t>
        </is>
      </c>
      <c r="E643" t="n">
        <v>328</v>
      </c>
      <c r="G643" t="inlineStr">
        <is>
          <t>1</t>
        </is>
      </c>
      <c r="H643" s="669">
        <f>Y643/J643</f>
        <v/>
      </c>
      <c r="I643" s="670" t="n">
        <v>44669</v>
      </c>
      <c r="J643" t="n">
        <v>4500</v>
      </c>
      <c r="L643" t="n">
        <v>4500</v>
      </c>
      <c r="M643" t="n">
        <v>2006</v>
      </c>
      <c r="R643" t="inlineStr">
        <is>
          <t>Average</t>
        </is>
      </c>
      <c r="T643" s="467">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245">
        <f>AND(E643=Subj_OccCode,Subj_BldgSF&gt;0,L643&gt;=Subj_BldgSF*(1-Subj_SizeTol),L643&lt;=Subj_BldgSF*(1+Subj_SizeTol))</f>
        <v/>
      </c>
    </row>
    <row r="644" ht="15" customHeight="1">
      <c r="A644" s="471" t="n">
        <v>8</v>
      </c>
      <c r="B644" s="245" t="n">
        <v>640</v>
      </c>
      <c r="C644" t="inlineStr">
        <is>
          <t>R0180894</t>
        </is>
      </c>
      <c r="D644" t="inlineStr">
        <is>
          <t>1990  GUN CLUB RD</t>
        </is>
      </c>
      <c r="E644" t="n">
        <v>407</v>
      </c>
      <c r="F644" t="inlineStr">
        <is>
          <t>AURORA</t>
        </is>
      </c>
      <c r="G644" t="inlineStr">
        <is>
          <t>1</t>
        </is>
      </c>
      <c r="H644" s="669">
        <f>Y644/J644</f>
        <v/>
      </c>
      <c r="I644" s="670" t="n">
        <v>44357</v>
      </c>
      <c r="J644" t="n">
        <v>163386</v>
      </c>
      <c r="L644" t="n">
        <v>163386</v>
      </c>
      <c r="M644" t="n">
        <v>2019</v>
      </c>
      <c r="P644" t="inlineStr">
        <is>
          <t>E-470</t>
        </is>
      </c>
      <c r="R644" t="inlineStr">
        <is>
          <t>Average</t>
        </is>
      </c>
      <c r="S644" t="n">
        <v>436488.624</v>
      </c>
      <c r="T644" s="467">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245">
        <f>AND(E644=Subj_OccCode,Subj_BldgSF&gt;0,L644&gt;=Subj_BldgSF*(1-Subj_SizeTol),L644&lt;=Subj_BldgSF*(1+Subj_SizeTol))</f>
        <v/>
      </c>
    </row>
    <row r="645" ht="15" customHeight="1">
      <c r="A645" s="471" t="n">
        <v>8</v>
      </c>
      <c r="B645" s="245" t="n">
        <v>641</v>
      </c>
      <c r="C645" t="inlineStr">
        <is>
          <t>R0185623</t>
        </is>
      </c>
      <c r="D645" t="inlineStr">
        <is>
          <t>7919  ZENOBIA ST</t>
        </is>
      </c>
      <c r="E645" t="n">
        <v>1344</v>
      </c>
      <c r="F645" t="inlineStr">
        <is>
          <t>WESTMINSTER</t>
        </is>
      </c>
      <c r="G645" t="inlineStr">
        <is>
          <t>4</t>
        </is>
      </c>
      <c r="H645" s="669">
        <f>Y645/J645</f>
        <v/>
      </c>
      <c r="I645" s="670" t="n">
        <v>44452</v>
      </c>
      <c r="J645" t="n">
        <v>3780</v>
      </c>
      <c r="L645" t="n">
        <v>3780</v>
      </c>
      <c r="M645" t="n">
        <v>1982</v>
      </c>
      <c r="P645" t="inlineStr">
        <is>
          <t>B-1-Wes</t>
        </is>
      </c>
      <c r="R645" t="inlineStr">
        <is>
          <t>Average</t>
        </is>
      </c>
      <c r="T645" s="467">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245">
        <f>AND(E645=Subj_OccCode,Subj_BldgSF&gt;0,L645&gt;=Subj_BldgSF*(1-Subj_SizeTol),L645&lt;=Subj_BldgSF*(1+Subj_SizeTol))</f>
        <v/>
      </c>
    </row>
    <row r="646" ht="15" customHeight="1">
      <c r="A646" s="471" t="n">
        <v>8</v>
      </c>
      <c r="B646" s="245" t="n">
        <v>642</v>
      </c>
      <c r="C646" t="inlineStr">
        <is>
          <t>R0115424</t>
        </is>
      </c>
      <c r="D646" t="inlineStr">
        <is>
          <t>9652 N HANOVER CTW</t>
        </is>
      </c>
      <c r="E646" t="n">
        <v>407</v>
      </c>
      <c r="F646" t="inlineStr">
        <is>
          <t>COMMERCE CITY</t>
        </is>
      </c>
      <c r="G646" t="inlineStr">
        <is>
          <t>5</t>
        </is>
      </c>
      <c r="H646" s="669">
        <f>Y646/J646</f>
        <v/>
      </c>
      <c r="I646" s="670" t="n">
        <v>44641</v>
      </c>
      <c r="J646" t="n">
        <v>23770</v>
      </c>
      <c r="L646" t="n">
        <v>23770</v>
      </c>
      <c r="M646" t="n">
        <v>2010</v>
      </c>
      <c r="P646" t="inlineStr">
        <is>
          <t>PUD-Com</t>
        </is>
      </c>
      <c r="R646" t="inlineStr">
        <is>
          <t>Average</t>
        </is>
      </c>
      <c r="S646" t="n">
        <v>73703.52340000001</v>
      </c>
      <c r="T646" s="467">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245">
        <f>AND(E646=Subj_OccCode,Subj_BldgSF&gt;0,L646&gt;=Subj_BldgSF*(1-Subj_SizeTol),L646&lt;=Subj_BldgSF*(1+Subj_SizeTol))</f>
        <v/>
      </c>
    </row>
    <row r="647" ht="15" customHeight="1">
      <c r="A647" s="471" t="n">
        <v>8</v>
      </c>
      <c r="B647" s="245" t="n">
        <v>643</v>
      </c>
      <c r="C647" t="inlineStr">
        <is>
          <t>R0177702</t>
        </is>
      </c>
      <c r="D647" t="inlineStr">
        <is>
          <t>525  RUSSELL BLVD</t>
        </is>
      </c>
      <c r="E647" t="n">
        <v>426</v>
      </c>
      <c r="F647" t="inlineStr">
        <is>
          <t>THORNTON</t>
        </is>
      </c>
      <c r="G647" t="inlineStr">
        <is>
          <t>4</t>
        </is>
      </c>
      <c r="H647" s="669">
        <f>Y647/J647</f>
        <v/>
      </c>
      <c r="I647" s="670" t="n">
        <v>43917</v>
      </c>
      <c r="J647" t="n">
        <v>5008</v>
      </c>
      <c r="L647" t="n">
        <v>5008</v>
      </c>
      <c r="M647" t="n">
        <v>2007</v>
      </c>
      <c r="P647" t="inlineStr">
        <is>
          <t>City Center</t>
        </is>
      </c>
      <c r="R647" t="inlineStr">
        <is>
          <t>Average</t>
        </is>
      </c>
      <c r="S647" t="n">
        <v>19283</v>
      </c>
      <c r="T647" s="467">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245">
        <f>AND(E647=Subj_OccCode,Subj_BldgSF&gt;0,L647&gt;=Subj_BldgSF*(1-Subj_SizeTol),L647&lt;=Subj_BldgSF*(1+Subj_SizeTol))</f>
        <v/>
      </c>
    </row>
    <row r="648" ht="15" customHeight="1">
      <c r="A648" s="471" t="n">
        <v>8</v>
      </c>
      <c r="B648" s="245" t="n">
        <v>644</v>
      </c>
      <c r="C648" t="inlineStr">
        <is>
          <t>R0179724</t>
        </is>
      </c>
      <c r="D648" t="inlineStr">
        <is>
          <t>3055  CRAFT WAY</t>
        </is>
      </c>
      <c r="E648" t="n">
        <v>343</v>
      </c>
      <c r="F648" t="inlineStr">
        <is>
          <t>WESTMINSTER</t>
        </is>
      </c>
      <c r="G648" t="inlineStr">
        <is>
          <t>4</t>
        </is>
      </c>
      <c r="H648" s="669">
        <f>Y648/J648</f>
        <v/>
      </c>
      <c r="I648" s="670" t="n">
        <v>44729</v>
      </c>
      <c r="J648" t="n">
        <v>13191</v>
      </c>
      <c r="L648" t="n">
        <v>13191</v>
      </c>
      <c r="M648" t="n">
        <v>2014</v>
      </c>
      <c r="P648" t="inlineStr">
        <is>
          <t>SPD</t>
        </is>
      </c>
      <c r="R648" t="inlineStr">
        <is>
          <t>Average</t>
        </is>
      </c>
      <c r="S648" t="n">
        <v>43799</v>
      </c>
      <c r="T648" s="467">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245">
        <f>AND(E648=Subj_OccCode,Subj_BldgSF&gt;0,L648&gt;=Subj_BldgSF*(1-Subj_SizeTol),L648&lt;=Subj_BldgSF*(1+Subj_SizeTol))</f>
        <v/>
      </c>
    </row>
    <row r="649" ht="15" customHeight="1">
      <c r="A649" s="471" t="n">
        <v>8</v>
      </c>
      <c r="B649" s="245" t="n">
        <v>645</v>
      </c>
      <c r="C649" t="inlineStr">
        <is>
          <t>R0179014</t>
        </is>
      </c>
      <c r="D649" t="inlineStr">
        <is>
          <t>7010  LOWELL BLVD</t>
        </is>
      </c>
      <c r="E649" t="n">
        <v>325</v>
      </c>
      <c r="F649" t="inlineStr">
        <is>
          <t>WESTMINSTER</t>
        </is>
      </c>
      <c r="G649" t="inlineStr">
        <is>
          <t>4</t>
        </is>
      </c>
      <c r="H649" s="669">
        <f>Y649/J649</f>
        <v/>
      </c>
      <c r="I649" s="670" t="n">
        <v>44007</v>
      </c>
      <c r="J649" t="n">
        <v>17200</v>
      </c>
      <c r="L649" t="n">
        <v>17200</v>
      </c>
      <c r="M649" t="n">
        <v>1960</v>
      </c>
      <c r="P649" t="inlineStr">
        <is>
          <t>SPD</t>
        </is>
      </c>
      <c r="R649" t="inlineStr">
        <is>
          <t>Average</t>
        </is>
      </c>
      <c r="S649" t="n">
        <v>89210.88</v>
      </c>
      <c r="T649" s="467">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245">
        <f>AND(E649=Subj_OccCode,Subj_BldgSF&gt;0,L649&gt;=Subj_BldgSF*(1-Subj_SizeTol),L649&lt;=Subj_BldgSF*(1+Subj_SizeTol))</f>
        <v/>
      </c>
    </row>
    <row r="650" ht="15" customHeight="1">
      <c r="A650" s="471" t="n">
        <v>8</v>
      </c>
      <c r="B650" s="245" t="n">
        <v>646</v>
      </c>
      <c r="C650" t="inlineStr">
        <is>
          <t>R0180551</t>
        </is>
      </c>
      <c r="D650" t="inlineStr">
        <is>
          <t>1953 GUNCLUB RD</t>
        </is>
      </c>
      <c r="E650" t="n">
        <v>584</v>
      </c>
      <c r="F650" t="inlineStr">
        <is>
          <t>AURORA</t>
        </is>
      </c>
      <c r="G650" t="inlineStr">
        <is>
          <t>1</t>
        </is>
      </c>
      <c r="H650" s="669">
        <f>Y650/J650</f>
        <v/>
      </c>
      <c r="I650" s="670" t="n">
        <v>44459</v>
      </c>
      <c r="J650" t="n">
        <v>220000</v>
      </c>
      <c r="L650" t="n">
        <v>220000</v>
      </c>
      <c r="M650" t="n">
        <v>2012</v>
      </c>
      <c r="P650" t="inlineStr">
        <is>
          <t>E-470</t>
        </is>
      </c>
      <c r="R650" t="inlineStr">
        <is>
          <t>Average</t>
        </is>
      </c>
      <c r="S650" t="n">
        <v>750297</v>
      </c>
      <c r="T650" s="467">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245">
        <f>AND(E650=Subj_OccCode,Subj_BldgSF&gt;0,L650&gt;=Subj_BldgSF*(1-Subj_SizeTol),L650&lt;=Subj_BldgSF*(1+Subj_SizeTol))</f>
        <v/>
      </c>
    </row>
    <row r="651" ht="15" customHeight="1">
      <c r="A651" s="471" t="n">
        <v>8</v>
      </c>
      <c r="B651" s="245" t="n">
        <v>647</v>
      </c>
      <c r="C651" t="inlineStr">
        <is>
          <t>R0082497</t>
        </is>
      </c>
      <c r="D651" t="inlineStr">
        <is>
          <t>47500 E 38TH AVE</t>
        </is>
      </c>
      <c r="E651" t="n">
        <v>406</v>
      </c>
      <c r="F651" t="inlineStr">
        <is>
          <t>BENNETT</t>
        </is>
      </c>
      <c r="G651" t="inlineStr">
        <is>
          <t>1</t>
        </is>
      </c>
      <c r="H651" s="669">
        <f>Y651/J651</f>
        <v/>
      </c>
      <c r="I651" s="670" t="n">
        <v>43934</v>
      </c>
      <c r="J651" t="n">
        <v>1500</v>
      </c>
      <c r="L651" t="n">
        <v>1500</v>
      </c>
      <c r="M651" t="n">
        <v>1986</v>
      </c>
      <c r="P651" t="inlineStr">
        <is>
          <t>Bennett</t>
        </is>
      </c>
      <c r="R651" t="inlineStr">
        <is>
          <t>Average</t>
        </is>
      </c>
      <c r="S651" t="n">
        <v>65340</v>
      </c>
      <c r="T651" s="467">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245">
        <f>AND(E651=Subj_OccCode,Subj_BldgSF&gt;0,L651&gt;=Subj_BldgSF*(1-Subj_SizeTol),L651&lt;=Subj_BldgSF*(1+Subj_SizeTol))</f>
        <v/>
      </c>
    </row>
    <row r="652" ht="15" customHeight="1">
      <c r="A652" s="471" t="n">
        <v>8</v>
      </c>
      <c r="B652" s="245" t="n">
        <v>648</v>
      </c>
      <c r="C652" t="inlineStr">
        <is>
          <t>R0190173</t>
        </is>
      </c>
      <c r="D652" t="inlineStr">
        <is>
          <t>1501 W 124TH AVE #800</t>
        </is>
      </c>
      <c r="E652" t="n">
        <v>425</v>
      </c>
      <c r="F652" t="inlineStr">
        <is>
          <t>WESTMINSTER</t>
        </is>
      </c>
      <c r="G652" t="inlineStr">
        <is>
          <t>3</t>
        </is>
      </c>
      <c r="H652" s="669">
        <f>Y652/J652</f>
        <v/>
      </c>
      <c r="I652" s="670" t="n">
        <v>43882</v>
      </c>
      <c r="J652" t="n">
        <v>1791</v>
      </c>
      <c r="L652" t="n">
        <v>1791</v>
      </c>
      <c r="M652" t="n">
        <v>2016</v>
      </c>
      <c r="P652" t="inlineStr">
        <is>
          <t>PUD-Wes</t>
        </is>
      </c>
      <c r="R652" t="inlineStr">
        <is>
          <t>Good</t>
        </is>
      </c>
      <c r="S652" t="n">
        <v>5569</v>
      </c>
      <c r="T652" s="467">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245">
        <f>AND(E652=Subj_OccCode,Subj_BldgSF&gt;0,L652&gt;=Subj_BldgSF*(1-Subj_SizeTol),L652&lt;=Subj_BldgSF*(1+Subj_SizeTol))</f>
        <v/>
      </c>
    </row>
    <row r="653" ht="15" customHeight="1">
      <c r="A653" s="471" t="n">
        <v>8</v>
      </c>
      <c r="B653" s="245" t="n">
        <v>649</v>
      </c>
      <c r="C653" t="inlineStr">
        <is>
          <t>R0190174</t>
        </is>
      </c>
      <c r="D653" t="inlineStr">
        <is>
          <t>1501 W 124TH AVE #700</t>
        </is>
      </c>
      <c r="E653" t="n">
        <v>425</v>
      </c>
      <c r="F653" t="inlineStr">
        <is>
          <t>WESTMINSTER</t>
        </is>
      </c>
      <c r="G653" t="inlineStr">
        <is>
          <t>3</t>
        </is>
      </c>
      <c r="H653" s="669">
        <f>Y653/J653</f>
        <v/>
      </c>
      <c r="I653" s="670" t="n">
        <v>44610</v>
      </c>
      <c r="J653" t="n">
        <v>1791</v>
      </c>
      <c r="L653" t="n">
        <v>1791</v>
      </c>
      <c r="M653" t="n">
        <v>2016</v>
      </c>
      <c r="P653" t="inlineStr">
        <is>
          <t>PUD-Wes</t>
        </is>
      </c>
      <c r="R653" t="inlineStr">
        <is>
          <t>Good</t>
        </is>
      </c>
      <c r="S653" t="n">
        <v>5569</v>
      </c>
      <c r="T653" s="467">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245">
        <f>AND(E653=Subj_OccCode,Subj_BldgSF&gt;0,L653&gt;=Subj_BldgSF*(1-Subj_SizeTol),L653&lt;=Subj_BldgSF*(1+Subj_SizeTol))</f>
        <v/>
      </c>
    </row>
    <row r="654" ht="15" customHeight="1">
      <c r="A654" s="471" t="n">
        <v>8</v>
      </c>
      <c r="B654" s="245" t="n">
        <v>650</v>
      </c>
      <c r="C654" t="inlineStr">
        <is>
          <t>R0181733</t>
        </is>
      </c>
      <c r="D654" t="inlineStr">
        <is>
          <t>10401  BELLE CREEK BLVD</t>
        </is>
      </c>
      <c r="E654" t="n">
        <v>353</v>
      </c>
      <c r="F654" t="inlineStr">
        <is>
          <t>COMMERCE CITY</t>
        </is>
      </c>
      <c r="G654" t="inlineStr">
        <is>
          <t>2</t>
        </is>
      </c>
      <c r="H654" s="669">
        <f>Y654/J654</f>
        <v/>
      </c>
      <c r="I654" s="670" t="n">
        <v>43178</v>
      </c>
      <c r="J654" t="n">
        <v>8212</v>
      </c>
      <c r="L654" t="n">
        <v>8212</v>
      </c>
      <c r="M654" t="n">
        <v>2013</v>
      </c>
      <c r="R654" t="inlineStr">
        <is>
          <t>Average</t>
        </is>
      </c>
      <c r="S654" t="n">
        <v>60653</v>
      </c>
      <c r="T654" s="467">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245">
        <f>AND(E654=Subj_OccCode,Subj_BldgSF&gt;0,L654&gt;=Subj_BldgSF*(1-Subj_SizeTol),L654&lt;=Subj_BldgSF*(1+Subj_SizeTol))</f>
        <v/>
      </c>
    </row>
    <row r="655" ht="15" customHeight="1">
      <c r="A655" s="471" t="n">
        <v>8</v>
      </c>
      <c r="B655" s="245" t="n">
        <v>651</v>
      </c>
      <c r="C655" t="inlineStr">
        <is>
          <t>R0175860</t>
        </is>
      </c>
      <c r="D655" t="inlineStr">
        <is>
          <t>5781 E 128TH AVE</t>
        </is>
      </c>
      <c r="E655" t="n">
        <v>353</v>
      </c>
      <c r="F655" t="inlineStr">
        <is>
          <t>THORNTON</t>
        </is>
      </c>
      <c r="G655" t="inlineStr">
        <is>
          <t>2</t>
        </is>
      </c>
      <c r="H655" s="669">
        <f>Y655/J655</f>
        <v/>
      </c>
      <c r="I655" s="670" t="n">
        <v>43385</v>
      </c>
      <c r="J655" t="n">
        <v>10875</v>
      </c>
      <c r="L655" t="n">
        <v>10875</v>
      </c>
      <c r="M655" t="n">
        <v>2008</v>
      </c>
      <c r="R655" t="inlineStr">
        <is>
          <t>Average</t>
        </is>
      </c>
      <c r="S655" t="n">
        <v>52970</v>
      </c>
      <c r="T655" s="467">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245">
        <f>AND(E655=Subj_OccCode,Subj_BldgSF&gt;0,L655&gt;=Subj_BldgSF*(1-Subj_SizeTol),L655&lt;=Subj_BldgSF*(1+Subj_SizeTol))</f>
        <v/>
      </c>
    </row>
    <row r="656" ht="15" customHeight="1">
      <c r="A656" s="471" t="n">
        <v>8</v>
      </c>
      <c r="B656" s="245" t="n">
        <v>652</v>
      </c>
      <c r="C656" t="inlineStr">
        <is>
          <t>R0188699</t>
        </is>
      </c>
      <c r="D656" t="inlineStr">
        <is>
          <t>15100 E 40TH AVE</t>
        </is>
      </c>
      <c r="E656" t="n">
        <v>407</v>
      </c>
      <c r="F656" t="inlineStr">
        <is>
          <t>AURORA</t>
        </is>
      </c>
      <c r="G656" t="inlineStr">
        <is>
          <t>6</t>
        </is>
      </c>
      <c r="H656" s="669">
        <f>Y656/J656</f>
        <v/>
      </c>
      <c r="I656" s="670" t="n">
        <v>43245</v>
      </c>
      <c r="J656" t="n">
        <v>105848</v>
      </c>
      <c r="L656" t="n">
        <v>105848</v>
      </c>
      <c r="M656" t="n">
        <v>2016</v>
      </c>
      <c r="P656" t="inlineStr">
        <is>
          <t>M-1-Aur</t>
        </is>
      </c>
      <c r="R656" t="inlineStr">
        <is>
          <t>Average</t>
        </is>
      </c>
      <c r="S656" t="n">
        <v>268481</v>
      </c>
      <c r="T656" s="467">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245">
        <f>AND(E656=Subj_OccCode,Subj_BldgSF&gt;0,L656&gt;=Subj_BldgSF*(1-Subj_SizeTol),L656&lt;=Subj_BldgSF*(1+Subj_SizeTol))</f>
        <v/>
      </c>
    </row>
    <row r="657" ht="15" customHeight="1">
      <c r="A657" s="471" t="n">
        <v>8</v>
      </c>
      <c r="B657" s="245" t="n">
        <v>653</v>
      </c>
      <c r="C657" t="inlineStr">
        <is>
          <t>R0175821</t>
        </is>
      </c>
      <c r="D657" t="inlineStr">
        <is>
          <t>13591  HURON ST</t>
        </is>
      </c>
      <c r="E657" t="n">
        <v>353</v>
      </c>
      <c r="F657" t="inlineStr">
        <is>
          <t>WESTMINSTER</t>
        </is>
      </c>
      <c r="G657" t="inlineStr">
        <is>
          <t>3</t>
        </is>
      </c>
      <c r="H657" s="669">
        <f>Y657/J657</f>
        <v/>
      </c>
      <c r="I657" s="670" t="n">
        <v>43278</v>
      </c>
      <c r="J657" t="n">
        <v>5858</v>
      </c>
      <c r="L657" t="n">
        <v>5858</v>
      </c>
      <c r="M657" t="n">
        <v>2015</v>
      </c>
      <c r="R657" t="inlineStr">
        <is>
          <t>Good</t>
        </is>
      </c>
      <c r="S657" t="n">
        <v>50016</v>
      </c>
      <c r="T657" s="467">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245">
        <f>AND(E657=Subj_OccCode,Subj_BldgSF&gt;0,L657&gt;=Subj_BldgSF*(1-Subj_SizeTol),L657&lt;=Subj_BldgSF*(1+Subj_SizeTol))</f>
        <v/>
      </c>
    </row>
    <row r="658" ht="15" customHeight="1">
      <c r="A658" s="471" t="n">
        <v>8</v>
      </c>
      <c r="B658" s="245" t="n">
        <v>654</v>
      </c>
      <c r="C658" t="inlineStr">
        <is>
          <t>R0182980</t>
        </is>
      </c>
      <c r="D658" t="inlineStr">
        <is>
          <t>210  GREAT WESTERN RD</t>
        </is>
      </c>
      <c r="E658" t="n">
        <v>344</v>
      </c>
      <c r="F658" t="inlineStr">
        <is>
          <t>BRIGHTON</t>
        </is>
      </c>
      <c r="G658" t="inlineStr">
        <is>
          <t>2</t>
        </is>
      </c>
      <c r="H658" s="669">
        <f>Y658/J658</f>
        <v/>
      </c>
      <c r="I658" s="670" t="n">
        <v>44620</v>
      </c>
      <c r="J658" t="n">
        <v>2508</v>
      </c>
      <c r="L658" t="n">
        <v>2508</v>
      </c>
      <c r="M658" t="n">
        <v>2014</v>
      </c>
      <c r="P658" t="inlineStr">
        <is>
          <t>DT</t>
        </is>
      </c>
      <c r="R658" t="inlineStr">
        <is>
          <t>Average</t>
        </is>
      </c>
      <c r="S658" t="n">
        <v>46843</v>
      </c>
      <c r="T658" s="467">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245">
        <f>AND(E658=Subj_OccCode,Subj_BldgSF&gt;0,L658&gt;=Subj_BldgSF*(1-Subj_SizeTol),L658&lt;=Subj_BldgSF*(1+Subj_SizeTol))</f>
        <v/>
      </c>
    </row>
    <row r="659" ht="15" customHeight="1">
      <c r="A659" s="471" t="n">
        <v>8</v>
      </c>
      <c r="B659" s="245" t="n">
        <v>655</v>
      </c>
      <c r="C659" t="inlineStr">
        <is>
          <t>R0190879</t>
        </is>
      </c>
      <c r="D659" t="inlineStr">
        <is>
          <t>1321 S 4TH AVE</t>
        </is>
      </c>
      <c r="E659" t="n">
        <v>341</v>
      </c>
      <c r="F659" t="inlineStr">
        <is>
          <t>BRIGHTON</t>
        </is>
      </c>
      <c r="G659" t="inlineStr">
        <is>
          <t>2</t>
        </is>
      </c>
      <c r="H659" s="669">
        <f>Y659/J659</f>
        <v/>
      </c>
      <c r="I659" s="670" t="n">
        <v>44414</v>
      </c>
      <c r="J659" t="n">
        <v>9444</v>
      </c>
      <c r="L659" t="n">
        <v>9444</v>
      </c>
      <c r="M659" t="n">
        <v>2016</v>
      </c>
      <c r="P659" t="inlineStr">
        <is>
          <t>I-1-Bri</t>
        </is>
      </c>
      <c r="R659" t="inlineStr">
        <is>
          <t>Average</t>
        </is>
      </c>
      <c r="S659" t="n">
        <v>45271</v>
      </c>
      <c r="T659" s="467">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245">
        <f>AND(E659=Subj_OccCode,Subj_BldgSF&gt;0,L659&gt;=Subj_BldgSF*(1-Subj_SizeTol),L659&lt;=Subj_BldgSF*(1+Subj_SizeTol))</f>
        <v/>
      </c>
    </row>
    <row r="660" ht="15" customHeight="1">
      <c r="A660" s="471" t="n">
        <v>8</v>
      </c>
      <c r="B660" s="245" t="n">
        <v>656</v>
      </c>
      <c r="C660" t="inlineStr">
        <is>
          <t>R0181286</t>
        </is>
      </c>
      <c r="D660" t="inlineStr">
        <is>
          <t>10555 IRMA DR</t>
        </is>
      </c>
      <c r="E660" t="n">
        <v>325</v>
      </c>
      <c r="F660" t="inlineStr">
        <is>
          <t>NORTHGLENN</t>
        </is>
      </c>
      <c r="G660" t="inlineStr">
        <is>
          <t>4</t>
        </is>
      </c>
      <c r="H660" s="669">
        <f>Y660/J660</f>
        <v/>
      </c>
      <c r="I660" s="670" t="n">
        <v>44560</v>
      </c>
      <c r="J660" t="n">
        <v>9836</v>
      </c>
      <c r="L660" t="n">
        <v>9836</v>
      </c>
      <c r="M660" t="n">
        <v>2014</v>
      </c>
      <c r="P660" t="inlineStr">
        <is>
          <t>PUD-Nor</t>
        </is>
      </c>
      <c r="R660" t="inlineStr">
        <is>
          <t>Average</t>
        </is>
      </c>
      <c r="S660" t="n">
        <v>49222.8</v>
      </c>
      <c r="T660" s="467">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245">
        <f>AND(E660=Subj_OccCode,Subj_BldgSF&gt;0,L660&gt;=Subj_BldgSF*(1-Subj_SizeTol),L660&lt;=Subj_BldgSF*(1+Subj_SizeTol))</f>
        <v/>
      </c>
    </row>
    <row r="661" ht="15" customHeight="1">
      <c r="A661" s="471" t="n">
        <v>8</v>
      </c>
      <c r="B661" s="245" t="n">
        <v>657</v>
      </c>
      <c r="C661" t="inlineStr">
        <is>
          <t>R0190170</t>
        </is>
      </c>
      <c r="D661" t="inlineStr">
        <is>
          <t>601 E 64TH AVE</t>
        </is>
      </c>
      <c r="E661" t="n">
        <v>407</v>
      </c>
      <c r="G661" t="inlineStr">
        <is>
          <t>5</t>
        </is>
      </c>
      <c r="H661" s="669">
        <f>Y661/J661</f>
        <v/>
      </c>
      <c r="I661" s="670" t="n">
        <v>43230</v>
      </c>
      <c r="J661" t="n">
        <v>419745</v>
      </c>
      <c r="L661" t="n">
        <v>419745</v>
      </c>
      <c r="M661" t="n">
        <v>2016</v>
      </c>
      <c r="R661" t="inlineStr">
        <is>
          <t>Average</t>
        </is>
      </c>
      <c r="S661" t="n">
        <v>1078261</v>
      </c>
      <c r="T661" s="467">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245">
        <f>AND(E661=Subj_OccCode,Subj_BldgSF&gt;0,L661&gt;=Subj_BldgSF*(1-Subj_SizeTol),L661&lt;=Subj_BldgSF*(1+Subj_SizeTol))</f>
        <v/>
      </c>
    </row>
    <row r="662" ht="15" customHeight="1">
      <c r="A662" s="471" t="n">
        <v>8</v>
      </c>
      <c r="B662" s="245" t="n">
        <v>658</v>
      </c>
      <c r="C662" t="inlineStr">
        <is>
          <t>R0188149</t>
        </is>
      </c>
      <c r="D662" t="inlineStr">
        <is>
          <t>7580  SHERIDAN BLVD</t>
        </is>
      </c>
      <c r="E662" t="n">
        <v>353</v>
      </c>
      <c r="F662" t="inlineStr">
        <is>
          <t>WESTMINSTER</t>
        </is>
      </c>
      <c r="G662" t="inlineStr">
        <is>
          <t>4</t>
        </is>
      </c>
      <c r="H662" s="669">
        <f>Y662/J662</f>
        <v/>
      </c>
      <c r="I662" s="670" t="n">
        <v>44179</v>
      </c>
      <c r="J662" t="n">
        <v>2275</v>
      </c>
      <c r="L662" t="n">
        <v>2275</v>
      </c>
      <c r="M662" t="n">
        <v>1971</v>
      </c>
      <c r="P662" t="inlineStr">
        <is>
          <t>PUD-Wes</t>
        </is>
      </c>
      <c r="R662" t="inlineStr">
        <is>
          <t>Average</t>
        </is>
      </c>
      <c r="S662" t="n">
        <v>20140</v>
      </c>
      <c r="T662" s="467">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245">
        <f>AND(E662=Subj_OccCode,Subj_BldgSF&gt;0,L662&gt;=Subj_BldgSF*(1-Subj_SizeTol),L662&lt;=Subj_BldgSF*(1+Subj_SizeTol))</f>
        <v/>
      </c>
    </row>
    <row r="663" ht="15" customHeight="1">
      <c r="A663" s="471" t="n">
        <v>8</v>
      </c>
      <c r="B663" s="245" t="n">
        <v>659</v>
      </c>
      <c r="C663" t="inlineStr">
        <is>
          <t>R0180952</t>
        </is>
      </c>
      <c r="D663" t="inlineStr">
        <is>
          <t>3350 ODESSA WY</t>
        </is>
      </c>
      <c r="E663" t="n">
        <v>406</v>
      </c>
      <c r="F663" t="inlineStr">
        <is>
          <t>AURORA</t>
        </is>
      </c>
      <c r="G663" t="inlineStr">
        <is>
          <t>6</t>
        </is>
      </c>
      <c r="H663" s="669">
        <f>Y663/J663</f>
        <v/>
      </c>
      <c r="I663" s="670" t="n">
        <v>44351</v>
      </c>
      <c r="J663" t="n">
        <v>32845</v>
      </c>
      <c r="L663" t="n">
        <v>32845</v>
      </c>
      <c r="M663" t="n">
        <v>2013</v>
      </c>
      <c r="P663" t="inlineStr">
        <is>
          <t>M-1-Aur</t>
        </is>
      </c>
      <c r="R663" t="inlineStr">
        <is>
          <t>Average</t>
        </is>
      </c>
      <c r="S663" t="n">
        <v>297945</v>
      </c>
      <c r="T663" s="467">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245">
        <f>AND(E663=Subj_OccCode,Subj_BldgSF&gt;0,L663&gt;=Subj_BldgSF*(1-Subj_SizeTol),L663&lt;=Subj_BldgSF*(1+Subj_SizeTol))</f>
        <v/>
      </c>
    </row>
    <row r="664" ht="15" customHeight="1">
      <c r="A664" s="471" t="n">
        <v>8</v>
      </c>
      <c r="B664" s="245" t="n">
        <v>660</v>
      </c>
      <c r="C664" t="inlineStr">
        <is>
          <t>R0192486</t>
        </is>
      </c>
      <c r="D664" t="inlineStr">
        <is>
          <t>7398  FEDERAL BLVD</t>
        </is>
      </c>
      <c r="E664" t="n">
        <v>344</v>
      </c>
      <c r="F664" t="inlineStr">
        <is>
          <t>WESTMINSTER</t>
        </is>
      </c>
      <c r="G664" t="inlineStr">
        <is>
          <t>4</t>
        </is>
      </c>
      <c r="H664" s="669">
        <f>Y664/J664</f>
        <v/>
      </c>
      <c r="I664" s="670" t="n">
        <v>44091</v>
      </c>
      <c r="J664" t="n">
        <v>2410</v>
      </c>
      <c r="L664" t="n">
        <v>2410</v>
      </c>
      <c r="M664" t="n">
        <v>1971</v>
      </c>
      <c r="P664" t="inlineStr">
        <is>
          <t>C-1-Wes</t>
        </is>
      </c>
      <c r="R664" t="inlineStr">
        <is>
          <t>Average</t>
        </is>
      </c>
      <c r="S664" t="n">
        <v>23139</v>
      </c>
      <c r="T664" s="467">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245">
        <f>AND(E664=Subj_OccCode,Subj_BldgSF&gt;0,L664&gt;=Subj_BldgSF*(1-Subj_SizeTol),L664&lt;=Subj_BldgSF*(1+Subj_SizeTol))</f>
        <v/>
      </c>
    </row>
    <row r="665" ht="15" customHeight="1">
      <c r="A665" s="471" t="n">
        <v>8</v>
      </c>
      <c r="B665" s="245" t="n">
        <v>661</v>
      </c>
      <c r="C665" t="inlineStr">
        <is>
          <t>R0195676</t>
        </is>
      </c>
      <c r="D665" t="inlineStr">
        <is>
          <t>8411 N STACY DR</t>
        </is>
      </c>
      <c r="E665" t="n">
        <v>444</v>
      </c>
      <c r="F665" t="inlineStr">
        <is>
          <t>FEDERAL HEIGHTS</t>
        </is>
      </c>
      <c r="G665" t="inlineStr">
        <is>
          <t>4</t>
        </is>
      </c>
      <c r="H665" s="669">
        <f>Y665/J665</f>
        <v/>
      </c>
      <c r="I665" s="670" t="n">
        <v>44523</v>
      </c>
      <c r="J665" t="n">
        <v>2873</v>
      </c>
      <c r="L665" t="n">
        <v>2873</v>
      </c>
      <c r="M665" t="n">
        <v>2001</v>
      </c>
      <c r="P665" t="inlineStr">
        <is>
          <t>C-1-Fed</t>
        </is>
      </c>
      <c r="R665" t="inlineStr">
        <is>
          <t>Good</t>
        </is>
      </c>
      <c r="S665" t="n">
        <v>3588</v>
      </c>
      <c r="T665" s="467">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245">
        <f>AND(E665=Subj_OccCode,Subj_BldgSF&gt;0,L665&gt;=Subj_BldgSF*(1-Subj_SizeTol),L665&lt;=Subj_BldgSF*(1+Subj_SizeTol))</f>
        <v/>
      </c>
    </row>
    <row r="666" ht="15" customHeight="1">
      <c r="A666" s="471" t="n">
        <v>8</v>
      </c>
      <c r="B666" s="245" t="n">
        <v>662</v>
      </c>
      <c r="C666" t="inlineStr">
        <is>
          <t>R0194307</t>
        </is>
      </c>
      <c r="D666" t="inlineStr">
        <is>
          <t xml:space="preserve">6496  HWY 2 </t>
        </is>
      </c>
      <c r="E666" t="n">
        <v>442</v>
      </c>
      <c r="F666" t="inlineStr">
        <is>
          <t>COMMERCE CITY</t>
        </is>
      </c>
      <c r="G666" t="inlineStr">
        <is>
          <t>5</t>
        </is>
      </c>
      <c r="H666" s="669">
        <f>Y666/J666</f>
        <v/>
      </c>
      <c r="I666" s="670" t="n">
        <v>43159</v>
      </c>
      <c r="J666" t="n">
        <v>5016</v>
      </c>
      <c r="L666" t="n">
        <v>5016</v>
      </c>
      <c r="M666" t="n">
        <v>1941</v>
      </c>
      <c r="R666" t="inlineStr">
        <is>
          <t>Average</t>
        </is>
      </c>
      <c r="S666" t="n">
        <v>42636</v>
      </c>
      <c r="T666" s="467">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245">
        <f>AND(E666=Subj_OccCode,Subj_BldgSF&gt;0,L666&gt;=Subj_BldgSF*(1-Subj_SizeTol),L666&lt;=Subj_BldgSF*(1+Subj_SizeTol))</f>
        <v/>
      </c>
    </row>
    <row r="667" ht="15" customHeight="1">
      <c r="A667" s="471" t="n">
        <v>8</v>
      </c>
      <c r="B667" s="245" t="n">
        <v>663</v>
      </c>
      <c r="C667" t="inlineStr">
        <is>
          <t>R0176600</t>
        </is>
      </c>
      <c r="D667" t="inlineStr">
        <is>
          <t>521 W 115TH AVE</t>
        </is>
      </c>
      <c r="E667" t="n">
        <v>386</v>
      </c>
      <c r="F667" t="inlineStr">
        <is>
          <t>NORTHGLENN</t>
        </is>
      </c>
      <c r="G667" t="inlineStr">
        <is>
          <t>4</t>
        </is>
      </c>
      <c r="H667" s="669">
        <f>Y667/J667</f>
        <v/>
      </c>
      <c r="I667" s="670" t="n">
        <v>44545</v>
      </c>
      <c r="J667" t="n">
        <v>11715</v>
      </c>
      <c r="L667" t="n">
        <v>11715</v>
      </c>
      <c r="M667" t="n">
        <v>2016</v>
      </c>
      <c r="P667" t="inlineStr">
        <is>
          <t>PUD-Nor</t>
        </is>
      </c>
      <c r="R667" t="inlineStr">
        <is>
          <t>Average</t>
        </is>
      </c>
      <c r="S667" t="n">
        <v>34033</v>
      </c>
      <c r="T667" s="467">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245">
        <f>AND(E667=Subj_OccCode,Subj_BldgSF&gt;0,L667&gt;=Subj_BldgSF*(1-Subj_SizeTol),L667&lt;=Subj_BldgSF*(1+Subj_SizeTol))</f>
        <v/>
      </c>
    </row>
    <row r="668" ht="15" customHeight="1">
      <c r="A668" s="471" t="n">
        <v>8</v>
      </c>
      <c r="B668" s="245" t="n">
        <v>664</v>
      </c>
      <c r="C668" t="inlineStr">
        <is>
          <t>R0190171</t>
        </is>
      </c>
      <c r="D668" t="inlineStr">
        <is>
          <t>1511 W 124TH AVE</t>
        </is>
      </c>
      <c r="E668" t="n">
        <v>425</v>
      </c>
      <c r="F668" t="inlineStr">
        <is>
          <t>WESTMINSTER</t>
        </is>
      </c>
      <c r="G668" t="inlineStr">
        <is>
          <t>3</t>
        </is>
      </c>
      <c r="H668" s="669">
        <f>Y668/J668</f>
        <v/>
      </c>
      <c r="I668" s="670" t="n">
        <v>43920</v>
      </c>
      <c r="J668" t="n">
        <v>4000</v>
      </c>
      <c r="L668" t="n">
        <v>4000</v>
      </c>
      <c r="M668" t="n">
        <v>2016</v>
      </c>
      <c r="P668" t="inlineStr">
        <is>
          <t>PUD-Wes</t>
        </is>
      </c>
      <c r="R668" t="inlineStr">
        <is>
          <t>Good</t>
        </is>
      </c>
      <c r="S668" t="n">
        <v>5569</v>
      </c>
      <c r="T668" s="467">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245">
        <f>AND(E668=Subj_OccCode,Subj_BldgSF&gt;0,L668&gt;=Subj_BldgSF*(1-Subj_SizeTol),L668&lt;=Subj_BldgSF*(1+Subj_SizeTol))</f>
        <v/>
      </c>
    </row>
    <row r="669" ht="15" customHeight="1">
      <c r="A669" s="471" t="n">
        <v>8</v>
      </c>
      <c r="B669" s="245" t="n">
        <v>665</v>
      </c>
      <c r="C669" t="inlineStr">
        <is>
          <t>R0190176</t>
        </is>
      </c>
      <c r="D669" t="inlineStr">
        <is>
          <t>1501 W 124TH AVE</t>
        </is>
      </c>
      <c r="E669" t="n">
        <v>425</v>
      </c>
      <c r="F669" t="inlineStr">
        <is>
          <t>WESTMINSTER</t>
        </is>
      </c>
      <c r="G669" t="inlineStr">
        <is>
          <t>3</t>
        </is>
      </c>
      <c r="H669" s="669">
        <f>Y669/J669</f>
        <v/>
      </c>
      <c r="I669" s="670" t="n">
        <v>44316</v>
      </c>
      <c r="J669" t="n">
        <v>15818</v>
      </c>
      <c r="L669" t="n">
        <v>15818</v>
      </c>
      <c r="M669" t="n">
        <v>2016</v>
      </c>
      <c r="P669" t="inlineStr">
        <is>
          <t>PUD-Wes</t>
        </is>
      </c>
      <c r="R669" t="inlineStr">
        <is>
          <t>Good</t>
        </is>
      </c>
      <c r="S669" t="n">
        <v>5569</v>
      </c>
      <c r="T669" s="467">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245">
        <f>AND(E669=Subj_OccCode,Subj_BldgSF&gt;0,L669&gt;=Subj_BldgSF*(1-Subj_SizeTol),L669&lt;=Subj_BldgSF*(1+Subj_SizeTol))</f>
        <v/>
      </c>
    </row>
    <row r="670" ht="15" customHeight="1">
      <c r="A670" s="471" t="n">
        <v>8</v>
      </c>
      <c r="B670" s="245" t="n">
        <v>666</v>
      </c>
      <c r="C670" t="inlineStr">
        <is>
          <t>R0103510</t>
        </is>
      </c>
      <c r="D670" t="inlineStr">
        <is>
          <t>6145 BROADWAY ST</t>
        </is>
      </c>
      <c r="E670" t="n">
        <v>406</v>
      </c>
      <c r="G670" t="inlineStr">
        <is>
          <t>5</t>
        </is>
      </c>
      <c r="H670" s="669">
        <f>Y670/J670</f>
        <v/>
      </c>
      <c r="I670" s="670" t="n">
        <v>44679</v>
      </c>
      <c r="J670" t="n">
        <v>19812</v>
      </c>
      <c r="L670" t="n">
        <v>19812</v>
      </c>
      <c r="M670" t="n">
        <v>2016</v>
      </c>
      <c r="P670" t="inlineStr">
        <is>
          <t>Industrial</t>
        </is>
      </c>
      <c r="R670" t="inlineStr">
        <is>
          <t>Good</t>
        </is>
      </c>
      <c r="S670" t="n">
        <v>87120</v>
      </c>
      <c r="T670" s="467">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245">
        <f>AND(E670=Subj_OccCode,Subj_BldgSF&gt;0,L670&gt;=Subj_BldgSF*(1-Subj_SizeTol),L670&lt;=Subj_BldgSF*(1+Subj_SizeTol))</f>
        <v/>
      </c>
    </row>
    <row r="671" ht="15" customHeight="1">
      <c r="A671" s="471" t="n">
        <v>8</v>
      </c>
      <c r="B671" s="245" t="n">
        <v>667</v>
      </c>
      <c r="C671" t="inlineStr">
        <is>
          <t>R0188697</t>
        </is>
      </c>
      <c r="D671" t="inlineStr">
        <is>
          <t>10195 E MONTVIEW BLVD</t>
        </is>
      </c>
      <c r="E671" t="n">
        <v>353</v>
      </c>
      <c r="F671" t="inlineStr">
        <is>
          <t>AURORA</t>
        </is>
      </c>
      <c r="G671" t="inlineStr">
        <is>
          <t>6</t>
        </is>
      </c>
      <c r="H671" s="669">
        <f>Y671/J671</f>
        <v/>
      </c>
      <c r="I671" s="670" t="n">
        <v>43159</v>
      </c>
      <c r="J671" t="n">
        <v>4850</v>
      </c>
      <c r="L671" t="n">
        <v>4850</v>
      </c>
      <c r="M671" t="n">
        <v>1952</v>
      </c>
      <c r="R671" t="inlineStr">
        <is>
          <t>Average</t>
        </is>
      </c>
      <c r="S671" t="n">
        <v>6282</v>
      </c>
      <c r="T671" s="467">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245">
        <f>AND(E671=Subj_OccCode,Subj_BldgSF&gt;0,L671&gt;=Subj_BldgSF*(1-Subj_SizeTol),L671&lt;=Subj_BldgSF*(1+Subj_SizeTol))</f>
        <v/>
      </c>
    </row>
    <row r="672" ht="15" customHeight="1">
      <c r="A672" s="471" t="n">
        <v>8</v>
      </c>
      <c r="B672" s="245" t="n">
        <v>668</v>
      </c>
      <c r="C672" t="inlineStr">
        <is>
          <t>R0188347</t>
        </is>
      </c>
      <c r="D672" t="inlineStr">
        <is>
          <t>17901 E 81ST AVE</t>
        </is>
      </c>
      <c r="E672" t="n">
        <v>325</v>
      </c>
      <c r="F672" t="inlineStr">
        <is>
          <t>COMMERCE CITY</t>
        </is>
      </c>
      <c r="G672" t="inlineStr">
        <is>
          <t>2</t>
        </is>
      </c>
      <c r="H672" s="669">
        <f>Y672/J672</f>
        <v/>
      </c>
      <c r="I672" s="670" t="n">
        <v>44579</v>
      </c>
      <c r="J672" t="n">
        <v>3398</v>
      </c>
      <c r="L672" t="n">
        <v>3398</v>
      </c>
      <c r="M672" t="n">
        <v>2017</v>
      </c>
      <c r="P672" t="inlineStr">
        <is>
          <t>PUD-Com</t>
        </is>
      </c>
      <c r="R672" t="inlineStr">
        <is>
          <t>Average</t>
        </is>
      </c>
      <c r="S672" t="n">
        <v>236811.9798</v>
      </c>
      <c r="T672" s="467">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245">
        <f>AND(E672=Subj_OccCode,Subj_BldgSF&gt;0,L672&gt;=Subj_BldgSF*(1-Subj_SizeTol),L672&lt;=Subj_BldgSF*(1+Subj_SizeTol))</f>
        <v/>
      </c>
    </row>
    <row r="673" ht="15" customHeight="1">
      <c r="A673" s="471" t="n">
        <v>8</v>
      </c>
      <c r="B673" s="245" t="n">
        <v>669</v>
      </c>
      <c r="C673" t="inlineStr">
        <is>
          <t>R0184702</t>
        </is>
      </c>
      <c r="D673" t="inlineStr">
        <is>
          <t>15150 E 104TH AVE</t>
        </is>
      </c>
      <c r="E673" t="n">
        <v>350</v>
      </c>
      <c r="F673" t="inlineStr">
        <is>
          <t>COMMERCE CITY</t>
        </is>
      </c>
      <c r="G673" t="inlineStr">
        <is>
          <t>2</t>
        </is>
      </c>
      <c r="H673" s="669">
        <f>Y673/J673</f>
        <v/>
      </c>
      <c r="I673" s="670" t="n">
        <v>44553</v>
      </c>
      <c r="J673" t="n">
        <v>5688</v>
      </c>
      <c r="L673" t="n">
        <v>5688</v>
      </c>
      <c r="M673" t="n">
        <v>2016</v>
      </c>
      <c r="P673" t="inlineStr">
        <is>
          <t>PUD-Com</t>
        </is>
      </c>
      <c r="R673" t="inlineStr">
        <is>
          <t>Good</t>
        </is>
      </c>
      <c r="S673" t="n">
        <v>58589</v>
      </c>
      <c r="T673" s="467">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245">
        <f>AND(E673=Subj_OccCode,Subj_BldgSF&gt;0,L673&gt;=Subj_BldgSF*(1-Subj_SizeTol),L673&lt;=Subj_BldgSF*(1+Subj_SizeTol))</f>
        <v/>
      </c>
    </row>
    <row r="674" ht="15" customHeight="1">
      <c r="A674" s="471" t="n">
        <v>8</v>
      </c>
      <c r="B674" s="245" t="n">
        <v>670</v>
      </c>
      <c r="C674" t="inlineStr">
        <is>
          <t>R0191873</t>
        </is>
      </c>
      <c r="D674" t="inlineStr">
        <is>
          <t>5725 E 56TH AVE</t>
        </is>
      </c>
      <c r="E674" t="n">
        <v>210</v>
      </c>
      <c r="F674" t="inlineStr">
        <is>
          <t>COMMERCE CITY</t>
        </is>
      </c>
      <c r="G674" t="inlineStr">
        <is>
          <t>5</t>
        </is>
      </c>
      <c r="H674" s="669">
        <f>Y674/J674</f>
        <v/>
      </c>
      <c r="I674" s="670" t="n">
        <v>44559</v>
      </c>
      <c r="J674" t="n">
        <v>25000</v>
      </c>
      <c r="L674" t="n">
        <v>25000</v>
      </c>
      <c r="M674" t="n">
        <v>2018</v>
      </c>
      <c r="P674" t="inlineStr">
        <is>
          <t>I-1-Com</t>
        </is>
      </c>
      <c r="R674" t="inlineStr">
        <is>
          <t>Average</t>
        </is>
      </c>
      <c r="S674" t="n">
        <v>72506</v>
      </c>
      <c r="T674" s="467">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245">
        <f>AND(E674=Subj_OccCode,Subj_BldgSF&gt;0,L674&gt;=Subj_BldgSF*(1-Subj_SizeTol),L674&lt;=Subj_BldgSF*(1+Subj_SizeTol))</f>
        <v/>
      </c>
    </row>
    <row r="675" ht="15" customHeight="1">
      <c r="A675" s="471" t="n">
        <v>8</v>
      </c>
      <c r="B675" s="245" t="n">
        <v>671</v>
      </c>
      <c r="C675" t="inlineStr">
        <is>
          <t>R0194299</t>
        </is>
      </c>
      <c r="D675" t="inlineStr">
        <is>
          <t>11821 HURON ST</t>
        </is>
      </c>
      <c r="E675" t="n">
        <v>334</v>
      </c>
      <c r="F675" t="inlineStr">
        <is>
          <t>WESTMINSTER</t>
        </is>
      </c>
      <c r="G675" t="inlineStr">
        <is>
          <t>4</t>
        </is>
      </c>
      <c r="H675" s="669">
        <f>Y675/J675</f>
        <v/>
      </c>
      <c r="I675" s="670" t="n">
        <v>43420</v>
      </c>
      <c r="J675" t="n">
        <v>36250</v>
      </c>
      <c r="L675" t="n">
        <v>36250</v>
      </c>
      <c r="M675" t="n">
        <v>2018</v>
      </c>
      <c r="R675" t="inlineStr">
        <is>
          <t>Average</t>
        </is>
      </c>
      <c r="S675" t="n">
        <v>178992</v>
      </c>
      <c r="T675" s="467">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245">
        <f>AND(E675=Subj_OccCode,Subj_BldgSF&gt;0,L675&gt;=Subj_BldgSF*(1-Subj_SizeTol),L675&lt;=Subj_BldgSF*(1+Subj_SizeTol))</f>
        <v/>
      </c>
    </row>
    <row r="676" ht="15" customHeight="1">
      <c r="A676" s="471" t="n">
        <v>8</v>
      </c>
      <c r="B676" s="245" t="n">
        <v>672</v>
      </c>
      <c r="C676" t="inlineStr">
        <is>
          <t>R0190581</t>
        </is>
      </c>
      <c r="D676" t="inlineStr">
        <is>
          <t>9760  GRANT ST</t>
        </is>
      </c>
      <c r="E676" t="n">
        <v>353</v>
      </c>
      <c r="F676" t="inlineStr">
        <is>
          <t>THORNTON</t>
        </is>
      </c>
      <c r="G676" t="inlineStr">
        <is>
          <t>4</t>
        </is>
      </c>
      <c r="H676" s="669">
        <f>Y676/J676</f>
        <v/>
      </c>
      <c r="I676" s="670" t="n">
        <v>44559</v>
      </c>
      <c r="J676" t="n">
        <v>9771</v>
      </c>
      <c r="L676" t="n">
        <v>9771</v>
      </c>
      <c r="M676" t="n">
        <v>2008</v>
      </c>
      <c r="P676" t="inlineStr">
        <is>
          <t>Planned Development</t>
        </is>
      </c>
      <c r="R676" t="inlineStr">
        <is>
          <t>Average</t>
        </is>
      </c>
      <c r="S676" t="n">
        <v>71500</v>
      </c>
      <c r="T676" s="467">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245">
        <f>AND(E676=Subj_OccCode,Subj_BldgSF&gt;0,L676&gt;=Subj_BldgSF*(1-Subj_SizeTol),L676&lt;=Subj_BldgSF*(1+Subj_SizeTol))</f>
        <v/>
      </c>
    </row>
    <row r="677" ht="15" customHeight="1">
      <c r="A677" s="471" t="n">
        <v>8</v>
      </c>
      <c r="B677" s="245" t="n">
        <v>673</v>
      </c>
      <c r="C677" t="inlineStr">
        <is>
          <t>R0201361</t>
        </is>
      </c>
      <c r="D677" t="inlineStr">
        <is>
          <t>4820 FOREST ST</t>
        </is>
      </c>
      <c r="E677" t="n">
        <v>406</v>
      </c>
      <c r="F677" t="inlineStr">
        <is>
          <t>COMMERCE CITY</t>
        </is>
      </c>
      <c r="G677" t="inlineStr">
        <is>
          <t>5</t>
        </is>
      </c>
      <c r="H677" s="669">
        <f>Y677/J677</f>
        <v/>
      </c>
      <c r="I677" s="670" t="n">
        <v>43781</v>
      </c>
      <c r="J677" t="n">
        <v>16423</v>
      </c>
      <c r="L677" t="n">
        <v>16423</v>
      </c>
      <c r="M677" t="n">
        <v>1999</v>
      </c>
      <c r="R677" t="inlineStr">
        <is>
          <t>Average</t>
        </is>
      </c>
      <c r="S677" t="n">
        <v>80507</v>
      </c>
      <c r="T677" s="467">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245">
        <f>AND(E677=Subj_OccCode,Subj_BldgSF&gt;0,L677&gt;=Subj_BldgSF*(1-Subj_SizeTol),L677&lt;=Subj_BldgSF*(1+Subj_SizeTol))</f>
        <v/>
      </c>
    </row>
    <row r="678" ht="15" customHeight="1">
      <c r="A678" s="471" t="n">
        <v>8</v>
      </c>
      <c r="B678" s="245" t="n">
        <v>674</v>
      </c>
      <c r="C678" t="inlineStr">
        <is>
          <t>R0194699</t>
        </is>
      </c>
      <c r="D678" t="inlineStr">
        <is>
          <t>12170  TEJON ST</t>
        </is>
      </c>
      <c r="E678" t="n">
        <v>425</v>
      </c>
      <c r="F678" t="inlineStr">
        <is>
          <t>WESTMINSTER</t>
        </is>
      </c>
      <c r="G678" t="inlineStr">
        <is>
          <t>3</t>
        </is>
      </c>
      <c r="H678" s="669">
        <f>Y678/J678</f>
        <v/>
      </c>
      <c r="I678" s="670" t="n">
        <v>43444</v>
      </c>
      <c r="J678" t="n">
        <v>2508</v>
      </c>
      <c r="L678" t="n">
        <v>2508</v>
      </c>
      <c r="M678" t="n">
        <v>2018</v>
      </c>
      <c r="R678" t="inlineStr">
        <is>
          <t>Good</t>
        </is>
      </c>
      <c r="S678" t="n">
        <v>8986</v>
      </c>
      <c r="T678" s="467">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245">
        <f>AND(E678=Subj_OccCode,Subj_BldgSF&gt;0,L678&gt;=Subj_BldgSF*(1-Subj_SizeTol),L678&lt;=Subj_BldgSF*(1+Subj_SizeTol))</f>
        <v/>
      </c>
    </row>
    <row r="679" ht="15" customHeight="1">
      <c r="A679" s="471" t="n">
        <v>8</v>
      </c>
      <c r="B679" s="245" t="n">
        <v>675</v>
      </c>
      <c r="C679" t="inlineStr">
        <is>
          <t>R0190763</t>
        </is>
      </c>
      <c r="D679" t="inlineStr">
        <is>
          <t>11901 HOLLY ST</t>
        </is>
      </c>
      <c r="E679" t="n">
        <v>426</v>
      </c>
      <c r="F679" t="inlineStr">
        <is>
          <t>THORNTON</t>
        </is>
      </c>
      <c r="G679" t="inlineStr">
        <is>
          <t>4</t>
        </is>
      </c>
      <c r="H679" s="669">
        <f>Y679/J679</f>
        <v/>
      </c>
      <c r="I679" s="670" t="n">
        <v>44712</v>
      </c>
      <c r="J679" t="n">
        <v>10000</v>
      </c>
      <c r="L679" t="n">
        <v>10000</v>
      </c>
      <c r="M679" t="n">
        <v>2018</v>
      </c>
      <c r="P679" t="inlineStr">
        <is>
          <t>Community Retail</t>
        </is>
      </c>
      <c r="R679" t="inlineStr">
        <is>
          <t>Average</t>
        </is>
      </c>
      <c r="S679" t="n">
        <v>50841</v>
      </c>
      <c r="T679" s="467">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245">
        <f>AND(E679=Subj_OccCode,Subj_BldgSF&gt;0,L679&gt;=Subj_BldgSF*(1-Subj_SizeTol),L679&lt;=Subj_BldgSF*(1+Subj_SizeTol))</f>
        <v/>
      </c>
    </row>
    <row r="680" ht="15" customHeight="1">
      <c r="A680" s="471" t="n">
        <v>8</v>
      </c>
      <c r="B680" s="245" t="n">
        <v>676</v>
      </c>
      <c r="C680" t="inlineStr">
        <is>
          <t>R0190763</t>
        </is>
      </c>
      <c r="D680" t="inlineStr">
        <is>
          <t>11901 HOLLY ST</t>
        </is>
      </c>
      <c r="E680" t="n">
        <v>426</v>
      </c>
      <c r="F680" t="inlineStr">
        <is>
          <t>THORNTON</t>
        </is>
      </c>
      <c r="G680" t="inlineStr">
        <is>
          <t>4</t>
        </is>
      </c>
      <c r="H680" s="669">
        <f>Y680/J680</f>
        <v/>
      </c>
      <c r="I680" s="670" t="n">
        <v>43301</v>
      </c>
      <c r="J680" t="n">
        <v>10080</v>
      </c>
      <c r="L680" t="n">
        <v>10080</v>
      </c>
      <c r="M680" t="n">
        <v>2018</v>
      </c>
      <c r="P680" t="inlineStr">
        <is>
          <t>Community Retail</t>
        </is>
      </c>
      <c r="R680" t="inlineStr">
        <is>
          <t>Average</t>
        </is>
      </c>
      <c r="S680" t="n">
        <v>50841</v>
      </c>
      <c r="T680" s="467">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245">
        <f>AND(E680=Subj_OccCode,Subj_BldgSF&gt;0,L680&gt;=Subj_BldgSF*(1-Subj_SizeTol),L680&lt;=Subj_BldgSF*(1+Subj_SizeTol))</f>
        <v/>
      </c>
    </row>
    <row r="681" ht="15" customHeight="1">
      <c r="A681" s="471" t="n">
        <v>8</v>
      </c>
      <c r="B681" s="245" t="n">
        <v>677</v>
      </c>
      <c r="C681" t="inlineStr">
        <is>
          <t>R0198007</t>
        </is>
      </c>
      <c r="D681" t="inlineStr">
        <is>
          <t>15521 E 104TH AVE</t>
        </is>
      </c>
      <c r="E681" t="n">
        <v>325</v>
      </c>
      <c r="F681" t="inlineStr">
        <is>
          <t>COMMERCE CITY</t>
        </is>
      </c>
      <c r="G681" t="inlineStr">
        <is>
          <t>2</t>
        </is>
      </c>
      <c r="H681" s="669">
        <f>Y681/J681</f>
        <v/>
      </c>
      <c r="I681" s="670" t="n">
        <v>44420</v>
      </c>
      <c r="J681" t="n">
        <v>4948</v>
      </c>
      <c r="L681" t="n">
        <v>4948</v>
      </c>
      <c r="M681" t="n">
        <v>2020</v>
      </c>
      <c r="R681" t="inlineStr">
        <is>
          <t>Average</t>
        </is>
      </c>
      <c r="S681" t="n">
        <v>40754</v>
      </c>
      <c r="T681" s="467">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245">
        <f>AND(E681=Subj_OccCode,Subj_BldgSF&gt;0,L681&gt;=Subj_BldgSF*(1-Subj_SizeTol),L681&lt;=Subj_BldgSF*(1+Subj_SizeTol))</f>
        <v/>
      </c>
    </row>
    <row r="682" ht="15" customHeight="1">
      <c r="A682" s="471" t="n">
        <v>8</v>
      </c>
      <c r="B682" s="245" t="n">
        <v>678</v>
      </c>
      <c r="C682" t="inlineStr">
        <is>
          <t>R0204670</t>
        </is>
      </c>
      <c r="D682" t="inlineStr">
        <is>
          <t>12235 N PECOS ST</t>
        </is>
      </c>
      <c r="E682" t="n">
        <v>1344</v>
      </c>
      <c r="F682" t="inlineStr">
        <is>
          <t>WESTMINSTER</t>
        </is>
      </c>
      <c r="G682" t="inlineStr">
        <is>
          <t>3</t>
        </is>
      </c>
      <c r="H682" s="669">
        <f>Y682/J682</f>
        <v/>
      </c>
      <c r="I682" s="670" t="n">
        <v>44027</v>
      </c>
      <c r="J682" t="n">
        <v>2353</v>
      </c>
      <c r="L682" t="n">
        <v>2353</v>
      </c>
      <c r="M682" t="n">
        <v>2020</v>
      </c>
      <c r="R682" t="inlineStr">
        <is>
          <t>Average</t>
        </is>
      </c>
      <c r="S682" t="n">
        <v>2051</v>
      </c>
      <c r="T682" s="467">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245">
        <f>AND(E682=Subj_OccCode,Subj_BldgSF&gt;0,L682&gt;=Subj_BldgSF*(1-Subj_SizeTol),L682&lt;=Subj_BldgSF*(1+Subj_SizeTol))</f>
        <v/>
      </c>
    </row>
    <row r="683" ht="15" customHeight="1">
      <c r="A683" s="471" t="n">
        <v>8</v>
      </c>
      <c r="B683" s="245" t="n">
        <v>679</v>
      </c>
      <c r="C683" t="inlineStr">
        <is>
          <t>R0193009</t>
        </is>
      </c>
      <c r="D683" t="inlineStr">
        <is>
          <t>134 S 50TH AVE</t>
        </is>
      </c>
      <c r="E683" t="n">
        <v>386</v>
      </c>
      <c r="F683" t="inlineStr">
        <is>
          <t>BRIGHTON</t>
        </is>
      </c>
      <c r="G683" t="inlineStr">
        <is>
          <t>2</t>
        </is>
      </c>
      <c r="H683" s="669">
        <f>Y683/J683</f>
        <v/>
      </c>
      <c r="I683" s="670" t="n">
        <v>44718</v>
      </c>
      <c r="J683" t="n">
        <v>107135</v>
      </c>
      <c r="L683" t="n">
        <v>107135</v>
      </c>
      <c r="M683" t="n">
        <v>2019</v>
      </c>
      <c r="P683" t="inlineStr">
        <is>
          <t>PUD-Bri</t>
        </is>
      </c>
      <c r="R683" t="inlineStr">
        <is>
          <t>Good</t>
        </is>
      </c>
      <c r="S683" t="n">
        <v>161944</v>
      </c>
      <c r="T683" s="467">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245">
        <f>AND(E683=Subj_OccCode,Subj_BldgSF&gt;0,L683&gt;=Subj_BldgSF*(1-Subj_SizeTol),L683&lt;=Subj_BldgSF*(1+Subj_SizeTol))</f>
        <v/>
      </c>
    </row>
    <row r="684" ht="15" customHeight="1">
      <c r="A684" s="471" t="n">
        <v>8</v>
      </c>
      <c r="B684" s="245" t="n">
        <v>680</v>
      </c>
      <c r="C684" t="inlineStr">
        <is>
          <t>R0190582</t>
        </is>
      </c>
      <c r="D684" t="inlineStr">
        <is>
          <t>9740  GRANT ST</t>
        </is>
      </c>
      <c r="E684" t="n">
        <v>353</v>
      </c>
      <c r="F684" t="inlineStr">
        <is>
          <t>THORNTON</t>
        </is>
      </c>
      <c r="G684" t="inlineStr">
        <is>
          <t>4</t>
        </is>
      </c>
      <c r="H684" s="669">
        <f>Y684/J684</f>
        <v/>
      </c>
      <c r="I684" s="670" t="n">
        <v>44559</v>
      </c>
      <c r="J684" t="n">
        <v>9851</v>
      </c>
      <c r="L684" t="n">
        <v>9851</v>
      </c>
      <c r="M684" t="n">
        <v>2008</v>
      </c>
      <c r="P684" t="inlineStr">
        <is>
          <t>Planned Development</t>
        </is>
      </c>
      <c r="R684" t="inlineStr">
        <is>
          <t>Average</t>
        </is>
      </c>
      <c r="S684" t="n">
        <v>91611</v>
      </c>
      <c r="T684" s="467">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245">
        <f>AND(E684=Subj_OccCode,Subj_BldgSF&gt;0,L684&gt;=Subj_BldgSF*(1-Subj_SizeTol),L684&lt;=Subj_BldgSF*(1+Subj_SizeTol))</f>
        <v/>
      </c>
    </row>
    <row r="685" ht="15" customHeight="1">
      <c r="A685" s="471" t="n">
        <v>8</v>
      </c>
      <c r="B685" s="245" t="n">
        <v>681</v>
      </c>
      <c r="C685" t="inlineStr">
        <is>
          <t>R0204669</t>
        </is>
      </c>
      <c r="D685" t="inlineStr">
        <is>
          <t>12235 N PECOS ST</t>
        </is>
      </c>
      <c r="E685" t="n">
        <v>1344</v>
      </c>
      <c r="F685" t="inlineStr">
        <is>
          <t>WESTMINSTER</t>
        </is>
      </c>
      <c r="G685" t="inlineStr">
        <is>
          <t>3</t>
        </is>
      </c>
      <c r="H685" s="669">
        <f>Y685/J685</f>
        <v/>
      </c>
      <c r="I685" s="670" t="n">
        <v>44160</v>
      </c>
      <c r="J685" t="n">
        <v>2281</v>
      </c>
      <c r="L685" t="n">
        <v>2281</v>
      </c>
      <c r="M685" t="n">
        <v>2020</v>
      </c>
      <c r="R685" t="inlineStr">
        <is>
          <t>Average</t>
        </is>
      </c>
      <c r="S685" t="n">
        <v>2051</v>
      </c>
      <c r="T685" s="467">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245">
        <f>AND(E685=Subj_OccCode,Subj_BldgSF&gt;0,L685&gt;=Subj_BldgSF*(1-Subj_SizeTol),L685&lt;=Subj_BldgSF*(1+Subj_SizeTol))</f>
        <v/>
      </c>
    </row>
    <row r="686" ht="15" customHeight="1">
      <c r="A686" s="471" t="n">
        <v>8</v>
      </c>
      <c r="B686" s="245" t="n">
        <v>682</v>
      </c>
      <c r="C686" t="inlineStr">
        <is>
          <t>R0194701</t>
        </is>
      </c>
      <c r="D686" t="inlineStr">
        <is>
          <t>12170  TEJON ST</t>
        </is>
      </c>
      <c r="E686" t="n">
        <v>425</v>
      </c>
      <c r="F686" t="inlineStr">
        <is>
          <t>WESTMINSTER</t>
        </is>
      </c>
      <c r="G686" t="inlineStr">
        <is>
          <t>3</t>
        </is>
      </c>
      <c r="H686" s="669">
        <f>Y686/J686</f>
        <v/>
      </c>
      <c r="I686" s="670" t="n">
        <v>43544</v>
      </c>
      <c r="J686" t="n">
        <v>2538</v>
      </c>
      <c r="L686" t="n">
        <v>2538</v>
      </c>
      <c r="M686" t="n">
        <v>2018</v>
      </c>
      <c r="R686" t="inlineStr">
        <is>
          <t>Good</t>
        </is>
      </c>
      <c r="S686" t="n">
        <v>8986</v>
      </c>
      <c r="T686" s="467">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245">
        <f>AND(E686=Subj_OccCode,Subj_BldgSF&gt;0,L686&gt;=Subj_BldgSF*(1-Subj_SizeTol),L686&lt;=Subj_BldgSF*(1+Subj_SizeTol))</f>
        <v/>
      </c>
    </row>
    <row r="687" ht="15" customHeight="1">
      <c r="A687" s="471" t="n">
        <v>8</v>
      </c>
      <c r="B687" s="245" t="n">
        <v>683</v>
      </c>
      <c r="C687" t="inlineStr">
        <is>
          <t>R0198832</t>
        </is>
      </c>
      <c r="D687" t="inlineStr">
        <is>
          <t>11150  HURON ST #2</t>
        </is>
      </c>
      <c r="E687" t="n">
        <v>1344</v>
      </c>
      <c r="F687" t="inlineStr">
        <is>
          <t>NORTHGLENN</t>
        </is>
      </c>
      <c r="G687" t="inlineStr">
        <is>
          <t>4</t>
        </is>
      </c>
      <c r="H687" s="669">
        <f>Y687/J687</f>
        <v/>
      </c>
      <c r="I687" s="670" t="n">
        <v>43543</v>
      </c>
      <c r="J687" t="n">
        <v>981</v>
      </c>
      <c r="L687" t="n">
        <v>981</v>
      </c>
      <c r="M687" t="n">
        <v>1999</v>
      </c>
      <c r="R687" t="inlineStr">
        <is>
          <t>Good</t>
        </is>
      </c>
      <c r="S687" t="n">
        <v>0</v>
      </c>
      <c r="T687" s="467">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245">
        <f>AND(E687=Subj_OccCode,Subj_BldgSF&gt;0,L687&gt;=Subj_BldgSF*(1-Subj_SizeTol),L687&lt;=Subj_BldgSF*(1+Subj_SizeTol))</f>
        <v/>
      </c>
    </row>
    <row r="688" ht="15" customHeight="1">
      <c r="A688" s="471" t="n">
        <v>8</v>
      </c>
      <c r="B688" s="245" t="n">
        <v>684</v>
      </c>
      <c r="C688" t="inlineStr">
        <is>
          <t>R0208784</t>
        </is>
      </c>
      <c r="D688" t="inlineStr">
        <is>
          <t>5160  VIOLET HILL ST #S7</t>
        </is>
      </c>
      <c r="E688" t="n">
        <v>328</v>
      </c>
      <c r="G688" t="inlineStr">
        <is>
          <t>1</t>
        </is>
      </c>
      <c r="H688" s="669">
        <f>Y688/J688</f>
        <v/>
      </c>
      <c r="I688" s="670" t="n">
        <v>44091</v>
      </c>
      <c r="J688" t="n">
        <v>1103</v>
      </c>
      <c r="L688" t="n">
        <v>1103</v>
      </c>
      <c r="R688" t="inlineStr">
        <is>
          <t>Average</t>
        </is>
      </c>
      <c r="S688" t="n">
        <v>0</v>
      </c>
      <c r="T688" s="467">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245">
        <f>AND(E688=Subj_OccCode,Subj_BldgSF&gt;0,L688&gt;=Subj_BldgSF*(1-Subj_SizeTol),L688&lt;=Subj_BldgSF*(1+Subj_SizeTol))</f>
        <v/>
      </c>
    </row>
    <row r="689" ht="15" customHeight="1">
      <c r="A689" s="471" t="n">
        <v>8</v>
      </c>
      <c r="B689" s="245" t="n">
        <v>685</v>
      </c>
      <c r="C689" t="inlineStr">
        <is>
          <t>R0208781</t>
        </is>
      </c>
      <c r="D689" t="inlineStr">
        <is>
          <t>5160  VIOLET HILL ST #S1</t>
        </is>
      </c>
      <c r="E689" t="n">
        <v>328</v>
      </c>
      <c r="G689" t="inlineStr">
        <is>
          <t>1</t>
        </is>
      </c>
      <c r="H689" s="669">
        <f>Y689/J689</f>
        <v/>
      </c>
      <c r="I689" s="670" t="n">
        <v>44091</v>
      </c>
      <c r="J689" t="n">
        <v>1166</v>
      </c>
      <c r="L689" t="n">
        <v>1166</v>
      </c>
      <c r="R689" t="inlineStr">
        <is>
          <t>Average</t>
        </is>
      </c>
      <c r="S689" t="n">
        <v>0</v>
      </c>
      <c r="T689" s="467">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245">
        <f>AND(E689=Subj_OccCode,Subj_BldgSF&gt;0,L689&gt;=Subj_BldgSF*(1-Subj_SizeTol),L689&lt;=Subj_BldgSF*(1+Subj_SizeTol))</f>
        <v/>
      </c>
    </row>
    <row r="690" ht="15" customHeight="1">
      <c r="A690" s="471" t="n">
        <v>8</v>
      </c>
      <c r="B690" s="245" t="n">
        <v>686</v>
      </c>
      <c r="C690" t="inlineStr">
        <is>
          <t>R0208781</t>
        </is>
      </c>
      <c r="D690" t="inlineStr">
        <is>
          <t>5160  VIOLET HILL ST #S1</t>
        </is>
      </c>
      <c r="E690" t="n">
        <v>328</v>
      </c>
      <c r="G690" t="inlineStr">
        <is>
          <t>1</t>
        </is>
      </c>
      <c r="H690" s="669">
        <f>Y690/J690</f>
        <v/>
      </c>
      <c r="I690" s="670" t="n">
        <v>44651</v>
      </c>
      <c r="J690" t="n">
        <v>1166</v>
      </c>
      <c r="L690" t="n">
        <v>1166</v>
      </c>
      <c r="R690" t="inlineStr">
        <is>
          <t>Average</t>
        </is>
      </c>
      <c r="S690" t="n">
        <v>0</v>
      </c>
      <c r="T690" s="467">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245">
        <f>AND(E690=Subj_OccCode,Subj_BldgSF&gt;0,L690&gt;=Subj_BldgSF*(1-Subj_SizeTol),L690&lt;=Subj_BldgSF*(1+Subj_SizeTol))</f>
        <v/>
      </c>
    </row>
    <row r="691" ht="15" customHeight="1">
      <c r="A691" s="471" t="n">
        <v>8</v>
      </c>
      <c r="B691" s="245" t="n">
        <v>687</v>
      </c>
      <c r="C691" t="inlineStr">
        <is>
          <t>R0205074</t>
        </is>
      </c>
      <c r="D691" t="inlineStr">
        <is>
          <t>189  BROMLEY BUSINESS PKWY</t>
        </is>
      </c>
      <c r="E691" t="n">
        <v>447</v>
      </c>
      <c r="F691" t="inlineStr">
        <is>
          <t>BRIGHTON</t>
        </is>
      </c>
      <c r="G691" t="inlineStr">
        <is>
          <t>2</t>
        </is>
      </c>
      <c r="H691" s="669">
        <f>Y691/J691</f>
        <v/>
      </c>
      <c r="I691" s="670" t="n">
        <v>44512</v>
      </c>
      <c r="J691" t="n">
        <v>243589</v>
      </c>
      <c r="L691" t="n">
        <v>243589</v>
      </c>
      <c r="M691" t="n">
        <v>2021</v>
      </c>
      <c r="R691" t="inlineStr">
        <is>
          <t>Good</t>
        </is>
      </c>
      <c r="S691" t="n">
        <v>727821</v>
      </c>
      <c r="T691" s="467">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245">
        <f>AND(E691=Subj_OccCode,Subj_BldgSF&gt;0,L691&gt;=Subj_BldgSF*(1-Subj_SizeTol),L691&lt;=Subj_BldgSF*(1+Subj_SizeTol))</f>
        <v/>
      </c>
    </row>
    <row r="692" ht="15" customHeight="1">
      <c r="A692" s="471" t="n">
        <v>8</v>
      </c>
      <c r="B692" s="245" t="n">
        <v>688</v>
      </c>
      <c r="C692" t="inlineStr">
        <is>
          <t>R0213045</t>
        </is>
      </c>
      <c r="D692" t="inlineStr">
        <is>
          <t>9658  HAVANA ST</t>
        </is>
      </c>
      <c r="E692" t="n">
        <v>425</v>
      </c>
      <c r="F692" t="inlineStr">
        <is>
          <t>COMMERCE CITY</t>
        </is>
      </c>
      <c r="G692" t="inlineStr">
        <is>
          <t>5</t>
        </is>
      </c>
      <c r="H692" s="669">
        <f>Y692/J692</f>
        <v/>
      </c>
      <c r="I692" s="670" t="n">
        <v>44735</v>
      </c>
      <c r="J692" t="n">
        <v>1350</v>
      </c>
      <c r="L692" t="n">
        <v>1350</v>
      </c>
      <c r="M692" t="n">
        <v>2022</v>
      </c>
      <c r="R692" t="inlineStr">
        <is>
          <t>Average</t>
        </is>
      </c>
      <c r="S692" t="n">
        <v>0</v>
      </c>
      <c r="T692" s="467">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245">
        <f>AND(E692=Subj_OccCode,Subj_BldgSF&gt;0,L692&gt;=Subj_BldgSF*(1-Subj_SizeTol),L692&lt;=Subj_BldgSF*(1+Subj_SizeTol))</f>
        <v/>
      </c>
    </row>
    <row r="693" ht="15" customHeight="1">
      <c r="A693" s="471" t="n">
        <v>8</v>
      </c>
      <c r="B693" s="245" t="n">
        <v>689</v>
      </c>
      <c r="C693" t="inlineStr">
        <is>
          <t>R0201311</t>
        </is>
      </c>
      <c r="D693" t="inlineStr">
        <is>
          <t>17776-18146 E 84TH AVE</t>
        </is>
      </c>
      <c r="E693" t="n">
        <v>584</v>
      </c>
      <c r="F693" t="inlineStr">
        <is>
          <t>COMMERCE CITY</t>
        </is>
      </c>
      <c r="G693" t="inlineStr">
        <is>
          <t>2</t>
        </is>
      </c>
      <c r="H693" s="669">
        <f>Y693/J693</f>
        <v/>
      </c>
      <c r="I693" s="670" t="n">
        <v>44301</v>
      </c>
      <c r="J693" t="n">
        <v>594400</v>
      </c>
      <c r="L693" t="n">
        <v>594400</v>
      </c>
      <c r="M693" t="n">
        <v>2020</v>
      </c>
      <c r="R693" t="inlineStr">
        <is>
          <t>Average</t>
        </is>
      </c>
      <c r="S693" t="n">
        <v>1442973</v>
      </c>
      <c r="T693" s="467">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245">
        <f>AND(E693=Subj_OccCode,Subj_BldgSF&gt;0,L693&gt;=Subj_BldgSF*(1-Subj_SizeTol),L693&lt;=Subj_BldgSF*(1+Subj_SizeTol))</f>
        <v/>
      </c>
    </row>
    <row r="694" ht="15" customHeight="1">
      <c r="A694" s="471" t="n">
        <v>8</v>
      </c>
      <c r="B694" s="245" t="n">
        <v>690</v>
      </c>
      <c r="C694" t="inlineStr">
        <is>
          <t>R0204250</t>
        </is>
      </c>
      <c r="D694" t="inlineStr">
        <is>
          <t>2205  104TH AVE</t>
        </is>
      </c>
      <c r="E694" t="n">
        <v>353</v>
      </c>
      <c r="F694" t="inlineStr">
        <is>
          <t>NORTHGLENN</t>
        </is>
      </c>
      <c r="G694" t="inlineStr">
        <is>
          <t>4</t>
        </is>
      </c>
      <c r="H694" s="669">
        <f>Y694/J694</f>
        <v/>
      </c>
      <c r="I694" s="670" t="n">
        <v>44091</v>
      </c>
      <c r="J694" t="n">
        <v>1500</v>
      </c>
      <c r="L694" t="n">
        <v>1500</v>
      </c>
      <c r="M694" t="n">
        <v>1986</v>
      </c>
      <c r="R694" t="inlineStr">
        <is>
          <t>Low</t>
        </is>
      </c>
      <c r="S694" t="n">
        <v>42879</v>
      </c>
      <c r="T694" s="467">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245">
        <f>AND(E694=Subj_OccCode,Subj_BldgSF&gt;0,L694&gt;=Subj_BldgSF*(1-Subj_SizeTol),L694&lt;=Subj_BldgSF*(1+Subj_SizeTol))</f>
        <v/>
      </c>
    </row>
    <row r="695" ht="15" customHeight="1">
      <c r="A695" s="471" t="n">
        <v>8</v>
      </c>
      <c r="B695" s="245" t="n">
        <v>691</v>
      </c>
      <c r="C695" t="inlineStr">
        <is>
          <t>R0199655</t>
        </is>
      </c>
      <c r="D695" t="inlineStr">
        <is>
          <t xml:space="preserve">  LIBSON ST</t>
        </is>
      </c>
      <c r="E695" t="n">
        <v>334</v>
      </c>
      <c r="F695" t="inlineStr">
        <is>
          <t>AURORA</t>
        </is>
      </c>
      <c r="G695" t="inlineStr">
        <is>
          <t>6</t>
        </is>
      </c>
      <c r="H695" s="669">
        <f>Y695/J695</f>
        <v/>
      </c>
      <c r="I695" s="670" t="n">
        <v>43858</v>
      </c>
      <c r="J695" t="n">
        <v>30030</v>
      </c>
      <c r="L695" t="n">
        <v>30030</v>
      </c>
      <c r="M695" t="n">
        <v>2019</v>
      </c>
      <c r="R695" t="inlineStr">
        <is>
          <t>Good</t>
        </is>
      </c>
      <c r="S695" t="n">
        <v>96173</v>
      </c>
      <c r="T695" s="467">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245">
        <f>AND(E695=Subj_OccCode,Subj_BldgSF&gt;0,L695&gt;=Subj_BldgSF*(1-Subj_SizeTol),L695&lt;=Subj_BldgSF*(1+Subj_SizeTol))</f>
        <v/>
      </c>
    </row>
    <row r="696" ht="15" customHeight="1">
      <c r="A696" s="471" t="n">
        <v>8</v>
      </c>
      <c r="B696" s="245" t="n">
        <v>692</v>
      </c>
      <c r="C696" t="inlineStr">
        <is>
          <t>R0194697</t>
        </is>
      </c>
      <c r="D696" t="inlineStr">
        <is>
          <t>12170  TEJON ST</t>
        </is>
      </c>
      <c r="E696" t="n">
        <v>425</v>
      </c>
      <c r="F696" t="inlineStr">
        <is>
          <t>WESTMINSTER</t>
        </is>
      </c>
      <c r="G696" t="inlineStr">
        <is>
          <t>3</t>
        </is>
      </c>
      <c r="H696" s="669">
        <f>Y696/J696</f>
        <v/>
      </c>
      <c r="I696" s="670" t="n">
        <v>44200</v>
      </c>
      <c r="J696" t="n">
        <v>2498</v>
      </c>
      <c r="L696" t="n">
        <v>2498</v>
      </c>
      <c r="M696" t="n">
        <v>2018</v>
      </c>
      <c r="P696" t="inlineStr">
        <is>
          <t>PUD-Wes</t>
        </is>
      </c>
      <c r="R696" t="inlineStr">
        <is>
          <t>Good</t>
        </is>
      </c>
      <c r="S696" t="n">
        <v>8986</v>
      </c>
      <c r="T696" s="467">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245">
        <f>AND(E696=Subj_OccCode,Subj_BldgSF&gt;0,L696&gt;=Subj_BldgSF*(1-Subj_SizeTol),L696&lt;=Subj_BldgSF*(1+Subj_SizeTol))</f>
        <v/>
      </c>
    </row>
    <row r="697" ht="15" customHeight="1">
      <c r="A697" s="471" t="n">
        <v>8</v>
      </c>
      <c r="B697" s="245" t="n">
        <v>693</v>
      </c>
      <c r="C697" t="inlineStr">
        <is>
          <t>R0194698</t>
        </is>
      </c>
      <c r="D697" t="inlineStr">
        <is>
          <t>12170  TEJON ST</t>
        </is>
      </c>
      <c r="E697" t="n">
        <v>425</v>
      </c>
      <c r="F697" t="inlineStr">
        <is>
          <t>WESTMINSTER</t>
        </is>
      </c>
      <c r="G697" t="inlineStr">
        <is>
          <t>3</t>
        </is>
      </c>
      <c r="H697" s="669">
        <f>Y697/J697</f>
        <v/>
      </c>
      <c r="I697" s="670" t="n">
        <v>44494</v>
      </c>
      <c r="J697" t="n">
        <v>2508</v>
      </c>
      <c r="L697" t="n">
        <v>2508</v>
      </c>
      <c r="M697" t="n">
        <v>2018</v>
      </c>
      <c r="P697" t="inlineStr">
        <is>
          <t>PUD-Wes</t>
        </is>
      </c>
      <c r="R697" t="inlineStr">
        <is>
          <t>Good</t>
        </is>
      </c>
      <c r="S697" t="n">
        <v>8986</v>
      </c>
      <c r="T697" s="467">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245">
        <f>AND(E697=Subj_OccCode,Subj_BldgSF&gt;0,L697&gt;=Subj_BldgSF*(1-Subj_SizeTol),L697&lt;=Subj_BldgSF*(1+Subj_SizeTol))</f>
        <v/>
      </c>
    </row>
    <row r="698" ht="15" customHeight="1">
      <c r="A698" s="471" t="n">
        <v>8</v>
      </c>
      <c r="B698" s="245" t="n">
        <v>694</v>
      </c>
      <c r="C698" t="inlineStr">
        <is>
          <t>R0201166</t>
        </is>
      </c>
      <c r="D698" t="inlineStr">
        <is>
          <t>6130  JACKSON GAP WAY</t>
        </is>
      </c>
      <c r="E698" t="n">
        <v>325</v>
      </c>
      <c r="F698" t="inlineStr">
        <is>
          <t>AURORA</t>
        </is>
      </c>
      <c r="G698" t="inlineStr">
        <is>
          <t>1</t>
        </is>
      </c>
      <c r="H698" s="669">
        <f>Y698/J698</f>
        <v/>
      </c>
      <c r="I698" s="670" t="n">
        <v>44510</v>
      </c>
      <c r="J698" t="n">
        <v>6777</v>
      </c>
      <c r="L698" t="n">
        <v>6777</v>
      </c>
      <c r="M698" t="n">
        <v>2018</v>
      </c>
      <c r="R698" t="inlineStr">
        <is>
          <t>Good</t>
        </is>
      </c>
      <c r="S698" t="n">
        <v>175110</v>
      </c>
      <c r="T698" s="467">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245">
        <f>AND(E698=Subj_OccCode,Subj_BldgSF&gt;0,L698&gt;=Subj_BldgSF*(1-Subj_SizeTol),L698&lt;=Subj_BldgSF*(1+Subj_SizeTol))</f>
        <v/>
      </c>
    </row>
    <row r="699" ht="15" customHeight="1">
      <c r="A699" s="471" t="n">
        <v>8</v>
      </c>
      <c r="B699" s="245" t="n">
        <v>695</v>
      </c>
      <c r="C699" t="inlineStr">
        <is>
          <t>R0194696</t>
        </is>
      </c>
      <c r="D699" t="inlineStr">
        <is>
          <t>12170  TEJON ST</t>
        </is>
      </c>
      <c r="E699" t="n">
        <v>425</v>
      </c>
      <c r="F699" t="inlineStr">
        <is>
          <t>WESTMINSTER</t>
        </is>
      </c>
      <c r="G699" t="inlineStr">
        <is>
          <t>3</t>
        </is>
      </c>
      <c r="H699" s="669">
        <f>Y699/J699</f>
        <v/>
      </c>
      <c r="I699" s="670" t="n">
        <v>43907</v>
      </c>
      <c r="J699" t="n">
        <v>2815</v>
      </c>
      <c r="L699" t="n">
        <v>2815</v>
      </c>
      <c r="M699" t="n">
        <v>2018</v>
      </c>
      <c r="P699" t="inlineStr">
        <is>
          <t>PUD-Wes</t>
        </is>
      </c>
      <c r="R699" t="inlineStr">
        <is>
          <t>Good</t>
        </is>
      </c>
      <c r="S699" t="n">
        <v>8986</v>
      </c>
      <c r="T699" s="467">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245">
        <f>AND(E699=Subj_OccCode,Subj_BldgSF&gt;0,L699&gt;=Subj_BldgSF*(1-Subj_SizeTol),L699&lt;=Subj_BldgSF*(1+Subj_SizeTol))</f>
        <v/>
      </c>
    </row>
    <row r="700" ht="15" customHeight="1">
      <c r="A700" s="471" t="n">
        <v>8</v>
      </c>
      <c r="B700" s="245" t="n">
        <v>696</v>
      </c>
      <c r="C700" t="inlineStr">
        <is>
          <t>R0201382</t>
        </is>
      </c>
      <c r="D700" t="inlineStr">
        <is>
          <t>13575 E 37TH AVE</t>
        </is>
      </c>
      <c r="E700" t="n">
        <v>406</v>
      </c>
      <c r="F700" t="inlineStr">
        <is>
          <t>AURORA</t>
        </is>
      </c>
      <c r="G700" t="inlineStr">
        <is>
          <t>6</t>
        </is>
      </c>
      <c r="H700" s="669">
        <f>Y700/J700</f>
        <v/>
      </c>
      <c r="I700" s="670" t="n">
        <v>44553</v>
      </c>
      <c r="J700" t="n">
        <v>142708</v>
      </c>
      <c r="L700" t="n">
        <v>142708</v>
      </c>
      <c r="M700" t="n">
        <v>2020</v>
      </c>
      <c r="R700" t="inlineStr">
        <is>
          <t>Average</t>
        </is>
      </c>
      <c r="S700" t="n">
        <v>636236</v>
      </c>
      <c r="T700" s="467">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245">
        <f>AND(E700=Subj_OccCode,Subj_BldgSF&gt;0,L700&gt;=Subj_BldgSF*(1-Subj_SizeTol),L700&lt;=Subj_BldgSF*(1+Subj_SizeTol))</f>
        <v/>
      </c>
    </row>
    <row r="701" ht="15" customHeight="1">
      <c r="A701" s="471" t="n">
        <v>8</v>
      </c>
      <c r="B701" s="245" t="n">
        <v>697</v>
      </c>
      <c r="C701" t="inlineStr">
        <is>
          <t>R0209679</t>
        </is>
      </c>
      <c r="D701" t="inlineStr">
        <is>
          <t>17501 E 84TH AVE</t>
        </is>
      </c>
      <c r="E701" t="n">
        <v>584</v>
      </c>
      <c r="F701" t="inlineStr">
        <is>
          <t>COMMERCE CITY</t>
        </is>
      </c>
      <c r="G701" t="inlineStr">
        <is>
          <t>2</t>
        </is>
      </c>
      <c r="H701" s="669">
        <f>Y701/J701</f>
        <v/>
      </c>
      <c r="I701" s="670" t="n">
        <v>44547</v>
      </c>
      <c r="J701" t="n">
        <v>999780</v>
      </c>
      <c r="L701" t="n">
        <v>999780</v>
      </c>
      <c r="M701" t="n">
        <v>2021</v>
      </c>
      <c r="R701" t="inlineStr">
        <is>
          <t>Average</t>
        </is>
      </c>
      <c r="S701" t="n">
        <v>3152070</v>
      </c>
      <c r="T701" s="467">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245">
        <f>AND(E701=Subj_OccCode,Subj_BldgSF&gt;0,L701&gt;=Subj_BldgSF*(1-Subj_SizeTol),L701&lt;=Subj_BldgSF*(1+Subj_SizeTol))</f>
        <v/>
      </c>
    </row>
    <row r="702" ht="15" customHeight="1">
      <c r="A702" s="471" t="n">
        <v>8</v>
      </c>
      <c r="B702" s="245" t="n">
        <v>698</v>
      </c>
      <c r="C702" t="inlineStr">
        <is>
          <t>R0210404</t>
        </is>
      </c>
      <c r="D702" t="inlineStr">
        <is>
          <t>2000 W 104TH AVE</t>
        </is>
      </c>
      <c r="E702" t="n">
        <v>227</v>
      </c>
      <c r="F702" t="inlineStr">
        <is>
          <t>THORNTON</t>
        </is>
      </c>
      <c r="G702" t="inlineStr">
        <is>
          <t>4</t>
        </is>
      </c>
      <c r="H702" s="669">
        <f>Y702/J702</f>
        <v/>
      </c>
      <c r="I702" s="670" t="n">
        <v>44553</v>
      </c>
      <c r="J702" t="n">
        <v>23064</v>
      </c>
      <c r="L702" t="n">
        <v>23064</v>
      </c>
      <c r="M702" t="n">
        <v>1980</v>
      </c>
      <c r="R702" t="inlineStr">
        <is>
          <t>Average</t>
        </is>
      </c>
      <c r="S702" t="n">
        <v>1750390</v>
      </c>
      <c r="T702" s="467">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245">
        <f>AND(E702=Subj_OccCode,Subj_BldgSF&gt;0,L702&gt;=Subj_BldgSF*(1-Subj_SizeTol),L702&lt;=Subj_BldgSF*(1+Subj_SizeTol))</f>
        <v/>
      </c>
    </row>
    <row r="703" ht="15" customHeight="1">
      <c r="A703" s="471" t="n">
        <v>8</v>
      </c>
      <c r="B703" s="245" t="n">
        <v>699</v>
      </c>
      <c r="C703" t="inlineStr">
        <is>
          <t>R0208787</t>
        </is>
      </c>
      <c r="D703" t="inlineStr">
        <is>
          <t>5140  VIOLET HILL ST #S3</t>
        </is>
      </c>
      <c r="E703" t="n">
        <v>328</v>
      </c>
      <c r="G703" t="inlineStr">
        <is>
          <t>1</t>
        </is>
      </c>
      <c r="H703" s="669">
        <f>Y703/J703</f>
        <v/>
      </c>
      <c r="I703" s="670" t="n">
        <v>44621</v>
      </c>
      <c r="J703" t="n">
        <v>2465</v>
      </c>
      <c r="L703" t="n">
        <v>2465</v>
      </c>
      <c r="R703" t="inlineStr">
        <is>
          <t>Average</t>
        </is>
      </c>
      <c r="S703" t="n">
        <v>0</v>
      </c>
      <c r="T703" s="467">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245">
        <f>AND(E703=Subj_OccCode,Subj_BldgSF&gt;0,L703&gt;=Subj_BldgSF*(1-Subj_SizeTol),L703&lt;=Subj_BldgSF*(1+Subj_SizeTol))</f>
        <v/>
      </c>
    </row>
    <row r="704" ht="15" customHeight="1">
      <c r="A704" s="471" t="n">
        <v>8</v>
      </c>
      <c r="B704" s="245" t="n">
        <v>700</v>
      </c>
      <c r="C704" t="inlineStr">
        <is>
          <t>R0208785</t>
        </is>
      </c>
      <c r="D704" t="inlineStr">
        <is>
          <t>5160  VIOLET HILL ST #S9</t>
        </is>
      </c>
      <c r="E704" t="n">
        <v>328</v>
      </c>
      <c r="G704" t="inlineStr">
        <is>
          <t>1</t>
        </is>
      </c>
      <c r="H704" s="669">
        <f>Y704/J704</f>
        <v/>
      </c>
      <c r="I704" s="670" t="n">
        <v>44178</v>
      </c>
      <c r="J704" t="n">
        <v>1229</v>
      </c>
      <c r="L704" t="n">
        <v>1229</v>
      </c>
      <c r="R704" t="inlineStr">
        <is>
          <t>Average</t>
        </is>
      </c>
      <c r="S704" t="n">
        <v>0</v>
      </c>
      <c r="T704" s="467">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245">
        <f>AND(E704=Subj_OccCode,Subj_BldgSF&gt;0,L704&gt;=Subj_BldgSF*(1-Subj_SizeTol),L704&lt;=Subj_BldgSF*(1+Subj_SizeTol))</f>
        <v/>
      </c>
    </row>
    <row r="705" ht="15" customHeight="1">
      <c r="A705" s="471" t="n">
        <v>8</v>
      </c>
      <c r="B705" s="245" t="n">
        <v>701</v>
      </c>
      <c r="C705" t="inlineStr">
        <is>
          <t>R0208777</t>
        </is>
      </c>
      <c r="D705" t="inlineStr">
        <is>
          <t>5160  VIOLET HILL ST #N8</t>
        </is>
      </c>
      <c r="E705" t="n">
        <v>328</v>
      </c>
      <c r="G705" t="inlineStr">
        <is>
          <t>1</t>
        </is>
      </c>
      <c r="H705" s="669">
        <f>Y705/J705</f>
        <v/>
      </c>
      <c r="I705" s="670" t="n">
        <v>43832</v>
      </c>
      <c r="J705" t="n">
        <v>1530</v>
      </c>
      <c r="L705" t="n">
        <v>1530</v>
      </c>
      <c r="R705" t="inlineStr">
        <is>
          <t>Average</t>
        </is>
      </c>
      <c r="S705" t="n">
        <v>0</v>
      </c>
      <c r="T705" s="467">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245">
        <f>AND(E705=Subj_OccCode,Subj_BldgSF&gt;0,L705&gt;=Subj_BldgSF*(1-Subj_SizeTol),L705&lt;=Subj_BldgSF*(1+Subj_SizeTol))</f>
        <v/>
      </c>
    </row>
    <row r="706" ht="15" customHeight="1">
      <c r="A706" s="471" t="n">
        <v>8</v>
      </c>
      <c r="B706" s="245" t="n">
        <v>702</v>
      </c>
      <c r="C706" t="inlineStr">
        <is>
          <t>R0208780</t>
        </is>
      </c>
      <c r="D706" t="inlineStr">
        <is>
          <t>5160  VIOLET HILL ST #N2</t>
        </is>
      </c>
      <c r="E706" t="n">
        <v>328</v>
      </c>
      <c r="G706" t="inlineStr">
        <is>
          <t>1</t>
        </is>
      </c>
      <c r="H706" s="669">
        <f>Y706/J706</f>
        <v/>
      </c>
      <c r="I706" s="670" t="n">
        <v>44091</v>
      </c>
      <c r="J706" t="n">
        <v>1530</v>
      </c>
      <c r="L706" t="n">
        <v>1530</v>
      </c>
      <c r="R706" t="inlineStr">
        <is>
          <t>Average</t>
        </is>
      </c>
      <c r="S706" t="n">
        <v>0</v>
      </c>
      <c r="T706" s="467">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245">
        <f>AND(E706=Subj_OccCode,Subj_BldgSF&gt;0,L706&gt;=Subj_BldgSF*(1-Subj_SizeTol),L706&lt;=Subj_BldgSF*(1+Subj_SizeTol))</f>
        <v/>
      </c>
    </row>
    <row r="707" ht="15" customHeight="1">
      <c r="A707" s="471" t="n">
        <v>8</v>
      </c>
      <c r="B707" s="245" t="n">
        <v>703</v>
      </c>
      <c r="C707" t="inlineStr">
        <is>
          <t>R0211079</t>
        </is>
      </c>
      <c r="D707" t="inlineStr">
        <is>
          <t>12245 N PECOS ST</t>
        </is>
      </c>
      <c r="E707" t="n">
        <v>1344</v>
      </c>
      <c r="F707" t="inlineStr">
        <is>
          <t>WESTMINSTER</t>
        </is>
      </c>
      <c r="G707" t="inlineStr">
        <is>
          <t>3</t>
        </is>
      </c>
      <c r="H707" s="669">
        <f>Y707/J707</f>
        <v/>
      </c>
      <c r="I707" s="670" t="n">
        <v>44426</v>
      </c>
      <c r="J707" t="n">
        <v>4726</v>
      </c>
      <c r="L707" t="n">
        <v>4726</v>
      </c>
      <c r="M707" t="n">
        <v>2020</v>
      </c>
      <c r="R707" t="inlineStr">
        <is>
          <t>Average</t>
        </is>
      </c>
      <c r="S707" t="n">
        <v>0</v>
      </c>
      <c r="T707" s="467">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245">
        <f>AND(E707=Subj_OccCode,Subj_BldgSF&gt;0,L707&gt;=Subj_BldgSF*(1-Subj_SizeTol),L707&lt;=Subj_BldgSF*(1+Subj_SizeTol))</f>
        <v/>
      </c>
    </row>
    <row r="708" ht="15" customHeight="1">
      <c r="A708" s="471" t="n">
        <v>8</v>
      </c>
      <c r="B708" s="245" t="n">
        <v>704</v>
      </c>
      <c r="C708" t="inlineStr">
        <is>
          <t>R0204668</t>
        </is>
      </c>
      <c r="D708" t="inlineStr">
        <is>
          <t>12235 N PECOS ST</t>
        </is>
      </c>
      <c r="E708" t="n">
        <v>1344</v>
      </c>
      <c r="F708" t="inlineStr">
        <is>
          <t>WESTMINSTER</t>
        </is>
      </c>
      <c r="G708" t="inlineStr">
        <is>
          <t>3</t>
        </is>
      </c>
      <c r="H708" s="669">
        <f>Y708/J708</f>
        <v/>
      </c>
      <c r="I708" s="670" t="n">
        <v>44131</v>
      </c>
      <c r="J708" t="n">
        <v>2337</v>
      </c>
      <c r="L708" t="n">
        <v>2337</v>
      </c>
      <c r="M708" t="n">
        <v>2020</v>
      </c>
      <c r="R708" t="inlineStr">
        <is>
          <t>Average</t>
        </is>
      </c>
      <c r="S708" t="n">
        <v>2051</v>
      </c>
      <c r="T708" s="467">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245">
        <f>AND(E708=Subj_OccCode,Subj_BldgSF&gt;0,L708&gt;=Subj_BldgSF*(1-Subj_SizeTol),L708&lt;=Subj_BldgSF*(1+Subj_SizeTol))</f>
        <v/>
      </c>
    </row>
    <row r="709" ht="15" customHeight="1">
      <c r="A709" s="471" t="n">
        <v>8</v>
      </c>
      <c r="B709" s="245" t="n">
        <v>705</v>
      </c>
      <c r="C709" t="inlineStr">
        <is>
          <t>R0208786</t>
        </is>
      </c>
      <c r="D709" t="inlineStr">
        <is>
          <t>5140  VIOLET HILL ST #S4</t>
        </is>
      </c>
      <c r="E709" t="n">
        <v>328</v>
      </c>
      <c r="G709" t="inlineStr">
        <is>
          <t>1</t>
        </is>
      </c>
      <c r="H709" s="669">
        <f>Y709/J709</f>
        <v/>
      </c>
      <c r="I709" s="670" t="n">
        <v>43971</v>
      </c>
      <c r="J709" t="n">
        <v>2968</v>
      </c>
      <c r="L709" t="n">
        <v>2968</v>
      </c>
      <c r="R709" t="inlineStr">
        <is>
          <t>Average</t>
        </is>
      </c>
      <c r="S709" t="n">
        <v>0</v>
      </c>
      <c r="T709" s="467">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245">
        <f>AND(E709=Subj_OccCode,Subj_BldgSF&gt;0,L709&gt;=Subj_BldgSF*(1-Subj_SizeTol),L709&lt;=Subj_BldgSF*(1+Subj_SizeTol))</f>
        <v/>
      </c>
    </row>
    <row r="710" ht="15" customHeight="1">
      <c r="A710" s="471" t="n">
        <v>8</v>
      </c>
      <c r="B710" s="245" t="n">
        <v>706</v>
      </c>
      <c r="C710" t="inlineStr">
        <is>
          <t>R0208782</t>
        </is>
      </c>
      <c r="D710" t="inlineStr">
        <is>
          <t>5160  VIOLET HILL ST #S3</t>
        </is>
      </c>
      <c r="E710" t="n">
        <v>328</v>
      </c>
      <c r="G710" t="inlineStr">
        <is>
          <t>1</t>
        </is>
      </c>
      <c r="H710" s="669">
        <f>Y710/J710</f>
        <v/>
      </c>
      <c r="I710" s="670" t="n">
        <v>43868</v>
      </c>
      <c r="J710" t="n">
        <v>1103</v>
      </c>
      <c r="L710" t="n">
        <v>1103</v>
      </c>
      <c r="R710" t="inlineStr">
        <is>
          <t>Average</t>
        </is>
      </c>
      <c r="S710" t="n">
        <v>0</v>
      </c>
      <c r="T710" s="467">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245">
        <f>AND(E710=Subj_OccCode,Subj_BldgSF&gt;0,L710&gt;=Subj_BldgSF*(1-Subj_SizeTol),L710&lt;=Subj_BldgSF*(1+Subj_SizeTol))</f>
        <v/>
      </c>
    </row>
    <row r="711" ht="15" customHeight="1">
      <c r="A711" s="471" t="n">
        <v>8</v>
      </c>
      <c r="B711" s="245" t="n">
        <v>707</v>
      </c>
      <c r="C711" t="inlineStr">
        <is>
          <t>R0208782</t>
        </is>
      </c>
      <c r="D711" t="inlineStr">
        <is>
          <t>5160  VIOLET HILL ST #S3</t>
        </is>
      </c>
      <c r="E711" t="n">
        <v>328</v>
      </c>
      <c r="G711" t="inlineStr">
        <is>
          <t>1</t>
        </is>
      </c>
      <c r="H711" s="669">
        <f>Y711/J711</f>
        <v/>
      </c>
      <c r="I711" s="670" t="n">
        <v>44091</v>
      </c>
      <c r="J711" t="n">
        <v>1103</v>
      </c>
      <c r="L711" t="n">
        <v>1103</v>
      </c>
      <c r="R711" t="inlineStr">
        <is>
          <t>Average</t>
        </is>
      </c>
      <c r="S711" t="n">
        <v>0</v>
      </c>
      <c r="T711" s="467">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245">
        <f>AND(E711=Subj_OccCode,Subj_BldgSF&gt;0,L711&gt;=Subj_BldgSF*(1-Subj_SizeTol),L711&lt;=Subj_BldgSF*(1+Subj_SizeTol))</f>
        <v/>
      </c>
    </row>
    <row r="712" ht="15" customHeight="1">
      <c r="A712" s="471" t="n">
        <v>8</v>
      </c>
      <c r="B712" s="245" t="n">
        <v>708</v>
      </c>
      <c r="C712" t="inlineStr">
        <is>
          <t>R0198519</t>
        </is>
      </c>
      <c r="D712" t="inlineStr">
        <is>
          <t>2160  PRAIRIE CENTER PKWY</t>
        </is>
      </c>
      <c r="E712" t="n">
        <v>436</v>
      </c>
      <c r="F712" t="inlineStr">
        <is>
          <t>BRIGHTON</t>
        </is>
      </c>
      <c r="G712" t="inlineStr">
        <is>
          <t>2</t>
        </is>
      </c>
      <c r="H712" s="669">
        <f>Y712/J712</f>
        <v/>
      </c>
      <c r="I712" s="670" t="n">
        <v>43523</v>
      </c>
      <c r="J712" t="n">
        <v>4272</v>
      </c>
      <c r="L712" t="n">
        <v>4272</v>
      </c>
      <c r="M712" t="n">
        <v>2019</v>
      </c>
      <c r="R712" t="inlineStr">
        <is>
          <t>Good</t>
        </is>
      </c>
      <c r="S712" t="n">
        <v>54605</v>
      </c>
      <c r="T712" s="467">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245">
        <f>AND(E712=Subj_OccCode,Subj_BldgSF&gt;0,L712&gt;=Subj_BldgSF*(1-Subj_SizeTol),L712&lt;=Subj_BldgSF*(1+Subj_SizeTol))</f>
        <v/>
      </c>
    </row>
    <row r="713" ht="15" customHeight="1">
      <c r="A713" s="471" t="n">
        <v>8</v>
      </c>
      <c r="B713" s="245" t="n">
        <v>709</v>
      </c>
      <c r="C713" t="inlineStr">
        <is>
          <t>R0115415</t>
        </is>
      </c>
      <c r="D713" t="inlineStr">
        <is>
          <t>9640  HAVANA ST</t>
        </is>
      </c>
      <c r="E713" t="n">
        <v>407</v>
      </c>
      <c r="F713" t="inlineStr">
        <is>
          <t>COMMERCE CITY</t>
        </is>
      </c>
      <c r="G713" t="inlineStr">
        <is>
          <t>5</t>
        </is>
      </c>
      <c r="H713" s="669">
        <f>Y713/J713</f>
        <v/>
      </c>
      <c r="I713" s="670" t="n">
        <v>44327</v>
      </c>
      <c r="J713" t="n">
        <v>19499</v>
      </c>
      <c r="L713" t="n">
        <v>19499</v>
      </c>
      <c r="M713" t="n">
        <v>2020</v>
      </c>
      <c r="P713" t="inlineStr">
        <is>
          <t>PUD-Com</t>
        </is>
      </c>
      <c r="R713" t="inlineStr">
        <is>
          <t>Average</t>
        </is>
      </c>
      <c r="S713" t="n">
        <v>64459</v>
      </c>
      <c r="T713" s="467">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245">
        <f>AND(E713=Subj_OccCode,Subj_BldgSF&gt;0,L713&gt;=Subj_BldgSF*(1-Subj_SizeTol),L713&lt;=Subj_BldgSF*(1+Subj_SizeTol))</f>
        <v/>
      </c>
    </row>
    <row r="714" ht="15" customHeight="1">
      <c r="A714" s="471" t="n">
        <v>8</v>
      </c>
      <c r="B714" s="245" t="n">
        <v>710</v>
      </c>
      <c r="C714" t="inlineStr">
        <is>
          <t>R0208789</t>
        </is>
      </c>
      <c r="D714" t="inlineStr">
        <is>
          <t>5140  VIOLET HILL ST</t>
        </is>
      </c>
      <c r="E714" t="n">
        <v>328</v>
      </c>
      <c r="G714" t="inlineStr">
        <is>
          <t>1</t>
        </is>
      </c>
      <c r="H714" s="669">
        <f>Y714/J714</f>
        <v/>
      </c>
      <c r="I714" s="670" t="n">
        <v>43951</v>
      </c>
      <c r="J714" t="n">
        <v>2470</v>
      </c>
      <c r="L714" t="n">
        <v>2470</v>
      </c>
      <c r="R714" t="inlineStr">
        <is>
          <t>Average</t>
        </is>
      </c>
      <c r="T714" s="467">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245">
        <f>AND(E714=Subj_OccCode,Subj_BldgSF&gt;0,L714&gt;=Subj_BldgSF*(1-Subj_SizeTol),L714&lt;=Subj_BldgSF*(1+Subj_SizeTol))</f>
        <v/>
      </c>
    </row>
    <row r="715" ht="15" customHeight="1">
      <c r="A715" s="248" t="n">
        <v>8</v>
      </c>
      <c r="B715" s="245" t="n">
        <v>711</v>
      </c>
      <c r="AI715">
        <f>AND(E715=Subj_OccCode,Subj_BldgSF&gt;0,L715&gt;=Subj_BldgSF*(1-Subj_SizeTol),L715&lt;=Subj_BldgSF*(1+Subj_SizeTol))</f>
        <v/>
      </c>
    </row>
    <row r="716" ht="15" customHeight="1">
      <c r="A716" s="248" t="n">
        <v>8</v>
      </c>
      <c r="B716" s="245" t="n">
        <v>712</v>
      </c>
      <c r="AI716">
        <f>AND(E716=Subj_OccCode,Subj_BldgSF&gt;0,L716&gt;=Subj_BldgSF*(1-Subj_SizeTol),L716&lt;=Subj_BldgSF*(1+Subj_SizeTol))</f>
        <v/>
      </c>
    </row>
    <row r="717" ht="15" customHeight="1">
      <c r="A717" s="248" t="n">
        <v>8</v>
      </c>
      <c r="B717" s="245" t="n">
        <v>713</v>
      </c>
      <c r="AI717">
        <f>AND(E717=Subj_OccCode,Subj_BldgSF&gt;0,L717&gt;=Subj_BldgSF*(1-Subj_SizeTol),L717&lt;=Subj_BldgSF*(1+Subj_SizeTol))</f>
        <v/>
      </c>
    </row>
    <row r="718" ht="15" customHeight="1">
      <c r="A718" s="248" t="n">
        <v>8</v>
      </c>
      <c r="B718" s="245" t="n">
        <v>714</v>
      </c>
      <c r="AI718">
        <f>AND(E718=Subj_OccCode,Subj_BldgSF&gt;0,L718&gt;=Subj_BldgSF*(1-Subj_SizeTol),L718&lt;=Subj_BldgSF*(1+Subj_SizeTol))</f>
        <v/>
      </c>
    </row>
    <row r="719" ht="15" customHeight="1">
      <c r="A719" s="248" t="n">
        <v>8</v>
      </c>
      <c r="B719" s="245" t="n">
        <v>715</v>
      </c>
      <c r="AI719">
        <f>AND(E719=Subj_OccCode,Subj_BldgSF&gt;0,L719&gt;=Subj_BldgSF*(1-Subj_SizeTol),L719&lt;=Subj_BldgSF*(1+Subj_SizeTol))</f>
        <v/>
      </c>
    </row>
    <row r="720" ht="15" customHeight="1">
      <c r="A720" s="248" t="n">
        <v>8</v>
      </c>
      <c r="B720" s="245" t="n">
        <v>716</v>
      </c>
      <c r="AI720">
        <f>AND(E720=Subj_OccCode,Subj_BldgSF&gt;0,L720&gt;=Subj_BldgSF*(1-Subj_SizeTol),L720&lt;=Subj_BldgSF*(1+Subj_SizeTol))</f>
        <v/>
      </c>
    </row>
    <row r="721" ht="15" customHeight="1">
      <c r="A721" s="248" t="n">
        <v>8</v>
      </c>
      <c r="B721" s="245" t="n">
        <v>717</v>
      </c>
      <c r="AI721">
        <f>AND(E721=Subj_OccCode,Subj_BldgSF&gt;0,L721&gt;=Subj_BldgSF*(1-Subj_SizeTol),L721&lt;=Subj_BldgSF*(1+Subj_SizeTol))</f>
        <v/>
      </c>
    </row>
    <row r="722" ht="15" customHeight="1">
      <c r="A722" s="248" t="n">
        <v>8</v>
      </c>
      <c r="B722" s="245" t="n">
        <v>718</v>
      </c>
      <c r="AI722">
        <f>AND(E722=Subj_OccCode,Subj_BldgSF&gt;0,L722&gt;=Subj_BldgSF*(1-Subj_SizeTol),L722&lt;=Subj_BldgSF*(1+Subj_SizeTol))</f>
        <v/>
      </c>
    </row>
    <row r="723" ht="15" customHeight="1">
      <c r="A723" s="248" t="n">
        <v>8</v>
      </c>
      <c r="B723" s="245" t="n">
        <v>719</v>
      </c>
      <c r="AI723">
        <f>AND(E723=Subj_OccCode,Subj_BldgSF&gt;0,L723&gt;=Subj_BldgSF*(1-Subj_SizeTol),L723&lt;=Subj_BldgSF*(1+Subj_SizeTol))</f>
        <v/>
      </c>
    </row>
    <row r="724" ht="15" customHeight="1">
      <c r="A724" s="248" t="n">
        <v>8</v>
      </c>
      <c r="B724" s="245" t="n">
        <v>720</v>
      </c>
      <c r="AI724">
        <f>AND(E724=Subj_OccCode,Subj_BldgSF&gt;0,L724&gt;=Subj_BldgSF*(1-Subj_SizeTol),L724&lt;=Subj_BldgSF*(1+Subj_SizeTol))</f>
        <v/>
      </c>
    </row>
    <row r="725" ht="15" customHeight="1">
      <c r="A725" s="248" t="n">
        <v>8</v>
      </c>
      <c r="B725" s="245" t="n">
        <v>721</v>
      </c>
      <c r="AI725">
        <f>AND(E725=Subj_OccCode,Subj_BldgSF&gt;0,L725&gt;=Subj_BldgSF*(1-Subj_SizeTol),L725&lt;=Subj_BldgSF*(1+Subj_SizeTol))</f>
        <v/>
      </c>
    </row>
    <row r="726" ht="15" customHeight="1">
      <c r="A726" s="248" t="n">
        <v>8</v>
      </c>
      <c r="B726" s="245" t="n">
        <v>722</v>
      </c>
      <c r="AI726">
        <f>AND(E726=Subj_OccCode,Subj_BldgSF&gt;0,L726&gt;=Subj_BldgSF*(1-Subj_SizeTol),L726&lt;=Subj_BldgSF*(1+Subj_SizeTol))</f>
        <v/>
      </c>
    </row>
    <row r="727" ht="15" customHeight="1">
      <c r="A727" s="248" t="n">
        <v>8</v>
      </c>
      <c r="B727" s="245" t="n">
        <v>723</v>
      </c>
      <c r="AI727">
        <f>AND(E727=Subj_OccCode,Subj_BldgSF&gt;0,L727&gt;=Subj_BldgSF*(1-Subj_SizeTol),L727&lt;=Subj_BldgSF*(1+Subj_SizeTol))</f>
        <v/>
      </c>
    </row>
    <row r="728" ht="15" customHeight="1">
      <c r="A728" s="248" t="n">
        <v>8</v>
      </c>
      <c r="B728" s="245" t="n">
        <v>724</v>
      </c>
      <c r="AI728">
        <f>AND(E728=Subj_OccCode,Subj_BldgSF&gt;0,L728&gt;=Subj_BldgSF*(1-Subj_SizeTol),L728&lt;=Subj_BldgSF*(1+Subj_SizeTol))</f>
        <v/>
      </c>
    </row>
    <row r="729" ht="15" customHeight="1">
      <c r="A729" s="248" t="n">
        <v>8</v>
      </c>
      <c r="B729" s="245" t="n">
        <v>725</v>
      </c>
      <c r="AI729">
        <f>AND(E729=Subj_OccCode,Subj_BldgSF&gt;0,L729&gt;=Subj_BldgSF*(1-Subj_SizeTol),L729&lt;=Subj_BldgSF*(1+Subj_SizeTol))</f>
        <v/>
      </c>
    </row>
    <row r="730" ht="15" customHeight="1">
      <c r="A730" s="248" t="n">
        <v>8</v>
      </c>
      <c r="B730" s="245" t="n">
        <v>726</v>
      </c>
      <c r="AI730">
        <f>AND(E730=Subj_OccCode,Subj_BldgSF&gt;0,L730&gt;=Subj_BldgSF*(1-Subj_SizeTol),L730&lt;=Subj_BldgSF*(1+Subj_SizeTol))</f>
        <v/>
      </c>
    </row>
    <row r="731" ht="15" customHeight="1">
      <c r="A731" s="248" t="n">
        <v>8</v>
      </c>
      <c r="B731" s="245" t="n">
        <v>727</v>
      </c>
      <c r="AI731">
        <f>AND(E731=Subj_OccCode,Subj_BldgSF&gt;0,L731&gt;=Subj_BldgSF*(1-Subj_SizeTol),L731&lt;=Subj_BldgSF*(1+Subj_SizeTol))</f>
        <v/>
      </c>
    </row>
    <row r="732" ht="15" customHeight="1">
      <c r="A732" s="248" t="n">
        <v>8</v>
      </c>
      <c r="B732" s="245" t="n">
        <v>728</v>
      </c>
      <c r="AI732">
        <f>AND(E732=Subj_OccCode,Subj_BldgSF&gt;0,L732&gt;=Subj_BldgSF*(1-Subj_SizeTol),L732&lt;=Subj_BldgSF*(1+Subj_SizeTol))</f>
        <v/>
      </c>
    </row>
    <row r="733" ht="15" customHeight="1">
      <c r="A733" s="248" t="n">
        <v>8</v>
      </c>
      <c r="B733" s="245" t="n">
        <v>729</v>
      </c>
      <c r="AI733">
        <f>AND(E733=Subj_OccCode,Subj_BldgSF&gt;0,L733&gt;=Subj_BldgSF*(1-Subj_SizeTol),L733&lt;=Subj_BldgSF*(1+Subj_SizeTol))</f>
        <v/>
      </c>
    </row>
    <row r="734" ht="15" customHeight="1">
      <c r="A734" s="248" t="n">
        <v>8</v>
      </c>
      <c r="B734" s="245" t="n">
        <v>730</v>
      </c>
      <c r="AI734">
        <f>AND(E734=Subj_OccCode,Subj_BldgSF&gt;0,L734&gt;=Subj_BldgSF*(1-Subj_SizeTol),L734&lt;=Subj_BldgSF*(1+Subj_SizeTol))</f>
        <v/>
      </c>
    </row>
    <row r="735" ht="15" customHeight="1">
      <c r="A735" s="248" t="n">
        <v>8</v>
      </c>
      <c r="B735" s="245" t="n">
        <v>731</v>
      </c>
      <c r="AI735">
        <f>AND(E735=Subj_OccCode,Subj_BldgSF&gt;0,L735&gt;=Subj_BldgSF*(1-Subj_SizeTol),L735&lt;=Subj_BldgSF*(1+Subj_SizeTol))</f>
        <v/>
      </c>
    </row>
    <row r="736" ht="15" customHeight="1">
      <c r="A736" s="248" t="n">
        <v>8</v>
      </c>
      <c r="B736" s="245" t="n">
        <v>732</v>
      </c>
      <c r="AI736">
        <f>AND(E736=Subj_OccCode,Subj_BldgSF&gt;0,L736&gt;=Subj_BldgSF*(1-Subj_SizeTol),L736&lt;=Subj_BldgSF*(1+Subj_SizeTol))</f>
        <v/>
      </c>
    </row>
    <row r="737" ht="15" customHeight="1">
      <c r="A737" s="248" t="n">
        <v>8</v>
      </c>
      <c r="B737" s="245" t="n">
        <v>733</v>
      </c>
      <c r="AI737">
        <f>AND(E737=Subj_OccCode,Subj_BldgSF&gt;0,L737&gt;=Subj_BldgSF*(1-Subj_SizeTol),L737&lt;=Subj_BldgSF*(1+Subj_SizeTol))</f>
        <v/>
      </c>
    </row>
    <row r="738" ht="15" customHeight="1">
      <c r="A738" s="248" t="n">
        <v>8</v>
      </c>
      <c r="B738" s="245" t="n">
        <v>734</v>
      </c>
      <c r="AI738">
        <f>AND(E738=Subj_OccCode,Subj_BldgSF&gt;0,L738&gt;=Subj_BldgSF*(1-Subj_SizeTol),L738&lt;=Subj_BldgSF*(1+Subj_SizeTol))</f>
        <v/>
      </c>
    </row>
    <row r="739" ht="15" customHeight="1">
      <c r="A739" s="248" t="n">
        <v>8</v>
      </c>
      <c r="B739" s="245" t="n">
        <v>735</v>
      </c>
      <c r="AI739">
        <f>AND(E739=Subj_OccCode,Subj_BldgSF&gt;0,L739&gt;=Subj_BldgSF*(1-Subj_SizeTol),L739&lt;=Subj_BldgSF*(1+Subj_SizeTol))</f>
        <v/>
      </c>
    </row>
    <row r="740" ht="15" customHeight="1">
      <c r="A740" s="248" t="n">
        <v>8</v>
      </c>
      <c r="B740" s="245" t="n">
        <v>736</v>
      </c>
      <c r="AI740">
        <f>AND(E740=Subj_OccCode,Subj_BldgSF&gt;0,L740&gt;=Subj_BldgSF*(1-Subj_SizeTol),L740&lt;=Subj_BldgSF*(1+Subj_SizeTol))</f>
        <v/>
      </c>
    </row>
    <row r="741" ht="15" customHeight="1">
      <c r="A741" s="248" t="n">
        <v>8</v>
      </c>
      <c r="B741" s="245" t="n">
        <v>737</v>
      </c>
      <c r="AI741">
        <f>AND(E741=Subj_OccCode,Subj_BldgSF&gt;0,L741&gt;=Subj_BldgSF*(1-Subj_SizeTol),L741&lt;=Subj_BldgSF*(1+Subj_SizeTol))</f>
        <v/>
      </c>
    </row>
    <row r="742" ht="15" customHeight="1">
      <c r="A742" s="248" t="n">
        <v>8</v>
      </c>
      <c r="B742" s="245" t="n">
        <v>738</v>
      </c>
      <c r="AI742">
        <f>AND(E742=Subj_OccCode,Subj_BldgSF&gt;0,L742&gt;=Subj_BldgSF*(1-Subj_SizeTol),L742&lt;=Subj_BldgSF*(1+Subj_SizeTol))</f>
        <v/>
      </c>
    </row>
    <row r="743" ht="15" customHeight="1">
      <c r="A743" s="248" t="n">
        <v>8</v>
      </c>
      <c r="B743" s="245" t="n">
        <v>739</v>
      </c>
      <c r="AI743">
        <f>AND(E743=Subj_OccCode,Subj_BldgSF&gt;0,L743&gt;=Subj_BldgSF*(1-Subj_SizeTol),L743&lt;=Subj_BldgSF*(1+Subj_SizeTol))</f>
        <v/>
      </c>
    </row>
    <row r="744" ht="15" customHeight="1">
      <c r="A744" s="248" t="n">
        <v>8</v>
      </c>
      <c r="B744" s="245" t="n">
        <v>740</v>
      </c>
      <c r="AI744">
        <f>AND(E744=Subj_OccCode,Subj_BldgSF&gt;0,L744&gt;=Subj_BldgSF*(1-Subj_SizeTol),L744&lt;=Subj_BldgSF*(1+Subj_SizeTol))</f>
        <v/>
      </c>
    </row>
    <row r="745" ht="15" customHeight="1">
      <c r="A745" s="248" t="n">
        <v>8</v>
      </c>
      <c r="B745" s="245" t="n">
        <v>741</v>
      </c>
      <c r="AI745">
        <f>AND(E745=Subj_OccCode,Subj_BldgSF&gt;0,L745&gt;=Subj_BldgSF*(1-Subj_SizeTol),L745&lt;=Subj_BldgSF*(1+Subj_SizeTol))</f>
        <v/>
      </c>
    </row>
    <row r="746" ht="15" customHeight="1">
      <c r="A746" s="248" t="n">
        <v>8</v>
      </c>
      <c r="B746" s="245" t="n">
        <v>742</v>
      </c>
      <c r="AI746">
        <f>AND(E746=Subj_OccCode,Subj_BldgSF&gt;0,L746&gt;=Subj_BldgSF*(1-Subj_SizeTol),L746&lt;=Subj_BldgSF*(1+Subj_SizeTol))</f>
        <v/>
      </c>
    </row>
    <row r="747" ht="15" customHeight="1">
      <c r="A747" s="248" t="n">
        <v>8</v>
      </c>
      <c r="B747" s="245" t="n">
        <v>743</v>
      </c>
      <c r="AI747">
        <f>AND(E747=Subj_OccCode,Subj_BldgSF&gt;0,L747&gt;=Subj_BldgSF*(1-Subj_SizeTol),L747&lt;=Subj_BldgSF*(1+Subj_SizeTol))</f>
        <v/>
      </c>
    </row>
    <row r="748" ht="15" customHeight="1">
      <c r="A748" s="248" t="n">
        <v>8</v>
      </c>
      <c r="B748" s="245" t="n">
        <v>744</v>
      </c>
      <c r="AI748">
        <f>AND(E748=Subj_OccCode,Subj_BldgSF&gt;0,L748&gt;=Subj_BldgSF*(1-Subj_SizeTol),L748&lt;=Subj_BldgSF*(1+Subj_SizeTol))</f>
        <v/>
      </c>
    </row>
    <row r="749" ht="15" customHeight="1">
      <c r="A749" s="248" t="n">
        <v>8</v>
      </c>
      <c r="B749" s="245" t="n">
        <v>745</v>
      </c>
      <c r="AI749">
        <f>AND(E749=Subj_OccCode,Subj_BldgSF&gt;0,L749&gt;=Subj_BldgSF*(1-Subj_SizeTol),L749&lt;=Subj_BldgSF*(1+Subj_SizeTol))</f>
        <v/>
      </c>
    </row>
    <row r="750" ht="15" customHeight="1">
      <c r="A750" s="248" t="n">
        <v>8</v>
      </c>
      <c r="B750" s="245" t="n">
        <v>746</v>
      </c>
      <c r="AI750">
        <f>AND(E750=Subj_OccCode,Subj_BldgSF&gt;0,L750&gt;=Subj_BldgSF*(1-Subj_SizeTol),L750&lt;=Subj_BldgSF*(1+Subj_SizeTol))</f>
        <v/>
      </c>
    </row>
    <row r="751" ht="15" customHeight="1">
      <c r="A751" s="248" t="n">
        <v>8</v>
      </c>
      <c r="B751" s="245" t="n">
        <v>747</v>
      </c>
      <c r="AI751">
        <f>AND(E751=Subj_OccCode,Subj_BldgSF&gt;0,L751&gt;=Subj_BldgSF*(1-Subj_SizeTol),L751&lt;=Subj_BldgSF*(1+Subj_SizeTol))</f>
        <v/>
      </c>
    </row>
    <row r="752" ht="15" customHeight="1">
      <c r="A752" s="248" t="n">
        <v>8</v>
      </c>
      <c r="B752" s="245" t="n">
        <v>748</v>
      </c>
      <c r="AI752">
        <f>AND(E752=Subj_OccCode,Subj_BldgSF&gt;0,L752&gt;=Subj_BldgSF*(1-Subj_SizeTol),L752&lt;=Subj_BldgSF*(1+Subj_SizeTol))</f>
        <v/>
      </c>
    </row>
    <row r="753" ht="15" customHeight="1">
      <c r="A753" s="248" t="n">
        <v>8</v>
      </c>
      <c r="B753" s="245" t="n">
        <v>749</v>
      </c>
      <c r="AI753">
        <f>AND(E753=Subj_OccCode,Subj_BldgSF&gt;0,L753&gt;=Subj_BldgSF*(1-Subj_SizeTol),L753&lt;=Subj_BldgSF*(1+Subj_SizeTol))</f>
        <v/>
      </c>
    </row>
    <row r="754" ht="15" customHeight="1">
      <c r="A754" s="248" t="n">
        <v>8</v>
      </c>
      <c r="B754" s="245" t="n">
        <v>750</v>
      </c>
      <c r="AI754">
        <f>AND(E754=Subj_OccCode,Subj_BldgSF&gt;0,L754&gt;=Subj_BldgSF*(1-Subj_SizeTol),L754&lt;=Subj_BldgSF*(1+Subj_SizeTol))</f>
        <v/>
      </c>
    </row>
    <row r="755" ht="15" customHeight="1">
      <c r="A755" s="248" t="n">
        <v>8</v>
      </c>
      <c r="B755" s="245" t="n">
        <v>751</v>
      </c>
      <c r="AI755">
        <f>AND(E755=Subj_OccCode,Subj_BldgSF&gt;0,L755&gt;=Subj_BldgSF*(1-Subj_SizeTol),L755&lt;=Subj_BldgSF*(1+Subj_SizeTol))</f>
        <v/>
      </c>
    </row>
    <row r="756" ht="15" customHeight="1">
      <c r="A756" s="248" t="n">
        <v>8</v>
      </c>
      <c r="B756" s="245" t="n">
        <v>752</v>
      </c>
      <c r="AI756">
        <f>AND(E756=Subj_OccCode,Subj_BldgSF&gt;0,L756&gt;=Subj_BldgSF*(1-Subj_SizeTol),L756&lt;=Subj_BldgSF*(1+Subj_SizeTol))</f>
        <v/>
      </c>
    </row>
    <row r="757" ht="15" customHeight="1">
      <c r="A757" s="248" t="n">
        <v>8</v>
      </c>
      <c r="B757" s="245" t="n">
        <v>753</v>
      </c>
      <c r="AI757">
        <f>AND(E757=Subj_OccCode,Subj_BldgSF&gt;0,L757&gt;=Subj_BldgSF*(1-Subj_SizeTol),L757&lt;=Subj_BldgSF*(1+Subj_SizeTol))</f>
        <v/>
      </c>
    </row>
    <row r="758" ht="15" customHeight="1">
      <c r="A758" s="248" t="n">
        <v>8</v>
      </c>
      <c r="B758" s="245" t="n">
        <v>754</v>
      </c>
      <c r="AI758">
        <f>AND(E758=Subj_OccCode,Subj_BldgSF&gt;0,L758&gt;=Subj_BldgSF*(1-Subj_SizeTol),L758&lt;=Subj_BldgSF*(1+Subj_SizeTol))</f>
        <v/>
      </c>
    </row>
    <row r="759" ht="15" customHeight="1">
      <c r="A759" s="248" t="n">
        <v>8</v>
      </c>
      <c r="B759" s="245" t="n">
        <v>755</v>
      </c>
      <c r="AI759">
        <f>AND(E759=Subj_OccCode,Subj_BldgSF&gt;0,L759&gt;=Subj_BldgSF*(1-Subj_SizeTol),L759&lt;=Subj_BldgSF*(1+Subj_SizeTol))</f>
        <v/>
      </c>
    </row>
    <row r="760" ht="15" customHeight="1">
      <c r="A760" s="248" t="n">
        <v>8</v>
      </c>
      <c r="B760" s="245" t="n">
        <v>756</v>
      </c>
      <c r="AI760">
        <f>AND(E760=Subj_OccCode,Subj_BldgSF&gt;0,L760&gt;=Subj_BldgSF*(1-Subj_SizeTol),L760&lt;=Subj_BldgSF*(1+Subj_SizeTol))</f>
        <v/>
      </c>
    </row>
    <row r="761" ht="15" customHeight="1">
      <c r="A761" s="248" t="n">
        <v>8</v>
      </c>
      <c r="B761" s="245" t="n">
        <v>757</v>
      </c>
      <c r="AI761">
        <f>AND(E761=Subj_OccCode,Subj_BldgSF&gt;0,L761&gt;=Subj_BldgSF*(1-Subj_SizeTol),L761&lt;=Subj_BldgSF*(1+Subj_SizeTol))</f>
        <v/>
      </c>
    </row>
    <row r="762" ht="15" customHeight="1">
      <c r="A762" s="248" t="n">
        <v>8</v>
      </c>
      <c r="B762" s="245" t="n">
        <v>758</v>
      </c>
      <c r="AI762">
        <f>AND(E762=Subj_OccCode,Subj_BldgSF&gt;0,L762&gt;=Subj_BldgSF*(1-Subj_SizeTol),L762&lt;=Subj_BldgSF*(1+Subj_SizeTol))</f>
        <v/>
      </c>
    </row>
    <row r="763" ht="15" customHeight="1">
      <c r="A763" s="248" t="n">
        <v>8</v>
      </c>
      <c r="B763" s="245" t="n">
        <v>759</v>
      </c>
      <c r="AI763">
        <f>AND(E763=Subj_OccCode,Subj_BldgSF&gt;0,L763&gt;=Subj_BldgSF*(1-Subj_SizeTol),L763&lt;=Subj_BldgSF*(1+Subj_SizeTol))</f>
        <v/>
      </c>
    </row>
    <row r="764" ht="15" customHeight="1">
      <c r="A764" s="248" t="n">
        <v>8</v>
      </c>
      <c r="B764" s="245" t="n">
        <v>760</v>
      </c>
      <c r="AI764">
        <f>AND(E764=Subj_OccCode,Subj_BldgSF&gt;0,L764&gt;=Subj_BldgSF*(1-Subj_SizeTol),L764&lt;=Subj_BldgSF*(1+Subj_SizeTol))</f>
        <v/>
      </c>
    </row>
    <row r="765" ht="15" customHeight="1">
      <c r="A765" s="248" t="n">
        <v>8</v>
      </c>
      <c r="B765" s="245" t="n">
        <v>761</v>
      </c>
      <c r="AI765">
        <f>AND(E765=Subj_OccCode,Subj_BldgSF&gt;0,L765&gt;=Subj_BldgSF*(1-Subj_SizeTol),L765&lt;=Subj_BldgSF*(1+Subj_SizeTol))</f>
        <v/>
      </c>
    </row>
    <row r="766" ht="15" customHeight="1">
      <c r="A766" s="248" t="n">
        <v>8</v>
      </c>
      <c r="B766" s="245" t="n">
        <v>762</v>
      </c>
      <c r="AI766">
        <f>AND(E766=Subj_OccCode,Subj_BldgSF&gt;0,L766&gt;=Subj_BldgSF*(1-Subj_SizeTol),L766&lt;=Subj_BldgSF*(1+Subj_SizeTol))</f>
        <v/>
      </c>
    </row>
    <row r="767" ht="15" customHeight="1">
      <c r="A767" s="248" t="n">
        <v>8</v>
      </c>
      <c r="B767" s="245" t="n">
        <v>763</v>
      </c>
      <c r="AI767">
        <f>AND(E767=Subj_OccCode,Subj_BldgSF&gt;0,L767&gt;=Subj_BldgSF*(1-Subj_SizeTol),L767&lt;=Subj_BldgSF*(1+Subj_SizeTol))</f>
        <v/>
      </c>
    </row>
    <row r="768" ht="15" customHeight="1">
      <c r="A768" s="248" t="n">
        <v>8</v>
      </c>
      <c r="B768" s="245" t="n">
        <v>764</v>
      </c>
      <c r="AI768">
        <f>AND(E768=Subj_OccCode,Subj_BldgSF&gt;0,L768&gt;=Subj_BldgSF*(1-Subj_SizeTol),L768&lt;=Subj_BldgSF*(1+Subj_SizeTol))</f>
        <v/>
      </c>
    </row>
    <row r="769" ht="15" customHeight="1">
      <c r="A769" s="248" t="n">
        <v>8</v>
      </c>
      <c r="B769" s="245" t="n">
        <v>765</v>
      </c>
      <c r="AI769">
        <f>AND(E769=Subj_OccCode,Subj_BldgSF&gt;0,L769&gt;=Subj_BldgSF*(1-Subj_SizeTol),L769&lt;=Subj_BldgSF*(1+Subj_SizeTol))</f>
        <v/>
      </c>
    </row>
    <row r="770" ht="15" customHeight="1">
      <c r="A770" s="248" t="n">
        <v>8</v>
      </c>
      <c r="B770" s="245" t="n">
        <v>766</v>
      </c>
      <c r="AI770">
        <f>AND(E770=Subj_OccCode,Subj_BldgSF&gt;0,L770&gt;=Subj_BldgSF*(1-Subj_SizeTol),L770&lt;=Subj_BldgSF*(1+Subj_SizeTol))</f>
        <v/>
      </c>
    </row>
    <row r="771" ht="15" customHeight="1">
      <c r="A771" s="248" t="n">
        <v>8</v>
      </c>
      <c r="B771" s="245" t="n">
        <v>767</v>
      </c>
      <c r="AI771">
        <f>AND(E771=Subj_OccCode,Subj_BldgSF&gt;0,L771&gt;=Subj_BldgSF*(1-Subj_SizeTol),L771&lt;=Subj_BldgSF*(1+Subj_SizeTol))</f>
        <v/>
      </c>
    </row>
    <row r="772" ht="15" customHeight="1">
      <c r="A772" s="248" t="n">
        <v>8</v>
      </c>
      <c r="B772" s="245" t="n">
        <v>768</v>
      </c>
      <c r="AI772">
        <f>AND(E772=Subj_OccCode,Subj_BldgSF&gt;0,L772&gt;=Subj_BldgSF*(1-Subj_SizeTol),L772&lt;=Subj_BldgSF*(1+Subj_SizeTol))</f>
        <v/>
      </c>
    </row>
    <row r="773" ht="15" customHeight="1">
      <c r="A773" s="248" t="n">
        <v>8</v>
      </c>
      <c r="B773" s="245" t="n">
        <v>769</v>
      </c>
      <c r="AI773">
        <f>AND(E773=Subj_OccCode,Subj_BldgSF&gt;0,L773&gt;=Subj_BldgSF*(1-Subj_SizeTol),L773&lt;=Subj_BldgSF*(1+Subj_SizeTol))</f>
        <v/>
      </c>
    </row>
    <row r="774" ht="15" customHeight="1">
      <c r="A774" s="248" t="n">
        <v>8</v>
      </c>
      <c r="B774" s="245" t="n">
        <v>770</v>
      </c>
      <c r="AI774">
        <f>AND(E774=Subj_OccCode,Subj_BldgSF&gt;0,L774&gt;=Subj_BldgSF*(1-Subj_SizeTol),L774&lt;=Subj_BldgSF*(1+Subj_SizeTol))</f>
        <v/>
      </c>
    </row>
    <row r="775" ht="15" customHeight="1">
      <c r="A775" s="248" t="n">
        <v>8</v>
      </c>
      <c r="B775" s="245" t="n">
        <v>771</v>
      </c>
      <c r="AI775">
        <f>AND(E775=Subj_OccCode,Subj_BldgSF&gt;0,L775&gt;=Subj_BldgSF*(1-Subj_SizeTol),L775&lt;=Subj_BldgSF*(1+Subj_SizeTol))</f>
        <v/>
      </c>
    </row>
    <row r="776" ht="15" customHeight="1">
      <c r="A776" s="248" t="n">
        <v>8</v>
      </c>
      <c r="B776" s="245" t="n">
        <v>772</v>
      </c>
      <c r="AI776">
        <f>AND(E776=Subj_OccCode,Subj_BldgSF&gt;0,L776&gt;=Subj_BldgSF*(1-Subj_SizeTol),L776&lt;=Subj_BldgSF*(1+Subj_SizeTol))</f>
        <v/>
      </c>
    </row>
    <row r="777" ht="15" customHeight="1">
      <c r="A777" s="248" t="n">
        <v>8</v>
      </c>
      <c r="B777" s="245" t="n">
        <v>773</v>
      </c>
      <c r="AI777">
        <f>AND(E777=Subj_OccCode,Subj_BldgSF&gt;0,L777&gt;=Subj_BldgSF*(1-Subj_SizeTol),L777&lt;=Subj_BldgSF*(1+Subj_SizeTol))</f>
        <v/>
      </c>
    </row>
    <row r="778" ht="15" customHeight="1">
      <c r="A778" s="248" t="n">
        <v>8</v>
      </c>
      <c r="B778" s="245" t="n">
        <v>774</v>
      </c>
      <c r="AI778">
        <f>AND(E778=Subj_OccCode,Subj_BldgSF&gt;0,L778&gt;=Subj_BldgSF*(1-Subj_SizeTol),L778&lt;=Subj_BldgSF*(1+Subj_SizeTol))</f>
        <v/>
      </c>
    </row>
    <row r="779" ht="15" customHeight="1">
      <c r="A779" s="248" t="n">
        <v>8</v>
      </c>
      <c r="B779" s="245" t="n">
        <v>775</v>
      </c>
      <c r="AI779">
        <f>AND(E779=Subj_OccCode,Subj_BldgSF&gt;0,L779&gt;=Subj_BldgSF*(1-Subj_SizeTol),L779&lt;=Subj_BldgSF*(1+Subj_SizeTol))</f>
        <v/>
      </c>
    </row>
    <row r="780" ht="15" customHeight="1">
      <c r="A780" s="248" t="n">
        <v>8</v>
      </c>
      <c r="B780" s="245" t="n">
        <v>776</v>
      </c>
      <c r="AI780">
        <f>AND(E780=Subj_OccCode,Subj_BldgSF&gt;0,L780&gt;=Subj_BldgSF*(1-Subj_SizeTol),L780&lt;=Subj_BldgSF*(1+Subj_SizeTol))</f>
        <v/>
      </c>
    </row>
    <row r="781" ht="15" customHeight="1">
      <c r="A781" s="248" t="n">
        <v>8</v>
      </c>
      <c r="B781" s="245" t="n">
        <v>777</v>
      </c>
      <c r="AI781">
        <f>AND(E781=Subj_OccCode,Subj_BldgSF&gt;0,L781&gt;=Subj_BldgSF*(1-Subj_SizeTol),L781&lt;=Subj_BldgSF*(1+Subj_SizeTol))</f>
        <v/>
      </c>
    </row>
    <row r="782" ht="15" customHeight="1">
      <c r="A782" s="248" t="n">
        <v>8</v>
      </c>
      <c r="B782" s="245" t="n">
        <v>778</v>
      </c>
      <c r="AI782">
        <f>AND(E782=Subj_OccCode,Subj_BldgSF&gt;0,L782&gt;=Subj_BldgSF*(1-Subj_SizeTol),L782&lt;=Subj_BldgSF*(1+Subj_SizeTol))</f>
        <v/>
      </c>
    </row>
    <row r="783" ht="15" customHeight="1">
      <c r="A783" s="248" t="n">
        <v>8</v>
      </c>
      <c r="B783" s="245" t="n">
        <v>779</v>
      </c>
      <c r="AI783">
        <f>AND(E783=Subj_OccCode,Subj_BldgSF&gt;0,L783&gt;=Subj_BldgSF*(1-Subj_SizeTol),L783&lt;=Subj_BldgSF*(1+Subj_SizeTol))</f>
        <v/>
      </c>
    </row>
    <row r="784" ht="15" customHeight="1">
      <c r="A784" s="248" t="n">
        <v>8</v>
      </c>
      <c r="B784" s="245" t="n">
        <v>780</v>
      </c>
      <c r="AI784">
        <f>AND(E784=Subj_OccCode,Subj_BldgSF&gt;0,L784&gt;=Subj_BldgSF*(1-Subj_SizeTol),L784&lt;=Subj_BldgSF*(1+Subj_SizeTol))</f>
        <v/>
      </c>
    </row>
    <row r="785" ht="15" customHeight="1">
      <c r="A785" s="248" t="n">
        <v>8</v>
      </c>
      <c r="B785" s="245" t="n">
        <v>781</v>
      </c>
      <c r="AI785">
        <f>AND(E785=Subj_OccCode,Subj_BldgSF&gt;0,L785&gt;=Subj_BldgSF*(1-Subj_SizeTol),L785&lt;=Subj_BldgSF*(1+Subj_SizeTol))</f>
        <v/>
      </c>
    </row>
    <row r="786" ht="15" customHeight="1">
      <c r="A786" s="248" t="n">
        <v>8</v>
      </c>
      <c r="B786" s="245" t="n">
        <v>782</v>
      </c>
      <c r="AI786">
        <f>AND(E786=Subj_OccCode,Subj_BldgSF&gt;0,L786&gt;=Subj_BldgSF*(1-Subj_SizeTol),L786&lt;=Subj_BldgSF*(1+Subj_SizeTol))</f>
        <v/>
      </c>
    </row>
    <row r="787" ht="15" customHeight="1">
      <c r="A787" s="248" t="n">
        <v>8</v>
      </c>
      <c r="B787" s="245" t="n">
        <v>783</v>
      </c>
      <c r="AI787">
        <f>AND(E787=Subj_OccCode,Subj_BldgSF&gt;0,L787&gt;=Subj_BldgSF*(1-Subj_SizeTol),L787&lt;=Subj_BldgSF*(1+Subj_SizeTol))</f>
        <v/>
      </c>
    </row>
    <row r="788" ht="15" customHeight="1">
      <c r="A788" s="248" t="n">
        <v>8</v>
      </c>
      <c r="B788" s="245" t="n">
        <v>784</v>
      </c>
      <c r="AI788">
        <f>AND(E788=Subj_OccCode,Subj_BldgSF&gt;0,L788&gt;=Subj_BldgSF*(1-Subj_SizeTol),L788&lt;=Subj_BldgSF*(1+Subj_SizeTol))</f>
        <v/>
      </c>
    </row>
    <row r="789" ht="15" customHeight="1">
      <c r="A789" s="248" t="n">
        <v>8</v>
      </c>
      <c r="B789" s="245" t="n">
        <v>785</v>
      </c>
      <c r="AI789">
        <f>AND(E789=Subj_OccCode,Subj_BldgSF&gt;0,L789&gt;=Subj_BldgSF*(1-Subj_SizeTol),L789&lt;=Subj_BldgSF*(1+Subj_SizeTol))</f>
        <v/>
      </c>
    </row>
    <row r="790" ht="15" customHeight="1">
      <c r="A790" s="248" t="n">
        <v>8</v>
      </c>
      <c r="B790" s="245" t="n">
        <v>786</v>
      </c>
      <c r="AI790">
        <f>AND(E790=Subj_OccCode,Subj_BldgSF&gt;0,L790&gt;=Subj_BldgSF*(1-Subj_SizeTol),L790&lt;=Subj_BldgSF*(1+Subj_SizeTol))</f>
        <v/>
      </c>
    </row>
    <row r="791" ht="15" customHeight="1">
      <c r="A791" s="248" t="n">
        <v>8</v>
      </c>
      <c r="B791" s="245" t="n">
        <v>787</v>
      </c>
      <c r="AI791">
        <f>AND(E791=Subj_OccCode,Subj_BldgSF&gt;0,L791&gt;=Subj_BldgSF*(1-Subj_SizeTol),L791&lt;=Subj_BldgSF*(1+Subj_SizeTol))</f>
        <v/>
      </c>
    </row>
    <row r="792" ht="15" customHeight="1">
      <c r="A792" s="248" t="n">
        <v>8</v>
      </c>
      <c r="B792" s="245" t="n">
        <v>788</v>
      </c>
      <c r="AI792">
        <f>AND(E792=Subj_OccCode,Subj_BldgSF&gt;0,L792&gt;=Subj_BldgSF*(1-Subj_SizeTol),L792&lt;=Subj_BldgSF*(1+Subj_SizeTol))</f>
        <v/>
      </c>
    </row>
    <row r="793" ht="15" customHeight="1">
      <c r="A793" s="248" t="n">
        <v>8</v>
      </c>
      <c r="B793" s="245" t="n">
        <v>789</v>
      </c>
      <c r="AI793">
        <f>AND(E793=Subj_OccCode,Subj_BldgSF&gt;0,L793&gt;=Subj_BldgSF*(1-Subj_SizeTol),L793&lt;=Subj_BldgSF*(1+Subj_SizeTol))</f>
        <v/>
      </c>
    </row>
    <row r="794" ht="15" customHeight="1">
      <c r="A794" s="248" t="n">
        <v>8</v>
      </c>
      <c r="B794" s="245" t="n">
        <v>790</v>
      </c>
      <c r="AI794">
        <f>AND(E794=Subj_OccCode,Subj_BldgSF&gt;0,L794&gt;=Subj_BldgSF*(1-Subj_SizeTol),L794&lt;=Subj_BldgSF*(1+Subj_SizeTol))</f>
        <v/>
      </c>
    </row>
    <row r="795" ht="15" customHeight="1">
      <c r="A795" s="248" t="n">
        <v>8</v>
      </c>
      <c r="B795" s="245" t="n">
        <v>791</v>
      </c>
      <c r="AI795">
        <f>AND(E795=Subj_OccCode,Subj_BldgSF&gt;0,L795&gt;=Subj_BldgSF*(1-Subj_SizeTol),L795&lt;=Subj_BldgSF*(1+Subj_SizeTol))</f>
        <v/>
      </c>
    </row>
    <row r="796" ht="15" customHeight="1">
      <c r="A796" s="248" t="n">
        <v>8</v>
      </c>
      <c r="B796" s="245" t="n">
        <v>792</v>
      </c>
      <c r="AI796">
        <f>AND(E796=Subj_OccCode,Subj_BldgSF&gt;0,L796&gt;=Subj_BldgSF*(1-Subj_SizeTol),L796&lt;=Subj_BldgSF*(1+Subj_SizeTol))</f>
        <v/>
      </c>
    </row>
    <row r="797" ht="15" customHeight="1">
      <c r="A797" s="248" t="n">
        <v>8</v>
      </c>
      <c r="B797" s="245" t="n">
        <v>793</v>
      </c>
      <c r="AI797">
        <f>AND(E797=Subj_OccCode,Subj_BldgSF&gt;0,L797&gt;=Subj_BldgSF*(1-Subj_SizeTol),L797&lt;=Subj_BldgSF*(1+Subj_SizeTol))</f>
        <v/>
      </c>
    </row>
    <row r="798" ht="15" customHeight="1">
      <c r="A798" s="248" t="n">
        <v>8</v>
      </c>
      <c r="B798" s="245" t="n">
        <v>794</v>
      </c>
      <c r="AI798">
        <f>AND(E798=Subj_OccCode,Subj_BldgSF&gt;0,L798&gt;=Subj_BldgSF*(1-Subj_SizeTol),L798&lt;=Subj_BldgSF*(1+Subj_SizeTol))</f>
        <v/>
      </c>
    </row>
    <row r="799" ht="15" customHeight="1">
      <c r="A799" s="248" t="n">
        <v>8</v>
      </c>
      <c r="B799" s="245" t="n">
        <v>795</v>
      </c>
      <c r="AI799">
        <f>AND(E799=Subj_OccCode,Subj_BldgSF&gt;0,L799&gt;=Subj_BldgSF*(1-Subj_SizeTol),L799&lt;=Subj_BldgSF*(1+Subj_SizeTol))</f>
        <v/>
      </c>
    </row>
    <row r="800" ht="15" customHeight="1">
      <c r="A800" s="248" t="n">
        <v>8</v>
      </c>
      <c r="B800" s="245" t="n">
        <v>796</v>
      </c>
      <c r="AI800">
        <f>AND(E800=Subj_OccCode,Subj_BldgSF&gt;0,L800&gt;=Subj_BldgSF*(1-Subj_SizeTol),L800&lt;=Subj_BldgSF*(1+Subj_SizeTol))</f>
        <v/>
      </c>
    </row>
    <row r="801" ht="15" customHeight="1">
      <c r="A801" s="248" t="n">
        <v>8</v>
      </c>
      <c r="B801" s="245" t="n">
        <v>797</v>
      </c>
      <c r="AI801">
        <f>AND(E801=Subj_OccCode,Subj_BldgSF&gt;0,L801&gt;=Subj_BldgSF*(1-Subj_SizeTol),L801&lt;=Subj_BldgSF*(1+Subj_SizeTol))</f>
        <v/>
      </c>
    </row>
    <row r="802" ht="15" customHeight="1">
      <c r="A802" s="248" t="n">
        <v>8</v>
      </c>
      <c r="B802" s="245" t="n">
        <v>798</v>
      </c>
      <c r="AI802">
        <f>AND(E802=Subj_OccCode,Subj_BldgSF&gt;0,L802&gt;=Subj_BldgSF*(1-Subj_SizeTol),L802&lt;=Subj_BldgSF*(1+Subj_SizeTol))</f>
        <v/>
      </c>
    </row>
    <row r="803" ht="15" customHeight="1">
      <c r="A803" s="248" t="n">
        <v>8</v>
      </c>
      <c r="B803" s="245" t="n">
        <v>799</v>
      </c>
      <c r="AI803">
        <f>AND(E803=Subj_OccCode,Subj_BldgSF&gt;0,L803&gt;=Subj_BldgSF*(1-Subj_SizeTol),L803&lt;=Subj_BldgSF*(1+Subj_SizeTol))</f>
        <v/>
      </c>
    </row>
    <row r="804" ht="15" customHeight="1">
      <c r="A804" s="248" t="n">
        <v>8</v>
      </c>
      <c r="B804" s="245" t="n">
        <v>800</v>
      </c>
      <c r="AI804">
        <f>AND(E804=Subj_OccCode,Subj_BldgSF&gt;0,L804&gt;=Subj_BldgSF*(1-Subj_SizeTol),L804&lt;=Subj_BldgSF*(1+Subj_SizeTol))</f>
        <v/>
      </c>
    </row>
    <row r="805" ht="15" customHeight="1">
      <c r="A805" s="248" t="n">
        <v>8</v>
      </c>
      <c r="B805" s="245" t="n">
        <v>801</v>
      </c>
      <c r="AI805">
        <f>AND(E805=Subj_OccCode,Subj_BldgSF&gt;0,L805&gt;=Subj_BldgSF*(1-Subj_SizeTol),L805&lt;=Subj_BldgSF*(1+Subj_SizeTol))</f>
        <v/>
      </c>
    </row>
    <row r="806" ht="15" customHeight="1">
      <c r="A806" s="248" t="n">
        <v>8</v>
      </c>
      <c r="B806" s="245" t="n">
        <v>802</v>
      </c>
      <c r="AI806">
        <f>AND(E806=Subj_OccCode,Subj_BldgSF&gt;0,L806&gt;=Subj_BldgSF*(1-Subj_SizeTol),L806&lt;=Subj_BldgSF*(1+Subj_SizeTol))</f>
        <v/>
      </c>
    </row>
    <row r="807" ht="15" customHeight="1">
      <c r="A807" s="248" t="n">
        <v>8</v>
      </c>
      <c r="B807" s="245" t="n">
        <v>803</v>
      </c>
      <c r="AI807">
        <f>AND(E807=Subj_OccCode,Subj_BldgSF&gt;0,L807&gt;=Subj_BldgSF*(1-Subj_SizeTol),L807&lt;=Subj_BldgSF*(1+Subj_SizeTol))</f>
        <v/>
      </c>
    </row>
    <row r="808" ht="15" customHeight="1">
      <c r="A808" s="248" t="n">
        <v>8</v>
      </c>
      <c r="B808" s="245" t="n">
        <v>804</v>
      </c>
      <c r="AI808">
        <f>AND(E808=Subj_OccCode,Subj_BldgSF&gt;0,L808&gt;=Subj_BldgSF*(1-Subj_SizeTol),L808&lt;=Subj_BldgSF*(1+Subj_SizeTol))</f>
        <v/>
      </c>
    </row>
    <row r="809" ht="15" customHeight="1">
      <c r="A809" s="248" t="n">
        <v>8</v>
      </c>
      <c r="B809" s="245" t="n">
        <v>805</v>
      </c>
      <c r="AI809">
        <f>AND(E809=Subj_OccCode,Subj_BldgSF&gt;0,L809&gt;=Subj_BldgSF*(1-Subj_SizeTol),L809&lt;=Subj_BldgSF*(1+Subj_SizeTol))</f>
        <v/>
      </c>
    </row>
    <row r="810" ht="15" customHeight="1">
      <c r="A810" s="248" t="n">
        <v>8</v>
      </c>
      <c r="B810" s="245" t="n">
        <v>806</v>
      </c>
      <c r="AI810">
        <f>AND(E810=Subj_OccCode,Subj_BldgSF&gt;0,L810&gt;=Subj_BldgSF*(1-Subj_SizeTol),L810&lt;=Subj_BldgSF*(1+Subj_SizeTol))</f>
        <v/>
      </c>
    </row>
    <row r="811" ht="15" customHeight="1">
      <c r="A811" s="248" t="n">
        <v>8</v>
      </c>
      <c r="B811" s="245" t="n">
        <v>807</v>
      </c>
      <c r="AI811">
        <f>AND(E811=Subj_OccCode,Subj_BldgSF&gt;0,L811&gt;=Subj_BldgSF*(1-Subj_SizeTol),L811&lt;=Subj_BldgSF*(1+Subj_SizeTol))</f>
        <v/>
      </c>
    </row>
    <row r="812" ht="15" customHeight="1">
      <c r="A812" s="248" t="n">
        <v>8</v>
      </c>
      <c r="B812" s="245" t="n">
        <v>808</v>
      </c>
      <c r="AI812">
        <f>AND(E812=Subj_OccCode,Subj_BldgSF&gt;0,L812&gt;=Subj_BldgSF*(1-Subj_SizeTol),L812&lt;=Subj_BldgSF*(1+Subj_SizeTol))</f>
        <v/>
      </c>
    </row>
    <row r="813" ht="15" customHeight="1">
      <c r="A813" s="248" t="n">
        <v>8</v>
      </c>
      <c r="B813" s="245" t="n">
        <v>809</v>
      </c>
      <c r="AI813">
        <f>AND(E813=Subj_OccCode,Subj_BldgSF&gt;0,L813&gt;=Subj_BldgSF*(1-Subj_SizeTol),L813&lt;=Subj_BldgSF*(1+Subj_SizeTol))</f>
        <v/>
      </c>
    </row>
    <row r="814" ht="15" customHeight="1">
      <c r="A814" s="248" t="n">
        <v>8</v>
      </c>
      <c r="B814" s="245" t="n">
        <v>810</v>
      </c>
      <c r="AI814">
        <f>AND(E814=Subj_OccCode,Subj_BldgSF&gt;0,L814&gt;=Subj_BldgSF*(1-Subj_SizeTol),L814&lt;=Subj_BldgSF*(1+Subj_SizeTol))</f>
        <v/>
      </c>
    </row>
    <row r="815" ht="15" customHeight="1">
      <c r="A815" s="248" t="n">
        <v>8</v>
      </c>
      <c r="B815" s="245" t="n">
        <v>811</v>
      </c>
      <c r="AI815">
        <f>AND(E815=Subj_OccCode,Subj_BldgSF&gt;0,L815&gt;=Subj_BldgSF*(1-Subj_SizeTol),L815&lt;=Subj_BldgSF*(1+Subj_SizeTol))</f>
        <v/>
      </c>
    </row>
    <row r="816" ht="15" customHeight="1">
      <c r="A816" s="248" t="n">
        <v>8</v>
      </c>
      <c r="B816" s="245" t="n">
        <v>812</v>
      </c>
      <c r="AI816">
        <f>AND(E816=Subj_OccCode,Subj_BldgSF&gt;0,L816&gt;=Subj_BldgSF*(1-Subj_SizeTol),L816&lt;=Subj_BldgSF*(1+Subj_SizeTol))</f>
        <v/>
      </c>
    </row>
    <row r="817" ht="15" customHeight="1">
      <c r="A817" s="248" t="n">
        <v>8</v>
      </c>
      <c r="B817" s="245" t="n">
        <v>813</v>
      </c>
      <c r="AI817">
        <f>AND(E817=Subj_OccCode,Subj_BldgSF&gt;0,L817&gt;=Subj_BldgSF*(1-Subj_SizeTol),L817&lt;=Subj_BldgSF*(1+Subj_SizeTol))</f>
        <v/>
      </c>
    </row>
    <row r="818" ht="15" customHeight="1">
      <c r="A818" s="248" t="n">
        <v>8</v>
      </c>
      <c r="B818" s="245" t="n">
        <v>814</v>
      </c>
      <c r="AI818">
        <f>AND(E818=Subj_OccCode,Subj_BldgSF&gt;0,L818&gt;=Subj_BldgSF*(1-Subj_SizeTol),L818&lt;=Subj_BldgSF*(1+Subj_SizeTol))</f>
        <v/>
      </c>
    </row>
    <row r="819" ht="15" customHeight="1">
      <c r="A819" s="248" t="n">
        <v>8</v>
      </c>
      <c r="B819" s="245" t="n">
        <v>815</v>
      </c>
      <c r="AI819">
        <f>AND(E819=Subj_OccCode,Subj_BldgSF&gt;0,L819&gt;=Subj_BldgSF*(1-Subj_SizeTol),L819&lt;=Subj_BldgSF*(1+Subj_SizeTol))</f>
        <v/>
      </c>
    </row>
    <row r="820" ht="15" customHeight="1">
      <c r="A820" s="248" t="n">
        <v>8</v>
      </c>
      <c r="B820" s="245" t="n">
        <v>816</v>
      </c>
      <c r="AI820">
        <f>AND(E820=Subj_OccCode,Subj_BldgSF&gt;0,L820&gt;=Subj_BldgSF*(1-Subj_SizeTol),L820&lt;=Subj_BldgSF*(1+Subj_SizeTol))</f>
        <v/>
      </c>
    </row>
    <row r="821" ht="15" customHeight="1">
      <c r="A821" s="248" t="n">
        <v>8</v>
      </c>
      <c r="B821" s="245" t="n">
        <v>817</v>
      </c>
      <c r="AI821">
        <f>AND(E821=Subj_OccCode,Subj_BldgSF&gt;0,L821&gt;=Subj_BldgSF*(1-Subj_SizeTol),L821&lt;=Subj_BldgSF*(1+Subj_SizeTol))</f>
        <v/>
      </c>
    </row>
    <row r="822" ht="15" customHeight="1">
      <c r="A822" s="248" t="n">
        <v>8</v>
      </c>
      <c r="B822" s="245" t="n">
        <v>818</v>
      </c>
      <c r="AI822">
        <f>AND(E822=Subj_OccCode,Subj_BldgSF&gt;0,L822&gt;=Subj_BldgSF*(1-Subj_SizeTol),L822&lt;=Subj_BldgSF*(1+Subj_SizeTol))</f>
        <v/>
      </c>
    </row>
    <row r="823" ht="15" customHeight="1">
      <c r="A823" s="248" t="n">
        <v>8</v>
      </c>
      <c r="B823" s="245" t="n">
        <v>819</v>
      </c>
      <c r="AI823">
        <f>AND(E823=Subj_OccCode,Subj_BldgSF&gt;0,L823&gt;=Subj_BldgSF*(1-Subj_SizeTol),L823&lt;=Subj_BldgSF*(1+Subj_SizeTol))</f>
        <v/>
      </c>
    </row>
    <row r="824" ht="15" customHeight="1">
      <c r="A824" s="248" t="n">
        <v>8</v>
      </c>
      <c r="B824" s="245" t="n">
        <v>820</v>
      </c>
      <c r="AI824">
        <f>AND(E824=Subj_OccCode,Subj_BldgSF&gt;0,L824&gt;=Subj_BldgSF*(1-Subj_SizeTol),L824&lt;=Subj_BldgSF*(1+Subj_SizeTol))</f>
        <v/>
      </c>
    </row>
    <row r="825" ht="15" customHeight="1">
      <c r="A825" s="248" t="n">
        <v>8</v>
      </c>
      <c r="B825" s="245" t="n">
        <v>821</v>
      </c>
      <c r="AI825">
        <f>AND(E825=Subj_OccCode,Subj_BldgSF&gt;0,L825&gt;=Subj_BldgSF*(1-Subj_SizeTol),L825&lt;=Subj_BldgSF*(1+Subj_SizeTol))</f>
        <v/>
      </c>
    </row>
    <row r="826" ht="15" customHeight="1">
      <c r="A826" s="248" t="n">
        <v>8</v>
      </c>
      <c r="B826" s="245" t="n">
        <v>822</v>
      </c>
      <c r="AI826">
        <f>AND(E826=Subj_OccCode,Subj_BldgSF&gt;0,L826&gt;=Subj_BldgSF*(1-Subj_SizeTol),L826&lt;=Subj_BldgSF*(1+Subj_SizeTol))</f>
        <v/>
      </c>
    </row>
    <row r="827" ht="15" customHeight="1">
      <c r="A827" s="248" t="n">
        <v>8</v>
      </c>
      <c r="B827" s="245" t="n">
        <v>823</v>
      </c>
      <c r="AI827">
        <f>AND(E827=Subj_OccCode,Subj_BldgSF&gt;0,L827&gt;=Subj_BldgSF*(1-Subj_SizeTol),L827&lt;=Subj_BldgSF*(1+Subj_SizeTol))</f>
        <v/>
      </c>
    </row>
    <row r="828" ht="15" customHeight="1">
      <c r="A828" s="248" t="n">
        <v>8</v>
      </c>
      <c r="B828" s="245" t="n">
        <v>824</v>
      </c>
      <c r="AI828">
        <f>AND(E828=Subj_OccCode,Subj_BldgSF&gt;0,L828&gt;=Subj_BldgSF*(1-Subj_SizeTol),L828&lt;=Subj_BldgSF*(1+Subj_SizeTol))</f>
        <v/>
      </c>
    </row>
    <row r="829" ht="15" customHeight="1">
      <c r="A829" s="248" t="n">
        <v>8</v>
      </c>
      <c r="B829" s="245" t="n">
        <v>825</v>
      </c>
      <c r="AI829">
        <f>AND(E829=Subj_OccCode,Subj_BldgSF&gt;0,L829&gt;=Subj_BldgSF*(1-Subj_SizeTol),L829&lt;=Subj_BldgSF*(1+Subj_SizeTol))</f>
        <v/>
      </c>
    </row>
    <row r="830" ht="15" customHeight="1">
      <c r="A830" s="248" t="n">
        <v>8</v>
      </c>
      <c r="B830" s="245" t="n">
        <v>826</v>
      </c>
      <c r="AI830">
        <f>AND(E830=Subj_OccCode,Subj_BldgSF&gt;0,L830&gt;=Subj_BldgSF*(1-Subj_SizeTol),L830&lt;=Subj_BldgSF*(1+Subj_SizeTol))</f>
        <v/>
      </c>
    </row>
    <row r="831" ht="15" customHeight="1">
      <c r="A831" s="248" t="n">
        <v>8</v>
      </c>
      <c r="B831" s="245" t="n">
        <v>827</v>
      </c>
      <c r="AI831">
        <f>AND(E831=Subj_OccCode,Subj_BldgSF&gt;0,L831&gt;=Subj_BldgSF*(1-Subj_SizeTol),L831&lt;=Subj_BldgSF*(1+Subj_SizeTol))</f>
        <v/>
      </c>
    </row>
    <row r="832" ht="15" customHeight="1">
      <c r="A832" s="248" t="n">
        <v>8</v>
      </c>
      <c r="B832" s="245" t="n">
        <v>828</v>
      </c>
      <c r="AI832">
        <f>AND(E832=Subj_OccCode,Subj_BldgSF&gt;0,L832&gt;=Subj_BldgSF*(1-Subj_SizeTol),L832&lt;=Subj_BldgSF*(1+Subj_SizeTol))</f>
        <v/>
      </c>
    </row>
    <row r="833" ht="15" customHeight="1">
      <c r="A833" s="248" t="n">
        <v>8</v>
      </c>
      <c r="B833" s="245" t="n">
        <v>829</v>
      </c>
      <c r="AI833">
        <f>AND(E833=Subj_OccCode,Subj_BldgSF&gt;0,L833&gt;=Subj_BldgSF*(1-Subj_SizeTol),L833&lt;=Subj_BldgSF*(1+Subj_SizeTol))</f>
        <v/>
      </c>
    </row>
    <row r="834" ht="15" customHeight="1">
      <c r="A834" s="248" t="n">
        <v>8</v>
      </c>
      <c r="B834" s="245" t="n">
        <v>830</v>
      </c>
      <c r="AI834">
        <f>AND(E834=Subj_OccCode,Subj_BldgSF&gt;0,L834&gt;=Subj_BldgSF*(1-Subj_SizeTol),L834&lt;=Subj_BldgSF*(1+Subj_SizeTol))</f>
        <v/>
      </c>
    </row>
    <row r="835" ht="15" customHeight="1">
      <c r="A835" s="248" t="n">
        <v>8</v>
      </c>
      <c r="B835" s="245" t="n">
        <v>831</v>
      </c>
      <c r="AI835">
        <f>AND(E835=Subj_OccCode,Subj_BldgSF&gt;0,L835&gt;=Subj_BldgSF*(1-Subj_SizeTol),L835&lt;=Subj_BldgSF*(1+Subj_SizeTol))</f>
        <v/>
      </c>
    </row>
    <row r="836" ht="15" customHeight="1">
      <c r="A836" s="248" t="n">
        <v>8</v>
      </c>
      <c r="B836" s="245" t="n">
        <v>832</v>
      </c>
      <c r="AI836">
        <f>AND(E836=Subj_OccCode,Subj_BldgSF&gt;0,L836&gt;=Subj_BldgSF*(1-Subj_SizeTol),L836&lt;=Subj_BldgSF*(1+Subj_SizeTol))</f>
        <v/>
      </c>
    </row>
    <row r="837" ht="15" customHeight="1">
      <c r="A837" s="248" t="n">
        <v>8</v>
      </c>
      <c r="B837" s="245" t="n">
        <v>833</v>
      </c>
      <c r="AI837">
        <f>AND(E837=Subj_OccCode,Subj_BldgSF&gt;0,L837&gt;=Subj_BldgSF*(1-Subj_SizeTol),L837&lt;=Subj_BldgSF*(1+Subj_SizeTol))</f>
        <v/>
      </c>
    </row>
    <row r="838" ht="15" customHeight="1">
      <c r="A838" s="248" t="n">
        <v>8</v>
      </c>
      <c r="B838" s="245" t="n">
        <v>834</v>
      </c>
      <c r="AI838">
        <f>AND(E838=Subj_OccCode,Subj_BldgSF&gt;0,L838&gt;=Subj_BldgSF*(1-Subj_SizeTol),L838&lt;=Subj_BldgSF*(1+Subj_SizeTol))</f>
        <v/>
      </c>
    </row>
    <row r="839" ht="15" customHeight="1">
      <c r="A839" s="248" t="n">
        <v>8</v>
      </c>
      <c r="B839" s="245" t="n">
        <v>835</v>
      </c>
      <c r="AI839">
        <f>AND(E839=Subj_OccCode,Subj_BldgSF&gt;0,L839&gt;=Subj_BldgSF*(1-Subj_SizeTol),L839&lt;=Subj_BldgSF*(1+Subj_SizeTol))</f>
        <v/>
      </c>
    </row>
    <row r="840" ht="15" customHeight="1">
      <c r="A840" s="248" t="n">
        <v>8</v>
      </c>
      <c r="B840" s="245" t="n">
        <v>836</v>
      </c>
      <c r="AI840">
        <f>AND(E840=Subj_OccCode,Subj_BldgSF&gt;0,L840&gt;=Subj_BldgSF*(1-Subj_SizeTol),L840&lt;=Subj_BldgSF*(1+Subj_SizeTol))</f>
        <v/>
      </c>
    </row>
    <row r="841" ht="15" customHeight="1">
      <c r="A841" s="248" t="n">
        <v>8</v>
      </c>
      <c r="B841" s="245" t="n">
        <v>837</v>
      </c>
      <c r="AI841">
        <f>AND(E841=Subj_OccCode,Subj_BldgSF&gt;0,L841&gt;=Subj_BldgSF*(1-Subj_SizeTol),L841&lt;=Subj_BldgSF*(1+Subj_SizeTol))</f>
        <v/>
      </c>
    </row>
    <row r="842" ht="15" customHeight="1">
      <c r="A842" s="248" t="n">
        <v>8</v>
      </c>
      <c r="B842" s="245" t="n">
        <v>838</v>
      </c>
      <c r="AI842">
        <f>AND(E842=Subj_OccCode,Subj_BldgSF&gt;0,L842&gt;=Subj_BldgSF*(1-Subj_SizeTol),L842&lt;=Subj_BldgSF*(1+Subj_SizeTol))</f>
        <v/>
      </c>
    </row>
    <row r="843" ht="15" customHeight="1">
      <c r="A843" s="248" t="n">
        <v>8</v>
      </c>
      <c r="B843" s="245" t="n">
        <v>839</v>
      </c>
      <c r="AI843">
        <f>AND(E843=Subj_OccCode,Subj_BldgSF&gt;0,L843&gt;=Subj_BldgSF*(1-Subj_SizeTol),L843&lt;=Subj_BldgSF*(1+Subj_SizeTol))</f>
        <v/>
      </c>
    </row>
    <row r="844" ht="15" customHeight="1">
      <c r="A844" s="248" t="n">
        <v>8</v>
      </c>
      <c r="B844" s="245" t="n">
        <v>840</v>
      </c>
      <c r="AI844">
        <f>AND(E844=Subj_OccCode,Subj_BldgSF&gt;0,L844&gt;=Subj_BldgSF*(1-Subj_SizeTol),L844&lt;=Subj_BldgSF*(1+Subj_SizeTol))</f>
        <v/>
      </c>
    </row>
    <row r="845" ht="15" customHeight="1">
      <c r="A845" s="248" t="n">
        <v>8</v>
      </c>
      <c r="B845" s="245" t="n">
        <v>841</v>
      </c>
      <c r="AI845">
        <f>AND(E845=Subj_OccCode,Subj_BldgSF&gt;0,L845&gt;=Subj_BldgSF*(1-Subj_SizeTol),L845&lt;=Subj_BldgSF*(1+Subj_SizeTol))</f>
        <v/>
      </c>
    </row>
    <row r="846" ht="15" customHeight="1">
      <c r="A846" s="248" t="n">
        <v>8</v>
      </c>
      <c r="B846" s="245" t="n">
        <v>842</v>
      </c>
      <c r="AI846">
        <f>AND(E846=Subj_OccCode,Subj_BldgSF&gt;0,L846&gt;=Subj_BldgSF*(1-Subj_SizeTol),L846&lt;=Subj_BldgSF*(1+Subj_SizeTol))</f>
        <v/>
      </c>
    </row>
    <row r="847" ht="15" customHeight="1">
      <c r="A847" s="248" t="n">
        <v>8</v>
      </c>
      <c r="B847" s="245" t="n">
        <v>843</v>
      </c>
      <c r="AI847">
        <f>AND(E847=Subj_OccCode,Subj_BldgSF&gt;0,L847&gt;=Subj_BldgSF*(1-Subj_SizeTol),L847&lt;=Subj_BldgSF*(1+Subj_SizeTol))</f>
        <v/>
      </c>
    </row>
    <row r="848" ht="15" customHeight="1">
      <c r="A848" s="248" t="n">
        <v>8</v>
      </c>
      <c r="B848" s="245" t="n">
        <v>844</v>
      </c>
      <c r="AI848">
        <f>AND(E848=Subj_OccCode,Subj_BldgSF&gt;0,L848&gt;=Subj_BldgSF*(1-Subj_SizeTol),L848&lt;=Subj_BldgSF*(1+Subj_SizeTol))</f>
        <v/>
      </c>
    </row>
    <row r="849" ht="15" customHeight="1">
      <c r="A849" s="248" t="n">
        <v>8</v>
      </c>
      <c r="B849" s="245" t="n">
        <v>845</v>
      </c>
      <c r="AI849">
        <f>AND(E849=Subj_OccCode,Subj_BldgSF&gt;0,L849&gt;=Subj_BldgSF*(1-Subj_SizeTol),L849&lt;=Subj_BldgSF*(1+Subj_SizeTol))</f>
        <v/>
      </c>
    </row>
    <row r="850" ht="15" customHeight="1">
      <c r="A850" s="248" t="n">
        <v>8</v>
      </c>
      <c r="B850" s="245" t="n">
        <v>846</v>
      </c>
      <c r="AI850">
        <f>AND(E850=Subj_OccCode,Subj_BldgSF&gt;0,L850&gt;=Subj_BldgSF*(1-Subj_SizeTol),L850&lt;=Subj_BldgSF*(1+Subj_SizeTol))</f>
        <v/>
      </c>
    </row>
    <row r="851" ht="15" customHeight="1">
      <c r="A851" s="248" t="n">
        <v>8</v>
      </c>
      <c r="B851" s="245" t="n">
        <v>847</v>
      </c>
      <c r="AI851">
        <f>AND(E851=Subj_OccCode,Subj_BldgSF&gt;0,L851&gt;=Subj_BldgSF*(1-Subj_SizeTol),L851&lt;=Subj_BldgSF*(1+Subj_SizeTol))</f>
        <v/>
      </c>
    </row>
    <row r="852" ht="15" customHeight="1">
      <c r="A852" s="248" t="n">
        <v>8</v>
      </c>
      <c r="B852" s="245" t="n">
        <v>848</v>
      </c>
      <c r="AI852">
        <f>AND(E852=Subj_OccCode,Subj_BldgSF&gt;0,L852&gt;=Subj_BldgSF*(1-Subj_SizeTol),L852&lt;=Subj_BldgSF*(1+Subj_SizeTol))</f>
        <v/>
      </c>
    </row>
    <row r="853" ht="15" customHeight="1">
      <c r="A853" s="248" t="n">
        <v>8</v>
      </c>
      <c r="B853" s="245" t="n">
        <v>849</v>
      </c>
      <c r="AI853">
        <f>AND(E853=Subj_OccCode,Subj_BldgSF&gt;0,L853&gt;=Subj_BldgSF*(1-Subj_SizeTol),L853&lt;=Subj_BldgSF*(1+Subj_SizeTol))</f>
        <v/>
      </c>
    </row>
    <row r="854" ht="15" customHeight="1">
      <c r="A854" s="248" t="n">
        <v>8</v>
      </c>
      <c r="B854" s="245" t="n">
        <v>850</v>
      </c>
      <c r="AI854">
        <f>AND(E854=Subj_OccCode,Subj_BldgSF&gt;0,L854&gt;=Subj_BldgSF*(1-Subj_SizeTol),L854&lt;=Subj_BldgSF*(1+Subj_SizeTol))</f>
        <v/>
      </c>
    </row>
    <row r="855" ht="15" customHeight="1">
      <c r="A855" s="248" t="n">
        <v>8</v>
      </c>
      <c r="B855" s="245" t="n">
        <v>851</v>
      </c>
      <c r="AI855">
        <f>AND(E855=Subj_OccCode,Subj_BldgSF&gt;0,L855&gt;=Subj_BldgSF*(1-Subj_SizeTol),L855&lt;=Subj_BldgSF*(1+Subj_SizeTol))</f>
        <v/>
      </c>
    </row>
    <row r="856" ht="15" customHeight="1">
      <c r="A856" s="248" t="n">
        <v>8</v>
      </c>
      <c r="B856" s="245" t="n">
        <v>852</v>
      </c>
      <c r="AI856">
        <f>AND(E856=Subj_OccCode,Subj_BldgSF&gt;0,L856&gt;=Subj_BldgSF*(1-Subj_SizeTol),L856&lt;=Subj_BldgSF*(1+Subj_SizeTol))</f>
        <v/>
      </c>
    </row>
    <row r="857" ht="15" customHeight="1">
      <c r="A857" s="248" t="n">
        <v>8</v>
      </c>
      <c r="B857" s="245" t="n">
        <v>853</v>
      </c>
      <c r="AI857">
        <f>AND(E857=Subj_OccCode,Subj_BldgSF&gt;0,L857&gt;=Subj_BldgSF*(1-Subj_SizeTol),L857&lt;=Subj_BldgSF*(1+Subj_SizeTol))</f>
        <v/>
      </c>
    </row>
    <row r="858" ht="15" customHeight="1">
      <c r="A858" s="248" t="n">
        <v>8</v>
      </c>
      <c r="B858" s="245" t="n">
        <v>854</v>
      </c>
      <c r="AI858">
        <f>AND(E858=Subj_OccCode,Subj_BldgSF&gt;0,L858&gt;=Subj_BldgSF*(1-Subj_SizeTol),L858&lt;=Subj_BldgSF*(1+Subj_SizeTol))</f>
        <v/>
      </c>
    </row>
    <row r="859" ht="15" customHeight="1">
      <c r="A859" s="248" t="n">
        <v>8</v>
      </c>
      <c r="B859" s="245" t="n">
        <v>855</v>
      </c>
      <c r="AI859">
        <f>AND(E859=Subj_OccCode,Subj_BldgSF&gt;0,L859&gt;=Subj_BldgSF*(1-Subj_SizeTol),L859&lt;=Subj_BldgSF*(1+Subj_SizeTol))</f>
        <v/>
      </c>
    </row>
    <row r="860" ht="15" customHeight="1">
      <c r="A860" s="248" t="n">
        <v>8</v>
      </c>
      <c r="B860" s="245" t="n">
        <v>856</v>
      </c>
      <c r="AI860">
        <f>AND(E860=Subj_OccCode,Subj_BldgSF&gt;0,L860&gt;=Subj_BldgSF*(1-Subj_SizeTol),L860&lt;=Subj_BldgSF*(1+Subj_SizeTol))</f>
        <v/>
      </c>
    </row>
    <row r="861" ht="15" customHeight="1">
      <c r="A861" s="248" t="n">
        <v>8</v>
      </c>
      <c r="B861" s="245" t="n">
        <v>857</v>
      </c>
      <c r="AI861">
        <f>AND(E861=Subj_OccCode,Subj_BldgSF&gt;0,L861&gt;=Subj_BldgSF*(1-Subj_SizeTol),L861&lt;=Subj_BldgSF*(1+Subj_SizeTol))</f>
        <v/>
      </c>
    </row>
    <row r="862" ht="15" customHeight="1">
      <c r="A862" s="248" t="n">
        <v>8</v>
      </c>
      <c r="B862" s="245" t="n">
        <v>858</v>
      </c>
      <c r="AI862">
        <f>AND(E862=Subj_OccCode,Subj_BldgSF&gt;0,L862&gt;=Subj_BldgSF*(1-Subj_SizeTol),L862&lt;=Subj_BldgSF*(1+Subj_SizeTol))</f>
        <v/>
      </c>
    </row>
    <row r="863" ht="15" customHeight="1">
      <c r="A863" s="248" t="n">
        <v>8</v>
      </c>
      <c r="B863" s="245" t="n">
        <v>859</v>
      </c>
      <c r="AI863">
        <f>AND(E863=Subj_OccCode,Subj_BldgSF&gt;0,L863&gt;=Subj_BldgSF*(1-Subj_SizeTol),L863&lt;=Subj_BldgSF*(1+Subj_SizeTol))</f>
        <v/>
      </c>
    </row>
    <row r="864" ht="15" customHeight="1">
      <c r="A864" s="248" t="n">
        <v>8</v>
      </c>
      <c r="B864" s="245" t="n">
        <v>860</v>
      </c>
      <c r="AI864">
        <f>AND(E864=Subj_OccCode,Subj_BldgSF&gt;0,L864&gt;=Subj_BldgSF*(1-Subj_SizeTol),L864&lt;=Subj_BldgSF*(1+Subj_SizeTol))</f>
        <v/>
      </c>
    </row>
    <row r="865" ht="15" customHeight="1">
      <c r="A865" s="248" t="n">
        <v>8</v>
      </c>
      <c r="B865" s="245" t="n">
        <v>861</v>
      </c>
      <c r="AI865">
        <f>AND(E865=Subj_OccCode,Subj_BldgSF&gt;0,L865&gt;=Subj_BldgSF*(1-Subj_SizeTol),L865&lt;=Subj_BldgSF*(1+Subj_SizeTol))</f>
        <v/>
      </c>
    </row>
    <row r="866" ht="15" customHeight="1">
      <c r="A866" s="248" t="n">
        <v>8</v>
      </c>
      <c r="B866" s="245" t="n">
        <v>862</v>
      </c>
      <c r="AI866">
        <f>AND(E866=Subj_OccCode,Subj_BldgSF&gt;0,L866&gt;=Subj_BldgSF*(1-Subj_SizeTol),L866&lt;=Subj_BldgSF*(1+Subj_SizeTol))</f>
        <v/>
      </c>
    </row>
    <row r="867" ht="15" customHeight="1">
      <c r="A867" s="248" t="n">
        <v>8</v>
      </c>
      <c r="B867" s="245" t="n">
        <v>863</v>
      </c>
      <c r="AI867">
        <f>AND(E867=Subj_OccCode,Subj_BldgSF&gt;0,L867&gt;=Subj_BldgSF*(1-Subj_SizeTol),L867&lt;=Subj_BldgSF*(1+Subj_SizeTol))</f>
        <v/>
      </c>
    </row>
    <row r="868" ht="15" customHeight="1">
      <c r="A868" s="248" t="n">
        <v>8</v>
      </c>
      <c r="B868" s="245" t="n">
        <v>864</v>
      </c>
      <c r="AI868">
        <f>AND(E868=Subj_OccCode,Subj_BldgSF&gt;0,L868&gt;=Subj_BldgSF*(1-Subj_SizeTol),L868&lt;=Subj_BldgSF*(1+Subj_SizeTol))</f>
        <v/>
      </c>
    </row>
    <row r="869" ht="15" customHeight="1">
      <c r="A869" s="248" t="n">
        <v>8</v>
      </c>
      <c r="B869" s="245" t="n">
        <v>865</v>
      </c>
      <c r="AI869">
        <f>AND(E869=Subj_OccCode,Subj_BldgSF&gt;0,L869&gt;=Subj_BldgSF*(1-Subj_SizeTol),L869&lt;=Subj_BldgSF*(1+Subj_SizeTol))</f>
        <v/>
      </c>
    </row>
    <row r="870" ht="15" customHeight="1">
      <c r="A870" s="248" t="n">
        <v>8</v>
      </c>
      <c r="B870" s="245" t="n">
        <v>866</v>
      </c>
      <c r="AI870">
        <f>AND(E870=Subj_OccCode,Subj_BldgSF&gt;0,L870&gt;=Subj_BldgSF*(1-Subj_SizeTol),L870&lt;=Subj_BldgSF*(1+Subj_SizeTol))</f>
        <v/>
      </c>
    </row>
    <row r="871" ht="15" customHeight="1">
      <c r="A871" s="248" t="n">
        <v>8</v>
      </c>
      <c r="B871" s="245" t="n">
        <v>867</v>
      </c>
      <c r="AI871">
        <f>AND(E871=Subj_OccCode,Subj_BldgSF&gt;0,L871&gt;=Subj_BldgSF*(1-Subj_SizeTol),L871&lt;=Subj_BldgSF*(1+Subj_SizeTol))</f>
        <v/>
      </c>
    </row>
    <row r="872" ht="15" customHeight="1">
      <c r="A872" s="248" t="n">
        <v>8</v>
      </c>
      <c r="B872" s="245" t="n">
        <v>868</v>
      </c>
      <c r="AI872">
        <f>AND(E872=Subj_OccCode,Subj_BldgSF&gt;0,L872&gt;=Subj_BldgSF*(1-Subj_SizeTol),L872&lt;=Subj_BldgSF*(1+Subj_SizeTol))</f>
        <v/>
      </c>
    </row>
    <row r="873" ht="15" customHeight="1">
      <c r="A873" s="248" t="n">
        <v>8</v>
      </c>
      <c r="B873" s="245" t="n">
        <v>869</v>
      </c>
      <c r="AI873">
        <f>AND(E873=Subj_OccCode,Subj_BldgSF&gt;0,L873&gt;=Subj_BldgSF*(1-Subj_SizeTol),L873&lt;=Subj_BldgSF*(1+Subj_SizeTol))</f>
        <v/>
      </c>
    </row>
    <row r="874" ht="15" customHeight="1">
      <c r="A874" s="248" t="n">
        <v>8</v>
      </c>
      <c r="B874" s="245" t="n">
        <v>870</v>
      </c>
      <c r="AI874">
        <f>AND(E874=Subj_OccCode,Subj_BldgSF&gt;0,L874&gt;=Subj_BldgSF*(1-Subj_SizeTol),L874&lt;=Subj_BldgSF*(1+Subj_SizeTol))</f>
        <v/>
      </c>
    </row>
    <row r="875" ht="15" customHeight="1">
      <c r="A875" s="248" t="n">
        <v>8</v>
      </c>
      <c r="B875" s="245" t="n">
        <v>871</v>
      </c>
      <c r="AI875">
        <f>AND(E875=Subj_OccCode,Subj_BldgSF&gt;0,L875&gt;=Subj_BldgSF*(1-Subj_SizeTol),L875&lt;=Subj_BldgSF*(1+Subj_SizeTol))</f>
        <v/>
      </c>
    </row>
    <row r="876" ht="15" customHeight="1">
      <c r="A876" s="248" t="n">
        <v>8</v>
      </c>
      <c r="B876" s="245" t="n">
        <v>872</v>
      </c>
      <c r="AI876">
        <f>AND(E876=Subj_OccCode,Subj_BldgSF&gt;0,L876&gt;=Subj_BldgSF*(1-Subj_SizeTol),L876&lt;=Subj_BldgSF*(1+Subj_SizeTol))</f>
        <v/>
      </c>
    </row>
    <row r="877" ht="15" customHeight="1">
      <c r="A877" s="248" t="n">
        <v>8</v>
      </c>
      <c r="B877" s="245" t="n">
        <v>873</v>
      </c>
      <c r="AI877">
        <f>AND(E877=Subj_OccCode,Subj_BldgSF&gt;0,L877&gt;=Subj_BldgSF*(1-Subj_SizeTol),L877&lt;=Subj_BldgSF*(1+Subj_SizeTol))</f>
        <v/>
      </c>
    </row>
    <row r="878" ht="15" customHeight="1">
      <c r="A878" s="248" t="n">
        <v>8</v>
      </c>
      <c r="B878" s="245" t="n">
        <v>874</v>
      </c>
      <c r="AI878">
        <f>AND(E878=Subj_OccCode,Subj_BldgSF&gt;0,L878&gt;=Subj_BldgSF*(1-Subj_SizeTol),L878&lt;=Subj_BldgSF*(1+Subj_SizeTol))</f>
        <v/>
      </c>
    </row>
    <row r="879" ht="15" customHeight="1">
      <c r="A879" s="248" t="n">
        <v>8</v>
      </c>
      <c r="B879" s="245" t="n">
        <v>875</v>
      </c>
      <c r="AI879">
        <f>AND(E879=Subj_OccCode,Subj_BldgSF&gt;0,L879&gt;=Subj_BldgSF*(1-Subj_SizeTol),L879&lt;=Subj_BldgSF*(1+Subj_SizeTol))</f>
        <v/>
      </c>
    </row>
    <row r="880" ht="15" customHeight="1">
      <c r="A880" s="248" t="n">
        <v>8</v>
      </c>
      <c r="B880" s="245" t="n">
        <v>876</v>
      </c>
      <c r="AI880">
        <f>AND(E880=Subj_OccCode,Subj_BldgSF&gt;0,L880&gt;=Subj_BldgSF*(1-Subj_SizeTol),L880&lt;=Subj_BldgSF*(1+Subj_SizeTol))</f>
        <v/>
      </c>
    </row>
    <row r="881" ht="15" customHeight="1">
      <c r="A881" s="248" t="n">
        <v>8</v>
      </c>
      <c r="B881" s="245" t="n">
        <v>877</v>
      </c>
      <c r="AI881">
        <f>AND(E881=Subj_OccCode,Subj_BldgSF&gt;0,L881&gt;=Subj_BldgSF*(1-Subj_SizeTol),L881&lt;=Subj_BldgSF*(1+Subj_SizeTol))</f>
        <v/>
      </c>
    </row>
    <row r="882" ht="15" customHeight="1">
      <c r="A882" s="248" t="n">
        <v>8</v>
      </c>
      <c r="B882" s="245" t="n">
        <v>878</v>
      </c>
      <c r="AI882">
        <f>AND(E882=Subj_OccCode,Subj_BldgSF&gt;0,L882&gt;=Subj_BldgSF*(1-Subj_SizeTol),L882&lt;=Subj_BldgSF*(1+Subj_SizeTol))</f>
        <v/>
      </c>
    </row>
    <row r="883" ht="15" customHeight="1">
      <c r="A883" s="248" t="n">
        <v>8</v>
      </c>
      <c r="B883" s="245" t="n">
        <v>879</v>
      </c>
      <c r="AI883">
        <f>AND(E883=Subj_OccCode,Subj_BldgSF&gt;0,L883&gt;=Subj_BldgSF*(1-Subj_SizeTol),L883&lt;=Subj_BldgSF*(1+Subj_SizeTol))</f>
        <v/>
      </c>
    </row>
    <row r="884" ht="15" customHeight="1">
      <c r="A884" s="248" t="n">
        <v>8</v>
      </c>
      <c r="B884" s="245" t="n">
        <v>880</v>
      </c>
      <c r="AI884">
        <f>AND(E884=Subj_OccCode,Subj_BldgSF&gt;0,L884&gt;=Subj_BldgSF*(1-Subj_SizeTol),L884&lt;=Subj_BldgSF*(1+Subj_SizeTol))</f>
        <v/>
      </c>
    </row>
    <row r="885" ht="15" customHeight="1">
      <c r="A885" s="248" t="n">
        <v>8</v>
      </c>
      <c r="B885" s="245" t="n">
        <v>881</v>
      </c>
      <c r="AI885">
        <f>AND(E885=Subj_OccCode,Subj_BldgSF&gt;0,L885&gt;=Subj_BldgSF*(1-Subj_SizeTol),L885&lt;=Subj_BldgSF*(1+Subj_SizeTol))</f>
        <v/>
      </c>
    </row>
    <row r="886" ht="15" customHeight="1">
      <c r="A886" s="248" t="n">
        <v>8</v>
      </c>
      <c r="B886" s="245" t="n">
        <v>882</v>
      </c>
      <c r="AI886">
        <f>AND(E886=Subj_OccCode,Subj_BldgSF&gt;0,L886&gt;=Subj_BldgSF*(1-Subj_SizeTol),L886&lt;=Subj_BldgSF*(1+Subj_SizeTol))</f>
        <v/>
      </c>
    </row>
    <row r="887" ht="15" customHeight="1">
      <c r="A887" s="248" t="n">
        <v>8</v>
      </c>
      <c r="B887" s="245" t="n">
        <v>883</v>
      </c>
      <c r="AI887">
        <f>AND(E887=Subj_OccCode,Subj_BldgSF&gt;0,L887&gt;=Subj_BldgSF*(1-Subj_SizeTol),L887&lt;=Subj_BldgSF*(1+Subj_SizeTol))</f>
        <v/>
      </c>
    </row>
    <row r="888" ht="15" customHeight="1">
      <c r="A888" s="248" t="n">
        <v>8</v>
      </c>
      <c r="B888" s="245" t="n">
        <v>884</v>
      </c>
      <c r="AI888">
        <f>AND(E888=Subj_OccCode,Subj_BldgSF&gt;0,L888&gt;=Subj_BldgSF*(1-Subj_SizeTol),L888&lt;=Subj_BldgSF*(1+Subj_SizeTol))</f>
        <v/>
      </c>
    </row>
    <row r="889" ht="15" customHeight="1">
      <c r="A889" s="248" t="n">
        <v>8</v>
      </c>
      <c r="B889" s="245" t="n">
        <v>885</v>
      </c>
      <c r="AI889">
        <f>AND(E889=Subj_OccCode,Subj_BldgSF&gt;0,L889&gt;=Subj_BldgSF*(1-Subj_SizeTol),L889&lt;=Subj_BldgSF*(1+Subj_SizeTol))</f>
        <v/>
      </c>
    </row>
    <row r="890" ht="15" customHeight="1">
      <c r="A890" s="248" t="n">
        <v>8</v>
      </c>
      <c r="B890" s="245" t="n">
        <v>886</v>
      </c>
      <c r="AI890">
        <f>AND(E890=Subj_OccCode,Subj_BldgSF&gt;0,L890&gt;=Subj_BldgSF*(1-Subj_SizeTol),L890&lt;=Subj_BldgSF*(1+Subj_SizeTol))</f>
        <v/>
      </c>
    </row>
    <row r="891" ht="15" customHeight="1">
      <c r="A891" s="248" t="n">
        <v>8</v>
      </c>
      <c r="B891" s="245" t="n">
        <v>887</v>
      </c>
      <c r="AI891">
        <f>AND(E891=Subj_OccCode,Subj_BldgSF&gt;0,L891&gt;=Subj_BldgSF*(1-Subj_SizeTol),L891&lt;=Subj_BldgSF*(1+Subj_SizeTol))</f>
        <v/>
      </c>
    </row>
    <row r="892" ht="15" customHeight="1">
      <c r="A892" s="248" t="n">
        <v>8</v>
      </c>
      <c r="B892" s="245" t="n">
        <v>888</v>
      </c>
      <c r="AI892">
        <f>AND(E892=Subj_OccCode,Subj_BldgSF&gt;0,L892&gt;=Subj_BldgSF*(1-Subj_SizeTol),L892&lt;=Subj_BldgSF*(1+Subj_SizeTol))</f>
        <v/>
      </c>
    </row>
    <row r="893" ht="15" customHeight="1">
      <c r="A893" s="248" t="n">
        <v>8</v>
      </c>
      <c r="B893" s="245" t="n">
        <v>889</v>
      </c>
      <c r="AI893">
        <f>AND(E893=Subj_OccCode,Subj_BldgSF&gt;0,L893&gt;=Subj_BldgSF*(1-Subj_SizeTol),L893&lt;=Subj_BldgSF*(1+Subj_SizeTol))</f>
        <v/>
      </c>
    </row>
    <row r="894" ht="15" customHeight="1">
      <c r="A894" s="248" t="n">
        <v>8</v>
      </c>
      <c r="B894" s="245" t="n">
        <v>890</v>
      </c>
      <c r="AI894">
        <f>AND(E894=Subj_OccCode,Subj_BldgSF&gt;0,L894&gt;=Subj_BldgSF*(1-Subj_SizeTol),L894&lt;=Subj_BldgSF*(1+Subj_SizeTol))</f>
        <v/>
      </c>
    </row>
    <row r="895" ht="15" customHeight="1">
      <c r="A895" s="248" t="n">
        <v>8</v>
      </c>
      <c r="B895" s="245" t="n">
        <v>891</v>
      </c>
      <c r="AI895">
        <f>AND(E895=Subj_OccCode,Subj_BldgSF&gt;0,L895&gt;=Subj_BldgSF*(1-Subj_SizeTol),L895&lt;=Subj_BldgSF*(1+Subj_SizeTol))</f>
        <v/>
      </c>
    </row>
    <row r="896" ht="15" customHeight="1">
      <c r="A896" s="248" t="n">
        <v>8</v>
      </c>
      <c r="B896" s="245" t="n">
        <v>892</v>
      </c>
      <c r="AI896">
        <f>AND(E896=Subj_OccCode,Subj_BldgSF&gt;0,L896&gt;=Subj_BldgSF*(1-Subj_SizeTol),L896&lt;=Subj_BldgSF*(1+Subj_SizeTol))</f>
        <v/>
      </c>
    </row>
    <row r="897" ht="15" customHeight="1">
      <c r="A897" s="248" t="n">
        <v>8</v>
      </c>
      <c r="B897" s="245" t="n">
        <v>893</v>
      </c>
      <c r="AI897">
        <f>AND(E897=Subj_OccCode,Subj_BldgSF&gt;0,L897&gt;=Subj_BldgSF*(1-Subj_SizeTol),L897&lt;=Subj_BldgSF*(1+Subj_SizeTol))</f>
        <v/>
      </c>
    </row>
    <row r="898" ht="15" customHeight="1">
      <c r="A898" s="248" t="n">
        <v>8</v>
      </c>
      <c r="B898" s="245" t="n">
        <v>894</v>
      </c>
      <c r="AI898">
        <f>AND(E898=Subj_OccCode,Subj_BldgSF&gt;0,L898&gt;=Subj_BldgSF*(1-Subj_SizeTol),L898&lt;=Subj_BldgSF*(1+Subj_SizeTol))</f>
        <v/>
      </c>
    </row>
    <row r="899" ht="15" customHeight="1">
      <c r="A899" s="248" t="n">
        <v>8</v>
      </c>
      <c r="B899" s="245" t="n">
        <v>895</v>
      </c>
      <c r="AI899">
        <f>AND(E899=Subj_OccCode,Subj_BldgSF&gt;0,L899&gt;=Subj_BldgSF*(1-Subj_SizeTol),L899&lt;=Subj_BldgSF*(1+Subj_SizeTol))</f>
        <v/>
      </c>
    </row>
    <row r="900" ht="15" customHeight="1">
      <c r="A900" s="248" t="n">
        <v>8</v>
      </c>
      <c r="B900" s="245" t="n">
        <v>896</v>
      </c>
      <c r="AI900">
        <f>AND(E900=Subj_OccCode,Subj_BldgSF&gt;0,L900&gt;=Subj_BldgSF*(1-Subj_SizeTol),L900&lt;=Subj_BldgSF*(1+Subj_SizeTol))</f>
        <v/>
      </c>
    </row>
    <row r="901" ht="15" customHeight="1">
      <c r="A901" s="248" t="n">
        <v>8</v>
      </c>
      <c r="B901" s="245" t="n">
        <v>897</v>
      </c>
      <c r="AI901">
        <f>AND(E901=Subj_OccCode,Subj_BldgSF&gt;0,L901&gt;=Subj_BldgSF*(1-Subj_SizeTol),L901&lt;=Subj_BldgSF*(1+Subj_SizeTol))</f>
        <v/>
      </c>
    </row>
    <row r="902" ht="15" customHeight="1">
      <c r="A902" s="248" t="n">
        <v>8</v>
      </c>
      <c r="B902" s="245" t="n">
        <v>898</v>
      </c>
      <c r="AI902">
        <f>AND(E902=Subj_OccCode,Subj_BldgSF&gt;0,L902&gt;=Subj_BldgSF*(1-Subj_SizeTol),L902&lt;=Subj_BldgSF*(1+Subj_SizeTol))</f>
        <v/>
      </c>
    </row>
    <row r="903" ht="15" customHeight="1">
      <c r="A903" s="248" t="n">
        <v>8</v>
      </c>
      <c r="B903" s="245" t="n">
        <v>899</v>
      </c>
      <c r="AI903">
        <f>AND(E903=Subj_OccCode,Subj_BldgSF&gt;0,L903&gt;=Subj_BldgSF*(1-Subj_SizeTol),L903&lt;=Subj_BldgSF*(1+Subj_SizeTol))</f>
        <v/>
      </c>
    </row>
    <row r="904" ht="15" customHeight="1">
      <c r="A904" s="248" t="n">
        <v>8</v>
      </c>
      <c r="B904" s="245" t="n">
        <v>900</v>
      </c>
      <c r="AI904">
        <f>AND(E904=Subj_OccCode,Subj_BldgSF&gt;0,L904&gt;=Subj_BldgSF*(1-Subj_SizeTol),L904&lt;=Subj_BldgSF*(1+Subj_SizeTol))</f>
        <v/>
      </c>
    </row>
    <row r="905" ht="15" customHeight="1">
      <c r="A905" s="248" t="n">
        <v>8</v>
      </c>
      <c r="B905" s="245" t="n">
        <v>901</v>
      </c>
      <c r="AI905">
        <f>AND(E905=Subj_OccCode,Subj_BldgSF&gt;0,L905&gt;=Subj_BldgSF*(1-Subj_SizeTol),L905&lt;=Subj_BldgSF*(1+Subj_SizeTol))</f>
        <v/>
      </c>
    </row>
    <row r="906" ht="15" customHeight="1">
      <c r="A906" s="248" t="n">
        <v>8</v>
      </c>
      <c r="B906" s="245" t="n">
        <v>902</v>
      </c>
      <c r="AI906">
        <f>AND(E906=Subj_OccCode,Subj_BldgSF&gt;0,L906&gt;=Subj_BldgSF*(1-Subj_SizeTol),L906&lt;=Subj_BldgSF*(1+Subj_SizeTol))</f>
        <v/>
      </c>
    </row>
    <row r="907" ht="15" customHeight="1">
      <c r="A907" s="248" t="n">
        <v>8</v>
      </c>
      <c r="B907" s="245" t="n">
        <v>903</v>
      </c>
      <c r="AI907">
        <f>AND(E907=Subj_OccCode,Subj_BldgSF&gt;0,L907&gt;=Subj_BldgSF*(1-Subj_SizeTol),L907&lt;=Subj_BldgSF*(1+Subj_SizeTol))</f>
        <v/>
      </c>
    </row>
    <row r="908" ht="15" customHeight="1">
      <c r="A908" s="248" t="n">
        <v>8</v>
      </c>
      <c r="B908" s="245" t="n">
        <v>904</v>
      </c>
      <c r="AI908">
        <f>AND(E908=Subj_OccCode,Subj_BldgSF&gt;0,L908&gt;=Subj_BldgSF*(1-Subj_SizeTol),L908&lt;=Subj_BldgSF*(1+Subj_SizeTol))</f>
        <v/>
      </c>
    </row>
    <row r="909" ht="15" customHeight="1">
      <c r="A909" s="248" t="n">
        <v>8</v>
      </c>
      <c r="B909" s="245" t="n">
        <v>905</v>
      </c>
      <c r="AI909">
        <f>AND(E909=Subj_OccCode,Subj_BldgSF&gt;0,L909&gt;=Subj_BldgSF*(1-Subj_SizeTol),L909&lt;=Subj_BldgSF*(1+Subj_SizeTol))</f>
        <v/>
      </c>
    </row>
    <row r="910" ht="15" customHeight="1">
      <c r="A910" s="248" t="n">
        <v>8</v>
      </c>
      <c r="B910" s="245" t="n">
        <v>906</v>
      </c>
      <c r="AI910">
        <f>AND(E910=Subj_OccCode,Subj_BldgSF&gt;0,L910&gt;=Subj_BldgSF*(1-Subj_SizeTol),L910&lt;=Subj_BldgSF*(1+Subj_SizeTol))</f>
        <v/>
      </c>
    </row>
    <row r="911" ht="15" customHeight="1">
      <c r="A911" s="248" t="n">
        <v>8</v>
      </c>
      <c r="B911" s="245" t="n">
        <v>907</v>
      </c>
      <c r="AI911">
        <f>AND(E911=Subj_OccCode,Subj_BldgSF&gt;0,L911&gt;=Subj_BldgSF*(1-Subj_SizeTol),L911&lt;=Subj_BldgSF*(1+Subj_SizeTol))</f>
        <v/>
      </c>
    </row>
    <row r="912" ht="15" customHeight="1">
      <c r="A912" s="248" t="n">
        <v>8</v>
      </c>
      <c r="B912" s="245" t="n">
        <v>908</v>
      </c>
      <c r="AI912">
        <f>AND(E912=Subj_OccCode,Subj_BldgSF&gt;0,L912&gt;=Subj_BldgSF*(1-Subj_SizeTol),L912&lt;=Subj_BldgSF*(1+Subj_SizeTol))</f>
        <v/>
      </c>
    </row>
    <row r="913" ht="15" customHeight="1">
      <c r="A913" s="248" t="n">
        <v>8</v>
      </c>
      <c r="B913" s="245" t="n">
        <v>909</v>
      </c>
      <c r="AI913">
        <f>AND(E913=Subj_OccCode,Subj_BldgSF&gt;0,L913&gt;=Subj_BldgSF*(1-Subj_SizeTol),L913&lt;=Subj_BldgSF*(1+Subj_SizeTol))</f>
        <v/>
      </c>
    </row>
    <row r="914" ht="15" customHeight="1">
      <c r="A914" s="248" t="n">
        <v>8</v>
      </c>
      <c r="B914" s="245" t="n">
        <v>910</v>
      </c>
      <c r="AI914">
        <f>AND(E914=Subj_OccCode,Subj_BldgSF&gt;0,L914&gt;=Subj_BldgSF*(1-Subj_SizeTol),L914&lt;=Subj_BldgSF*(1+Subj_SizeTol))</f>
        <v/>
      </c>
    </row>
    <row r="915" ht="15" customHeight="1">
      <c r="A915" s="248" t="n">
        <v>8</v>
      </c>
      <c r="B915" s="245" t="n">
        <v>911</v>
      </c>
      <c r="AI915">
        <f>AND(E915=Subj_OccCode,Subj_BldgSF&gt;0,L915&gt;=Subj_BldgSF*(1-Subj_SizeTol),L915&lt;=Subj_BldgSF*(1+Subj_SizeTol))</f>
        <v/>
      </c>
    </row>
    <row r="916" ht="15" customHeight="1">
      <c r="A916" s="248" t="n">
        <v>8</v>
      </c>
      <c r="B916" s="245" t="n">
        <v>912</v>
      </c>
      <c r="AI916">
        <f>AND(E916=Subj_OccCode,Subj_BldgSF&gt;0,L916&gt;=Subj_BldgSF*(1-Subj_SizeTol),L916&lt;=Subj_BldgSF*(1+Subj_SizeTol))</f>
        <v/>
      </c>
    </row>
    <row r="917" ht="15" customHeight="1">
      <c r="A917" s="248" t="n">
        <v>8</v>
      </c>
      <c r="B917" s="245" t="n">
        <v>913</v>
      </c>
      <c r="AI917">
        <f>AND(E917=Subj_OccCode,Subj_BldgSF&gt;0,L917&gt;=Subj_BldgSF*(1-Subj_SizeTol),L917&lt;=Subj_BldgSF*(1+Subj_SizeTol))</f>
        <v/>
      </c>
    </row>
    <row r="918" ht="15" customHeight="1">
      <c r="A918" s="248" t="n">
        <v>8</v>
      </c>
      <c r="B918" s="245" t="n">
        <v>914</v>
      </c>
      <c r="AI918">
        <f>AND(E918=Subj_OccCode,Subj_BldgSF&gt;0,L918&gt;=Subj_BldgSF*(1-Subj_SizeTol),L918&lt;=Subj_BldgSF*(1+Subj_SizeTol))</f>
        <v/>
      </c>
    </row>
    <row r="919" ht="15" customHeight="1">
      <c r="A919" s="248" t="n">
        <v>8</v>
      </c>
      <c r="B919" s="245" t="n">
        <v>915</v>
      </c>
      <c r="AI919">
        <f>AND(E919=Subj_OccCode,Subj_BldgSF&gt;0,L919&gt;=Subj_BldgSF*(1-Subj_SizeTol),L919&lt;=Subj_BldgSF*(1+Subj_SizeTol))</f>
        <v/>
      </c>
    </row>
    <row r="920" ht="15" customHeight="1">
      <c r="A920" s="248" t="n">
        <v>8</v>
      </c>
      <c r="B920" s="245" t="n">
        <v>916</v>
      </c>
      <c r="AI920">
        <f>AND(E920=Subj_OccCode,Subj_BldgSF&gt;0,L920&gt;=Subj_BldgSF*(1-Subj_SizeTol),L920&lt;=Subj_BldgSF*(1+Subj_SizeTol))</f>
        <v/>
      </c>
    </row>
    <row r="921" ht="15" customHeight="1">
      <c r="A921" s="248" t="n">
        <v>8</v>
      </c>
      <c r="B921" s="245" t="n">
        <v>917</v>
      </c>
      <c r="AI921">
        <f>AND(E921=Subj_OccCode,Subj_BldgSF&gt;0,L921&gt;=Subj_BldgSF*(1-Subj_SizeTol),L921&lt;=Subj_BldgSF*(1+Subj_SizeTol))</f>
        <v/>
      </c>
    </row>
    <row r="922" ht="15" customHeight="1">
      <c r="A922" s="248" t="n">
        <v>8</v>
      </c>
      <c r="B922" s="245" t="n">
        <v>918</v>
      </c>
      <c r="AI922">
        <f>AND(E922=Subj_OccCode,Subj_BldgSF&gt;0,L922&gt;=Subj_BldgSF*(1-Subj_SizeTol),L922&lt;=Subj_BldgSF*(1+Subj_SizeTol))</f>
        <v/>
      </c>
    </row>
    <row r="923" ht="15" customHeight="1">
      <c r="A923" s="248" t="n">
        <v>8</v>
      </c>
      <c r="B923" s="245" t="n">
        <v>919</v>
      </c>
      <c r="AI923">
        <f>AND(E923=Subj_OccCode,Subj_BldgSF&gt;0,L923&gt;=Subj_BldgSF*(1-Subj_SizeTol),L923&lt;=Subj_BldgSF*(1+Subj_SizeTol))</f>
        <v/>
      </c>
    </row>
    <row r="924" ht="15" customHeight="1">
      <c r="A924" s="248" t="n">
        <v>8</v>
      </c>
      <c r="B924" s="245" t="n">
        <v>920</v>
      </c>
      <c r="AI924">
        <f>AND(E924=Subj_OccCode,Subj_BldgSF&gt;0,L924&gt;=Subj_BldgSF*(1-Subj_SizeTol),L924&lt;=Subj_BldgSF*(1+Subj_SizeTol))</f>
        <v/>
      </c>
    </row>
    <row r="925" ht="15" customHeight="1">
      <c r="A925" s="248" t="n">
        <v>8</v>
      </c>
      <c r="B925" s="245" t="n">
        <v>921</v>
      </c>
      <c r="AI925">
        <f>AND(E925=Subj_OccCode,Subj_BldgSF&gt;0,L925&gt;=Subj_BldgSF*(1-Subj_SizeTol),L925&lt;=Subj_BldgSF*(1+Subj_SizeTol))</f>
        <v/>
      </c>
    </row>
    <row r="926" ht="15" customHeight="1">
      <c r="A926" s="248" t="n">
        <v>8</v>
      </c>
      <c r="B926" s="245" t="n">
        <v>922</v>
      </c>
      <c r="AI926">
        <f>AND(E926=Subj_OccCode,Subj_BldgSF&gt;0,L926&gt;=Subj_BldgSF*(1-Subj_SizeTol),L926&lt;=Subj_BldgSF*(1+Subj_SizeTol))</f>
        <v/>
      </c>
    </row>
    <row r="927" ht="15" customHeight="1">
      <c r="A927" s="248" t="n">
        <v>8</v>
      </c>
      <c r="B927" s="245" t="n">
        <v>923</v>
      </c>
      <c r="AI927">
        <f>AND(E927=Subj_OccCode,Subj_BldgSF&gt;0,L927&gt;=Subj_BldgSF*(1-Subj_SizeTol),L927&lt;=Subj_BldgSF*(1+Subj_SizeTol))</f>
        <v/>
      </c>
    </row>
    <row r="928" ht="15" customHeight="1">
      <c r="A928" s="248" t="n">
        <v>8</v>
      </c>
      <c r="B928" s="245" t="n">
        <v>924</v>
      </c>
      <c r="AI928">
        <f>AND(E928=Subj_OccCode,Subj_BldgSF&gt;0,L928&gt;=Subj_BldgSF*(1-Subj_SizeTol),L928&lt;=Subj_BldgSF*(1+Subj_SizeTol))</f>
        <v/>
      </c>
    </row>
    <row r="929" ht="15" customHeight="1">
      <c r="A929" s="248" t="n">
        <v>8</v>
      </c>
      <c r="B929" s="245" t="n">
        <v>925</v>
      </c>
      <c r="AI929">
        <f>AND(E929=Subj_OccCode,Subj_BldgSF&gt;0,L929&gt;=Subj_BldgSF*(1-Subj_SizeTol),L929&lt;=Subj_BldgSF*(1+Subj_SizeTol))</f>
        <v/>
      </c>
    </row>
    <row r="930" ht="15" customHeight="1">
      <c r="A930" s="248" t="n">
        <v>8</v>
      </c>
      <c r="B930" s="245" t="n">
        <v>926</v>
      </c>
      <c r="AI930">
        <f>AND(E930=Subj_OccCode,Subj_BldgSF&gt;0,L930&gt;=Subj_BldgSF*(1-Subj_SizeTol),L930&lt;=Subj_BldgSF*(1+Subj_SizeTol))</f>
        <v/>
      </c>
    </row>
    <row r="931" ht="15" customHeight="1">
      <c r="A931" s="248" t="n">
        <v>8</v>
      </c>
      <c r="B931" s="245" t="n">
        <v>927</v>
      </c>
      <c r="AI931">
        <f>AND(E931=Subj_OccCode,Subj_BldgSF&gt;0,L931&gt;=Subj_BldgSF*(1-Subj_SizeTol),L931&lt;=Subj_BldgSF*(1+Subj_SizeTol))</f>
        <v/>
      </c>
    </row>
    <row r="932" ht="15" customHeight="1">
      <c r="A932" s="248" t="n">
        <v>8</v>
      </c>
      <c r="B932" s="245" t="n">
        <v>928</v>
      </c>
      <c r="AI932">
        <f>AND(E932=Subj_OccCode,Subj_BldgSF&gt;0,L932&gt;=Subj_BldgSF*(1-Subj_SizeTol),L932&lt;=Subj_BldgSF*(1+Subj_SizeTol))</f>
        <v/>
      </c>
    </row>
    <row r="933" ht="15" customHeight="1">
      <c r="A933" s="248" t="n">
        <v>8</v>
      </c>
      <c r="B933" s="245" t="n">
        <v>929</v>
      </c>
      <c r="AI933">
        <f>AND(E933=Subj_OccCode,Subj_BldgSF&gt;0,L933&gt;=Subj_BldgSF*(1-Subj_SizeTol),L933&lt;=Subj_BldgSF*(1+Subj_SizeTol))</f>
        <v/>
      </c>
    </row>
    <row r="934" ht="15" customHeight="1">
      <c r="A934" s="248" t="n">
        <v>8</v>
      </c>
      <c r="B934" s="245" t="n">
        <v>930</v>
      </c>
      <c r="AI934">
        <f>AND(E934=Subj_OccCode,Subj_BldgSF&gt;0,L934&gt;=Subj_BldgSF*(1-Subj_SizeTol),L934&lt;=Subj_BldgSF*(1+Subj_SizeTol))</f>
        <v/>
      </c>
    </row>
    <row r="935" ht="15" customHeight="1">
      <c r="A935" s="248" t="n">
        <v>8</v>
      </c>
      <c r="B935" s="245" t="n">
        <v>931</v>
      </c>
      <c r="AI935">
        <f>AND(E935=Subj_OccCode,Subj_BldgSF&gt;0,L935&gt;=Subj_BldgSF*(1-Subj_SizeTol),L935&lt;=Subj_BldgSF*(1+Subj_SizeTol))</f>
        <v/>
      </c>
    </row>
    <row r="936" ht="15" customHeight="1">
      <c r="A936" s="248" t="n">
        <v>8</v>
      </c>
      <c r="B936" s="245" t="n">
        <v>932</v>
      </c>
      <c r="AI936">
        <f>AND(E936=Subj_OccCode,Subj_BldgSF&gt;0,L936&gt;=Subj_BldgSF*(1-Subj_SizeTol),L936&lt;=Subj_BldgSF*(1+Subj_SizeTol))</f>
        <v/>
      </c>
    </row>
    <row r="937" ht="15" customHeight="1">
      <c r="A937" s="248" t="n">
        <v>8</v>
      </c>
      <c r="B937" s="245" t="n">
        <v>933</v>
      </c>
      <c r="AI937">
        <f>AND(E937=Subj_OccCode,Subj_BldgSF&gt;0,L937&gt;=Subj_BldgSF*(1-Subj_SizeTol),L937&lt;=Subj_BldgSF*(1+Subj_SizeTol))</f>
        <v/>
      </c>
    </row>
    <row r="938" ht="15" customHeight="1">
      <c r="A938" s="248" t="n">
        <v>8</v>
      </c>
      <c r="B938" s="245" t="n">
        <v>934</v>
      </c>
      <c r="AI938">
        <f>AND(E938=Subj_OccCode,Subj_BldgSF&gt;0,L938&gt;=Subj_BldgSF*(1-Subj_SizeTol),L938&lt;=Subj_BldgSF*(1+Subj_SizeTol))</f>
        <v/>
      </c>
    </row>
    <row r="939" ht="15" customHeight="1">
      <c r="A939" s="248" t="n">
        <v>8</v>
      </c>
      <c r="B939" s="245" t="n">
        <v>935</v>
      </c>
      <c r="AI939">
        <f>AND(E939=Subj_OccCode,Subj_BldgSF&gt;0,L939&gt;=Subj_BldgSF*(1-Subj_SizeTol),L939&lt;=Subj_BldgSF*(1+Subj_SizeTol))</f>
        <v/>
      </c>
    </row>
    <row r="940" ht="15" customHeight="1">
      <c r="A940" s="248" t="n">
        <v>8</v>
      </c>
      <c r="B940" s="245" t="n">
        <v>936</v>
      </c>
      <c r="AI940">
        <f>AND(E940=Subj_OccCode,Subj_BldgSF&gt;0,L940&gt;=Subj_BldgSF*(1-Subj_SizeTol),L940&lt;=Subj_BldgSF*(1+Subj_SizeTol))</f>
        <v/>
      </c>
    </row>
    <row r="941" ht="15" customHeight="1">
      <c r="A941" s="248" t="n">
        <v>8</v>
      </c>
      <c r="B941" s="245" t="n">
        <v>937</v>
      </c>
      <c r="AI941">
        <f>AND(E941=Subj_OccCode,Subj_BldgSF&gt;0,L941&gt;=Subj_BldgSF*(1-Subj_SizeTol),L941&lt;=Subj_BldgSF*(1+Subj_SizeTol))</f>
        <v/>
      </c>
    </row>
  </sheetData>
  <autoFilter ref="A1:AI941"/>
  <conditionalFormatting sqref="C6:C289">
    <cfRule type="duplicateValues" priority="2" dxfId="0"/>
  </conditionalFormatting>
  <conditionalFormatting sqref="A2:AH941">
    <cfRule type="expression" priority="2" dxfId="1">
      <formula>MOD(ROW(),2)=0</formula>
    </cfRule>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1.xml><?xml version="1.0" encoding="utf-8"?>
<worksheet xmlns="http://schemas.openxmlformats.org/spreadsheetml/2006/main">
  <sheetPr codeName="Sheet3">
    <tabColor rgb="00BF8F00"/>
    <outlinePr summaryBelow="1" summaryRight="1"/>
    <pageSetUpPr fitToPage="1"/>
  </sheetPr>
  <dimension ref="A1:AX1019"/>
  <sheetViews>
    <sheetView zoomScale="90" workbookViewId="0">
      <pane ySplit="1" topLeftCell="A2" activePane="bottomLeft" state="frozen"/>
      <selection pane="bottomLeft" activeCell="E47" sqref="E47"/>
      <selection pane="bottomLeft" activeCell="E47" sqref="E47"/>
    </sheetView>
  </sheetViews>
  <sheetFormatPr baseColWidth="8" defaultColWidth="9.33203125" defaultRowHeight="12.75"/>
  <cols>
    <col width="5.6640625" customWidth="1" style="245" min="1" max="1"/>
    <col width="6.33203125" customWidth="1" style="354" min="2" max="2"/>
    <col width="10.83203125" customWidth="1" style="245" min="3" max="3"/>
    <col width="20.6640625" bestFit="1" customWidth="1" style="245" min="4" max="4"/>
    <col width="11.6640625" customWidth="1" style="245" min="5" max="5"/>
    <col width="38.1640625" customWidth="1" style="245" min="6" max="6"/>
    <col width="7.83203125" customWidth="1" style="672" min="7" max="7"/>
    <col width="10.33203125" bestFit="1" customWidth="1" style="253" min="8" max="8"/>
    <col width="10.83203125" bestFit="1" customWidth="1" style="245" min="9" max="9"/>
    <col width="11.83203125" bestFit="1" customWidth="1" style="245" min="10" max="10"/>
    <col width="13.33203125" customWidth="1" style="245" min="11" max="11"/>
    <col width="7.6640625" customWidth="1" style="245" min="12" max="12"/>
    <col width="8.33203125" customWidth="1" style="253" min="13" max="13"/>
    <col width="9.5" customWidth="1" style="253" min="14" max="14"/>
    <col width="11" customWidth="1" style="250" min="15" max="15"/>
    <col width="11.83203125" bestFit="1" customWidth="1" style="250" min="16" max="16"/>
    <col width="9.5" bestFit="1" customWidth="1" style="245" min="17" max="20"/>
    <col width="7.1640625" bestFit="1" customWidth="1" style="245" min="21" max="21"/>
    <col width="13.1640625" bestFit="1" customWidth="1" style="245" min="22" max="22"/>
    <col width="13" bestFit="1" customWidth="1" style="245" min="23" max="23"/>
    <col width="10.5" bestFit="1" customWidth="1" style="245" min="24" max="24"/>
    <col width="11.1640625" bestFit="1" customWidth="1" style="245" min="25" max="25"/>
    <col width="8" bestFit="1" customWidth="1" style="245" min="26" max="27"/>
    <col width="8.1640625" bestFit="1" customWidth="1" style="245" min="28" max="28"/>
    <col width="8.33203125" bestFit="1" customWidth="1" style="245" min="29" max="29"/>
    <col width="41.33203125" customWidth="1" style="245" min="30" max="30"/>
    <col width="8.33203125" bestFit="1" customWidth="1" style="245" min="31" max="33"/>
    <col width="7.33203125" bestFit="1" customWidth="1" style="245" min="34" max="34"/>
    <col width="11.6640625" bestFit="1" customWidth="1" style="245" min="35" max="35"/>
    <col width="12.1640625" bestFit="1" customWidth="1" style="245" min="36" max="36"/>
    <col width="84.1640625" customWidth="1" style="245" min="37" max="37"/>
    <col width="9.33203125" customWidth="1" style="245" min="38" max="16384"/>
  </cols>
  <sheetData>
    <row r="1" ht="40.5" customHeight="1" thickBot="1">
      <c r="A1" s="867" t="inlineStr">
        <is>
          <t>Pos</t>
        </is>
      </c>
      <c r="B1" s="868" t="inlineStr">
        <is>
          <t>Num</t>
        </is>
      </c>
      <c r="C1" s="867" t="inlineStr">
        <is>
          <t>Source</t>
        </is>
      </c>
      <c r="D1" s="867" t="inlineStr">
        <is>
          <t>Schedule</t>
        </is>
      </c>
      <c r="E1" s="867" t="inlineStr">
        <is>
          <t>Source</t>
        </is>
      </c>
      <c r="F1" s="867" t="inlineStr">
        <is>
          <t>Address</t>
        </is>
      </c>
      <c r="G1" s="869" t="inlineStr">
        <is>
          <t>Cls</t>
        </is>
      </c>
      <c r="H1" s="867" t="inlineStr">
        <is>
          <t>Model</t>
        </is>
      </c>
      <c r="I1" s="870" t="inlineStr">
        <is>
          <t>Loc</t>
        </is>
      </c>
      <c r="J1" s="867" t="inlineStr">
        <is>
          <t>NRA</t>
        </is>
      </c>
      <c r="K1" s="867" t="inlineStr">
        <is>
          <t>Rent</t>
        </is>
      </c>
      <c r="L1" s="867" t="inlineStr">
        <is>
          <t>Vac</t>
        </is>
      </c>
      <c r="M1" s="867" t="inlineStr">
        <is>
          <t>Exp</t>
        </is>
      </c>
      <c r="N1" s="867" t="inlineStr">
        <is>
          <t>YOC</t>
        </is>
      </c>
      <c r="O1" s="871" t="inlineStr">
        <is>
          <t>Office
Enclos.</t>
        </is>
      </c>
      <c r="P1" s="871" t="inlineStr">
        <is>
          <t>Extend.
Office</t>
        </is>
      </c>
      <c r="Q1" s="867" t="inlineStr">
        <is>
          <t>Wall
Height</t>
        </is>
      </c>
      <c r="R1" s="867" t="inlineStr">
        <is>
          <t>Wall
Type</t>
        </is>
      </c>
      <c r="S1" s="864" t="inlineStr">
        <is>
          <t># Units</t>
        </is>
      </c>
      <c r="T1" s="867" t="inlineStr">
        <is>
          <t>Zone</t>
        </is>
      </c>
      <c r="U1" s="867" t="inlineStr">
        <is>
          <t>Str</t>
        </is>
      </c>
      <c r="V1" s="867" t="inlineStr">
        <is>
          <t>L Area</t>
        </is>
      </c>
      <c r="W1" s="870" t="inlineStr">
        <is>
          <t>Land R</t>
        </is>
      </c>
      <c r="X1" s="870" t="inlineStr">
        <is>
          <t>L:B Ratio</t>
        </is>
      </c>
      <c r="Y1" s="870" t="inlineStr">
        <is>
          <t>Imp R</t>
        </is>
      </c>
      <c r="Z1" s="867" t="inlineStr">
        <is>
          <t>Grd</t>
        </is>
      </c>
      <c r="AA1" s="867" t="inlineStr">
        <is>
          <t>Phy</t>
        </is>
      </c>
      <c r="AB1" s="867" t="inlineStr">
        <is>
          <t>Fun</t>
        </is>
      </c>
      <c r="AC1" s="867" t="inlineStr">
        <is>
          <t>P_F</t>
        </is>
      </c>
      <c r="AD1" s="867" t="inlineStr">
        <is>
          <t>Tenant</t>
        </is>
      </c>
      <c r="AE1" s="867" t="inlineStr">
        <is>
          <t>PGI</t>
        </is>
      </c>
      <c r="AF1" s="867" t="inlineStr">
        <is>
          <t>EGI</t>
        </is>
      </c>
      <c r="AG1" s="867" t="inlineStr">
        <is>
          <t>NOI</t>
        </is>
      </c>
      <c r="AH1" s="867" t="inlineStr">
        <is>
          <t>$ EXP</t>
        </is>
      </c>
      <c r="AI1" s="867" t="inlineStr">
        <is>
          <t>Oth Inc/SF</t>
        </is>
      </c>
      <c r="AJ1" s="867" t="inlineStr">
        <is>
          <t>Pkg Inc/SP</t>
        </is>
      </c>
      <c r="AK1" s="867" t="inlineStr">
        <is>
          <t>Comments</t>
        </is>
      </c>
    </row>
    <row r="2" ht="13.5" customHeight="1" thickTop="1">
      <c r="A2" s="246" t="n">
        <v>5</v>
      </c>
      <c r="O2" s="360" t="n"/>
      <c r="P2" s="361" t="n"/>
      <c r="Q2" s="357" t="n"/>
      <c r="AB2" s="251" t="n"/>
      <c r="AC2" s="252" t="n"/>
    </row>
    <row r="3">
      <c r="A3" s="246" t="n">
        <v>5</v>
      </c>
      <c r="O3" s="361" t="n"/>
      <c r="P3" s="361" t="n"/>
      <c r="Q3" s="126" t="n"/>
      <c r="AC3" s="252" t="n"/>
    </row>
    <row r="4">
      <c r="A4" s="246" t="n">
        <v>5</v>
      </c>
      <c r="AB4" s="251" t="n"/>
      <c r="AC4" s="252" t="n"/>
    </row>
    <row r="5">
      <c r="A5" s="246" t="n">
        <v>5</v>
      </c>
      <c r="AB5" s="251" t="n"/>
      <c r="AC5" s="252" t="n"/>
    </row>
    <row r="6">
      <c r="A6" s="383" t="n">
        <v>6</v>
      </c>
      <c r="B6" s="370" t="n">
        <v>1</v>
      </c>
      <c r="C6" s="370" t="inlineStr">
        <is>
          <t>2013Q</t>
        </is>
      </c>
      <c r="D6" s="370" t="inlineStr">
        <is>
          <t xml:space="preserve">01141-04-058-058 </t>
        </is>
      </c>
      <c r="E6" s="369" t="inlineStr">
        <is>
          <t>Actual</t>
        </is>
      </c>
      <c r="F6" s="370" t="inlineStr">
        <is>
          <t>5475   PEORIA               ST</t>
        </is>
      </c>
      <c r="G6" s="370" t="n">
        <v>44.8</v>
      </c>
      <c r="H6" s="370" t="n">
        <v>9102</v>
      </c>
      <c r="I6" s="369" t="n">
        <v>3</v>
      </c>
      <c r="J6" s="674" t="n">
        <v>1490</v>
      </c>
      <c r="K6" s="675" t="n">
        <v>6.040268456375839</v>
      </c>
      <c r="L6" s="385" t="n">
        <v>0</v>
      </c>
      <c r="M6" s="374" t="n">
        <v>0.2727777777777778</v>
      </c>
      <c r="N6" s="370" t="n">
        <v>1985</v>
      </c>
      <c r="O6" s="370" t="n">
        <v>678</v>
      </c>
      <c r="P6" s="370" t="n">
        <v>0</v>
      </c>
      <c r="Q6" s="370" t="n">
        <v>17</v>
      </c>
      <c r="R6" s="370" t="n">
        <v>10</v>
      </c>
      <c r="S6" s="370" t="n">
        <v>1</v>
      </c>
      <c r="T6" s="369" t="inlineStr">
        <is>
          <t xml:space="preserve">I-MX-3      </t>
        </is>
      </c>
      <c r="U6" s="370" t="n">
        <v>398</v>
      </c>
      <c r="V6" s="674" t="n">
        <v>5810</v>
      </c>
      <c r="W6" s="674" t="n">
        <v>6000</v>
      </c>
      <c r="X6" s="676" t="inlineStr">
        <is>
          <t>3.9:1</t>
        </is>
      </c>
      <c r="Y6" s="674" t="n">
        <v>1000</v>
      </c>
      <c r="Z6" s="369" t="inlineStr">
        <is>
          <t xml:space="preserve">C </t>
        </is>
      </c>
      <c r="AA6" s="370" t="n"/>
      <c r="AB6" s="370" t="n"/>
      <c r="AC6" s="370" t="n"/>
      <c r="AD6" s="370" t="inlineStr">
        <is>
          <t xml:space="preserve">PEORIA PLAZA #4-112 </t>
        </is>
      </c>
      <c r="AE6" s="370" t="n"/>
      <c r="AF6" s="370" t="n"/>
      <c r="AG6" s="370" t="n"/>
      <c r="AH6" s="370" t="n"/>
      <c r="AI6" s="370" t="n"/>
      <c r="AK6" s="370" t="inlineStr">
        <is>
          <t>                                                                  </t>
        </is>
      </c>
      <c r="AL6" s="370" t="n"/>
      <c r="AM6" s="370" t="n"/>
      <c r="AN6" s="370" t="n"/>
      <c r="AO6" s="370" t="n"/>
      <c r="AP6" s="370" t="n"/>
      <c r="AQ6" s="370" t="n"/>
    </row>
    <row r="7">
      <c r="A7" s="383" t="n">
        <v>6</v>
      </c>
      <c r="B7" s="370" t="n">
        <v>2</v>
      </c>
      <c r="C7" s="370" t="inlineStr">
        <is>
          <t>2013Q</t>
        </is>
      </c>
      <c r="D7" s="370" t="inlineStr">
        <is>
          <t xml:space="preserve">01142-03-007-000 </t>
        </is>
      </c>
      <c r="E7" s="369" t="inlineStr">
        <is>
          <t>Actual</t>
        </is>
      </c>
      <c r="F7" s="370" t="inlineStr">
        <is>
          <t>5500   JOLIET               ST</t>
        </is>
      </c>
      <c r="G7" s="370" t="n">
        <v>44.2</v>
      </c>
      <c r="H7" s="370" t="n">
        <v>9102</v>
      </c>
      <c r="I7" s="369" t="n">
        <v>0</v>
      </c>
      <c r="J7" s="674" t="n">
        <v>15000</v>
      </c>
      <c r="K7" s="675" t="n">
        <v>8</v>
      </c>
      <c r="L7" s="385" t="n">
        <v>0</v>
      </c>
      <c r="M7" s="374" t="n">
        <v>0</v>
      </c>
      <c r="N7" s="370" t="n">
        <v>1981</v>
      </c>
      <c r="O7" s="370" t="n">
        <v>1860</v>
      </c>
      <c r="P7" s="370" t="n">
        <v>0</v>
      </c>
      <c r="Q7" s="370" t="n">
        <v>20</v>
      </c>
      <c r="R7" s="370" t="n">
        <v>3</v>
      </c>
      <c r="S7" s="370" t="n">
        <v>1</v>
      </c>
      <c r="T7" s="369" t="inlineStr">
        <is>
          <t xml:space="preserve">I-B         </t>
        </is>
      </c>
      <c r="U7" s="370" t="n">
        <v>398</v>
      </c>
      <c r="V7" s="674" t="n">
        <v>49257</v>
      </c>
      <c r="W7" s="674" t="n">
        <v>49000</v>
      </c>
      <c r="X7" s="676" t="inlineStr">
        <is>
          <t>3.3:1</t>
        </is>
      </c>
      <c r="Y7" s="674" t="n">
        <v>15000</v>
      </c>
      <c r="Z7" s="369" t="inlineStr">
        <is>
          <t xml:space="preserve">C </t>
        </is>
      </c>
      <c r="AA7" s="370" t="n"/>
      <c r="AB7" s="370" t="n"/>
      <c r="AC7" s="370" t="n"/>
      <c r="AD7" s="370" t="inlineStr">
        <is>
          <t>                    </t>
        </is>
      </c>
      <c r="AE7" s="370" t="n"/>
      <c r="AF7" s="370" t="n"/>
      <c r="AG7" s="370" t="n"/>
      <c r="AH7" s="370" t="n"/>
      <c r="AI7" s="370" t="n"/>
      <c r="AK7" s="370" t="inlineStr">
        <is>
          <t>                                                                  </t>
        </is>
      </c>
      <c r="AL7" s="370" t="n"/>
      <c r="AM7" s="370" t="n"/>
      <c r="AN7" s="370" t="n"/>
      <c r="AO7" s="370" t="n"/>
      <c r="AP7" s="370" t="n"/>
      <c r="AQ7" s="370" t="n"/>
    </row>
    <row r="8">
      <c r="A8" s="383" t="n">
        <v>6</v>
      </c>
      <c r="B8" s="370" t="n">
        <v>3</v>
      </c>
      <c r="C8" s="370" t="inlineStr">
        <is>
          <t>2013Q</t>
        </is>
      </c>
      <c r="D8" s="370" t="inlineStr">
        <is>
          <t xml:space="preserve">01142-03-011-000 </t>
        </is>
      </c>
      <c r="E8" s="369" t="inlineStr">
        <is>
          <t>Actual</t>
        </is>
      </c>
      <c r="F8" s="370" t="inlineStr">
        <is>
          <t>5550   JOLIET               ST</t>
        </is>
      </c>
      <c r="G8" s="370" t="n">
        <v>44.2</v>
      </c>
      <c r="H8" s="370" t="n">
        <v>9102</v>
      </c>
      <c r="I8" s="369" t="n">
        <v>0</v>
      </c>
      <c r="J8" s="674" t="n">
        <v>19715</v>
      </c>
      <c r="K8" s="675" t="n">
        <v>5.965001268069997</v>
      </c>
      <c r="L8" s="385" t="n">
        <v>0</v>
      </c>
      <c r="M8" s="374" t="n">
        <v>0</v>
      </c>
      <c r="N8" s="370" t="n">
        <v>1985</v>
      </c>
      <c r="O8" s="370" t="n">
        <v>4143</v>
      </c>
      <c r="P8" s="370" t="n">
        <v>0</v>
      </c>
      <c r="Q8" s="370" t="n">
        <v>26</v>
      </c>
      <c r="R8" s="370" t="n">
        <v>3</v>
      </c>
      <c r="S8" s="370" t="n">
        <v>1</v>
      </c>
      <c r="T8" s="369" t="inlineStr">
        <is>
          <t xml:space="preserve">I-B         </t>
        </is>
      </c>
      <c r="U8" s="370" t="n">
        <v>398</v>
      </c>
      <c r="V8" s="674" t="n">
        <v>46294</v>
      </c>
      <c r="W8" s="674" t="n">
        <v>46000</v>
      </c>
      <c r="X8" s="676" t="inlineStr">
        <is>
          <t>2.3:1</t>
        </is>
      </c>
      <c r="Y8" s="674" t="n">
        <v>20000</v>
      </c>
      <c r="Z8" s="369" t="inlineStr">
        <is>
          <t xml:space="preserve">C </t>
        </is>
      </c>
      <c r="AA8" s="370" t="n"/>
      <c r="AB8" s="370" t="n"/>
      <c r="AC8" s="370" t="n"/>
      <c r="AD8" s="370" t="inlineStr">
        <is>
          <t>                    </t>
        </is>
      </c>
      <c r="AE8" s="370" t="n"/>
      <c r="AF8" s="370" t="n"/>
      <c r="AG8" s="370" t="n"/>
      <c r="AH8" s="370" t="n"/>
      <c r="AI8" s="370" t="n"/>
      <c r="AK8" s="370" t="inlineStr">
        <is>
          <t xml:space="preserve">MONTHLY LEASE - DATE OF COMMENCEMENT UNKNOWN.                     </t>
        </is>
      </c>
      <c r="AL8" s="370" t="n"/>
      <c r="AM8" s="370" t="n"/>
      <c r="AN8" s="370" t="n"/>
      <c r="AO8" s="370" t="n"/>
      <c r="AP8" s="370" t="n"/>
      <c r="AQ8" s="370" t="n"/>
    </row>
    <row r="9">
      <c r="A9" s="383" t="n">
        <v>6</v>
      </c>
      <c r="B9" s="370" t="n">
        <v>4</v>
      </c>
      <c r="C9" s="370" t="inlineStr">
        <is>
          <t>2013Q</t>
        </is>
      </c>
      <c r="D9" s="370" t="inlineStr">
        <is>
          <t xml:space="preserve">01142-03-014-000 </t>
        </is>
      </c>
      <c r="E9" s="369" t="inlineStr">
        <is>
          <t>Actual</t>
        </is>
      </c>
      <c r="F9" s="370" t="inlineStr">
        <is>
          <t>10975 E 55TH                 AV</t>
        </is>
      </c>
      <c r="G9" s="370" t="n">
        <v>44.2</v>
      </c>
      <c r="H9" s="370" t="n">
        <v>9102</v>
      </c>
      <c r="I9" s="369" t="n">
        <v>0</v>
      </c>
      <c r="J9" s="674" t="n">
        <v>37012</v>
      </c>
      <c r="K9" s="675" t="n">
        <v>4.035995397008056</v>
      </c>
      <c r="L9" s="385" t="n">
        <v>0</v>
      </c>
      <c r="M9" s="374" t="n">
        <v>0.1043315617800689</v>
      </c>
      <c r="N9" s="370" t="n">
        <v>1999</v>
      </c>
      <c r="O9" s="370" t="n">
        <v>4485</v>
      </c>
      <c r="P9" s="370" t="n">
        <v>0</v>
      </c>
      <c r="Q9" s="370" t="n">
        <v>25</v>
      </c>
      <c r="R9" s="370" t="n">
        <v>14</v>
      </c>
      <c r="S9" s="370" t="n">
        <v>5</v>
      </c>
      <c r="T9" s="369" t="inlineStr">
        <is>
          <t xml:space="preserve">I-B         </t>
        </is>
      </c>
      <c r="U9" s="370" t="n">
        <v>398</v>
      </c>
      <c r="V9" s="674" t="n">
        <v>87567</v>
      </c>
      <c r="W9" s="674" t="n">
        <v>88000</v>
      </c>
      <c r="X9" s="676" t="inlineStr">
        <is>
          <t>2.4:1</t>
        </is>
      </c>
      <c r="Y9" s="674" t="n">
        <v>37000</v>
      </c>
      <c r="Z9" s="369" t="inlineStr">
        <is>
          <t xml:space="preserve">C </t>
        </is>
      </c>
      <c r="AA9" s="370" t="n"/>
      <c r="AB9" s="370" t="n"/>
      <c r="AC9" s="370" t="n"/>
      <c r="AD9" s="370" t="inlineStr">
        <is>
          <t xml:space="preserve">M-W                 </t>
        </is>
      </c>
      <c r="AE9" s="370" t="n"/>
      <c r="AF9" s="370" t="n"/>
      <c r="AG9" s="370" t="n"/>
      <c r="AH9" s="370" t="n"/>
      <c r="AI9" s="370" t="n"/>
      <c r="AK9" s="370" t="inlineStr">
        <is>
          <t>                                                                  </t>
        </is>
      </c>
      <c r="AL9" s="370" t="n"/>
      <c r="AM9" s="370" t="n"/>
      <c r="AN9" s="370" t="n"/>
      <c r="AO9" s="370" t="n"/>
      <c r="AP9" s="370" t="n"/>
      <c r="AQ9" s="370" t="n"/>
    </row>
    <row r="10">
      <c r="A10" s="383" t="n">
        <v>6</v>
      </c>
      <c r="B10" s="370" t="n">
        <v>5</v>
      </c>
      <c r="C10" s="370" t="inlineStr">
        <is>
          <t>2013Q</t>
        </is>
      </c>
      <c r="D10" s="370" t="inlineStr">
        <is>
          <t xml:space="preserve">01142-04-012-000 </t>
        </is>
      </c>
      <c r="E10" s="369" t="inlineStr">
        <is>
          <t>Actual</t>
        </is>
      </c>
      <c r="F10" s="370" t="inlineStr">
        <is>
          <t>5400   JOLIET               ST</t>
        </is>
      </c>
      <c r="G10" s="370" t="n">
        <v>44.2</v>
      </c>
      <c r="H10" s="370" t="n">
        <v>9102</v>
      </c>
      <c r="I10" s="369" t="n">
        <v>0</v>
      </c>
      <c r="J10" s="674" t="n">
        <v>25060</v>
      </c>
      <c r="K10" s="675" t="n">
        <v>5.750039904229848</v>
      </c>
      <c r="L10" s="385" t="n">
        <v>0</v>
      </c>
      <c r="M10" s="374" t="n">
        <v>0</v>
      </c>
      <c r="N10" s="370" t="n">
        <v>1982</v>
      </c>
      <c r="O10" s="370" t="n">
        <v>4620</v>
      </c>
      <c r="P10" s="370" t="n">
        <v>0</v>
      </c>
      <c r="Q10" s="370" t="n">
        <v>23</v>
      </c>
      <c r="R10" s="370" t="n">
        <v>3</v>
      </c>
      <c r="S10" s="370" t="n">
        <v>1</v>
      </c>
      <c r="T10" s="369" t="inlineStr">
        <is>
          <t xml:space="preserve">I-B         </t>
        </is>
      </c>
      <c r="U10" s="370" t="n">
        <v>398</v>
      </c>
      <c r="V10" s="674" t="n">
        <v>133400</v>
      </c>
      <c r="W10" s="674" t="n">
        <v>133000</v>
      </c>
      <c r="X10" s="676" t="inlineStr">
        <is>
          <t>5.3:1</t>
        </is>
      </c>
      <c r="Y10" s="674" t="n">
        <v>25000</v>
      </c>
      <c r="Z10" s="369" t="inlineStr">
        <is>
          <t xml:space="preserve">C </t>
        </is>
      </c>
      <c r="AA10" s="370" t="n"/>
      <c r="AB10" s="370" t="n"/>
      <c r="AC10" s="370" t="n"/>
      <c r="AD10" s="370" t="inlineStr">
        <is>
          <t>BURLINGTON AIR FRGHT</t>
        </is>
      </c>
      <c r="AE10" s="370" t="n"/>
      <c r="AF10" s="370" t="n"/>
      <c r="AG10" s="370" t="n"/>
      <c r="AH10" s="370" t="n"/>
      <c r="AI10" s="370" t="n"/>
      <c r="AK10" s="370" t="inlineStr">
        <is>
          <t xml:space="preserve">MAY BE OWNER-OCCUPIED.                                            </t>
        </is>
      </c>
      <c r="AL10" s="370" t="n"/>
      <c r="AM10" s="370" t="n"/>
      <c r="AN10" s="370" t="n"/>
      <c r="AO10" s="370" t="n"/>
      <c r="AP10" s="370" t="n"/>
      <c r="AQ10" s="370" t="n"/>
    </row>
    <row r="11">
      <c r="A11" s="383" t="n">
        <v>6</v>
      </c>
      <c r="B11" s="370" t="n">
        <v>6</v>
      </c>
      <c r="C11" s="370" t="inlineStr">
        <is>
          <t>2013Q</t>
        </is>
      </c>
      <c r="D11" s="370" t="inlineStr">
        <is>
          <t xml:space="preserve">01142-05-006-000 </t>
        </is>
      </c>
      <c r="E11" s="369" t="inlineStr">
        <is>
          <t>Actual</t>
        </is>
      </c>
      <c r="F11" s="370" t="inlineStr">
        <is>
          <t>11000 E 53RD                 AV</t>
        </is>
      </c>
      <c r="G11" s="370" t="n">
        <v>44.2</v>
      </c>
      <c r="H11" s="370" t="n">
        <v>9102</v>
      </c>
      <c r="I11" s="369" t="n">
        <v>0</v>
      </c>
      <c r="J11" s="674" t="n">
        <v>24319</v>
      </c>
      <c r="K11" s="675" t="n">
        <v>3.5034335293392</v>
      </c>
      <c r="L11" s="385" t="n">
        <v>0</v>
      </c>
      <c r="M11" s="374" t="n">
        <v>0</v>
      </c>
      <c r="N11" s="370" t="n">
        <v>1983</v>
      </c>
      <c r="O11" s="370" t="n">
        <v>462</v>
      </c>
      <c r="P11" s="370" t="n">
        <v>3519</v>
      </c>
      <c r="Q11" s="370" t="n">
        <v>23</v>
      </c>
      <c r="R11" s="370" t="n">
        <v>7</v>
      </c>
      <c r="S11" s="370" t="n">
        <v>1</v>
      </c>
      <c r="T11" s="369" t="inlineStr">
        <is>
          <t xml:space="preserve">I-B         </t>
        </is>
      </c>
      <c r="U11" s="370" t="n">
        <v>398</v>
      </c>
      <c r="V11" s="674" t="n">
        <v>100126</v>
      </c>
      <c r="W11" s="674" t="n">
        <v>100000</v>
      </c>
      <c r="X11" s="676" t="inlineStr">
        <is>
          <t>4.1:1</t>
        </is>
      </c>
      <c r="Y11" s="674" t="n">
        <v>24000</v>
      </c>
      <c r="Z11" s="369" t="inlineStr">
        <is>
          <t xml:space="preserve">C </t>
        </is>
      </c>
      <c r="AA11" s="370" t="n"/>
      <c r="AB11" s="370" t="n"/>
      <c r="AC11" s="370" t="n"/>
      <c r="AD11" s="370" t="inlineStr">
        <is>
          <t xml:space="preserve">KEY PRODUCTS        </t>
        </is>
      </c>
      <c r="AE11" s="370" t="n"/>
      <c r="AF11" s="370" t="n"/>
      <c r="AG11" s="370" t="n"/>
      <c r="AH11" s="370" t="n"/>
      <c r="AI11" s="370" t="n"/>
      <c r="AK11" s="370" t="inlineStr">
        <is>
          <t xml:space="preserve">2010 LEASE.                                                       </t>
        </is>
      </c>
      <c r="AL11" s="370" t="n"/>
      <c r="AM11" s="370" t="n"/>
      <c r="AN11" s="370" t="n"/>
      <c r="AO11" s="370" t="n"/>
      <c r="AP11" s="370" t="n"/>
      <c r="AQ11" s="370" t="n"/>
    </row>
    <row r="12">
      <c r="A12" s="383" t="n">
        <v>6</v>
      </c>
      <c r="B12" s="370" t="n">
        <v>7</v>
      </c>
      <c r="C12" s="370" t="inlineStr">
        <is>
          <t>2013Q</t>
        </is>
      </c>
      <c r="D12" s="370" t="inlineStr">
        <is>
          <t xml:space="preserve">01143-04-009-000 </t>
        </is>
      </c>
      <c r="E12" s="369" t="inlineStr">
        <is>
          <t>Actual</t>
        </is>
      </c>
      <c r="F12" s="370" t="inlineStr">
        <is>
          <t>4949   IRONTON              ST</t>
        </is>
      </c>
      <c r="G12" s="370" t="n">
        <v>44.2</v>
      </c>
      <c r="H12" s="370" t="n">
        <v>9102</v>
      </c>
      <c r="I12" s="369" t="n">
        <v>0</v>
      </c>
      <c r="J12" s="674" t="n">
        <v>9750</v>
      </c>
      <c r="K12" s="675" t="n">
        <v>10.44923076923077</v>
      </c>
      <c r="L12" s="385" t="n">
        <v>0</v>
      </c>
      <c r="M12" s="374" t="n">
        <v>0.0174126423243031</v>
      </c>
      <c r="N12" s="370" t="n">
        <v>1969</v>
      </c>
      <c r="O12" s="370" t="n">
        <v>4332</v>
      </c>
      <c r="P12" s="370" t="n">
        <v>0</v>
      </c>
      <c r="Q12" s="370" t="n">
        <v>14</v>
      </c>
      <c r="R12" s="370" t="n">
        <v>3</v>
      </c>
      <c r="S12" s="370" t="n">
        <v>1</v>
      </c>
      <c r="T12" s="369" t="inlineStr">
        <is>
          <t xml:space="preserve">I-B         </t>
        </is>
      </c>
      <c r="U12" s="370" t="n">
        <v>398</v>
      </c>
      <c r="V12" s="674" t="n">
        <v>27610</v>
      </c>
      <c r="W12" s="674" t="n">
        <v>28000</v>
      </c>
      <c r="X12" s="676" t="inlineStr">
        <is>
          <t>2.8:1</t>
        </is>
      </c>
      <c r="Y12" s="674" t="n">
        <v>10000</v>
      </c>
      <c r="Z12" s="369" t="inlineStr">
        <is>
          <t xml:space="preserve">C </t>
        </is>
      </c>
      <c r="AA12" s="370" t="n"/>
      <c r="AB12" s="370" t="n"/>
      <c r="AC12" s="370" t="n"/>
      <c r="AD12" s="370" t="inlineStr">
        <is>
          <t>                    </t>
        </is>
      </c>
      <c r="AE12" s="370" t="n"/>
      <c r="AF12" s="370" t="n"/>
      <c r="AG12" s="370" t="n"/>
      <c r="AH12" s="370" t="n"/>
      <c r="AI12" s="370" t="n"/>
      <c r="AK12" s="370" t="inlineStr">
        <is>
          <t xml:space="preserve">2009 LEASE.                                                       </t>
        </is>
      </c>
      <c r="AL12" s="370" t="n"/>
      <c r="AM12" s="370" t="n"/>
      <c r="AN12" s="370" t="n"/>
      <c r="AO12" s="370" t="n"/>
      <c r="AP12" s="370" t="n"/>
      <c r="AQ12" s="370" t="n"/>
    </row>
    <row r="13">
      <c r="A13" s="383" t="n">
        <v>6</v>
      </c>
      <c r="B13" s="370" t="n">
        <v>8</v>
      </c>
      <c r="C13" s="370" t="inlineStr">
        <is>
          <t>2013Q</t>
        </is>
      </c>
      <c r="D13" s="370" t="inlineStr">
        <is>
          <t xml:space="preserve">01143-04-012-000 </t>
        </is>
      </c>
      <c r="E13" s="369" t="inlineStr">
        <is>
          <t>Actual</t>
        </is>
      </c>
      <c r="F13" s="370" t="inlineStr">
        <is>
          <t>5005   IRONTON              ST</t>
        </is>
      </c>
      <c r="G13" s="370" t="n">
        <v>44.2</v>
      </c>
      <c r="H13" s="370" t="n">
        <v>9102</v>
      </c>
      <c r="I13" s="369" t="n">
        <v>0</v>
      </c>
      <c r="J13" s="674" t="n">
        <v>51649</v>
      </c>
      <c r="K13" s="675" t="n">
        <v>3.75000484036477</v>
      </c>
      <c r="L13" s="385" t="n">
        <v>0</v>
      </c>
      <c r="M13" s="374" t="n">
        <v>0</v>
      </c>
      <c r="N13" s="370" t="n">
        <v>1981</v>
      </c>
      <c r="O13" s="370" t="n">
        <v>2089</v>
      </c>
      <c r="P13" s="370" t="n">
        <v>0</v>
      </c>
      <c r="Q13" s="370" t="n">
        <v>20</v>
      </c>
      <c r="R13" s="370" t="n">
        <v>3</v>
      </c>
      <c r="S13" s="370" t="n">
        <v>1</v>
      </c>
      <c r="T13" s="369" t="inlineStr">
        <is>
          <t xml:space="preserve">I-B         </t>
        </is>
      </c>
      <c r="U13" s="370" t="n">
        <v>398</v>
      </c>
      <c r="V13" s="674" t="n">
        <v>83200</v>
      </c>
      <c r="W13" s="674" t="n">
        <v>83000</v>
      </c>
      <c r="X13" s="676" t="inlineStr">
        <is>
          <t>1.6:1</t>
        </is>
      </c>
      <c r="Y13" s="674" t="n">
        <v>52000</v>
      </c>
      <c r="Z13" s="369" t="inlineStr">
        <is>
          <t xml:space="preserve">C </t>
        </is>
      </c>
      <c r="AA13" s="370" t="n"/>
      <c r="AB13" s="370" t="n"/>
      <c r="AC13" s="370" t="n"/>
      <c r="AD13" s="370" t="inlineStr">
        <is>
          <t>                    </t>
        </is>
      </c>
      <c r="AE13" s="370" t="n"/>
      <c r="AF13" s="370" t="n"/>
      <c r="AG13" s="370" t="n"/>
      <c r="AH13" s="370" t="n"/>
      <c r="AI13" s="370" t="n"/>
      <c r="AK13" s="370" t="inlineStr">
        <is>
          <t>                                                                  </t>
        </is>
      </c>
      <c r="AL13" s="370" t="n"/>
      <c r="AM13" s="370" t="n"/>
      <c r="AN13" s="370" t="n"/>
      <c r="AO13" s="370" t="n"/>
      <c r="AP13" s="370" t="n"/>
      <c r="AQ13" s="370" t="n"/>
    </row>
    <row r="14">
      <c r="A14" s="383" t="n">
        <v>6</v>
      </c>
      <c r="B14" s="370" t="n">
        <v>9</v>
      </c>
      <c r="C14" s="370" t="inlineStr">
        <is>
          <t>2013Q</t>
        </is>
      </c>
      <c r="D14" s="370" t="inlineStr">
        <is>
          <t xml:space="preserve">01144-01-017-000 </t>
        </is>
      </c>
      <c r="E14" s="369" t="inlineStr">
        <is>
          <t>Actual</t>
        </is>
      </c>
      <c r="F14" s="370" t="inlineStr">
        <is>
          <t>11185 E 51ST                 AV</t>
        </is>
      </c>
      <c r="G14" s="370" t="n">
        <v>44.2</v>
      </c>
      <c r="H14" s="370" t="n">
        <v>9102</v>
      </c>
      <c r="I14" s="369" t="n">
        <v>0</v>
      </c>
      <c r="J14" s="674" t="n">
        <v>3321</v>
      </c>
      <c r="K14" s="675" t="n">
        <v>10.53899427883168</v>
      </c>
      <c r="L14" s="385" t="n">
        <v>0</v>
      </c>
      <c r="M14" s="374" t="n">
        <v>0.122</v>
      </c>
      <c r="N14" s="370" t="n">
        <v>1973</v>
      </c>
      <c r="O14" s="370" t="n">
        <v>820</v>
      </c>
      <c r="P14" s="370" t="n">
        <v>0</v>
      </c>
      <c r="Q14" s="370" t="n">
        <v>16</v>
      </c>
      <c r="R14" s="370" t="n">
        <v>7</v>
      </c>
      <c r="S14" s="370" t="n">
        <v>1</v>
      </c>
      <c r="T14" s="369" t="inlineStr">
        <is>
          <t xml:space="preserve">I-B         </t>
        </is>
      </c>
      <c r="U14" s="370" t="n">
        <v>398</v>
      </c>
      <c r="V14" s="674" t="n">
        <v>18097</v>
      </c>
      <c r="W14" s="674" t="n">
        <v>18000</v>
      </c>
      <c r="X14" s="676" t="inlineStr">
        <is>
          <t>5.4:1</t>
        </is>
      </c>
      <c r="Y14" s="674" t="n">
        <v>3000</v>
      </c>
      <c r="Z14" s="369" t="inlineStr">
        <is>
          <t xml:space="preserve">C </t>
        </is>
      </c>
      <c r="AA14" s="370" t="n"/>
      <c r="AB14" s="370" t="n"/>
      <c r="AC14" s="370" t="n"/>
      <c r="AD14" s="370" t="inlineStr">
        <is>
          <t>S-D-CONSOL ENGINEERG</t>
        </is>
      </c>
      <c r="AE14" s="370" t="n"/>
      <c r="AF14" s="370" t="n"/>
      <c r="AG14" s="370" t="n"/>
      <c r="AH14" s="370" t="n"/>
      <c r="AI14" s="370" t="n"/>
      <c r="AK14" s="370" t="inlineStr">
        <is>
          <t>                                                                  </t>
        </is>
      </c>
      <c r="AL14" s="370" t="n"/>
      <c r="AM14" s="370" t="n"/>
      <c r="AN14" s="370" t="n"/>
      <c r="AO14" s="370" t="n"/>
      <c r="AP14" s="370" t="n"/>
      <c r="AQ14" s="370" t="n"/>
    </row>
    <row r="15">
      <c r="A15" s="383" t="n">
        <v>6</v>
      </c>
      <c r="B15" s="370" t="n">
        <v>10</v>
      </c>
      <c r="C15" s="370" t="inlineStr">
        <is>
          <t>2013Q</t>
        </is>
      </c>
      <c r="D15" s="370" t="inlineStr">
        <is>
          <t xml:space="preserve">01144-02-008-000 </t>
        </is>
      </c>
      <c r="E15" s="369" t="inlineStr">
        <is>
          <t>Actual</t>
        </is>
      </c>
      <c r="F15" s="370" t="inlineStr">
        <is>
          <t>5055   LIMA                 ST</t>
        </is>
      </c>
      <c r="G15" s="370" t="n">
        <v>44.2</v>
      </c>
      <c r="H15" s="370" t="n">
        <v>9102</v>
      </c>
      <c r="I15" s="369" t="n">
        <v>0</v>
      </c>
      <c r="J15" s="674" t="n">
        <v>39832</v>
      </c>
      <c r="K15" s="675" t="n">
        <v>4.217714400482024</v>
      </c>
      <c r="L15" s="385" t="n">
        <v>0</v>
      </c>
      <c r="M15" s="374" t="n">
        <v>0.169672619047619</v>
      </c>
      <c r="N15" s="370" t="n">
        <v>1978</v>
      </c>
      <c r="O15" s="370" t="n">
        <v>335</v>
      </c>
      <c r="P15" s="370" t="n">
        <v>3874</v>
      </c>
      <c r="Q15" s="370" t="n">
        <v>26</v>
      </c>
      <c r="R15" s="370" t="n">
        <v>3</v>
      </c>
      <c r="S15" s="370" t="n">
        <v>1</v>
      </c>
      <c r="T15" s="369" t="inlineStr">
        <is>
          <t xml:space="preserve">I-B         </t>
        </is>
      </c>
      <c r="U15" s="370" t="n">
        <v>398</v>
      </c>
      <c r="V15" s="674" t="n">
        <v>77488</v>
      </c>
      <c r="W15" s="674" t="n">
        <v>77000</v>
      </c>
      <c r="X15" s="676" t="inlineStr">
        <is>
          <t>1.9:1</t>
        </is>
      </c>
      <c r="Y15" s="674" t="n">
        <v>40000</v>
      </c>
      <c r="Z15" s="369" t="inlineStr">
        <is>
          <t xml:space="preserve">C </t>
        </is>
      </c>
      <c r="AA15" s="370" t="n"/>
      <c r="AB15" s="370" t="n"/>
      <c r="AC15" s="370" t="n"/>
      <c r="AD15" s="370" t="inlineStr">
        <is>
          <t xml:space="preserve">S-W                 </t>
        </is>
      </c>
      <c r="AE15" s="370" t="n"/>
      <c r="AF15" s="370" t="n"/>
      <c r="AG15" s="370" t="n"/>
      <c r="AH15" s="370" t="n"/>
      <c r="AI15" s="370" t="n"/>
      <c r="AK15" s="370" t="inlineStr">
        <is>
          <t xml:space="preserve">2009 LEASE - SINGLE-TENANT.                                       </t>
        </is>
      </c>
      <c r="AL15" s="370" t="n"/>
      <c r="AM15" s="370" t="n"/>
      <c r="AN15" s="370" t="n"/>
      <c r="AO15" s="370" t="n"/>
      <c r="AP15" s="370" t="n"/>
      <c r="AQ15" s="370" t="n"/>
    </row>
    <row r="16">
      <c r="A16" s="383" t="n">
        <v>6</v>
      </c>
      <c r="B16" s="370" t="n">
        <v>11</v>
      </c>
      <c r="C16" s="370" t="inlineStr">
        <is>
          <t>2013Q</t>
        </is>
      </c>
      <c r="D16" s="370" t="inlineStr">
        <is>
          <t xml:space="preserve">01144-04-004-000 </t>
        </is>
      </c>
      <c r="E16" s="369" t="inlineStr">
        <is>
          <t>Actual</t>
        </is>
      </c>
      <c r="F16" s="370" t="inlineStr">
        <is>
          <t>5098   PARIS                ST</t>
        </is>
      </c>
      <c r="G16" s="370" t="n">
        <v>47.2</v>
      </c>
      <c r="H16" s="370" t="n">
        <v>9102</v>
      </c>
      <c r="I16" s="369" t="n">
        <v>0</v>
      </c>
      <c r="J16" s="674" t="n">
        <v>8167</v>
      </c>
      <c r="K16" s="675" t="n">
        <v>7.346638912697441</v>
      </c>
      <c r="L16" s="385" t="n">
        <v>0</v>
      </c>
      <c r="M16" s="374" t="n">
        <v>0.10865</v>
      </c>
      <c r="N16" s="370" t="n">
        <v>1980</v>
      </c>
      <c r="O16" s="370" t="n">
        <v>2237</v>
      </c>
      <c r="P16" s="370" t="n">
        <v>0</v>
      </c>
      <c r="Q16" s="370" t="n">
        <v>14</v>
      </c>
      <c r="R16" s="370" t="n">
        <v>7</v>
      </c>
      <c r="S16" s="370" t="n">
        <v>1</v>
      </c>
      <c r="T16" s="369" t="inlineStr">
        <is>
          <t xml:space="preserve">I-A         </t>
        </is>
      </c>
      <c r="U16" s="370" t="n">
        <v>401</v>
      </c>
      <c r="V16" s="674" t="n">
        <v>49529</v>
      </c>
      <c r="W16" s="674" t="n">
        <v>50000</v>
      </c>
      <c r="X16" s="676" t="inlineStr">
        <is>
          <t>6.1:1</t>
        </is>
      </c>
      <c r="Y16" s="674" t="n">
        <v>8000</v>
      </c>
      <c r="Z16" s="369" t="inlineStr">
        <is>
          <t xml:space="preserve">C </t>
        </is>
      </c>
      <c r="AA16" s="370" t="n"/>
      <c r="AB16" s="370" t="n"/>
      <c r="AC16" s="370" t="n"/>
      <c r="AD16" s="370" t="inlineStr">
        <is>
          <t>                    </t>
        </is>
      </c>
      <c r="AE16" s="370" t="n"/>
      <c r="AF16" s="370" t="n"/>
      <c r="AG16" s="370" t="n"/>
      <c r="AH16" s="370" t="n"/>
      <c r="AI16" s="370" t="n"/>
      <c r="AK16" s="370" t="inlineStr">
        <is>
          <t xml:space="preserve">2010 LEASE.                                                       </t>
        </is>
      </c>
      <c r="AL16" s="370" t="n"/>
      <c r="AM16" s="370" t="n"/>
      <c r="AN16" s="370" t="n"/>
      <c r="AO16" s="370" t="n"/>
      <c r="AP16" s="370" t="n"/>
      <c r="AQ16" s="370" t="n"/>
    </row>
    <row r="17">
      <c r="A17" s="383" t="n">
        <v>6</v>
      </c>
      <c r="B17" s="370" t="n">
        <v>12</v>
      </c>
      <c r="C17" s="370" t="inlineStr">
        <is>
          <t>2013Q</t>
        </is>
      </c>
      <c r="D17" s="370" t="inlineStr">
        <is>
          <t xml:space="preserve">01144-04-008-000 </t>
        </is>
      </c>
      <c r="E17" s="369" t="inlineStr">
        <is>
          <t>Actual</t>
        </is>
      </c>
      <c r="F17" s="370" t="inlineStr">
        <is>
          <t>4990   PARIS                ST</t>
        </is>
      </c>
      <c r="G17" s="370" t="n">
        <v>44.2</v>
      </c>
      <c r="H17" s="370" t="n">
        <v>9102</v>
      </c>
      <c r="I17" s="369" t="n">
        <v>0</v>
      </c>
      <c r="J17" s="674" t="n">
        <v>9192</v>
      </c>
      <c r="K17" s="675" t="n">
        <v>6.092689295039165</v>
      </c>
      <c r="L17" s="385" t="n">
        <v>0</v>
      </c>
      <c r="M17" s="374" t="n">
        <v>0.0537818727233769</v>
      </c>
      <c r="N17" s="370" t="n">
        <v>1981</v>
      </c>
      <c r="O17" s="370" t="n">
        <v>2752</v>
      </c>
      <c r="P17" s="370" t="n">
        <v>946</v>
      </c>
      <c r="Q17" s="370" t="n">
        <v>17</v>
      </c>
      <c r="R17" s="370" t="n">
        <v>10</v>
      </c>
      <c r="S17" s="370" t="n">
        <v>1</v>
      </c>
      <c r="T17" s="369" t="inlineStr">
        <is>
          <t xml:space="preserve">I-A         </t>
        </is>
      </c>
      <c r="U17" s="370" t="n">
        <v>398</v>
      </c>
      <c r="V17" s="674" t="n">
        <v>25983</v>
      </c>
      <c r="W17" s="674" t="n">
        <v>26000</v>
      </c>
      <c r="X17" s="676" t="inlineStr">
        <is>
          <t>2.8:1</t>
        </is>
      </c>
      <c r="Y17" s="674" t="n">
        <v>9000</v>
      </c>
      <c r="Z17" s="369" t="inlineStr">
        <is>
          <t xml:space="preserve">C </t>
        </is>
      </c>
      <c r="AA17" s="370" t="n"/>
      <c r="AB17" s="370" t="n"/>
      <c r="AC17" s="370" t="n"/>
      <c r="AD17" s="370" t="inlineStr">
        <is>
          <t>                    </t>
        </is>
      </c>
      <c r="AE17" s="370" t="n"/>
      <c r="AF17" s="370" t="n"/>
      <c r="AG17" s="370" t="n"/>
      <c r="AH17" s="370" t="n"/>
      <c r="AI17" s="370" t="n"/>
      <c r="AK17" s="370" t="inlineStr">
        <is>
          <t>                                                                  </t>
        </is>
      </c>
      <c r="AL17" s="370" t="n"/>
      <c r="AM17" s="370" t="n"/>
      <c r="AN17" s="370" t="n"/>
      <c r="AO17" s="370" t="n"/>
      <c r="AP17" s="370" t="n"/>
      <c r="AQ17" s="370" t="n"/>
    </row>
    <row r="18">
      <c r="A18" s="383" t="n">
        <v>6</v>
      </c>
      <c r="B18" s="370" t="n">
        <v>13</v>
      </c>
      <c r="C18" s="370" t="inlineStr">
        <is>
          <t>2013Q</t>
        </is>
      </c>
      <c r="D18" s="370" t="inlineStr">
        <is>
          <t xml:space="preserve">01144-05-011-000 </t>
        </is>
      </c>
      <c r="E18" s="369" t="inlineStr">
        <is>
          <t>Actual</t>
        </is>
      </c>
      <c r="F18" s="370" t="inlineStr">
        <is>
          <t>5045   OAKLAND              ST</t>
        </is>
      </c>
      <c r="G18" s="370" t="n">
        <v>44.2</v>
      </c>
      <c r="H18" s="370" t="n">
        <v>9102</v>
      </c>
      <c r="I18" s="369" t="n">
        <v>0</v>
      </c>
      <c r="J18" s="674" t="n">
        <v>30878</v>
      </c>
      <c r="K18" s="675" t="n">
        <v>3.349990284344841</v>
      </c>
      <c r="L18" s="385" t="n">
        <v>0</v>
      </c>
      <c r="M18" s="374" t="n">
        <v>0.0715383648649955</v>
      </c>
      <c r="N18" s="370" t="n">
        <v>1978</v>
      </c>
      <c r="O18" s="370" t="n">
        <v>817</v>
      </c>
      <c r="P18" s="370" t="n">
        <v>1742</v>
      </c>
      <c r="Q18" s="370" t="n">
        <v>21</v>
      </c>
      <c r="R18" s="370" t="n">
        <v>10</v>
      </c>
      <c r="S18" s="370" t="n">
        <v>1</v>
      </c>
      <c r="T18" s="369" t="inlineStr">
        <is>
          <t xml:space="preserve">I-A         </t>
        </is>
      </c>
      <c r="U18" s="370" t="n">
        <v>398</v>
      </c>
      <c r="V18" s="674" t="n">
        <v>58464</v>
      </c>
      <c r="W18" s="674" t="n">
        <v>58000</v>
      </c>
      <c r="X18" s="676" t="inlineStr">
        <is>
          <t>1.9:1</t>
        </is>
      </c>
      <c r="Y18" s="674" t="n">
        <v>31000</v>
      </c>
      <c r="Z18" s="369" t="inlineStr">
        <is>
          <t xml:space="preserve">C </t>
        </is>
      </c>
      <c r="AA18" s="370" t="n"/>
      <c r="AB18" s="370" t="n"/>
      <c r="AC18" s="370" t="n"/>
      <c r="AD18" s="370" t="inlineStr">
        <is>
          <t xml:space="preserve">S-W ERICKSON METALS </t>
        </is>
      </c>
      <c r="AE18" s="370" t="n"/>
      <c r="AF18" s="370" t="n"/>
      <c r="AG18" s="370" t="n"/>
      <c r="AH18" s="370" t="n"/>
      <c r="AI18" s="370" t="n"/>
      <c r="AK18" s="370" t="inlineStr">
        <is>
          <t>                                                                  </t>
        </is>
      </c>
      <c r="AL18" s="370" t="n"/>
      <c r="AM18" s="370" t="n"/>
      <c r="AN18" s="370" t="n"/>
      <c r="AO18" s="370" t="n"/>
      <c r="AP18" s="370" t="n"/>
      <c r="AQ18" s="370" t="n"/>
    </row>
    <row r="19">
      <c r="A19" s="383" t="n">
        <v>6</v>
      </c>
      <c r="B19" s="370" t="inlineStr">
        <is>
          <t>OFFICE</t>
        </is>
      </c>
      <c r="C19" s="370" t="inlineStr">
        <is>
          <t>2013Q</t>
        </is>
      </c>
      <c r="D19" s="370" t="inlineStr">
        <is>
          <t xml:space="preserve">01144-06-010-000 </t>
        </is>
      </c>
      <c r="E19" s="369" t="inlineStr">
        <is>
          <t>Actual</t>
        </is>
      </c>
      <c r="F19" s="370" t="inlineStr">
        <is>
          <t>4990   OAKLAND              ST</t>
        </is>
      </c>
      <c r="G19" s="370" t="n">
        <v>44.1</v>
      </c>
      <c r="H19" s="370" t="n">
        <v>9102</v>
      </c>
      <c r="I19" s="369" t="n">
        <v>0</v>
      </c>
      <c r="J19" s="674" t="n">
        <v>27238</v>
      </c>
      <c r="K19" s="675" t="n">
        <v>5.216425581907629</v>
      </c>
      <c r="L19" s="385" t="n">
        <v>0</v>
      </c>
      <c r="M19" s="374" t="n">
        <v>0.02815216243797727</v>
      </c>
      <c r="N19" s="370" t="n">
        <v>1978</v>
      </c>
      <c r="O19" s="370" t="n">
        <v>4925</v>
      </c>
      <c r="P19" s="370" t="n">
        <v>0</v>
      </c>
      <c r="Q19" s="370" t="n">
        <v>21</v>
      </c>
      <c r="R19" s="370" t="n">
        <v>10</v>
      </c>
      <c r="S19" s="370" t="n">
        <v>1</v>
      </c>
      <c r="T19" s="369" t="inlineStr">
        <is>
          <t xml:space="preserve">I-A         </t>
        </is>
      </c>
      <c r="U19" s="370" t="n">
        <v>398</v>
      </c>
      <c r="V19" s="674" t="n">
        <v>51811</v>
      </c>
      <c r="W19" s="674" t="n">
        <v>52000</v>
      </c>
      <c r="X19" s="676" t="inlineStr">
        <is>
          <t>1.9:1</t>
        </is>
      </c>
      <c r="Y19" s="674" t="n">
        <v>27000</v>
      </c>
      <c r="Z19" s="369" t="inlineStr">
        <is>
          <t xml:space="preserve">C </t>
        </is>
      </c>
      <c r="AA19" s="370" t="n"/>
      <c r="AB19" s="370" t="n"/>
      <c r="AC19" s="370" t="n"/>
      <c r="AD19" s="370" t="inlineStr">
        <is>
          <t xml:space="preserve">ETD DIST            </t>
        </is>
      </c>
      <c r="AE19" s="370" t="n"/>
      <c r="AF19" s="370" t="n"/>
      <c r="AG19" s="370" t="n"/>
      <c r="AH19" s="370" t="n"/>
      <c r="AI19" s="370" t="n"/>
      <c r="AK19" s="370" t="inlineStr">
        <is>
          <t>                                                                  </t>
        </is>
      </c>
      <c r="AL19" s="370" t="n"/>
      <c r="AM19" s="370" t="n"/>
      <c r="AN19" s="370" t="n"/>
      <c r="AO19" s="370" t="n"/>
      <c r="AP19" s="370" t="n"/>
      <c r="AQ19" s="370" t="n"/>
    </row>
    <row r="20">
      <c r="A20" s="383" t="n">
        <v>6</v>
      </c>
      <c r="B20" s="370" t="n">
        <v>15</v>
      </c>
      <c r="C20" s="370" t="inlineStr">
        <is>
          <t>2013Q</t>
        </is>
      </c>
      <c r="D20" s="370" t="inlineStr">
        <is>
          <t xml:space="preserve">01144-06-016-000 </t>
        </is>
      </c>
      <c r="E20" s="369" t="inlineStr">
        <is>
          <t>Actual</t>
        </is>
      </c>
      <c r="F20" s="370" t="inlineStr">
        <is>
          <t>5015   PARIS                ST</t>
        </is>
      </c>
      <c r="G20" s="370" t="n">
        <v>44.2</v>
      </c>
      <c r="H20" s="370" t="n">
        <v>9102</v>
      </c>
      <c r="I20" s="369" t="n">
        <v>0</v>
      </c>
      <c r="J20" s="674" t="n">
        <v>16328</v>
      </c>
      <c r="K20" s="675" t="n">
        <v>6.581148946594807</v>
      </c>
      <c r="L20" s="385" t="n">
        <v>0</v>
      </c>
      <c r="M20" s="374" t="n">
        <v>0.04031379993858009</v>
      </c>
      <c r="N20" s="370" t="n">
        <v>1979</v>
      </c>
      <c r="O20" s="370" t="n">
        <v>225</v>
      </c>
      <c r="P20" s="370" t="n">
        <v>0</v>
      </c>
      <c r="Q20" s="370" t="n">
        <v>23</v>
      </c>
      <c r="R20" s="370" t="n">
        <v>10</v>
      </c>
      <c r="S20" s="370" t="n">
        <v>1</v>
      </c>
      <c r="T20" s="369" t="inlineStr">
        <is>
          <t xml:space="preserve">I-A         </t>
        </is>
      </c>
      <c r="U20" s="370" t="n">
        <v>398</v>
      </c>
      <c r="V20" s="674" t="n">
        <v>40424</v>
      </c>
      <c r="W20" s="674" t="n">
        <v>40000</v>
      </c>
      <c r="X20" s="676" t="inlineStr">
        <is>
          <t>2.5:1</t>
        </is>
      </c>
      <c r="Y20" s="674" t="n">
        <v>16000</v>
      </c>
      <c r="Z20" s="369" t="inlineStr">
        <is>
          <t xml:space="preserve">C </t>
        </is>
      </c>
      <c r="AA20" s="370" t="n"/>
      <c r="AB20" s="370" t="n"/>
      <c r="AC20" s="370" t="n"/>
      <c r="AD20" s="370" t="inlineStr">
        <is>
          <t>                    </t>
        </is>
      </c>
      <c r="AE20" s="370" t="n"/>
      <c r="AF20" s="370" t="n"/>
      <c r="AG20" s="370" t="n"/>
      <c r="AH20" s="370" t="n"/>
      <c r="AI20" s="370" t="n"/>
      <c r="AK20" s="370" t="inlineStr">
        <is>
          <t xml:space="preserve">2009 LEASE.                                                       </t>
        </is>
      </c>
      <c r="AL20" s="370" t="n"/>
      <c r="AM20" s="370" t="n"/>
      <c r="AN20" s="370" t="n"/>
      <c r="AO20" s="370" t="n"/>
      <c r="AP20" s="370" t="n"/>
      <c r="AQ20" s="370" t="n"/>
    </row>
    <row r="21">
      <c r="A21" s="383" t="n">
        <v>6</v>
      </c>
      <c r="B21" s="370" t="n">
        <v>16</v>
      </c>
      <c r="C21" s="370" t="inlineStr">
        <is>
          <t>2013Q</t>
        </is>
      </c>
      <c r="D21" s="370" t="inlineStr">
        <is>
          <t xml:space="preserve">01144-07-014-000 </t>
        </is>
      </c>
      <c r="E21" s="369" t="inlineStr">
        <is>
          <t>Actual</t>
        </is>
      </c>
      <c r="F21" s="370" t="inlineStr">
        <is>
          <t>4895   OAKLAND              ST</t>
        </is>
      </c>
      <c r="G21" s="370" t="n">
        <v>47.1</v>
      </c>
      <c r="H21" s="370" t="n">
        <v>9102</v>
      </c>
      <c r="I21" s="369" t="n">
        <v>0</v>
      </c>
      <c r="J21" s="674" t="n">
        <v>14400</v>
      </c>
      <c r="K21" s="675" t="n">
        <v>4.5</v>
      </c>
      <c r="L21" s="385" t="n">
        <v>0</v>
      </c>
      <c r="M21" s="374" t="n">
        <v>0</v>
      </c>
      <c r="N21" s="370" t="n">
        <v>1974</v>
      </c>
      <c r="O21" s="370" t="n">
        <v>2000</v>
      </c>
      <c r="P21" s="370" t="n">
        <v>1800</v>
      </c>
      <c r="Q21" s="370" t="n">
        <v>18</v>
      </c>
      <c r="R21" s="370" t="n">
        <v>10</v>
      </c>
      <c r="S21" s="370" t="n">
        <v>1</v>
      </c>
      <c r="T21" s="369" t="inlineStr">
        <is>
          <t xml:space="preserve">I-A         </t>
        </is>
      </c>
      <c r="U21" s="370" t="n">
        <v>401</v>
      </c>
      <c r="V21" s="674" t="n">
        <v>45601</v>
      </c>
      <c r="W21" s="674" t="n">
        <v>46000</v>
      </c>
      <c r="X21" s="676" t="inlineStr">
        <is>
          <t>3.2:1</t>
        </is>
      </c>
      <c r="Y21" s="674" t="n">
        <v>14000</v>
      </c>
      <c r="Z21" s="369" t="inlineStr">
        <is>
          <t xml:space="preserve">B </t>
        </is>
      </c>
      <c r="AA21" s="370" t="n"/>
      <c r="AB21" s="370" t="n"/>
      <c r="AC21" s="370" t="n"/>
      <c r="AD21" s="370" t="inlineStr">
        <is>
          <t>                    </t>
        </is>
      </c>
      <c r="AE21" s="370" t="n"/>
      <c r="AF21" s="370" t="n"/>
      <c r="AG21" s="370" t="n"/>
      <c r="AH21" s="370" t="n"/>
      <c r="AI21" s="370" t="n"/>
      <c r="AK21" s="370" t="inlineStr">
        <is>
          <t xml:space="preserve">LEASE COMMENCEMENT UNKNOWN.                                       </t>
        </is>
      </c>
      <c r="AL21" s="370" t="n"/>
      <c r="AM21" s="370" t="n"/>
      <c r="AN21" s="370" t="n"/>
      <c r="AO21" s="370" t="n"/>
      <c r="AP21" s="370" t="n"/>
      <c r="AQ21" s="370" t="n"/>
    </row>
    <row r="22">
      <c r="A22" s="383" t="n">
        <v>6</v>
      </c>
      <c r="B22" s="370" t="n">
        <v>17</v>
      </c>
      <c r="C22" s="370" t="inlineStr">
        <is>
          <t>2013Q</t>
        </is>
      </c>
      <c r="D22" s="370" t="inlineStr">
        <is>
          <t xml:space="preserve">01144-11-006-000 </t>
        </is>
      </c>
      <c r="E22" s="369" t="inlineStr">
        <is>
          <t>Actual</t>
        </is>
      </c>
      <c r="F22" s="370" t="inlineStr">
        <is>
          <t>4950   LIMA                 ST</t>
        </is>
      </c>
      <c r="G22" s="370" t="n">
        <v>44.2</v>
      </c>
      <c r="H22" s="370" t="n">
        <v>9102</v>
      </c>
      <c r="I22" s="369" t="n">
        <v>0</v>
      </c>
      <c r="J22" s="674" t="n">
        <v>31200</v>
      </c>
      <c r="K22" s="675" t="n">
        <v>4.326923076923077</v>
      </c>
      <c r="L22" s="385" t="n">
        <v>0</v>
      </c>
      <c r="M22" s="374" t="n">
        <v>0</v>
      </c>
      <c r="N22" s="370" t="n">
        <v>2000</v>
      </c>
      <c r="O22" s="370" t="n">
        <v>1336</v>
      </c>
      <c r="P22" s="370" t="n">
        <v>0</v>
      </c>
      <c r="Q22" s="370" t="n">
        <v>19</v>
      </c>
      <c r="R22" s="370" t="n">
        <v>14</v>
      </c>
      <c r="S22" s="370" t="n">
        <v>1</v>
      </c>
      <c r="T22" s="369" t="inlineStr">
        <is>
          <t xml:space="preserve">I-B         </t>
        </is>
      </c>
      <c r="U22" s="370" t="n">
        <v>398</v>
      </c>
      <c r="V22" s="674" t="n">
        <v>69243</v>
      </c>
      <c r="W22" s="674" t="n">
        <v>69000</v>
      </c>
      <c r="X22" s="676" t="inlineStr">
        <is>
          <t>2.2:1</t>
        </is>
      </c>
      <c r="Y22" s="674" t="n">
        <v>31000</v>
      </c>
      <c r="Z22" s="369" t="inlineStr">
        <is>
          <t xml:space="preserve">C </t>
        </is>
      </c>
      <c r="AA22" s="370" t="n"/>
      <c r="AB22" s="370" t="n"/>
      <c r="AC22" s="370" t="n"/>
      <c r="AD22" s="370" t="inlineStr">
        <is>
          <t xml:space="preserve">INDUSTRIAL VALCO    </t>
        </is>
      </c>
      <c r="AE22" s="370" t="n"/>
      <c r="AF22" s="370" t="n"/>
      <c r="AG22" s="370" t="n"/>
      <c r="AH22" s="370" t="n"/>
      <c r="AI22" s="370" t="n"/>
      <c r="AK22" s="370" t="inlineStr">
        <is>
          <t>                                                                  </t>
        </is>
      </c>
      <c r="AL22" s="370" t="n"/>
      <c r="AM22" s="370" t="n"/>
      <c r="AN22" s="370" t="n"/>
      <c r="AO22" s="370" t="n"/>
      <c r="AP22" s="370" t="n"/>
      <c r="AQ22" s="370" t="n"/>
    </row>
    <row r="23">
      <c r="A23" s="383" t="n">
        <v>6</v>
      </c>
      <c r="B23" s="370" t="n">
        <v>18</v>
      </c>
      <c r="C23" s="370" t="inlineStr">
        <is>
          <t>2013Q</t>
        </is>
      </c>
      <c r="D23" s="370" t="inlineStr">
        <is>
          <t xml:space="preserve">01153-03-006-000 </t>
        </is>
      </c>
      <c r="E23" s="369" t="inlineStr">
        <is>
          <t>Actual</t>
        </is>
      </c>
      <c r="F23" s="370" t="inlineStr">
        <is>
          <t>9305 E 49TH                 AV</t>
        </is>
      </c>
      <c r="G23" s="370" t="n">
        <v>44.1</v>
      </c>
      <c r="H23" s="370" t="n">
        <v>9103</v>
      </c>
      <c r="I23" s="369" t="n">
        <v>0</v>
      </c>
      <c r="J23" s="674" t="n">
        <v>10530</v>
      </c>
      <c r="K23" s="675" t="n">
        <v>11.3960113960114</v>
      </c>
      <c r="L23" s="385" t="n">
        <v>0</v>
      </c>
      <c r="M23" s="374" t="n">
        <v>0.00035</v>
      </c>
      <c r="N23" s="370" t="n">
        <v>2006</v>
      </c>
      <c r="O23" s="370" t="n">
        <v>3547</v>
      </c>
      <c r="P23" s="370" t="n">
        <v>0</v>
      </c>
      <c r="Q23" s="370" t="n">
        <v>25</v>
      </c>
      <c r="R23" s="370" t="n">
        <v>14</v>
      </c>
      <c r="S23" s="370" t="n">
        <v>1</v>
      </c>
      <c r="T23" s="369" t="inlineStr">
        <is>
          <t xml:space="preserve">C-MU-30     </t>
        </is>
      </c>
      <c r="U23" s="370" t="n">
        <v>398</v>
      </c>
      <c r="V23" s="674" t="n">
        <v>44907</v>
      </c>
      <c r="W23" s="674" t="n">
        <v>45000</v>
      </c>
      <c r="X23" s="676" t="inlineStr">
        <is>
          <t>4.3:1</t>
        </is>
      </c>
      <c r="Y23" s="674" t="n">
        <v>11000</v>
      </c>
      <c r="Z23" s="369" t="inlineStr">
        <is>
          <t xml:space="preserve">C </t>
        </is>
      </c>
      <c r="AA23" s="370" t="n"/>
      <c r="AB23" s="370" t="n"/>
      <c r="AC23" s="370" t="n"/>
      <c r="AD23" s="370" t="inlineStr">
        <is>
          <t xml:space="preserve">SINGLE TENANT WHSE  </t>
        </is>
      </c>
      <c r="AE23" s="370" t="n"/>
      <c r="AF23" s="370" t="n"/>
      <c r="AG23" s="370" t="n"/>
      <c r="AH23" s="370" t="n"/>
      <c r="AI23" s="370" t="n"/>
      <c r="AK23" s="370" t="inlineStr">
        <is>
          <t xml:space="preserve">COMMENCEMENT DATE OF LEASE UNKNOWN.                               </t>
        </is>
      </c>
      <c r="AL23" s="370" t="n"/>
      <c r="AM23" s="370" t="n"/>
      <c r="AN23" s="370" t="n"/>
      <c r="AO23" s="370" t="n"/>
      <c r="AP23" s="370" t="n"/>
      <c r="AQ23" s="370" t="n"/>
    </row>
    <row r="24">
      <c r="A24" s="383" t="n">
        <v>6</v>
      </c>
      <c r="B24" s="370" t="n">
        <v>19</v>
      </c>
      <c r="C24" s="370" t="inlineStr">
        <is>
          <t>2013Q</t>
        </is>
      </c>
      <c r="D24" s="370" t="inlineStr">
        <is>
          <t xml:space="preserve">01153-03-010-000 </t>
        </is>
      </c>
      <c r="E24" s="369" t="inlineStr">
        <is>
          <t>Actual</t>
        </is>
      </c>
      <c r="F24" s="370" t="inlineStr">
        <is>
          <t>9501 E 49TH                 AV</t>
        </is>
      </c>
      <c r="G24" s="370" t="n">
        <v>44.2</v>
      </c>
      <c r="H24" s="370" t="n">
        <v>9103</v>
      </c>
      <c r="I24" s="369" t="n">
        <v>0</v>
      </c>
      <c r="J24" s="674" t="n">
        <v>31412</v>
      </c>
      <c r="K24" s="675" t="n">
        <v>6.494333375779957</v>
      </c>
      <c r="L24" s="385" t="n">
        <v>0</v>
      </c>
      <c r="M24" s="374" t="n">
        <v>0</v>
      </c>
      <c r="N24" s="370" t="n">
        <v>2007</v>
      </c>
      <c r="O24" s="370" t="n">
        <v>15084</v>
      </c>
      <c r="P24" s="370" t="n">
        <v>0</v>
      </c>
      <c r="Q24" s="370" t="n">
        <v>32</v>
      </c>
      <c r="R24" s="370" t="n">
        <v>14</v>
      </c>
      <c r="S24" s="370" t="n">
        <v>1</v>
      </c>
      <c r="T24" s="369" t="inlineStr">
        <is>
          <t xml:space="preserve">C-MU-30     </t>
        </is>
      </c>
      <c r="U24" s="370" t="n">
        <v>398</v>
      </c>
      <c r="V24" s="674" t="n">
        <v>43747</v>
      </c>
      <c r="W24" s="674" t="n">
        <v>44000</v>
      </c>
      <c r="X24" s="676" t="inlineStr">
        <is>
          <t>1.4:1</t>
        </is>
      </c>
      <c r="Y24" s="674" t="n">
        <v>31000</v>
      </c>
      <c r="Z24" s="369" t="inlineStr">
        <is>
          <t xml:space="preserve">C </t>
        </is>
      </c>
      <c r="AA24" s="370" t="n"/>
      <c r="AB24" s="370" t="n"/>
      <c r="AC24" s="370" t="n"/>
      <c r="AD24" s="370" t="inlineStr">
        <is>
          <t xml:space="preserve">S-T WHSE.           </t>
        </is>
      </c>
      <c r="AE24" s="370" t="n"/>
      <c r="AF24" s="370" t="n"/>
      <c r="AG24" s="370" t="n"/>
      <c r="AH24" s="370" t="n"/>
      <c r="AI24" s="370" t="n"/>
      <c r="AK24" s="370" t="inlineStr">
        <is>
          <t xml:space="preserve">2010 LEASE.                                                       </t>
        </is>
      </c>
      <c r="AL24" s="370" t="n"/>
      <c r="AM24" s="370" t="n"/>
      <c r="AN24" s="370" t="n"/>
      <c r="AO24" s="370" t="n"/>
      <c r="AP24" s="370" t="n"/>
      <c r="AQ24" s="370" t="n"/>
    </row>
    <row r="25">
      <c r="A25" s="383" t="n">
        <v>6</v>
      </c>
      <c r="B25" s="370" t="n">
        <v>20</v>
      </c>
      <c r="C25" s="370" t="inlineStr">
        <is>
          <t>2013Q</t>
        </is>
      </c>
      <c r="D25" s="370" t="inlineStr">
        <is>
          <t xml:space="preserve">01154-00-031-000 </t>
        </is>
      </c>
      <c r="E25" s="369" t="inlineStr">
        <is>
          <t>Actual</t>
        </is>
      </c>
      <c r="F25" s="370" t="inlineStr">
        <is>
          <t>10450 E 51ST                 AV</t>
        </is>
      </c>
      <c r="G25" s="370" t="n">
        <v>44.1</v>
      </c>
      <c r="H25" s="370" t="n">
        <v>9103</v>
      </c>
      <c r="I25" s="369" t="n">
        <v>0</v>
      </c>
      <c r="J25" s="674" t="n">
        <v>46400</v>
      </c>
      <c r="K25" s="675" t="n">
        <v>8.15478448275862</v>
      </c>
      <c r="L25" s="385" t="n">
        <v>0</v>
      </c>
      <c r="M25" s="374" t="n">
        <v>0</v>
      </c>
      <c r="N25" s="370" t="n">
        <v>2008</v>
      </c>
      <c r="O25" s="370" t="n">
        <v>1100</v>
      </c>
      <c r="P25" s="370" t="n">
        <v>0</v>
      </c>
      <c r="Q25" s="370" t="n">
        <v>20</v>
      </c>
      <c r="R25" s="370" t="n">
        <v>9</v>
      </c>
      <c r="S25" s="370" t="n">
        <v>1</v>
      </c>
      <c r="T25" s="369" t="inlineStr">
        <is>
          <t xml:space="preserve">I-A         </t>
        </is>
      </c>
      <c r="U25" s="370" t="n">
        <v>398</v>
      </c>
      <c r="V25" s="674" t="n">
        <v>153609</v>
      </c>
      <c r="W25" s="674" t="n">
        <v>154000</v>
      </c>
      <c r="X25" s="676" t="inlineStr">
        <is>
          <t>3.3:1</t>
        </is>
      </c>
      <c r="Y25" s="674" t="n">
        <v>46000</v>
      </c>
      <c r="Z25" s="369" t="inlineStr">
        <is>
          <t xml:space="preserve">C </t>
        </is>
      </c>
      <c r="AA25" s="370" t="n"/>
      <c r="AB25" s="370" t="n"/>
      <c r="AC25" s="370" t="n"/>
      <c r="AD25" s="370" t="inlineStr">
        <is>
          <t xml:space="preserve">CERTIFIT AUTO PARTS </t>
        </is>
      </c>
      <c r="AE25" s="370" t="n"/>
      <c r="AF25" s="370" t="n"/>
      <c r="AG25" s="370" t="n"/>
      <c r="AH25" s="370" t="n"/>
      <c r="AI25" s="370" t="n"/>
      <c r="AK25" s="370" t="inlineStr">
        <is>
          <t xml:space="preserve">2009 LEASE.                                                       </t>
        </is>
      </c>
      <c r="AL25" s="370" t="n"/>
      <c r="AM25" s="370" t="n"/>
      <c r="AN25" s="370" t="n"/>
      <c r="AO25" s="370" t="n"/>
      <c r="AP25" s="370" t="n"/>
      <c r="AQ25" s="370" t="n"/>
    </row>
    <row r="26">
      <c r="A26" s="383" t="n">
        <v>6</v>
      </c>
      <c r="B26" s="370" t="n">
        <v>21</v>
      </c>
      <c r="C26" s="370" t="inlineStr">
        <is>
          <t>2013Q</t>
        </is>
      </c>
      <c r="D26" s="370" t="inlineStr">
        <is>
          <t xml:space="preserve">01154-04-005-000 </t>
        </is>
      </c>
      <c r="E26" s="369" t="inlineStr">
        <is>
          <t>Actual</t>
        </is>
      </c>
      <c r="F26" s="370" t="inlineStr">
        <is>
          <t>4890   GENEVA               ST</t>
        </is>
      </c>
      <c r="G26" s="370" t="n">
        <v>44.2</v>
      </c>
      <c r="H26" s="370" t="n">
        <v>9103</v>
      </c>
      <c r="I26" s="369" t="n">
        <v>0</v>
      </c>
      <c r="J26" s="674" t="n">
        <v>17750</v>
      </c>
      <c r="K26" s="675" t="n">
        <v>5.00056338028169</v>
      </c>
      <c r="L26" s="385" t="n">
        <v>0</v>
      </c>
      <c r="M26" s="374" t="n">
        <v>0.08783235691753041</v>
      </c>
      <c r="N26" s="370" t="n">
        <v>2004</v>
      </c>
      <c r="O26" s="370" t="n">
        <v>8277</v>
      </c>
      <c r="P26" s="370" t="n">
        <v>0</v>
      </c>
      <c r="Q26" s="370" t="n">
        <v>30</v>
      </c>
      <c r="R26" s="370" t="n">
        <v>14</v>
      </c>
      <c r="S26" s="370" t="n">
        <v>1</v>
      </c>
      <c r="T26" s="369" t="inlineStr">
        <is>
          <t xml:space="preserve">C-MU-30     </t>
        </is>
      </c>
      <c r="U26" s="370" t="n">
        <v>398</v>
      </c>
      <c r="V26" s="674" t="n">
        <v>65250</v>
      </c>
      <c r="W26" s="674" t="n">
        <v>65000</v>
      </c>
      <c r="X26" s="676" t="inlineStr">
        <is>
          <t>3.7:1</t>
        </is>
      </c>
      <c r="Y26" s="674" t="n">
        <v>18000</v>
      </c>
      <c r="Z26" s="369" t="inlineStr">
        <is>
          <t xml:space="preserve">C </t>
        </is>
      </c>
      <c r="AA26" s="370" t="n"/>
      <c r="AB26" s="370" t="n"/>
      <c r="AC26" s="370" t="n"/>
      <c r="AD26" s="370" t="inlineStr">
        <is>
          <t xml:space="preserve">STRYKER             </t>
        </is>
      </c>
      <c r="AE26" s="370" t="n"/>
      <c r="AF26" s="370" t="n"/>
      <c r="AG26" s="370" t="n"/>
      <c r="AH26" s="370" t="n"/>
      <c r="AI26" s="370" t="n"/>
      <c r="AK26" s="370" t="inlineStr">
        <is>
          <t>                                                                  </t>
        </is>
      </c>
      <c r="AL26" s="370" t="n"/>
      <c r="AM26" s="370" t="n"/>
      <c r="AN26" s="370" t="n"/>
      <c r="AO26" s="370" t="n"/>
      <c r="AP26" s="370" t="n"/>
      <c r="AQ26" s="370" t="n"/>
    </row>
    <row r="27">
      <c r="A27" s="383" t="n">
        <v>6</v>
      </c>
      <c r="B27" s="370" t="n">
        <v>22</v>
      </c>
      <c r="C27" s="370" t="inlineStr">
        <is>
          <t>2013Q</t>
        </is>
      </c>
      <c r="D27" s="370" t="inlineStr">
        <is>
          <t xml:space="preserve">01183-00-019-000 </t>
        </is>
      </c>
      <c r="E27" s="369" t="inlineStr">
        <is>
          <t>Actual</t>
        </is>
      </c>
      <c r="F27" s="370" t="inlineStr">
        <is>
          <t>4200 E 52ND                 AV</t>
        </is>
      </c>
      <c r="G27" s="370" t="n">
        <v>44.3</v>
      </c>
      <c r="H27" s="370" t="n">
        <v>9101</v>
      </c>
      <c r="I27" s="369" t="n">
        <v>0</v>
      </c>
      <c r="J27" s="674" t="n">
        <v>128963</v>
      </c>
      <c r="K27" s="675" t="n">
        <v>3.163698114963207</v>
      </c>
      <c r="L27" s="385" t="n">
        <v>0</v>
      </c>
      <c r="M27" s="374" t="n">
        <v>0</v>
      </c>
      <c r="N27" s="370" t="n">
        <v>1966</v>
      </c>
      <c r="O27" s="370" t="n">
        <v>9653</v>
      </c>
      <c r="P27" s="370" t="n">
        <v>1015</v>
      </c>
      <c r="Q27" s="370" t="n">
        <v>34</v>
      </c>
      <c r="R27" s="370" t="n">
        <v>3</v>
      </c>
      <c r="S27" s="370" t="n">
        <v>1</v>
      </c>
      <c r="T27" s="369" t="inlineStr">
        <is>
          <t xml:space="preserve">I-B         </t>
        </is>
      </c>
      <c r="U27" s="370" t="n">
        <v>398</v>
      </c>
      <c r="V27" s="674" t="n">
        <v>292070</v>
      </c>
      <c r="W27" s="674" t="n">
        <v>292000</v>
      </c>
      <c r="X27" s="676" t="inlineStr">
        <is>
          <t>2.3:1</t>
        </is>
      </c>
      <c r="Y27" s="674" t="n">
        <v>129000</v>
      </c>
      <c r="Z27" s="369" t="inlineStr">
        <is>
          <t xml:space="preserve">C </t>
        </is>
      </c>
      <c r="AA27" s="370" t="n"/>
      <c r="AB27" s="370" t="n"/>
      <c r="AC27" s="370" t="n"/>
      <c r="AD27" s="370" t="inlineStr">
        <is>
          <t xml:space="preserve">S-W-AMERICAN WHSE   </t>
        </is>
      </c>
      <c r="AE27" s="370" t="n"/>
      <c r="AF27" s="370" t="n"/>
      <c r="AG27" s="370" t="n"/>
      <c r="AH27" s="370" t="n"/>
      <c r="AI27" s="370" t="n"/>
      <c r="AK27" s="370" t="inlineStr">
        <is>
          <t xml:space="preserve">2009 LEASE.                                                       </t>
        </is>
      </c>
      <c r="AL27" s="370" t="n"/>
      <c r="AM27" s="370" t="n"/>
      <c r="AN27" s="370" t="n"/>
      <c r="AO27" s="370" t="n"/>
      <c r="AP27" s="370" t="n"/>
      <c r="AQ27" s="370" t="n"/>
    </row>
    <row r="28">
      <c r="A28" s="383" t="n">
        <v>6</v>
      </c>
      <c r="B28" s="370" t="n">
        <v>23</v>
      </c>
      <c r="C28" s="370" t="inlineStr">
        <is>
          <t>2013Q</t>
        </is>
      </c>
      <c r="D28" s="370" t="inlineStr">
        <is>
          <t xml:space="preserve">01183-01-024-000 </t>
        </is>
      </c>
      <c r="E28" s="369" t="inlineStr">
        <is>
          <t>Actual</t>
        </is>
      </c>
      <c r="F28" s="370" t="inlineStr">
        <is>
          <t>4545 E 51ST                 AV</t>
        </is>
      </c>
      <c r="G28" s="370" t="n">
        <v>44.4</v>
      </c>
      <c r="H28" s="370" t="n">
        <v>9101</v>
      </c>
      <c r="I28" s="369" t="n">
        <v>0</v>
      </c>
      <c r="J28" s="674" t="n">
        <v>122398</v>
      </c>
      <c r="K28" s="675" t="n">
        <v>4.769195575091096</v>
      </c>
      <c r="L28" s="385" t="n">
        <v>1</v>
      </c>
      <c r="M28" s="374" t="n">
        <v>0.08397402953369651</v>
      </c>
      <c r="N28" s="370" t="n">
        <v>1993</v>
      </c>
      <c r="O28" s="370" t="n">
        <v>6829</v>
      </c>
      <c r="P28" s="370" t="n">
        <v>13273</v>
      </c>
      <c r="Q28" s="370" t="n">
        <v>30</v>
      </c>
      <c r="R28" s="370" t="n">
        <v>14</v>
      </c>
      <c r="S28" s="370" t="n">
        <v>1</v>
      </c>
      <c r="T28" s="369" t="inlineStr">
        <is>
          <t xml:space="preserve">I-B         </t>
        </is>
      </c>
      <c r="U28" s="370" t="n">
        <v>398</v>
      </c>
      <c r="V28" s="674" t="n">
        <v>317659</v>
      </c>
      <c r="W28" s="674" t="n">
        <v>318000</v>
      </c>
      <c r="X28" s="676" t="inlineStr">
        <is>
          <t>2.6:1</t>
        </is>
      </c>
      <c r="Y28" s="674" t="n">
        <v>122000</v>
      </c>
      <c r="Z28" s="369" t="inlineStr">
        <is>
          <t xml:space="preserve">C </t>
        </is>
      </c>
      <c r="AA28" s="370" t="n"/>
      <c r="AB28" s="370" t="n"/>
      <c r="AC28" s="370" t="n"/>
      <c r="AD28" s="370" t="inlineStr">
        <is>
          <t xml:space="preserve">S-W-MILLER BRANDS   </t>
        </is>
      </c>
      <c r="AE28" s="370" t="n"/>
      <c r="AF28" s="370" t="n"/>
      <c r="AG28" s="370" t="n"/>
      <c r="AH28" s="370" t="n"/>
      <c r="AI28" s="370" t="n"/>
      <c r="AK28" s="370" t="inlineStr">
        <is>
          <t xml:space="preserve">2010 LEASE                                                        </t>
        </is>
      </c>
      <c r="AL28" s="370" t="n"/>
      <c r="AM28" s="370" t="n"/>
      <c r="AN28" s="370" t="n"/>
      <c r="AO28" s="370" t="n"/>
      <c r="AP28" s="370" t="n"/>
      <c r="AQ28" s="370" t="n"/>
    </row>
    <row r="29">
      <c r="A29" s="383" t="n">
        <v>6</v>
      </c>
      <c r="B29" s="370" t="n">
        <v>24</v>
      </c>
      <c r="C29" s="370" t="inlineStr">
        <is>
          <t>2013Q</t>
        </is>
      </c>
      <c r="D29" s="370" t="inlineStr">
        <is>
          <t xml:space="preserve">01183-02-011-000 </t>
        </is>
      </c>
      <c r="E29" s="369" t="inlineStr">
        <is>
          <t>Actual</t>
        </is>
      </c>
      <c r="F29" s="370" t="inlineStr">
        <is>
          <t>4770 E 51ST                 AV</t>
        </is>
      </c>
      <c r="G29" s="370" t="n">
        <v>44.7</v>
      </c>
      <c r="H29" s="370" t="n">
        <v>9101</v>
      </c>
      <c r="I29" s="369" t="n">
        <v>0</v>
      </c>
      <c r="J29" s="674" t="n">
        <v>106353</v>
      </c>
      <c r="K29" s="675" t="n">
        <v>3.077148740515077</v>
      </c>
      <c r="L29" s="385" t="n">
        <v>0</v>
      </c>
      <c r="M29" s="374" t="n">
        <v>0.008344944754082331</v>
      </c>
      <c r="N29" s="370" t="n">
        <v>1974</v>
      </c>
      <c r="O29" s="370" t="n">
        <v>8047</v>
      </c>
      <c r="P29" s="370" t="n">
        <v>0</v>
      </c>
      <c r="Q29" s="370" t="n">
        <v>24</v>
      </c>
      <c r="R29" s="370" t="n">
        <v>10</v>
      </c>
      <c r="S29" s="370" t="n">
        <v>1</v>
      </c>
      <c r="T29" s="369" t="inlineStr">
        <is>
          <t xml:space="preserve">I-B         </t>
        </is>
      </c>
      <c r="U29" s="370" t="n">
        <v>398</v>
      </c>
      <c r="V29" s="674" t="n">
        <v>261000</v>
      </c>
      <c r="W29" s="674" t="n">
        <v>261000</v>
      </c>
      <c r="X29" s="676" t="inlineStr">
        <is>
          <t>2.5:1</t>
        </is>
      </c>
      <c r="Y29" s="674" t="n">
        <v>106000</v>
      </c>
      <c r="Z29" s="369" t="inlineStr">
        <is>
          <t xml:space="preserve">C </t>
        </is>
      </c>
      <c r="AA29" s="370" t="n"/>
      <c r="AB29" s="370" t="n"/>
      <c r="AC29" s="370" t="n"/>
      <c r="AD29" s="370" t="inlineStr">
        <is>
          <t>MILE-HI FROZEN FOODS</t>
        </is>
      </c>
      <c r="AE29" s="370" t="n"/>
      <c r="AF29" s="370" t="n"/>
      <c r="AG29" s="370" t="n"/>
      <c r="AH29" s="370" t="n"/>
      <c r="AI29" s="370" t="n"/>
      <c r="AK29" s="370" t="inlineStr">
        <is>
          <t>                                                                  </t>
        </is>
      </c>
      <c r="AL29" s="370" t="n"/>
      <c r="AM29" s="370" t="n"/>
      <c r="AN29" s="370" t="n"/>
      <c r="AO29" s="370" t="n"/>
      <c r="AP29" s="370" t="n"/>
      <c r="AQ29" s="370" t="n"/>
    </row>
    <row r="30">
      <c r="A30" s="383" t="n">
        <v>6</v>
      </c>
      <c r="B30" s="370" t="n">
        <v>25</v>
      </c>
      <c r="C30" s="370" t="inlineStr">
        <is>
          <t>2013Q</t>
        </is>
      </c>
      <c r="D30" s="370" t="inlineStr">
        <is>
          <t xml:space="preserve">01183-02-012-000 </t>
        </is>
      </c>
      <c r="E30" s="369" t="inlineStr">
        <is>
          <t>Actual</t>
        </is>
      </c>
      <c r="F30" s="370" t="inlineStr">
        <is>
          <t>4501 E 50TH                 AV</t>
        </is>
      </c>
      <c r="G30" s="370" t="n">
        <v>44.7</v>
      </c>
      <c r="H30" s="370" t="n">
        <v>9101</v>
      </c>
      <c r="I30" s="369" t="n">
        <v>0</v>
      </c>
      <c r="J30" s="674" t="n">
        <v>104748</v>
      </c>
      <c r="K30" s="675" t="n">
        <v>8.457984180436997</v>
      </c>
      <c r="L30" s="385" t="n">
        <v>0</v>
      </c>
      <c r="M30" s="374" t="n">
        <v>0.06616666666666667</v>
      </c>
      <c r="N30" s="370" t="n">
        <v>1973</v>
      </c>
      <c r="O30" s="370" t="n">
        <v>1041</v>
      </c>
      <c r="P30" s="370" t="n">
        <v>7500</v>
      </c>
      <c r="Q30" s="370" t="n">
        <v>27</v>
      </c>
      <c r="R30" s="370" t="n">
        <v>3</v>
      </c>
      <c r="S30" s="370" t="n">
        <v>2</v>
      </c>
      <c r="T30" s="369" t="inlineStr">
        <is>
          <t xml:space="preserve">I-B         </t>
        </is>
      </c>
      <c r="U30" s="370" t="n">
        <v>398</v>
      </c>
      <c r="V30" s="674" t="n">
        <v>261359</v>
      </c>
      <c r="W30" s="674" t="n">
        <v>261000</v>
      </c>
      <c r="X30" s="676" t="inlineStr">
        <is>
          <t>2.5:1</t>
        </is>
      </c>
      <c r="Y30" s="674" t="n">
        <v>105000</v>
      </c>
      <c r="Z30" s="369" t="inlineStr">
        <is>
          <t xml:space="preserve">C </t>
        </is>
      </c>
      <c r="AA30" s="370" t="n"/>
      <c r="AB30" s="370" t="n"/>
      <c r="AC30" s="370" t="n"/>
      <c r="AD30" s="370" t="inlineStr">
        <is>
          <t>MILE HIGH FROZEN FOO</t>
        </is>
      </c>
      <c r="AE30" s="370" t="n"/>
      <c r="AF30" s="370" t="n"/>
      <c r="AG30" s="370" t="n"/>
      <c r="AH30" s="370" t="n"/>
      <c r="AI30" s="370" t="n"/>
      <c r="AK30" s="370" t="inlineStr">
        <is>
          <t xml:space="preserve">2010 LEASE                                                        </t>
        </is>
      </c>
      <c r="AL30" s="370" t="n"/>
      <c r="AM30" s="370" t="n"/>
      <c r="AN30" s="370" t="n"/>
      <c r="AO30" s="370" t="n"/>
      <c r="AP30" s="370" t="n"/>
      <c r="AQ30" s="370" t="n"/>
    </row>
    <row r="31">
      <c r="A31" s="383" t="n">
        <v>6</v>
      </c>
      <c r="B31" s="370" t="n">
        <v>26</v>
      </c>
      <c r="C31" s="370" t="inlineStr">
        <is>
          <t>2013Q</t>
        </is>
      </c>
      <c r="D31" s="370" t="inlineStr">
        <is>
          <t xml:space="preserve">01183-02-016-000 </t>
        </is>
      </c>
      <c r="E31" s="369" t="inlineStr">
        <is>
          <t>Actual</t>
        </is>
      </c>
      <c r="F31" s="370" t="inlineStr">
        <is>
          <t>5075   DAHLIA               ST</t>
        </is>
      </c>
      <c r="G31" s="370" t="n">
        <v>44.7</v>
      </c>
      <c r="H31" s="370" t="n">
        <v>9101</v>
      </c>
      <c r="I31" s="369" t="n">
        <v>0</v>
      </c>
      <c r="J31" s="674" t="n">
        <v>13066</v>
      </c>
      <c r="K31" s="675" t="n">
        <v>3.731057707025869</v>
      </c>
      <c r="L31" s="385" t="n">
        <v>0</v>
      </c>
      <c r="M31" s="374" t="n">
        <v>0.004061538461538462</v>
      </c>
      <c r="N31" s="370" t="n">
        <v>1966</v>
      </c>
      <c r="O31" s="370" t="n">
        <v>1560</v>
      </c>
      <c r="P31" s="370" t="n">
        <v>0</v>
      </c>
      <c r="Q31" s="370" t="n">
        <v>20</v>
      </c>
      <c r="R31" s="370" t="n">
        <v>3</v>
      </c>
      <c r="S31" s="370" t="n">
        <v>2</v>
      </c>
      <c r="T31" s="369" t="inlineStr">
        <is>
          <t xml:space="preserve">I-B         </t>
        </is>
      </c>
      <c r="U31" s="370" t="n">
        <v>398</v>
      </c>
      <c r="V31" s="674" t="n">
        <v>18315</v>
      </c>
      <c r="W31" s="674" t="n">
        <v>18000</v>
      </c>
      <c r="X31" s="676" t="inlineStr">
        <is>
          <t>1.4:1</t>
        </is>
      </c>
      <c r="Y31" s="674" t="n">
        <v>13000</v>
      </c>
      <c r="Z31" s="369" t="inlineStr">
        <is>
          <t>C+</t>
        </is>
      </c>
      <c r="AA31" s="370" t="n"/>
      <c r="AB31" s="370" t="n"/>
      <c r="AC31" s="370" t="n"/>
      <c r="AD31" s="370" t="inlineStr">
        <is>
          <t>                    </t>
        </is>
      </c>
      <c r="AE31" s="370" t="n"/>
      <c r="AF31" s="370" t="n"/>
      <c r="AG31" s="370" t="n"/>
      <c r="AH31" s="370" t="n"/>
      <c r="AI31" s="370" t="n"/>
      <c r="AK31" s="370" t="inlineStr">
        <is>
          <t>                                                                  </t>
        </is>
      </c>
      <c r="AL31" s="370" t="n"/>
      <c r="AM31" s="370" t="n"/>
      <c r="AN31" s="370" t="n"/>
      <c r="AO31" s="370" t="n"/>
      <c r="AP31" s="370" t="n"/>
      <c r="AQ31" s="370" t="n"/>
    </row>
    <row r="32">
      <c r="A32" s="383" t="n">
        <v>6</v>
      </c>
      <c r="B32" s="370" t="n">
        <v>27</v>
      </c>
      <c r="C32" s="370" t="inlineStr">
        <is>
          <t>2013Q</t>
        </is>
      </c>
      <c r="D32" s="370" t="inlineStr">
        <is>
          <t xml:space="preserve">01183-02-017-000 </t>
        </is>
      </c>
      <c r="E32" s="369" t="inlineStr">
        <is>
          <t>Actual</t>
        </is>
      </c>
      <c r="F32" s="370" t="inlineStr">
        <is>
          <t>5025   DAHLIA               ST</t>
        </is>
      </c>
      <c r="G32" s="370" t="n">
        <v>44.2</v>
      </c>
      <c r="H32" s="370" t="n">
        <v>9101</v>
      </c>
      <c r="I32" s="369" t="n">
        <v>0</v>
      </c>
      <c r="J32" s="674" t="n">
        <v>11440</v>
      </c>
      <c r="K32" s="675" t="n">
        <v>6.293706293706293</v>
      </c>
      <c r="L32" s="385" t="n">
        <v>0</v>
      </c>
      <c r="M32" s="374" t="n">
        <v>0.04822222222222222</v>
      </c>
      <c r="N32" s="370" t="n">
        <v>1974</v>
      </c>
      <c r="O32" s="370" t="n">
        <v>1564</v>
      </c>
      <c r="P32" s="370" t="n">
        <v>0</v>
      </c>
      <c r="Q32" s="370" t="n">
        <v>22</v>
      </c>
      <c r="R32" s="370" t="n">
        <v>1</v>
      </c>
      <c r="S32" s="370" t="n">
        <v>1</v>
      </c>
      <c r="T32" s="369" t="inlineStr">
        <is>
          <t xml:space="preserve">I-B         </t>
        </is>
      </c>
      <c r="U32" s="370" t="n">
        <v>398</v>
      </c>
      <c r="V32" s="674" t="n">
        <v>21764</v>
      </c>
      <c r="W32" s="674" t="n">
        <v>22000</v>
      </c>
      <c r="X32" s="676" t="inlineStr">
        <is>
          <t>1.9:1</t>
        </is>
      </c>
      <c r="Y32" s="674" t="n">
        <v>11000</v>
      </c>
      <c r="Z32" s="369" t="inlineStr">
        <is>
          <t xml:space="preserve">C </t>
        </is>
      </c>
      <c r="AA32" s="370" t="n"/>
      <c r="AB32" s="370" t="n"/>
      <c r="AC32" s="370" t="n"/>
      <c r="AD32" s="370" t="inlineStr">
        <is>
          <t>                    </t>
        </is>
      </c>
      <c r="AE32" s="370" t="n"/>
      <c r="AF32" s="370" t="n"/>
      <c r="AG32" s="370" t="n"/>
      <c r="AH32" s="370" t="n"/>
      <c r="AI32" s="370" t="n"/>
      <c r="AK32" s="370" t="inlineStr">
        <is>
          <t>                                                                  </t>
        </is>
      </c>
      <c r="AL32" s="370" t="n"/>
      <c r="AM32" s="370" t="n"/>
      <c r="AN32" s="370" t="n"/>
      <c r="AO32" s="370" t="n"/>
      <c r="AP32" s="370" t="n"/>
      <c r="AQ32" s="370" t="n"/>
    </row>
    <row r="33">
      <c r="A33" s="383" t="n">
        <v>6</v>
      </c>
      <c r="B33" s="370" t="n">
        <v>28</v>
      </c>
      <c r="C33" s="370" t="inlineStr">
        <is>
          <t>2013Q</t>
        </is>
      </c>
      <c r="D33" s="370" t="inlineStr">
        <is>
          <t xml:space="preserve">01184-00-016-000 </t>
        </is>
      </c>
      <c r="E33" s="369" t="inlineStr">
        <is>
          <t>Actual</t>
        </is>
      </c>
      <c r="F33" s="370" t="inlineStr">
        <is>
          <t>4900   DAHLIA               ST</t>
        </is>
      </c>
      <c r="G33" s="370" t="n">
        <v>44.2</v>
      </c>
      <c r="H33" s="370" t="n">
        <v>9101</v>
      </c>
      <c r="I33" s="369" t="n">
        <v>0</v>
      </c>
      <c r="J33" s="674" t="n">
        <v>40200</v>
      </c>
      <c r="K33" s="675" t="n">
        <v>5.970149253731344</v>
      </c>
      <c r="L33" s="385" t="n">
        <v>1</v>
      </c>
      <c r="M33" s="374" t="n">
        <v>0.0302875</v>
      </c>
      <c r="N33" s="370" t="n">
        <v>1966</v>
      </c>
      <c r="O33" s="370" t="n">
        <v>0</v>
      </c>
      <c r="P33" s="370" t="n">
        <v>0</v>
      </c>
      <c r="Q33" s="370" t="n">
        <v>30</v>
      </c>
      <c r="R33" s="370" t="n">
        <v>1</v>
      </c>
      <c r="S33" s="370" t="n">
        <v>1</v>
      </c>
      <c r="T33" s="369" t="inlineStr">
        <is>
          <t xml:space="preserve">I-B         </t>
        </is>
      </c>
      <c r="U33" s="370" t="n">
        <v>398</v>
      </c>
      <c r="V33" s="674" t="n">
        <v>102703</v>
      </c>
      <c r="W33" s="674" t="n">
        <v>103000</v>
      </c>
      <c r="X33" s="676" t="inlineStr">
        <is>
          <t>2.6:1</t>
        </is>
      </c>
      <c r="Y33" s="674" t="n">
        <v>40000</v>
      </c>
      <c r="Z33" s="369" t="inlineStr">
        <is>
          <t xml:space="preserve">C </t>
        </is>
      </c>
      <c r="AA33" s="370" t="n"/>
      <c r="AB33" s="370" t="n"/>
      <c r="AC33" s="370" t="n"/>
      <c r="AD33" s="370" t="inlineStr">
        <is>
          <t xml:space="preserve">AMERICAN WHSE       </t>
        </is>
      </c>
      <c r="AE33" s="370" t="n"/>
      <c r="AF33" s="370" t="n"/>
      <c r="AG33" s="370" t="n"/>
      <c r="AH33" s="370" t="n"/>
      <c r="AI33" s="370" t="n"/>
      <c r="AK33" s="370" t="inlineStr">
        <is>
          <t xml:space="preserve">2010 LEASE.                                                       </t>
        </is>
      </c>
      <c r="AL33" s="370" t="n"/>
      <c r="AM33" s="370" t="n"/>
      <c r="AN33" s="370" t="n"/>
      <c r="AO33" s="370" t="n"/>
      <c r="AP33" s="370" t="n"/>
      <c r="AQ33" s="370" t="n"/>
    </row>
    <row r="34">
      <c r="A34" s="383" t="n">
        <v>6</v>
      </c>
      <c r="B34" s="370" t="n">
        <v>29</v>
      </c>
      <c r="C34" s="370" t="inlineStr">
        <is>
          <t>2013Q</t>
        </is>
      </c>
      <c r="D34" s="370" t="inlineStr">
        <is>
          <t xml:space="preserve">01184-00-019-000 </t>
        </is>
      </c>
      <c r="E34" s="369" t="inlineStr">
        <is>
          <t>Actual</t>
        </is>
      </c>
      <c r="F34" s="370" t="inlineStr">
        <is>
          <t>5055 E 48TH                 AV</t>
        </is>
      </c>
      <c r="G34" s="370" t="n">
        <v>44.1</v>
      </c>
      <c r="H34" s="370" t="n">
        <v>9101</v>
      </c>
      <c r="I34" s="369" t="n">
        <v>0</v>
      </c>
      <c r="J34" s="674" t="n">
        <v>40000</v>
      </c>
      <c r="K34" s="675" t="n">
        <v>3.69</v>
      </c>
      <c r="L34" s="385" t="n">
        <v>0</v>
      </c>
      <c r="M34" s="374" t="n">
        <v>0</v>
      </c>
      <c r="N34" s="370" t="n">
        <v>1997</v>
      </c>
      <c r="O34" s="370" t="n">
        <v>5412</v>
      </c>
      <c r="P34" s="370" t="n">
        <v>0</v>
      </c>
      <c r="Q34" s="370" t="n">
        <v>25</v>
      </c>
      <c r="R34" s="370" t="n">
        <v>7</v>
      </c>
      <c r="S34" s="370" t="n">
        <v>1</v>
      </c>
      <c r="T34" s="369" t="inlineStr">
        <is>
          <t xml:space="preserve">I-B         </t>
        </is>
      </c>
      <c r="U34" s="370" t="n">
        <v>398</v>
      </c>
      <c r="V34" s="674" t="n">
        <v>120740</v>
      </c>
      <c r="W34" s="674" t="n">
        <v>121000</v>
      </c>
      <c r="X34" s="676" t="inlineStr">
        <is>
          <t>3:1</t>
        </is>
      </c>
      <c r="Y34" s="674" t="n">
        <v>40000</v>
      </c>
      <c r="Z34" s="369" t="inlineStr">
        <is>
          <t xml:space="preserve">C </t>
        </is>
      </c>
      <c r="AA34" s="370" t="n"/>
      <c r="AB34" s="370" t="n"/>
      <c r="AC34" s="370" t="n"/>
      <c r="AD34" s="370" t="inlineStr">
        <is>
          <t xml:space="preserve">S-W GLENCO DIST     </t>
        </is>
      </c>
      <c r="AE34" s="370" t="n"/>
      <c r="AF34" s="370" t="n"/>
      <c r="AG34" s="370" t="n"/>
      <c r="AH34" s="370" t="n"/>
      <c r="AI34" s="370" t="n"/>
      <c r="AK34" s="370" t="inlineStr">
        <is>
          <t xml:space="preserve">2010 LEASE.                                                       </t>
        </is>
      </c>
      <c r="AL34" s="370" t="n"/>
      <c r="AM34" s="370" t="n"/>
      <c r="AN34" s="370" t="n"/>
      <c r="AO34" s="370" t="n"/>
      <c r="AP34" s="370" t="n"/>
      <c r="AQ34" s="370" t="n"/>
    </row>
    <row r="35">
      <c r="A35" s="383" t="n">
        <v>6</v>
      </c>
      <c r="B35" s="370" t="n">
        <v>30</v>
      </c>
      <c r="C35" s="370" t="inlineStr">
        <is>
          <t>2013Q</t>
        </is>
      </c>
      <c r="D35" s="370" t="inlineStr">
        <is>
          <t xml:space="preserve">01184-01-006-000 </t>
        </is>
      </c>
      <c r="E35" s="369" t="inlineStr">
        <is>
          <t>Actual</t>
        </is>
      </c>
      <c r="F35" s="370" t="inlineStr">
        <is>
          <t>4851   FOREST               ST</t>
        </is>
      </c>
      <c r="G35" s="370" t="n">
        <v>44.2</v>
      </c>
      <c r="H35" s="370" t="n">
        <v>9101</v>
      </c>
      <c r="I35" s="369" t="n">
        <v>0</v>
      </c>
      <c r="J35" s="674" t="n">
        <v>6480</v>
      </c>
      <c r="K35" s="675" t="n">
        <v>9.25925925925926</v>
      </c>
      <c r="L35" s="385" t="n">
        <v>0</v>
      </c>
      <c r="M35" s="374" t="n">
        <v>0</v>
      </c>
      <c r="N35" s="370" t="n">
        <v>1987</v>
      </c>
      <c r="O35" s="370" t="n">
        <v>1744</v>
      </c>
      <c r="P35" s="370" t="n">
        <v>0</v>
      </c>
      <c r="Q35" s="370" t="n">
        <v>16</v>
      </c>
      <c r="R35" s="370" t="n">
        <v>8</v>
      </c>
      <c r="S35" s="370" t="n">
        <v>1</v>
      </c>
      <c r="T35" s="369" t="inlineStr">
        <is>
          <t xml:space="preserve">I-B         </t>
        </is>
      </c>
      <c r="U35" s="370" t="n">
        <v>398</v>
      </c>
      <c r="V35" s="674" t="n">
        <v>45216</v>
      </c>
      <c r="W35" s="674" t="n">
        <v>45000</v>
      </c>
      <c r="X35" s="676" t="inlineStr">
        <is>
          <t>7:1</t>
        </is>
      </c>
      <c r="Y35" s="674" t="n">
        <v>6000</v>
      </c>
      <c r="Z35" s="369" t="inlineStr">
        <is>
          <t xml:space="preserve">C </t>
        </is>
      </c>
      <c r="AA35" s="370" t="n"/>
      <c r="AB35" s="370" t="n"/>
      <c r="AC35" s="370" t="n"/>
      <c r="AD35" s="370" t="inlineStr">
        <is>
          <t xml:space="preserve">SEAL MASTER/DENVER  </t>
        </is>
      </c>
      <c r="AE35" s="370" t="n"/>
      <c r="AF35" s="370" t="n"/>
      <c r="AG35" s="370" t="n"/>
      <c r="AH35" s="370" t="n"/>
      <c r="AI35" s="370" t="n"/>
      <c r="AK35" s="370" t="inlineStr">
        <is>
          <t xml:space="preserve">LEASE COMMENCEMENT UNKNOWN.                                       </t>
        </is>
      </c>
      <c r="AL35" s="370" t="n"/>
      <c r="AM35" s="370" t="n"/>
      <c r="AN35" s="370" t="n"/>
      <c r="AO35" s="370" t="n"/>
      <c r="AP35" s="370" t="n"/>
      <c r="AQ35" s="370" t="n"/>
    </row>
    <row r="36">
      <c r="A36" s="383" t="n">
        <v>6</v>
      </c>
      <c r="B36" s="370" t="n">
        <v>31</v>
      </c>
      <c r="C36" s="370" t="inlineStr">
        <is>
          <t>2013Q</t>
        </is>
      </c>
      <c r="D36" s="370" t="inlineStr">
        <is>
          <t xml:space="preserve">01191-00-059-000 </t>
        </is>
      </c>
      <c r="E36" s="369" t="inlineStr">
        <is>
          <t>Actual</t>
        </is>
      </c>
      <c r="F36" s="370" t="inlineStr">
        <is>
          <t>4747   HOLLY                ST</t>
        </is>
      </c>
      <c r="G36" s="370" t="n">
        <v>44.2</v>
      </c>
      <c r="H36" s="370" t="n">
        <v>9101</v>
      </c>
      <c r="I36" s="369" t="n">
        <v>0</v>
      </c>
      <c r="J36" s="674" t="n">
        <v>29447</v>
      </c>
      <c r="K36" s="675" t="n">
        <v>4.075118008625666</v>
      </c>
      <c r="L36" s="385" t="n">
        <v>0</v>
      </c>
      <c r="M36" s="374" t="n">
        <v>0.01960833333333333</v>
      </c>
      <c r="N36" s="370" t="n">
        <v>1967</v>
      </c>
      <c r="O36" s="370" t="n">
        <v>7053</v>
      </c>
      <c r="P36" s="370" t="n">
        <v>0</v>
      </c>
      <c r="Q36" s="370" t="n">
        <v>24</v>
      </c>
      <c r="R36" s="370" t="n">
        <v>10</v>
      </c>
      <c r="S36" s="370" t="n">
        <v>1</v>
      </c>
      <c r="T36" s="369" t="inlineStr">
        <is>
          <t xml:space="preserve">I-B         </t>
        </is>
      </c>
      <c r="U36" s="370" t="n">
        <v>398</v>
      </c>
      <c r="V36" s="674" t="n">
        <v>90213</v>
      </c>
      <c r="W36" s="674" t="n">
        <v>90000</v>
      </c>
      <c r="X36" s="676" t="inlineStr">
        <is>
          <t>3.1:1</t>
        </is>
      </c>
      <c r="Y36" s="674" t="n">
        <v>29000</v>
      </c>
      <c r="Z36" s="369" t="inlineStr">
        <is>
          <t xml:space="preserve">C </t>
        </is>
      </c>
      <c r="AA36" s="370" t="n"/>
      <c r="AB36" s="370" t="n"/>
      <c r="AC36" s="370" t="n"/>
      <c r="AD36" s="370" t="inlineStr">
        <is>
          <t>                    </t>
        </is>
      </c>
      <c r="AE36" s="370" t="n"/>
      <c r="AF36" s="370" t="n"/>
      <c r="AG36" s="370" t="n"/>
      <c r="AH36" s="370" t="n"/>
      <c r="AI36" s="370" t="n"/>
      <c r="AK36" s="370" t="inlineStr">
        <is>
          <t xml:space="preserve">LEASE COMMENCEMENT UNKNOWN.                                       </t>
        </is>
      </c>
      <c r="AL36" s="370" t="n"/>
      <c r="AM36" s="370" t="n"/>
      <c r="AN36" s="370" t="n"/>
      <c r="AO36" s="370" t="n"/>
      <c r="AP36" s="370" t="n"/>
      <c r="AQ36" s="370" t="n"/>
    </row>
    <row r="37">
      <c r="A37" s="383" t="n">
        <v>6</v>
      </c>
      <c r="B37" s="370" t="n">
        <v>32</v>
      </c>
      <c r="C37" s="370" t="inlineStr">
        <is>
          <t>2013Q</t>
        </is>
      </c>
      <c r="D37" s="370" t="inlineStr">
        <is>
          <t xml:space="preserve">01191-00-078-000 </t>
        </is>
      </c>
      <c r="E37" s="369" t="inlineStr">
        <is>
          <t>Actual</t>
        </is>
      </c>
      <c r="F37" s="370" t="inlineStr">
        <is>
          <t>5155 E 46TH                 AV</t>
        </is>
      </c>
      <c r="G37" s="370" t="n">
        <v>44.2</v>
      </c>
      <c r="H37" s="370" t="n">
        <v>9101</v>
      </c>
      <c r="I37" s="369" t="n">
        <v>0</v>
      </c>
      <c r="J37" s="674" t="n">
        <v>38863</v>
      </c>
      <c r="K37" s="675" t="n">
        <v>3</v>
      </c>
      <c r="L37" s="385" t="n">
        <v>0</v>
      </c>
      <c r="M37" s="374" t="n">
        <v>0</v>
      </c>
      <c r="N37" s="370" t="n">
        <v>1974</v>
      </c>
      <c r="O37" s="370" t="n">
        <v>3250</v>
      </c>
      <c r="P37" s="370" t="n">
        <v>0</v>
      </c>
      <c r="Q37" s="370" t="n">
        <v>24</v>
      </c>
      <c r="R37" s="370" t="n">
        <v>10</v>
      </c>
      <c r="S37" s="370" t="n">
        <v>1</v>
      </c>
      <c r="T37" s="369" t="inlineStr">
        <is>
          <t xml:space="preserve">I-B         </t>
        </is>
      </c>
      <c r="U37" s="370" t="n">
        <v>398</v>
      </c>
      <c r="V37" s="674" t="n">
        <v>82810</v>
      </c>
      <c r="W37" s="674" t="n">
        <v>83000</v>
      </c>
      <c r="X37" s="676" t="inlineStr">
        <is>
          <t>2.1:1</t>
        </is>
      </c>
      <c r="Y37" s="674" t="n">
        <v>39000</v>
      </c>
      <c r="Z37" s="369" t="inlineStr">
        <is>
          <t xml:space="preserve">C </t>
        </is>
      </c>
      <c r="AA37" s="370" t="n"/>
      <c r="AB37" s="370" t="n"/>
      <c r="AC37" s="370" t="n"/>
      <c r="AD37" s="370" t="inlineStr">
        <is>
          <t>                    </t>
        </is>
      </c>
      <c r="AE37" s="370" t="n"/>
      <c r="AF37" s="370" t="n"/>
      <c r="AG37" s="370" t="n"/>
      <c r="AH37" s="370" t="n"/>
      <c r="AI37" s="370" t="n"/>
      <c r="AK37" s="370" t="inlineStr">
        <is>
          <t>                                                                  </t>
        </is>
      </c>
      <c r="AL37" s="370" t="n"/>
      <c r="AM37" s="370" t="n"/>
      <c r="AN37" s="370" t="n"/>
      <c r="AO37" s="370" t="n"/>
      <c r="AP37" s="370" t="n"/>
      <c r="AQ37" s="370" t="n"/>
    </row>
    <row r="38">
      <c r="A38" s="383" t="n">
        <v>6</v>
      </c>
      <c r="B38" s="370" t="n">
        <v>33</v>
      </c>
      <c r="C38" s="370" t="inlineStr">
        <is>
          <t>2013Q</t>
        </is>
      </c>
      <c r="D38" s="370" t="inlineStr">
        <is>
          <t xml:space="preserve">01192-00-064-000 </t>
        </is>
      </c>
      <c r="E38" s="369" t="inlineStr">
        <is>
          <t>Actual</t>
        </is>
      </c>
      <c r="F38" s="370" t="inlineStr">
        <is>
          <t>4330 E 48TH                 AV</t>
        </is>
      </c>
      <c r="G38" s="370" t="n">
        <v>44.2</v>
      </c>
      <c r="H38" s="370" t="n">
        <v>9101</v>
      </c>
      <c r="I38" s="369" t="n">
        <v>0</v>
      </c>
      <c r="J38" s="674" t="n">
        <v>43824</v>
      </c>
      <c r="K38" s="675" t="n">
        <v>2.864754472435195</v>
      </c>
      <c r="L38" s="385" t="n">
        <v>0</v>
      </c>
      <c r="M38" s="374" t="n">
        <v>0</v>
      </c>
      <c r="N38" s="370" t="n">
        <v>1973</v>
      </c>
      <c r="O38" s="370" t="n">
        <v>1474</v>
      </c>
      <c r="P38" s="370" t="n">
        <v>0</v>
      </c>
      <c r="Q38" s="370" t="n">
        <v>22</v>
      </c>
      <c r="R38" s="370" t="n">
        <v>10</v>
      </c>
      <c r="S38" s="370" t="n">
        <v>1</v>
      </c>
      <c r="T38" s="369" t="inlineStr">
        <is>
          <t xml:space="preserve">I-B         </t>
        </is>
      </c>
      <c r="U38" s="370" t="n">
        <v>398</v>
      </c>
      <c r="V38" s="674" t="n">
        <v>117172</v>
      </c>
      <c r="W38" s="674" t="n">
        <v>117000</v>
      </c>
      <c r="X38" s="676" t="inlineStr">
        <is>
          <t>2.7:1</t>
        </is>
      </c>
      <c r="Y38" s="674" t="n">
        <v>44000</v>
      </c>
      <c r="Z38" s="369" t="inlineStr">
        <is>
          <t xml:space="preserve">C </t>
        </is>
      </c>
      <c r="AA38" s="370" t="n"/>
      <c r="AB38" s="370" t="n"/>
      <c r="AC38" s="370" t="n"/>
      <c r="AD38" s="370" t="inlineStr">
        <is>
          <t xml:space="preserve">DIST WHSE           </t>
        </is>
      </c>
      <c r="AE38" s="370" t="n"/>
      <c r="AF38" s="370" t="n"/>
      <c r="AG38" s="370" t="n"/>
      <c r="AH38" s="370" t="n"/>
      <c r="AI38" s="370" t="n"/>
      <c r="AK38" s="370" t="inlineStr">
        <is>
          <t xml:space="preserve">2009/2010 LEASES.                                                 </t>
        </is>
      </c>
      <c r="AL38" s="370" t="n"/>
      <c r="AM38" s="370" t="n"/>
      <c r="AN38" s="370" t="n"/>
      <c r="AO38" s="370" t="n"/>
      <c r="AP38" s="370" t="n"/>
      <c r="AQ38" s="370" t="n"/>
    </row>
    <row r="39">
      <c r="A39" s="383" t="n">
        <v>6</v>
      </c>
      <c r="B39" s="370" t="n">
        <v>34</v>
      </c>
      <c r="C39" s="370" t="inlineStr">
        <is>
          <t>2013Q</t>
        </is>
      </c>
      <c r="D39" s="370" t="inlineStr">
        <is>
          <t xml:space="preserve">01194-00-046-000 </t>
        </is>
      </c>
      <c r="E39" s="369" t="inlineStr">
        <is>
          <t>Actual</t>
        </is>
      </c>
      <c r="F39" s="370" t="inlineStr">
        <is>
          <t>5105 E 39TH                 AV</t>
        </is>
      </c>
      <c r="G39" s="370" t="n">
        <v>44.1</v>
      </c>
      <c r="H39" s="370" t="n">
        <v>9101</v>
      </c>
      <c r="I39" s="369" t="n">
        <v>0</v>
      </c>
      <c r="J39" s="674" t="n">
        <v>13514</v>
      </c>
      <c r="K39" s="675" t="n">
        <v>5.327808198904839</v>
      </c>
      <c r="L39" s="385" t="n">
        <v>0</v>
      </c>
      <c r="M39" s="374" t="n">
        <v>0.05555555555555555</v>
      </c>
      <c r="N39" s="370" t="n">
        <v>1957</v>
      </c>
      <c r="O39" s="370" t="n">
        <v>1530</v>
      </c>
      <c r="P39" s="370" t="n">
        <v>0</v>
      </c>
      <c r="Q39" s="370" t="n">
        <v>17</v>
      </c>
      <c r="R39" s="370" t="n">
        <v>3</v>
      </c>
      <c r="S39" s="370" t="n">
        <v>1</v>
      </c>
      <c r="T39" s="369" t="inlineStr">
        <is>
          <t xml:space="preserve">I-A         </t>
        </is>
      </c>
      <c r="U39" s="370" t="n">
        <v>398</v>
      </c>
      <c r="V39" s="674" t="n">
        <v>42458</v>
      </c>
      <c r="W39" s="674" t="n">
        <v>42000</v>
      </c>
      <c r="X39" s="676" t="inlineStr">
        <is>
          <t>3.1:1</t>
        </is>
      </c>
      <c r="Y39" s="674" t="n">
        <v>14000</v>
      </c>
      <c r="Z39" s="369" t="inlineStr">
        <is>
          <t xml:space="preserve">C </t>
        </is>
      </c>
      <c r="AA39" s="370" t="n"/>
      <c r="AB39" s="370" t="n"/>
      <c r="AC39" s="370" t="n"/>
      <c r="AD39" s="370" t="inlineStr">
        <is>
          <t>                    </t>
        </is>
      </c>
      <c r="AE39" s="370" t="n"/>
      <c r="AF39" s="370" t="n"/>
      <c r="AG39" s="370" t="n"/>
      <c r="AH39" s="370" t="n"/>
      <c r="AI39" s="370" t="n"/>
      <c r="AK39" s="370" t="inlineStr">
        <is>
          <t>                                                                  </t>
        </is>
      </c>
      <c r="AL39" s="370" t="n"/>
      <c r="AM39" s="370" t="n"/>
      <c r="AN39" s="370" t="n"/>
      <c r="AO39" s="370" t="n"/>
      <c r="AP39" s="370" t="n"/>
      <c r="AQ39" s="370" t="n"/>
    </row>
    <row r="40">
      <c r="A40" s="383" t="n">
        <v>6</v>
      </c>
      <c r="B40" s="370" t="n">
        <v>35</v>
      </c>
      <c r="C40" s="370" t="inlineStr">
        <is>
          <t>2013Q</t>
        </is>
      </c>
      <c r="D40" s="370" t="inlineStr">
        <is>
          <t xml:space="preserve">01194-00-071-000 </t>
        </is>
      </c>
      <c r="E40" s="369" t="inlineStr">
        <is>
          <t>Actual</t>
        </is>
      </c>
      <c r="F40" s="370" t="inlineStr">
        <is>
          <t>3870   ELM                  ST</t>
        </is>
      </c>
      <c r="G40" s="370" t="n">
        <v>44.1</v>
      </c>
      <c r="H40" s="370" t="n">
        <v>9101</v>
      </c>
      <c r="I40" s="369" t="n">
        <v>0</v>
      </c>
      <c r="J40" s="674" t="n">
        <v>14500</v>
      </c>
      <c r="K40" s="675" t="n">
        <v>5</v>
      </c>
      <c r="L40" s="385" t="n">
        <v>1</v>
      </c>
      <c r="M40" s="374" t="n">
        <v>0</v>
      </c>
      <c r="N40" s="370" t="n">
        <v>1961</v>
      </c>
      <c r="O40" s="370" t="n">
        <v>1805</v>
      </c>
      <c r="P40" s="370" t="n">
        <v>0</v>
      </c>
      <c r="Q40" s="370" t="n">
        <v>14</v>
      </c>
      <c r="R40" s="370" t="n">
        <v>1</v>
      </c>
      <c r="S40" s="370" t="n">
        <v>1</v>
      </c>
      <c r="T40" s="369" t="inlineStr">
        <is>
          <t xml:space="preserve">I-MX-3      </t>
        </is>
      </c>
      <c r="U40" s="370" t="n">
        <v>398</v>
      </c>
      <c r="V40" s="674" t="n">
        <v>22618</v>
      </c>
      <c r="W40" s="674" t="n">
        <v>23000</v>
      </c>
      <c r="X40" s="676" t="inlineStr">
        <is>
          <t>1.6:1</t>
        </is>
      </c>
      <c r="Y40" s="674" t="n">
        <v>15000</v>
      </c>
      <c r="Z40" s="369" t="inlineStr">
        <is>
          <t xml:space="preserve">C </t>
        </is>
      </c>
      <c r="AA40" s="370" t="n"/>
      <c r="AB40" s="370" t="n"/>
      <c r="AC40" s="370" t="n"/>
      <c r="AD40" s="370" t="inlineStr">
        <is>
          <t>                    </t>
        </is>
      </c>
      <c r="AE40" s="370" t="n"/>
      <c r="AF40" s="370" t="n"/>
      <c r="AG40" s="370" t="n"/>
      <c r="AH40" s="370" t="n"/>
      <c r="AI40" s="370" t="n"/>
      <c r="AK40" s="370" t="inlineStr">
        <is>
          <t>LEASE DATE UNKNOWN; CAN'T DIVIDE EXPENSE BETWEEN OWNER AND TENANT.</t>
        </is>
      </c>
      <c r="AL40" s="370" t="n"/>
      <c r="AM40" s="370" t="n"/>
      <c r="AN40" s="370" t="n"/>
      <c r="AO40" s="370" t="n"/>
      <c r="AP40" s="370" t="n"/>
      <c r="AQ40" s="370" t="n"/>
    </row>
    <row r="41">
      <c r="A41" s="383" t="n">
        <v>6</v>
      </c>
      <c r="B41" s="370" t="n">
        <v>36</v>
      </c>
      <c r="C41" s="370" t="inlineStr">
        <is>
          <t>2013Q</t>
        </is>
      </c>
      <c r="D41" s="370" t="inlineStr">
        <is>
          <t xml:space="preserve">01194-00-076-000 </t>
        </is>
      </c>
      <c r="E41" s="369" t="inlineStr">
        <is>
          <t>Actual</t>
        </is>
      </c>
      <c r="F41" s="370" t="inlineStr">
        <is>
          <t>3855   ELM                  ST</t>
        </is>
      </c>
      <c r="G41" s="370" t="n">
        <v>44.2</v>
      </c>
      <c r="H41" s="370" t="n">
        <v>9101</v>
      </c>
      <c r="I41" s="369" t="n">
        <v>0</v>
      </c>
      <c r="J41" s="674" t="n">
        <v>7280</v>
      </c>
      <c r="K41" s="675" t="n">
        <v>13.33333333333333</v>
      </c>
      <c r="L41" s="385" t="n">
        <v>0</v>
      </c>
      <c r="M41" s="374" t="n">
        <v>0</v>
      </c>
      <c r="N41" s="370" t="n">
        <v>1961</v>
      </c>
      <c r="O41" s="370" t="n">
        <v>3164</v>
      </c>
      <c r="P41" s="370" t="n">
        <v>0</v>
      </c>
      <c r="Q41" s="370" t="n">
        <v>15</v>
      </c>
      <c r="R41" s="370" t="n">
        <v>3</v>
      </c>
      <c r="S41" s="370" t="n">
        <v>1</v>
      </c>
      <c r="T41" s="369" t="inlineStr">
        <is>
          <t xml:space="preserve">I-MX-3      </t>
        </is>
      </c>
      <c r="U41" s="370" t="n">
        <v>398</v>
      </c>
      <c r="V41" s="674" t="n">
        <v>14387</v>
      </c>
      <c r="W41" s="674" t="n">
        <v>14000</v>
      </c>
      <c r="X41" s="676" t="inlineStr">
        <is>
          <t>2:1</t>
        </is>
      </c>
      <c r="Y41" s="674" t="n">
        <v>7000</v>
      </c>
      <c r="Z41" s="369" t="inlineStr">
        <is>
          <t xml:space="preserve">B </t>
        </is>
      </c>
      <c r="AA41" s="370" t="n"/>
      <c r="AB41" s="370" t="n"/>
      <c r="AC41" s="370" t="n"/>
      <c r="AD41" s="370" t="inlineStr">
        <is>
          <t xml:space="preserve">CANNACOPIA          </t>
        </is>
      </c>
      <c r="AE41" s="370" t="n"/>
      <c r="AF41" s="370" t="n"/>
      <c r="AG41" s="370" t="n"/>
      <c r="AH41" s="370" t="n"/>
      <c r="AI41" s="370" t="n"/>
      <c r="AK41" s="370" t="inlineStr">
        <is>
          <t xml:space="preserve">CAN'T ALLOCATE EXPENSE BETWEEN OWNER &amp; TENANT                     </t>
        </is>
      </c>
      <c r="AL41" s="370" t="n"/>
      <c r="AM41" s="370" t="n"/>
      <c r="AN41" s="370" t="n"/>
      <c r="AO41" s="370" t="n"/>
      <c r="AP41" s="370" t="n"/>
      <c r="AQ41" s="370" t="n"/>
    </row>
    <row r="42">
      <c r="A42" s="383" t="n">
        <v>6</v>
      </c>
      <c r="B42" s="370" t="n">
        <v>37</v>
      </c>
      <c r="C42" s="370" t="inlineStr">
        <is>
          <t>2013Q</t>
        </is>
      </c>
      <c r="D42" s="370" t="inlineStr">
        <is>
          <t xml:space="preserve">01194-00-136-000 </t>
        </is>
      </c>
      <c r="E42" s="369" t="inlineStr">
        <is>
          <t>Actual</t>
        </is>
      </c>
      <c r="F42" s="370" t="inlineStr">
        <is>
          <t>3931   HOLLY                ST</t>
        </is>
      </c>
      <c r="G42" s="370" t="n">
        <v>44.2</v>
      </c>
      <c r="H42" s="370" t="n">
        <v>9101</v>
      </c>
      <c r="I42" s="369" t="n">
        <v>0</v>
      </c>
      <c r="J42" s="674" t="n">
        <v>16770</v>
      </c>
      <c r="K42" s="675" t="n">
        <v>4.865831842576029</v>
      </c>
      <c r="L42" s="385" t="n">
        <v>0.48</v>
      </c>
      <c r="M42" s="374" t="n">
        <v>0</v>
      </c>
      <c r="N42" s="370" t="n">
        <v>1980</v>
      </c>
      <c r="O42" s="370" t="n">
        <v>3949</v>
      </c>
      <c r="P42" s="370" t="n">
        <v>0</v>
      </c>
      <c r="Q42" s="370" t="n">
        <v>16</v>
      </c>
      <c r="R42" s="370" t="n">
        <v>1</v>
      </c>
      <c r="S42" s="370" t="n">
        <v>1</v>
      </c>
      <c r="T42" s="369" t="inlineStr">
        <is>
          <t xml:space="preserve">I-A         </t>
        </is>
      </c>
      <c r="U42" s="370" t="n">
        <v>398</v>
      </c>
      <c r="V42" s="674" t="n">
        <v>39942</v>
      </c>
      <c r="W42" s="674" t="n">
        <v>40000</v>
      </c>
      <c r="X42" s="676" t="inlineStr">
        <is>
          <t>2.4:1</t>
        </is>
      </c>
      <c r="Y42" s="674" t="n">
        <v>17000</v>
      </c>
      <c r="Z42" s="369" t="inlineStr">
        <is>
          <t xml:space="preserve">C </t>
        </is>
      </c>
      <c r="AA42" s="370" t="n"/>
      <c r="AB42" s="370" t="n"/>
      <c r="AC42" s="370" t="n"/>
      <c r="AD42" s="370" t="inlineStr">
        <is>
          <t xml:space="preserve">M-W                 </t>
        </is>
      </c>
      <c r="AE42" s="370" t="n"/>
      <c r="AF42" s="370" t="n"/>
      <c r="AG42" s="370" t="n"/>
      <c r="AH42" s="370" t="n"/>
      <c r="AI42" s="370" t="n"/>
      <c r="AK42" s="370" t="inlineStr">
        <is>
          <t xml:space="preserve">OWNER PAYS TOO MUCH OF EXPENSES HERE = NOT LISTED.                </t>
        </is>
      </c>
      <c r="AL42" s="370" t="n"/>
      <c r="AM42" s="370" t="n"/>
      <c r="AN42" s="370" t="n"/>
      <c r="AO42" s="370" t="n"/>
      <c r="AP42" s="370" t="n"/>
      <c r="AQ42" s="370" t="n"/>
    </row>
    <row r="43">
      <c r="A43" s="383" t="n">
        <v>6</v>
      </c>
      <c r="B43" s="370" t="n">
        <v>38</v>
      </c>
      <c r="C43" s="370" t="inlineStr">
        <is>
          <t>2013Q</t>
        </is>
      </c>
      <c r="D43" s="370" t="inlineStr">
        <is>
          <t xml:space="preserve">01194-00-181-000 </t>
        </is>
      </c>
      <c r="E43" s="369" t="inlineStr">
        <is>
          <t>Actual</t>
        </is>
      </c>
      <c r="F43" s="370" t="inlineStr">
        <is>
          <t>4855 E 41ST                 AV</t>
        </is>
      </c>
      <c r="G43" s="370" t="n">
        <v>44.1</v>
      </c>
      <c r="H43" s="370" t="n">
        <v>9101</v>
      </c>
      <c r="I43" s="369" t="n">
        <v>0</v>
      </c>
      <c r="J43" s="674" t="n">
        <v>8960</v>
      </c>
      <c r="K43" s="675" t="n">
        <v>5.866071428571429</v>
      </c>
      <c r="L43" s="385" t="n">
        <v>0</v>
      </c>
      <c r="M43" s="374" t="n">
        <v>0.08124048706240487</v>
      </c>
      <c r="N43" s="370" t="n">
        <v>1972</v>
      </c>
      <c r="O43" s="370" t="n">
        <v>2820</v>
      </c>
      <c r="P43" s="370" t="n">
        <v>0</v>
      </c>
      <c r="Q43" s="370" t="n">
        <v>16</v>
      </c>
      <c r="R43" s="370" t="n">
        <v>3</v>
      </c>
      <c r="S43" s="370" t="n">
        <v>1</v>
      </c>
      <c r="T43" s="369" t="inlineStr">
        <is>
          <t xml:space="preserve">I-A         </t>
        </is>
      </c>
      <c r="U43" s="370" t="n">
        <v>398</v>
      </c>
      <c r="V43" s="674" t="n">
        <v>26435</v>
      </c>
      <c r="W43" s="674" t="n">
        <v>26000</v>
      </c>
      <c r="X43" s="676" t="inlineStr">
        <is>
          <t>3:1</t>
        </is>
      </c>
      <c r="Y43" s="674" t="n">
        <v>9000</v>
      </c>
      <c r="Z43" s="369" t="inlineStr">
        <is>
          <t xml:space="preserve">C </t>
        </is>
      </c>
      <c r="AA43" s="370" t="n"/>
      <c r="AB43" s="370" t="n"/>
      <c r="AC43" s="370" t="n"/>
      <c r="AD43" s="370" t="inlineStr">
        <is>
          <t xml:space="preserve">BELLAIR EXPRESS     </t>
        </is>
      </c>
      <c r="AE43" s="370" t="n"/>
      <c r="AF43" s="370" t="n"/>
      <c r="AG43" s="370" t="n"/>
      <c r="AH43" s="370" t="n"/>
      <c r="AI43" s="370" t="n"/>
      <c r="AK43" s="370" t="inlineStr">
        <is>
          <t xml:space="preserve">LEASE COMMENCEMENT UNKNOWN.                                       </t>
        </is>
      </c>
      <c r="AL43" s="370" t="n"/>
      <c r="AM43" s="370" t="n"/>
      <c r="AN43" s="370" t="n"/>
      <c r="AO43" s="370" t="n"/>
      <c r="AP43" s="370" t="n"/>
      <c r="AQ43" s="370" t="n"/>
    </row>
    <row r="44">
      <c r="A44" s="383" t="n">
        <v>6</v>
      </c>
      <c r="B44" s="370" t="n">
        <v>39</v>
      </c>
      <c r="C44" s="370" t="inlineStr">
        <is>
          <t>2013Q</t>
        </is>
      </c>
      <c r="D44" s="370" t="inlineStr">
        <is>
          <t xml:space="preserve">01194-00-229-000 </t>
        </is>
      </c>
      <c r="E44" s="369" t="inlineStr">
        <is>
          <t>Actual</t>
        </is>
      </c>
      <c r="F44" s="370" t="inlineStr">
        <is>
          <t>3812   DAHLIA               ST</t>
        </is>
      </c>
      <c r="G44" s="370" t="n">
        <v>44.1</v>
      </c>
      <c r="H44" s="370" t="n">
        <v>9101</v>
      </c>
      <c r="I44" s="369" t="n">
        <v>0</v>
      </c>
      <c r="J44" s="674" t="n">
        <v>6579</v>
      </c>
      <c r="K44" s="675" t="n">
        <v>2.830188679245283</v>
      </c>
      <c r="L44" s="385" t="n">
        <v>0</v>
      </c>
      <c r="M44" s="374" t="n">
        <v>0</v>
      </c>
      <c r="N44" s="370" t="n">
        <v>1926</v>
      </c>
      <c r="O44" s="370" t="n">
        <v>1620</v>
      </c>
      <c r="P44" s="370" t="n">
        <v>0</v>
      </c>
      <c r="Q44" s="370" t="n">
        <v>10</v>
      </c>
      <c r="R44" s="370" t="n">
        <v>1</v>
      </c>
      <c r="S44" s="370" t="n">
        <v>1</v>
      </c>
      <c r="T44" s="369" t="inlineStr">
        <is>
          <t xml:space="preserve">I-MX-3      </t>
        </is>
      </c>
      <c r="U44" s="370" t="n">
        <v>398</v>
      </c>
      <c r="V44" s="674" t="n">
        <v>92437</v>
      </c>
      <c r="W44" s="674" t="n">
        <v>92000</v>
      </c>
      <c r="X44" s="676" t="inlineStr">
        <is>
          <t>14.1:1</t>
        </is>
      </c>
      <c r="Y44" s="674" t="n">
        <v>7000</v>
      </c>
      <c r="Z44" s="369" t="inlineStr">
        <is>
          <t xml:space="preserve">C </t>
        </is>
      </c>
      <c r="AA44" s="370" t="n"/>
      <c r="AB44" s="370" t="n"/>
      <c r="AC44" s="370" t="n"/>
      <c r="AD44" s="370" t="inlineStr">
        <is>
          <t>                    </t>
        </is>
      </c>
      <c r="AE44" s="370" t="n"/>
      <c r="AF44" s="370" t="n"/>
      <c r="AG44" s="370" t="n"/>
      <c r="AH44" s="370" t="n"/>
      <c r="AI44" s="370" t="n"/>
      <c r="AK44" s="370" t="inlineStr">
        <is>
          <t xml:space="preserve">OWNER PAYS TOO MUCH OF EXPENSES HERE = NOT LISTED.                </t>
        </is>
      </c>
      <c r="AL44" s="370" t="n"/>
      <c r="AM44" s="370" t="n"/>
      <c r="AN44" s="370" t="n"/>
      <c r="AO44" s="370" t="n"/>
      <c r="AP44" s="370" t="n"/>
      <c r="AQ44" s="370" t="n"/>
    </row>
    <row r="45">
      <c r="A45" s="383" t="n">
        <v>6</v>
      </c>
      <c r="B45" s="370" t="n">
        <v>40</v>
      </c>
      <c r="C45" s="370" t="inlineStr">
        <is>
          <t>2013Q</t>
        </is>
      </c>
      <c r="D45" s="370" t="inlineStr">
        <is>
          <t xml:space="preserve">01194-00-230-000 </t>
        </is>
      </c>
      <c r="E45" s="369" t="inlineStr">
        <is>
          <t>Actual</t>
        </is>
      </c>
      <c r="F45" s="370" t="inlineStr">
        <is>
          <t>3820   FOREST               ST</t>
        </is>
      </c>
      <c r="G45" s="370" t="n">
        <v>44.1</v>
      </c>
      <c r="H45" s="370" t="n">
        <v>9101</v>
      </c>
      <c r="I45" s="369" t="n">
        <v>0</v>
      </c>
      <c r="J45" s="674" t="n">
        <v>4400</v>
      </c>
      <c r="K45" s="675" t="n">
        <v>5.626363636363636</v>
      </c>
      <c r="L45" s="385" t="n">
        <v>0</v>
      </c>
      <c r="M45" s="374" t="n">
        <v>0</v>
      </c>
      <c r="N45" s="370" t="n">
        <v>1958</v>
      </c>
      <c r="O45" s="370" t="n">
        <v>1712</v>
      </c>
      <c r="P45" s="370" t="n">
        <v>0</v>
      </c>
      <c r="Q45" s="370" t="n">
        <v>14</v>
      </c>
      <c r="R45" s="370" t="n">
        <v>4</v>
      </c>
      <c r="S45" s="370" t="n">
        <v>1</v>
      </c>
      <c r="T45" s="369" t="inlineStr">
        <is>
          <t xml:space="preserve">I-MX-3      </t>
        </is>
      </c>
      <c r="U45" s="370" t="n">
        <v>398</v>
      </c>
      <c r="V45" s="674" t="n">
        <v>9000</v>
      </c>
      <c r="W45" s="674" t="n">
        <v>9000</v>
      </c>
      <c r="X45" s="676" t="inlineStr">
        <is>
          <t>2:1</t>
        </is>
      </c>
      <c r="Y45" s="674" t="n">
        <v>4000</v>
      </c>
      <c r="Z45" s="369" t="inlineStr">
        <is>
          <t xml:space="preserve">C </t>
        </is>
      </c>
      <c r="AA45" s="370" t="n"/>
      <c r="AB45" s="370" t="n"/>
      <c r="AC45" s="370" t="n"/>
      <c r="AD45" s="370" t="inlineStr">
        <is>
          <t>S-D-LANDEROF PLUMBNG</t>
        </is>
      </c>
      <c r="AE45" s="370" t="n"/>
      <c r="AF45" s="370" t="n"/>
      <c r="AG45" s="370" t="n"/>
      <c r="AH45" s="370" t="n"/>
      <c r="AI45" s="370" t="n"/>
      <c r="AK45" s="370" t="inlineStr">
        <is>
          <t xml:space="preserve">LEASE COMMENCEMENT UNKNOWN.                                       </t>
        </is>
      </c>
      <c r="AL45" s="370" t="n"/>
      <c r="AM45" s="370" t="n"/>
      <c r="AN45" s="370" t="n"/>
      <c r="AO45" s="370" t="n"/>
      <c r="AP45" s="370" t="n"/>
      <c r="AQ45" s="370" t="n"/>
    </row>
    <row r="46">
      <c r="A46" s="383" t="n">
        <v>6</v>
      </c>
      <c r="B46" s="370" t="n">
        <v>41</v>
      </c>
      <c r="C46" s="370" t="inlineStr">
        <is>
          <t>2013Q</t>
        </is>
      </c>
      <c r="D46" s="370" t="inlineStr">
        <is>
          <t xml:space="preserve">01194-00-239-000 </t>
        </is>
      </c>
      <c r="E46" s="369" t="inlineStr">
        <is>
          <t>Actual</t>
        </is>
      </c>
      <c r="F46" s="370" t="inlineStr">
        <is>
          <t>5255 E 38TH                 AV</t>
        </is>
      </c>
      <c r="G46" s="370" t="n">
        <v>44.1</v>
      </c>
      <c r="H46" s="370" t="n">
        <v>9101</v>
      </c>
      <c r="I46" s="369" t="n">
        <v>0</v>
      </c>
      <c r="J46" s="674" t="n">
        <v>10000</v>
      </c>
      <c r="K46" s="675" t="n">
        <v>7.288163265306123</v>
      </c>
      <c r="L46" s="385" t="n">
        <v>0</v>
      </c>
      <c r="M46" s="374" t="n">
        <v>0</v>
      </c>
      <c r="N46" s="370" t="n">
        <v>1958</v>
      </c>
      <c r="O46" s="370" t="n">
        <v>2612</v>
      </c>
      <c r="P46" s="370" t="n">
        <v>0</v>
      </c>
      <c r="Q46" s="370" t="n">
        <v>13</v>
      </c>
      <c r="R46" s="370" t="n">
        <v>1</v>
      </c>
      <c r="S46" s="370" t="n">
        <v>1</v>
      </c>
      <c r="T46" s="369" t="inlineStr">
        <is>
          <t xml:space="preserve">I-MX-3      </t>
        </is>
      </c>
      <c r="U46" s="370" t="n">
        <v>398</v>
      </c>
      <c r="V46" s="674" t="n">
        <v>21300</v>
      </c>
      <c r="W46" s="674" t="n">
        <v>21000</v>
      </c>
      <c r="X46" s="676" t="inlineStr">
        <is>
          <t>2.1:1</t>
        </is>
      </c>
      <c r="Y46" s="674" t="n">
        <v>10000</v>
      </c>
      <c r="Z46" s="369" t="inlineStr">
        <is>
          <t xml:space="preserve">C </t>
        </is>
      </c>
      <c r="AA46" s="370" t="n"/>
      <c r="AB46" s="370" t="n"/>
      <c r="AC46" s="370" t="n"/>
      <c r="AD46" s="370" t="inlineStr">
        <is>
          <t xml:space="preserve">LAWNTECH ENT'PRS    </t>
        </is>
      </c>
      <c r="AE46" s="370" t="n"/>
      <c r="AF46" s="370" t="n"/>
      <c r="AG46" s="370" t="n"/>
      <c r="AH46" s="370" t="n"/>
      <c r="AI46" s="370" t="n"/>
      <c r="AK46" s="370" t="inlineStr">
        <is>
          <t xml:space="preserve">CAN'T SEPARATE EXPENSES ATTRIBUTABLE TO OWNER &amp; TENANT.           </t>
        </is>
      </c>
      <c r="AL46" s="370" t="n"/>
      <c r="AM46" s="370" t="n"/>
      <c r="AN46" s="370" t="n"/>
      <c r="AO46" s="370" t="n"/>
      <c r="AP46" s="370" t="n"/>
      <c r="AQ46" s="370" t="n"/>
    </row>
    <row r="47">
      <c r="A47" s="383" t="n">
        <v>6</v>
      </c>
      <c r="B47" s="370" t="n">
        <v>42</v>
      </c>
      <c r="C47" s="370" t="inlineStr">
        <is>
          <t>2013Q</t>
        </is>
      </c>
      <c r="D47" s="370" t="inlineStr">
        <is>
          <t xml:space="preserve">01194-00-262-000 </t>
        </is>
      </c>
      <c r="E47" s="369" t="inlineStr">
        <is>
          <t>Actual</t>
        </is>
      </c>
      <c r="F47" s="370" t="inlineStr">
        <is>
          <t>5105 E 41ST                 AV</t>
        </is>
      </c>
      <c r="G47" s="370" t="n">
        <v>44.2</v>
      </c>
      <c r="H47" s="370" t="n">
        <v>9101</v>
      </c>
      <c r="I47" s="369" t="n">
        <v>0</v>
      </c>
      <c r="J47" s="674" t="n">
        <v>76174</v>
      </c>
      <c r="K47" s="675" t="n">
        <v>3.872581195683567</v>
      </c>
      <c r="L47" s="385" t="n">
        <v>0</v>
      </c>
      <c r="M47" s="374" t="n">
        <v>0</v>
      </c>
      <c r="N47" s="370" t="n">
        <v>1974</v>
      </c>
      <c r="O47" s="370" t="n">
        <v>17712</v>
      </c>
      <c r="P47" s="370" t="n">
        <v>0</v>
      </c>
      <c r="Q47" s="370" t="n">
        <v>22</v>
      </c>
      <c r="R47" s="370" t="n">
        <v>14</v>
      </c>
      <c r="S47" s="370" t="n">
        <v>2</v>
      </c>
      <c r="T47" s="369" t="inlineStr">
        <is>
          <t>            </t>
        </is>
      </c>
      <c r="U47" s="370" t="n">
        <v>398</v>
      </c>
      <c r="V47" s="674" t="n">
        <v>154295</v>
      </c>
      <c r="W47" s="674" t="n">
        <v>154000</v>
      </c>
      <c r="X47" s="676" t="inlineStr">
        <is>
          <t>2:1</t>
        </is>
      </c>
      <c r="Y47" s="674" t="n">
        <v>76000</v>
      </c>
      <c r="Z47" s="369" t="inlineStr">
        <is>
          <t xml:space="preserve">C </t>
        </is>
      </c>
      <c r="AA47" s="370" t="n"/>
      <c r="AB47" s="370" t="n"/>
      <c r="AC47" s="370" t="n"/>
      <c r="AD47" s="370" t="inlineStr">
        <is>
          <t xml:space="preserve">DIST.               </t>
        </is>
      </c>
      <c r="AE47" s="370" t="n"/>
      <c r="AF47" s="370" t="n"/>
      <c r="AG47" s="370" t="n"/>
      <c r="AH47" s="370" t="n"/>
      <c r="AI47" s="370" t="n"/>
      <c r="AK47" s="370" t="inlineStr">
        <is>
          <t>LEASE DATES FROM 2000 - ONLY HERE TO MAKE A RECORD FOR STEVENS W.O</t>
        </is>
      </c>
      <c r="AL47" s="370" t="n"/>
      <c r="AM47" s="370" t="n"/>
      <c r="AN47" s="370" t="n"/>
      <c r="AO47" s="370" t="n"/>
      <c r="AP47" s="370" t="n"/>
      <c r="AQ47" s="370" t="n"/>
    </row>
    <row r="48">
      <c r="A48" s="383" t="n">
        <v>6</v>
      </c>
      <c r="B48" s="370" t="n">
        <v>43</v>
      </c>
      <c r="C48" s="370" t="inlineStr">
        <is>
          <t>2013Q</t>
        </is>
      </c>
      <c r="D48" s="370" t="inlineStr">
        <is>
          <t xml:space="preserve">01194-00-264-000 </t>
        </is>
      </c>
      <c r="E48" s="369" t="inlineStr">
        <is>
          <t>Actual</t>
        </is>
      </c>
      <c r="F48" s="370" t="inlineStr">
        <is>
          <t>5180   SMITH                RD</t>
        </is>
      </c>
      <c r="G48" s="370" t="n">
        <v>44.2</v>
      </c>
      <c r="H48" s="370" t="n">
        <v>9101</v>
      </c>
      <c r="I48" s="369" t="n">
        <v>0</v>
      </c>
      <c r="J48" s="674" t="n">
        <v>26700</v>
      </c>
      <c r="K48" s="675" t="n">
        <v>5.199962546816479</v>
      </c>
      <c r="L48" s="385" t="n">
        <v>0</v>
      </c>
      <c r="M48" s="374" t="n">
        <v>0.1756134803621461</v>
      </c>
      <c r="N48" s="370" t="n">
        <v>1974</v>
      </c>
      <c r="O48" s="370" t="n">
        <v>6743</v>
      </c>
      <c r="P48" s="370" t="n">
        <v>0</v>
      </c>
      <c r="Q48" s="370" t="n">
        <v>17</v>
      </c>
      <c r="R48" s="370" t="n">
        <v>14</v>
      </c>
      <c r="S48" s="370" t="n">
        <v>6</v>
      </c>
      <c r="T48" s="369" t="inlineStr">
        <is>
          <t xml:space="preserve">I-A         </t>
        </is>
      </c>
      <c r="U48" s="370" t="n">
        <v>398</v>
      </c>
      <c r="V48" s="674" t="n">
        <v>62461</v>
      </c>
      <c r="W48" s="674" t="n">
        <v>62000</v>
      </c>
      <c r="X48" s="676" t="inlineStr">
        <is>
          <t>2.3:1</t>
        </is>
      </c>
      <c r="Y48" s="674" t="n">
        <v>27000</v>
      </c>
      <c r="Z48" s="369" t="inlineStr">
        <is>
          <t xml:space="preserve">C </t>
        </is>
      </c>
      <c r="AA48" s="370" t="n"/>
      <c r="AB48" s="370" t="n"/>
      <c r="AC48" s="370" t="n"/>
      <c r="AD48" s="370" t="inlineStr">
        <is>
          <t xml:space="preserve">DIST/OFC            </t>
        </is>
      </c>
      <c r="AE48" s="370" t="n"/>
      <c r="AF48" s="370" t="n"/>
      <c r="AG48" s="370" t="n"/>
      <c r="AH48" s="370" t="n"/>
      <c r="AI48" s="370" t="n"/>
      <c r="AK48" s="370" t="inlineStr">
        <is>
          <t xml:space="preserve">LEASES DATE FROM 2006 -2010;OWNER PAYS TOO MUCH OF EXPENSES.      </t>
        </is>
      </c>
      <c r="AL48" s="370" t="n"/>
      <c r="AM48" s="370" t="n"/>
      <c r="AN48" s="370" t="n"/>
      <c r="AO48" s="370" t="n"/>
      <c r="AP48" s="370" t="n"/>
      <c r="AQ48" s="370" t="n"/>
    </row>
    <row r="49">
      <c r="A49" s="383" t="n">
        <v>6</v>
      </c>
      <c r="B49" s="370" t="n">
        <v>44</v>
      </c>
      <c r="C49" s="370" t="inlineStr">
        <is>
          <t>2013Q</t>
        </is>
      </c>
      <c r="D49" s="370" t="inlineStr">
        <is>
          <t xml:space="preserve">01194-01-003-000 </t>
        </is>
      </c>
      <c r="E49" s="369" t="inlineStr">
        <is>
          <t>Actual</t>
        </is>
      </c>
      <c r="F49" s="370" t="inlineStr">
        <is>
          <t>4801 E 39TH                 AV</t>
        </is>
      </c>
      <c r="G49" s="370" t="n">
        <v>44.1</v>
      </c>
      <c r="H49" s="370" t="n">
        <v>9101</v>
      </c>
      <c r="I49" s="369" t="n">
        <v>0</v>
      </c>
      <c r="J49" s="674" t="n">
        <v>11902</v>
      </c>
      <c r="K49" s="675" t="n">
        <v>7.561754327003865</v>
      </c>
      <c r="L49" s="385" t="n">
        <v>0</v>
      </c>
      <c r="M49" s="374" t="n">
        <v>0.1666666666666667</v>
      </c>
      <c r="N49" s="370" t="n">
        <v>1966</v>
      </c>
      <c r="O49" s="370" t="n">
        <v>1804</v>
      </c>
      <c r="P49" s="370" t="n">
        <v>0</v>
      </c>
      <c r="Q49" s="370" t="n">
        <v>15</v>
      </c>
      <c r="R49" s="370" t="n">
        <v>1</v>
      </c>
      <c r="S49" s="370" t="n">
        <v>1</v>
      </c>
      <c r="T49" s="369" t="inlineStr">
        <is>
          <t xml:space="preserve">I-A         </t>
        </is>
      </c>
      <c r="U49" s="370" t="n">
        <v>398</v>
      </c>
      <c r="V49" s="674" t="n">
        <v>27923</v>
      </c>
      <c r="W49" s="674" t="n">
        <v>28000</v>
      </c>
      <c r="X49" s="676" t="inlineStr">
        <is>
          <t>2.3:1</t>
        </is>
      </c>
      <c r="Y49" s="674" t="n">
        <v>12000</v>
      </c>
      <c r="Z49" s="369" t="inlineStr">
        <is>
          <t xml:space="preserve">C </t>
        </is>
      </c>
      <c r="AA49" s="370" t="n"/>
      <c r="AB49" s="370" t="n"/>
      <c r="AC49" s="370" t="n"/>
      <c r="AD49" s="370" t="inlineStr">
        <is>
          <t xml:space="preserve">DIST WAREHOUSE      </t>
        </is>
      </c>
      <c r="AE49" s="370" t="n"/>
      <c r="AF49" s="370" t="n"/>
      <c r="AG49" s="370" t="n"/>
      <c r="AH49" s="370" t="n"/>
      <c r="AI49" s="370" t="n"/>
      <c r="AK49" s="370" t="inlineStr">
        <is>
          <t>                                                                  </t>
        </is>
      </c>
      <c r="AL49" s="370" t="n"/>
      <c r="AM49" s="370" t="n"/>
      <c r="AN49" s="370" t="n"/>
      <c r="AO49" s="370" t="n"/>
      <c r="AP49" s="370" t="n"/>
      <c r="AQ49" s="370" t="n"/>
    </row>
    <row r="50">
      <c r="A50" s="383" t="n">
        <v>6</v>
      </c>
      <c r="B50" s="370" t="n">
        <v>45</v>
      </c>
      <c r="C50" s="370" t="inlineStr">
        <is>
          <t>2013Q</t>
        </is>
      </c>
      <c r="D50" s="370" t="inlineStr">
        <is>
          <t xml:space="preserve">01194-03-002-000 </t>
        </is>
      </c>
      <c r="E50" s="369" t="inlineStr">
        <is>
          <t>Actual</t>
        </is>
      </c>
      <c r="F50" s="370" t="inlineStr">
        <is>
          <t>3875   ELM                  ST</t>
        </is>
      </c>
      <c r="G50" s="370" t="n">
        <v>44.1</v>
      </c>
      <c r="H50" s="370" t="n">
        <v>9101</v>
      </c>
      <c r="I50" s="369" t="n">
        <v>0</v>
      </c>
      <c r="J50" s="674" t="n">
        <v>7200</v>
      </c>
      <c r="K50" s="675" t="n">
        <v>6.333333333333333</v>
      </c>
      <c r="L50" s="385" t="n">
        <v>0</v>
      </c>
      <c r="M50" s="374" t="n">
        <v>0.02695175438596491</v>
      </c>
      <c r="N50" s="370" t="n">
        <v>1962</v>
      </c>
      <c r="O50" s="370" t="n">
        <v>2411</v>
      </c>
      <c r="P50" s="370" t="n">
        <v>0</v>
      </c>
      <c r="Q50" s="370" t="n">
        <v>12</v>
      </c>
      <c r="R50" s="370" t="n">
        <v>3</v>
      </c>
      <c r="S50" s="370" t="n">
        <v>1</v>
      </c>
      <c r="T50" s="369" t="inlineStr">
        <is>
          <t xml:space="preserve">I-MX-3      </t>
        </is>
      </c>
      <c r="U50" s="370" t="n">
        <v>398</v>
      </c>
      <c r="V50" s="674" t="n">
        <v>19800</v>
      </c>
      <c r="W50" s="674" t="n">
        <v>20000</v>
      </c>
      <c r="X50" s="676" t="inlineStr">
        <is>
          <t>2.8:1</t>
        </is>
      </c>
      <c r="Y50" s="674" t="n">
        <v>7000</v>
      </c>
      <c r="Z50" s="369" t="inlineStr">
        <is>
          <t xml:space="preserve">C </t>
        </is>
      </c>
      <c r="AA50" s="370" t="n"/>
      <c r="AB50" s="370" t="n"/>
      <c r="AC50" s="370" t="n"/>
      <c r="AD50" s="370" t="inlineStr">
        <is>
          <t xml:space="preserve">DIST    AIRPRO      </t>
        </is>
      </c>
      <c r="AE50" s="370" t="n"/>
      <c r="AF50" s="370" t="n"/>
      <c r="AG50" s="370" t="n"/>
      <c r="AH50" s="370" t="n"/>
      <c r="AI50" s="370" t="n"/>
      <c r="AK50" s="370" t="inlineStr">
        <is>
          <t>                                                                  </t>
        </is>
      </c>
      <c r="AL50" s="370" t="n"/>
      <c r="AM50" s="370" t="n"/>
      <c r="AN50" s="370" t="n"/>
      <c r="AO50" s="370" t="n"/>
      <c r="AP50" s="370" t="n"/>
      <c r="AQ50" s="370" t="n"/>
    </row>
    <row r="51">
      <c r="A51" s="383" t="n">
        <v>6</v>
      </c>
      <c r="B51" s="370" t="n">
        <v>46</v>
      </c>
      <c r="C51" s="370" t="inlineStr">
        <is>
          <t>2013Q</t>
        </is>
      </c>
      <c r="D51" s="370" t="inlineStr">
        <is>
          <t xml:space="preserve">01194-03-006-000 </t>
        </is>
      </c>
      <c r="E51" s="369" t="inlineStr">
        <is>
          <t>Actual</t>
        </is>
      </c>
      <c r="F51" s="370" t="inlineStr">
        <is>
          <t>4940 E 39TH                 AV</t>
        </is>
      </c>
      <c r="G51" s="370" t="n">
        <v>43.2</v>
      </c>
      <c r="H51" s="370" t="n">
        <v>9101</v>
      </c>
      <c r="I51" s="369" t="n">
        <v>0</v>
      </c>
      <c r="J51" s="674" t="n">
        <v>6272</v>
      </c>
      <c r="K51" s="675" t="n">
        <v>7.436383928571429</v>
      </c>
      <c r="L51" s="385" t="n">
        <v>0</v>
      </c>
      <c r="M51" s="374" t="n">
        <v>0.05866083488775969</v>
      </c>
      <c r="N51" s="370" t="n">
        <v>1966</v>
      </c>
      <c r="O51" s="370" t="n">
        <v>1040</v>
      </c>
      <c r="P51" s="370" t="n">
        <v>0</v>
      </c>
      <c r="Q51" s="370" t="n">
        <v>12</v>
      </c>
      <c r="R51" s="370" t="n">
        <v>1</v>
      </c>
      <c r="S51" s="370" t="n">
        <v>1</v>
      </c>
      <c r="T51" s="369" t="inlineStr">
        <is>
          <t xml:space="preserve">I-A         </t>
        </is>
      </c>
      <c r="U51" s="370" t="n">
        <v>401</v>
      </c>
      <c r="V51" s="674" t="n">
        <v>12951</v>
      </c>
      <c r="W51" s="674" t="n">
        <v>13000</v>
      </c>
      <c r="X51" s="676" t="inlineStr">
        <is>
          <t>2.1:1</t>
        </is>
      </c>
      <c r="Y51" s="674" t="n">
        <v>6000</v>
      </c>
      <c r="Z51" s="369" t="inlineStr">
        <is>
          <t xml:space="preserve">C </t>
        </is>
      </c>
      <c r="AA51" s="370" t="n"/>
      <c r="AB51" s="370" t="n"/>
      <c r="AC51" s="370" t="n"/>
      <c r="AD51" s="370" t="inlineStr">
        <is>
          <t>S-M BC PRINTING INC.</t>
        </is>
      </c>
      <c r="AE51" s="370" t="n"/>
      <c r="AF51" s="370" t="n"/>
      <c r="AG51" s="370" t="n"/>
      <c r="AH51" s="370" t="n"/>
      <c r="AI51" s="370" t="n"/>
      <c r="AK51" s="370" t="inlineStr">
        <is>
          <t>                                                                  </t>
        </is>
      </c>
      <c r="AL51" s="370" t="n"/>
      <c r="AM51" s="370" t="n"/>
      <c r="AN51" s="370" t="n"/>
      <c r="AO51" s="370" t="n"/>
      <c r="AP51" s="370" t="n"/>
      <c r="AQ51" s="370" t="n"/>
    </row>
    <row r="52">
      <c r="A52" s="383" t="n">
        <v>6</v>
      </c>
      <c r="B52" s="370" t="n">
        <v>47</v>
      </c>
      <c r="C52" s="370" t="inlineStr">
        <is>
          <t>2013Q</t>
        </is>
      </c>
      <c r="D52" s="370" t="inlineStr">
        <is>
          <t xml:space="preserve">01194-04-001-000 </t>
        </is>
      </c>
      <c r="E52" s="369" t="inlineStr">
        <is>
          <t>Actual</t>
        </is>
      </c>
      <c r="F52" s="370" t="inlineStr">
        <is>
          <t>3835   ELM                  ST</t>
        </is>
      </c>
      <c r="G52" s="370" t="n">
        <v>44.2</v>
      </c>
      <c r="H52" s="370" t="n">
        <v>9101</v>
      </c>
      <c r="I52" s="369" t="n">
        <v>0</v>
      </c>
      <c r="J52" s="674" t="n">
        <v>18000</v>
      </c>
      <c r="K52" s="675" t="n">
        <v>5.239539114614918</v>
      </c>
      <c r="L52" s="385" t="n">
        <v>0</v>
      </c>
      <c r="M52" s="374" t="n">
        <v>0</v>
      </c>
      <c r="N52" s="370" t="n">
        <v>1962</v>
      </c>
      <c r="O52" s="370" t="n">
        <v>9120</v>
      </c>
      <c r="P52" s="370" t="n">
        <v>0</v>
      </c>
      <c r="Q52" s="370" t="n">
        <v>13</v>
      </c>
      <c r="R52" s="370" t="n">
        <v>3</v>
      </c>
      <c r="S52" s="370" t="n">
        <v>6</v>
      </c>
      <c r="T52" s="369" t="inlineStr">
        <is>
          <t xml:space="preserve">I-MX-3      </t>
        </is>
      </c>
      <c r="U52" s="370" t="n">
        <v>398</v>
      </c>
      <c r="V52" s="674" t="n">
        <v>41400</v>
      </c>
      <c r="W52" s="674" t="n">
        <v>41000</v>
      </c>
      <c r="X52" s="676" t="inlineStr">
        <is>
          <t>2.3:1</t>
        </is>
      </c>
      <c r="Y52" s="674" t="n">
        <v>18000</v>
      </c>
      <c r="Z52" s="369" t="inlineStr">
        <is>
          <t xml:space="preserve">C </t>
        </is>
      </c>
      <c r="AA52" s="370" t="n"/>
      <c r="AB52" s="370" t="n"/>
      <c r="AC52" s="370" t="n"/>
      <c r="AD52" s="370" t="inlineStr">
        <is>
          <t xml:space="preserve">DIST/MULTI TENANT   </t>
        </is>
      </c>
      <c r="AE52" s="370" t="n"/>
      <c r="AF52" s="370" t="n"/>
      <c r="AG52" s="370" t="n"/>
      <c r="AH52" s="370" t="n"/>
      <c r="AI52" s="370" t="n"/>
      <c r="AK52" s="370" t="inlineStr">
        <is>
          <t xml:space="preserve">EXP LEFT OUT BECAUSE OWNER PAYS WAY TOO MUCH.                     </t>
        </is>
      </c>
      <c r="AL52" s="370" t="n"/>
      <c r="AM52" s="370" t="n"/>
      <c r="AN52" s="370" t="n"/>
      <c r="AO52" s="370" t="n"/>
      <c r="AP52" s="370" t="n"/>
      <c r="AQ52" s="370" t="n"/>
    </row>
    <row r="53">
      <c r="A53" s="383" t="n">
        <v>6</v>
      </c>
      <c r="B53" s="370" t="n">
        <v>48</v>
      </c>
      <c r="C53" s="370" t="inlineStr">
        <is>
          <t>2013Q</t>
        </is>
      </c>
      <c r="D53" s="370" t="inlineStr">
        <is>
          <t xml:space="preserve">01201-00-042-000 </t>
        </is>
      </c>
      <c r="E53" s="369" t="inlineStr">
        <is>
          <t>Actual</t>
        </is>
      </c>
      <c r="F53" s="370" t="inlineStr">
        <is>
          <t>4300   MONACO               PY</t>
        </is>
      </c>
      <c r="G53" s="370" t="n">
        <v>44.2</v>
      </c>
      <c r="H53" s="370" t="n">
        <v>9101</v>
      </c>
      <c r="I53" s="369" t="n">
        <v>0</v>
      </c>
      <c r="J53" s="674" t="n">
        <v>20000</v>
      </c>
      <c r="K53" s="675" t="n">
        <v>2.92</v>
      </c>
      <c r="L53" s="385" t="n">
        <v>0</v>
      </c>
      <c r="M53" s="374" t="n">
        <v>0</v>
      </c>
      <c r="N53" s="370" t="n">
        <v>1969</v>
      </c>
      <c r="O53" s="370" t="n">
        <v>2350</v>
      </c>
      <c r="P53" s="370" t="n">
        <v>0</v>
      </c>
      <c r="Q53" s="370" t="n">
        <v>20</v>
      </c>
      <c r="R53" s="370" t="n">
        <v>3</v>
      </c>
      <c r="S53" s="370" t="n">
        <v>1</v>
      </c>
      <c r="T53" s="369" t="inlineStr">
        <is>
          <t xml:space="preserve">I-B         </t>
        </is>
      </c>
      <c r="U53" s="370" t="n">
        <v>398</v>
      </c>
      <c r="V53" s="674" t="n">
        <v>63328</v>
      </c>
      <c r="W53" s="674" t="n">
        <v>63000</v>
      </c>
      <c r="X53" s="676" t="inlineStr">
        <is>
          <t>3.2:1</t>
        </is>
      </c>
      <c r="Y53" s="674" t="n">
        <v>20000</v>
      </c>
      <c r="Z53" s="369" t="inlineStr">
        <is>
          <t xml:space="preserve">C </t>
        </is>
      </c>
      <c r="AA53" s="370" t="n"/>
      <c r="AB53" s="370" t="n"/>
      <c r="AC53" s="370" t="n"/>
      <c r="AD53" s="370" t="inlineStr">
        <is>
          <t>                    </t>
        </is>
      </c>
      <c r="AE53" s="370" t="n"/>
      <c r="AF53" s="370" t="n"/>
      <c r="AG53" s="370" t="n"/>
      <c r="AH53" s="370" t="n"/>
      <c r="AI53" s="370" t="n"/>
      <c r="AK53" s="370" t="inlineStr">
        <is>
          <t xml:space="preserve">NNN LEASE SIGNED 10/2011 -- SOURCE: COSTAR                        </t>
        </is>
      </c>
      <c r="AL53" s="370" t="n"/>
      <c r="AM53" s="370" t="n"/>
      <c r="AN53" s="370" t="n"/>
      <c r="AO53" s="370" t="n"/>
      <c r="AP53" s="370" t="n"/>
      <c r="AQ53" s="370" t="n"/>
    </row>
    <row r="54">
      <c r="A54" s="383" t="n">
        <v>6</v>
      </c>
      <c r="B54" s="370" t="n">
        <v>49</v>
      </c>
      <c r="C54" s="370" t="inlineStr">
        <is>
          <t>2013Q</t>
        </is>
      </c>
      <c r="D54" s="370" t="inlineStr">
        <is>
          <t xml:space="preserve">01201-19-020-000 </t>
        </is>
      </c>
      <c r="E54" s="369" t="inlineStr">
        <is>
          <t>Actual</t>
        </is>
      </c>
      <c r="F54" s="370" t="inlineStr">
        <is>
          <t>6804 E 48TH                 AV</t>
        </is>
      </c>
      <c r="G54" s="370" t="n">
        <v>44.2</v>
      </c>
      <c r="H54" s="370" t="n">
        <v>9101</v>
      </c>
      <c r="I54" s="369" t="n">
        <v>0</v>
      </c>
      <c r="J54" s="674" t="n">
        <v>46464</v>
      </c>
      <c r="K54" s="675" t="n">
        <v>6.149255337465565</v>
      </c>
      <c r="L54" s="385" t="n">
        <v>0.37</v>
      </c>
      <c r="M54" s="374" t="n">
        <v>0.09556592316226782</v>
      </c>
      <c r="N54" s="370" t="n">
        <v>1973</v>
      </c>
      <c r="O54" s="370" t="n">
        <v>5987</v>
      </c>
      <c r="P54" s="370" t="n">
        <v>0</v>
      </c>
      <c r="Q54" s="370" t="n">
        <v>15</v>
      </c>
      <c r="R54" s="370" t="n">
        <v>10</v>
      </c>
      <c r="S54" s="370" t="n">
        <v>8</v>
      </c>
      <c r="T54" s="369" t="inlineStr">
        <is>
          <t xml:space="preserve">I-B         </t>
        </is>
      </c>
      <c r="U54" s="370" t="n">
        <v>398</v>
      </c>
      <c r="V54" s="674" t="n">
        <v>97473</v>
      </c>
      <c r="W54" s="674" t="n">
        <v>97000</v>
      </c>
      <c r="X54" s="676" t="inlineStr">
        <is>
          <t>2.1:1</t>
        </is>
      </c>
      <c r="Y54" s="674" t="n">
        <v>46000</v>
      </c>
      <c r="Z54" s="369" t="inlineStr">
        <is>
          <t xml:space="preserve">C </t>
        </is>
      </c>
      <c r="AA54" s="370" t="n"/>
      <c r="AB54" s="370" t="n"/>
      <c r="AC54" s="370" t="n"/>
      <c r="AD54" s="370" t="inlineStr">
        <is>
          <t>                    </t>
        </is>
      </c>
      <c r="AE54" s="370" t="n"/>
      <c r="AF54" s="370" t="n"/>
      <c r="AG54" s="370" t="n"/>
      <c r="AH54" s="370" t="n"/>
      <c r="AI54" s="370" t="n"/>
      <c r="AK54" s="370" t="inlineStr">
        <is>
          <t>                                                                  </t>
        </is>
      </c>
      <c r="AL54" s="370" t="n"/>
      <c r="AM54" s="370" t="n"/>
      <c r="AN54" s="370" t="n"/>
      <c r="AO54" s="370" t="n"/>
      <c r="AP54" s="370" t="n"/>
      <c r="AQ54" s="370" t="n"/>
    </row>
    <row r="55">
      <c r="A55" s="383" t="n">
        <v>6</v>
      </c>
      <c r="B55" s="370" t="n">
        <v>50</v>
      </c>
      <c r="C55" s="370" t="inlineStr">
        <is>
          <t>2013Q</t>
        </is>
      </c>
      <c r="D55" s="370" t="inlineStr">
        <is>
          <t xml:space="preserve">01201-21-030-030 </t>
        </is>
      </c>
      <c r="E55" s="369" t="inlineStr">
        <is>
          <t>Actual</t>
        </is>
      </c>
      <c r="F55" s="370" t="inlineStr">
        <is>
          <t>7030 E 46TH AVENUE          DR</t>
        </is>
      </c>
      <c r="G55" s="370" t="n">
        <v>44.8</v>
      </c>
      <c r="H55" s="370" t="n">
        <v>9101</v>
      </c>
      <c r="I55" s="369" t="n">
        <v>0</v>
      </c>
      <c r="J55" s="674" t="n">
        <v>1688</v>
      </c>
      <c r="K55" s="675" t="n">
        <v>7.819905213270142</v>
      </c>
      <c r="L55" s="385" t="n">
        <v>0</v>
      </c>
      <c r="M55" s="374" t="n">
        <v>0.1703787878787879</v>
      </c>
      <c r="N55" s="370" t="n">
        <v>2003</v>
      </c>
      <c r="O55" s="370" t="n">
        <v>520</v>
      </c>
      <c r="P55" s="370" t="n">
        <v>0</v>
      </c>
      <c r="Q55" s="370" t="n">
        <v>22</v>
      </c>
      <c r="R55" s="370" t="n">
        <v>14</v>
      </c>
      <c r="S55" s="370" t="n">
        <v>1</v>
      </c>
      <c r="T55" s="369" t="inlineStr">
        <is>
          <t xml:space="preserve">I-B         </t>
        </is>
      </c>
      <c r="U55" s="370" t="n">
        <v>398</v>
      </c>
      <c r="V55" s="674" t="n">
        <v>4383</v>
      </c>
      <c r="W55" s="674" t="n">
        <v>4000</v>
      </c>
      <c r="X55" s="676" t="inlineStr">
        <is>
          <t>2.6:1</t>
        </is>
      </c>
      <c r="Y55" s="674" t="n">
        <v>2000</v>
      </c>
      <c r="Z55" s="369" t="inlineStr">
        <is>
          <t xml:space="preserve">C </t>
        </is>
      </c>
      <c r="AA55" s="370" t="n"/>
      <c r="AB55" s="370" t="n"/>
      <c r="AC55" s="370" t="n"/>
      <c r="AD55" s="370" t="inlineStr">
        <is>
          <t xml:space="preserve">UNIT #D             </t>
        </is>
      </c>
      <c r="AE55" s="370" t="n"/>
      <c r="AF55" s="370" t="n"/>
      <c r="AG55" s="370" t="n"/>
      <c r="AH55" s="370" t="n"/>
      <c r="AI55" s="370" t="n"/>
      <c r="AK55" s="370" t="inlineStr">
        <is>
          <t>                                                                  </t>
        </is>
      </c>
      <c r="AL55" s="370" t="n"/>
      <c r="AM55" s="370" t="n"/>
      <c r="AN55" s="370" t="n"/>
      <c r="AO55" s="370" t="n"/>
      <c r="AP55" s="370" t="n"/>
      <c r="AQ55" s="370" t="n"/>
    </row>
    <row r="56">
      <c r="A56" s="383" t="n">
        <v>6</v>
      </c>
      <c r="B56" s="370" t="n">
        <v>51</v>
      </c>
      <c r="C56" s="370" t="inlineStr">
        <is>
          <t>2013Q</t>
        </is>
      </c>
      <c r="D56" s="370" t="inlineStr">
        <is>
          <t xml:space="preserve">01201-21-045-045 </t>
        </is>
      </c>
      <c r="E56" s="369" t="inlineStr">
        <is>
          <t>Actual</t>
        </is>
      </c>
      <c r="F56" s="370" t="inlineStr">
        <is>
          <t>4601   QUEBEC               ST</t>
        </is>
      </c>
      <c r="G56" s="370" t="n">
        <v>44.8</v>
      </c>
      <c r="H56" s="370" t="n">
        <v>9101</v>
      </c>
      <c r="I56" s="369" t="n">
        <v>0</v>
      </c>
      <c r="J56" s="674" t="n">
        <v>3567</v>
      </c>
      <c r="K56" s="675" t="n">
        <v>12.11101766190076</v>
      </c>
      <c r="L56" s="385" t="n">
        <v>0</v>
      </c>
      <c r="M56" s="374" t="n">
        <v>0</v>
      </c>
      <c r="N56" s="370" t="n">
        <v>2004</v>
      </c>
      <c r="O56" s="370" t="n">
        <v>0</v>
      </c>
      <c r="P56" s="370" t="n">
        <v>0</v>
      </c>
      <c r="Q56" s="370" t="n">
        <v>18</v>
      </c>
      <c r="R56" s="370" t="n">
        <v>14</v>
      </c>
      <c r="S56" s="370" t="n">
        <v>1</v>
      </c>
      <c r="T56" s="369" t="inlineStr">
        <is>
          <t xml:space="preserve">I-B         </t>
        </is>
      </c>
      <c r="U56" s="370" t="n">
        <v>398</v>
      </c>
      <c r="V56" s="674" t="n">
        <v>8767</v>
      </c>
      <c r="W56" s="674" t="n">
        <v>9000</v>
      </c>
      <c r="X56" s="676" t="inlineStr">
        <is>
          <t>2.5:1</t>
        </is>
      </c>
      <c r="Y56" s="674" t="n">
        <v>4000</v>
      </c>
      <c r="Z56" s="369" t="inlineStr">
        <is>
          <t xml:space="preserve">C </t>
        </is>
      </c>
      <c r="AA56" s="370" t="n"/>
      <c r="AB56" s="370" t="n"/>
      <c r="AC56" s="370" t="n"/>
      <c r="AD56" s="370" t="inlineStr">
        <is>
          <t xml:space="preserve">C-10 (J) STPL BUS   </t>
        </is>
      </c>
      <c r="AE56" s="370" t="n"/>
      <c r="AF56" s="370" t="n"/>
      <c r="AG56" s="370" t="n"/>
      <c r="AH56" s="370" t="n"/>
      <c r="AI56" s="370" t="n"/>
      <c r="AK56" s="370" t="inlineStr">
        <is>
          <t xml:space="preserve">LEASE COMMENCEMENT DATE UNKNOWN.                                  </t>
        </is>
      </c>
      <c r="AL56" s="370" t="n"/>
      <c r="AM56" s="370" t="n"/>
      <c r="AN56" s="370" t="n"/>
      <c r="AO56" s="370" t="n"/>
      <c r="AP56" s="370" t="n"/>
      <c r="AQ56" s="370" t="n"/>
    </row>
    <row r="57">
      <c r="A57" s="383" t="n">
        <v>6</v>
      </c>
      <c r="B57" s="370" t="n">
        <v>52</v>
      </c>
      <c r="C57" s="370" t="inlineStr">
        <is>
          <t>2013Q</t>
        </is>
      </c>
      <c r="D57" s="370" t="inlineStr">
        <is>
          <t xml:space="preserve">01201-21-055-055 </t>
        </is>
      </c>
      <c r="E57" s="369" t="inlineStr">
        <is>
          <t>Actual</t>
        </is>
      </c>
      <c r="F57" s="370" t="inlineStr">
        <is>
          <t>4605   QUEBEC               ST</t>
        </is>
      </c>
      <c r="G57" s="370" t="n">
        <v>44.8</v>
      </c>
      <c r="H57" s="370" t="n">
        <v>9101</v>
      </c>
      <c r="I57" s="369" t="n">
        <v>0</v>
      </c>
      <c r="J57" s="674" t="n">
        <v>1433</v>
      </c>
      <c r="K57" s="675" t="n">
        <v>8.374040474528961</v>
      </c>
      <c r="L57" s="385" t="n">
        <v>0</v>
      </c>
      <c r="M57" s="374" t="n">
        <v>0.4835833333333333</v>
      </c>
      <c r="N57" s="370" t="n">
        <v>2007</v>
      </c>
      <c r="O57" s="370" t="n">
        <v>0</v>
      </c>
      <c r="P57" s="370" t="n">
        <v>0</v>
      </c>
      <c r="Q57" s="370" t="n">
        <v>18</v>
      </c>
      <c r="R57" s="370" t="n">
        <v>14</v>
      </c>
      <c r="S57" s="370" t="n">
        <v>1</v>
      </c>
      <c r="T57" s="369" t="inlineStr">
        <is>
          <t xml:space="preserve">I-B         </t>
        </is>
      </c>
      <c r="U57" s="370" t="n">
        <v>398</v>
      </c>
      <c r="V57" s="674" t="n">
        <v>3783</v>
      </c>
      <c r="W57" s="674" t="n">
        <v>4000</v>
      </c>
      <c r="X57" s="676" t="inlineStr">
        <is>
          <t>2.6:1</t>
        </is>
      </c>
      <c r="Y57" s="674" t="n">
        <v>1000</v>
      </c>
      <c r="Z57" s="369" t="inlineStr">
        <is>
          <t xml:space="preserve">C </t>
        </is>
      </c>
      <c r="AA57" s="370" t="n"/>
      <c r="AB57" s="370" t="n"/>
      <c r="AC57" s="370" t="n"/>
      <c r="AD57" s="370" t="inlineStr">
        <is>
          <t xml:space="preserve">UNIT J-4605 QUEBEC  </t>
        </is>
      </c>
      <c r="AE57" s="370" t="n"/>
      <c r="AF57" s="370" t="n"/>
      <c r="AG57" s="370" t="n"/>
      <c r="AH57" s="370" t="n"/>
      <c r="AI57" s="370" t="n"/>
      <c r="AK57" s="370" t="inlineStr">
        <is>
          <t>                                                                  </t>
        </is>
      </c>
      <c r="AL57" s="370" t="n"/>
      <c r="AM57" s="370" t="n"/>
      <c r="AN57" s="370" t="n"/>
      <c r="AO57" s="370" t="n"/>
      <c r="AP57" s="370" t="n"/>
      <c r="AQ57" s="370" t="n"/>
    </row>
    <row r="58">
      <c r="A58" s="383" t="n">
        <v>6</v>
      </c>
      <c r="B58" s="370" t="n">
        <v>53</v>
      </c>
      <c r="C58" s="370" t="inlineStr">
        <is>
          <t>2013Q</t>
        </is>
      </c>
      <c r="D58" s="370" t="inlineStr">
        <is>
          <t xml:space="preserve">01201-21-056-056 </t>
        </is>
      </c>
      <c r="E58" s="369" t="inlineStr">
        <is>
          <t>Actual</t>
        </is>
      </c>
      <c r="F58" s="370" t="inlineStr">
        <is>
          <t>4605   QUEBEC               ST</t>
        </is>
      </c>
      <c r="G58" s="370" t="n">
        <v>44.8</v>
      </c>
      <c r="H58" s="370" t="n">
        <v>9101</v>
      </c>
      <c r="I58" s="369" t="n">
        <v>0</v>
      </c>
      <c r="J58" s="674" t="n">
        <v>1433</v>
      </c>
      <c r="K58" s="675" t="n">
        <v>9.043963712491276</v>
      </c>
      <c r="L58" s="385" t="n">
        <v>0</v>
      </c>
      <c r="M58" s="374" t="n">
        <v>0</v>
      </c>
      <c r="N58" s="370" t="n">
        <v>2007</v>
      </c>
      <c r="O58" s="370" t="n">
        <v>0</v>
      </c>
      <c r="P58" s="370" t="n">
        <v>0</v>
      </c>
      <c r="Q58" s="370" t="n">
        <v>18</v>
      </c>
      <c r="R58" s="370" t="n">
        <v>14</v>
      </c>
      <c r="S58" s="370" t="n">
        <v>1</v>
      </c>
      <c r="T58" s="369" t="inlineStr">
        <is>
          <t xml:space="preserve">I-B         </t>
        </is>
      </c>
      <c r="U58" s="370" t="n">
        <v>398</v>
      </c>
      <c r="V58" s="674" t="n">
        <v>3783</v>
      </c>
      <c r="W58" s="674" t="n">
        <v>4000</v>
      </c>
      <c r="X58" s="676" t="inlineStr">
        <is>
          <t>2.6:1</t>
        </is>
      </c>
      <c r="Y58" s="674" t="n">
        <v>1000</v>
      </c>
      <c r="Z58" s="369" t="inlineStr">
        <is>
          <t xml:space="preserve">C </t>
        </is>
      </c>
      <c r="AA58" s="370" t="n"/>
      <c r="AB58" s="370" t="n"/>
      <c r="AC58" s="370" t="n"/>
      <c r="AD58" s="370" t="inlineStr">
        <is>
          <t xml:space="preserve">UNIT K-4605 QUEBEC  </t>
        </is>
      </c>
      <c r="AE58" s="370" t="n"/>
      <c r="AF58" s="370" t="n"/>
      <c r="AG58" s="370" t="n"/>
      <c r="AH58" s="370" t="n"/>
      <c r="AI58" s="370" t="n"/>
      <c r="AK58" s="370" t="inlineStr">
        <is>
          <t xml:space="preserve">2010 LEASE.                                                       </t>
        </is>
      </c>
      <c r="AL58" s="370" t="n"/>
      <c r="AM58" s="370" t="n"/>
      <c r="AN58" s="370" t="n"/>
      <c r="AO58" s="370" t="n"/>
      <c r="AP58" s="370" t="n"/>
      <c r="AQ58" s="370" t="n"/>
    </row>
    <row r="59">
      <c r="A59" s="383" t="n">
        <v>6</v>
      </c>
      <c r="B59" s="370" t="n">
        <v>54</v>
      </c>
      <c r="C59" s="370" t="inlineStr">
        <is>
          <t>2013Q</t>
        </is>
      </c>
      <c r="D59" s="370" t="inlineStr">
        <is>
          <t xml:space="preserve">01201-21-057-057 </t>
        </is>
      </c>
      <c r="E59" s="369" t="inlineStr">
        <is>
          <t>Actual</t>
        </is>
      </c>
      <c r="F59" s="370" t="inlineStr">
        <is>
          <t>4605   QUEBEC               ST</t>
        </is>
      </c>
      <c r="G59" s="370" t="n">
        <v>44.8</v>
      </c>
      <c r="H59" s="370" t="n">
        <v>9101</v>
      </c>
      <c r="I59" s="369" t="n">
        <v>0</v>
      </c>
      <c r="J59" s="674" t="n">
        <v>3396</v>
      </c>
      <c r="K59" s="675" t="n">
        <v>8.904593639575971</v>
      </c>
      <c r="L59" s="385" t="n">
        <v>0</v>
      </c>
      <c r="M59" s="374" t="n">
        <v>0</v>
      </c>
      <c r="N59" s="370" t="n">
        <v>2007</v>
      </c>
      <c r="O59" s="370" t="n">
        <v>0</v>
      </c>
      <c r="P59" s="370" t="n">
        <v>0</v>
      </c>
      <c r="Q59" s="370" t="n">
        <v>18</v>
      </c>
      <c r="R59" s="370" t="n">
        <v>14</v>
      </c>
      <c r="S59" s="370" t="n">
        <v>1</v>
      </c>
      <c r="T59" s="369" t="inlineStr">
        <is>
          <t xml:space="preserve">I-B         </t>
        </is>
      </c>
      <c r="U59" s="370" t="n">
        <v>398</v>
      </c>
      <c r="V59" s="674" t="n">
        <v>8767</v>
      </c>
      <c r="W59" s="674" t="n">
        <v>9000</v>
      </c>
      <c r="X59" s="676" t="inlineStr">
        <is>
          <t>2.6:1</t>
        </is>
      </c>
      <c r="Y59" s="674" t="n">
        <v>3000</v>
      </c>
      <c r="Z59" s="369" t="inlineStr">
        <is>
          <t xml:space="preserve">C </t>
        </is>
      </c>
      <c r="AA59" s="370" t="n"/>
      <c r="AB59" s="370" t="n"/>
      <c r="AC59" s="370" t="n"/>
      <c r="AD59" s="370" t="inlineStr">
        <is>
          <t xml:space="preserve">UNIT BLDG 3         </t>
        </is>
      </c>
      <c r="AE59" s="370" t="n"/>
      <c r="AF59" s="370" t="n"/>
      <c r="AG59" s="370" t="n"/>
      <c r="AH59" s="370" t="n"/>
      <c r="AI59" s="370" t="n"/>
      <c r="AK59" s="370" t="inlineStr">
        <is>
          <t xml:space="preserve">2010 LEASE.                                                       </t>
        </is>
      </c>
      <c r="AL59" s="370" t="n"/>
      <c r="AM59" s="370" t="n"/>
      <c r="AN59" s="370" t="n"/>
      <c r="AO59" s="370" t="n"/>
      <c r="AP59" s="370" t="n"/>
      <c r="AQ59" s="370" t="n"/>
    </row>
    <row r="60">
      <c r="A60" s="383" t="n">
        <v>6</v>
      </c>
      <c r="B60" s="370" t="n">
        <v>55</v>
      </c>
      <c r="C60" s="370" t="inlineStr">
        <is>
          <t>2013Q</t>
        </is>
      </c>
      <c r="D60" s="370" t="inlineStr">
        <is>
          <t xml:space="preserve">01202-00-064-000 </t>
        </is>
      </c>
      <c r="E60" s="369" t="inlineStr">
        <is>
          <t>Actual</t>
        </is>
      </c>
      <c r="F60" s="370" t="inlineStr">
        <is>
          <t>4686   IVY                  ST</t>
        </is>
      </c>
      <c r="G60" s="370" t="n">
        <v>44.2</v>
      </c>
      <c r="H60" s="370" t="n">
        <v>9101</v>
      </c>
      <c r="I60" s="369" t="n">
        <v>0</v>
      </c>
      <c r="J60" s="674" t="n">
        <v>61468</v>
      </c>
      <c r="K60" s="675" t="n">
        <v>4.37442246372096</v>
      </c>
      <c r="L60" s="385" t="n">
        <v>0</v>
      </c>
      <c r="M60" s="374" t="n">
        <v>0</v>
      </c>
      <c r="N60" s="370" t="n">
        <v>1962</v>
      </c>
      <c r="O60" s="370" t="n">
        <v>9200</v>
      </c>
      <c r="P60" s="370" t="n">
        <v>0</v>
      </c>
      <c r="Q60" s="370" t="n">
        <v>20</v>
      </c>
      <c r="R60" s="370" t="n">
        <v>1</v>
      </c>
      <c r="S60" s="370" t="n">
        <v>1</v>
      </c>
      <c r="T60" s="369" t="inlineStr">
        <is>
          <t xml:space="preserve">I-B         </t>
        </is>
      </c>
      <c r="U60" s="370" t="n">
        <v>398</v>
      </c>
      <c r="V60" s="674" t="n">
        <v>241619</v>
      </c>
      <c r="W60" s="674" t="n">
        <v>242000</v>
      </c>
      <c r="X60" s="676" t="inlineStr">
        <is>
          <t>3.9:1</t>
        </is>
      </c>
      <c r="Y60" s="674" t="n">
        <v>61000</v>
      </c>
      <c r="Z60" s="369" t="inlineStr">
        <is>
          <t xml:space="preserve">C </t>
        </is>
      </c>
      <c r="AA60" s="370" t="n"/>
      <c r="AB60" s="370" t="n"/>
      <c r="AC60" s="370" t="n"/>
      <c r="AD60" s="370" t="inlineStr">
        <is>
          <t>                    </t>
        </is>
      </c>
      <c r="AE60" s="370" t="n"/>
      <c r="AF60" s="370" t="n"/>
      <c r="AG60" s="370" t="n"/>
      <c r="AH60" s="370" t="n"/>
      <c r="AI60" s="370" t="n"/>
      <c r="AK60" s="370" t="inlineStr">
        <is>
          <t xml:space="preserve">2010 LEASE; NEED BREAKDOWN FOR EXPENSES.                          </t>
        </is>
      </c>
      <c r="AL60" s="370" t="n"/>
      <c r="AM60" s="370" t="n"/>
      <c r="AN60" s="370" t="n"/>
      <c r="AO60" s="370" t="n"/>
      <c r="AP60" s="370" t="n"/>
      <c r="AQ60" s="370" t="n"/>
    </row>
    <row r="61">
      <c r="A61" s="383" t="n">
        <v>6</v>
      </c>
      <c r="B61" s="370" t="n">
        <v>56</v>
      </c>
      <c r="C61" s="370" t="inlineStr">
        <is>
          <t>2013Q</t>
        </is>
      </c>
      <c r="D61" s="370" t="inlineStr">
        <is>
          <t xml:space="preserve">01202-00-071-000 </t>
        </is>
      </c>
      <c r="E61" s="369" t="inlineStr">
        <is>
          <t>Actual</t>
        </is>
      </c>
      <c r="F61" s="370" t="inlineStr">
        <is>
          <t>4571   IVY                  ST</t>
        </is>
      </c>
      <c r="G61" s="370" t="n">
        <v>44.2</v>
      </c>
      <c r="H61" s="370" t="n">
        <v>9101</v>
      </c>
      <c r="I61" s="369" t="n">
        <v>0</v>
      </c>
      <c r="J61" s="674" t="n">
        <v>14628</v>
      </c>
      <c r="K61" s="675" t="n">
        <v>5.318567131528575</v>
      </c>
      <c r="L61" s="385" t="n">
        <v>0</v>
      </c>
      <c r="M61" s="374" t="n">
        <v>0.08949871465295629</v>
      </c>
      <c r="N61" s="370" t="n">
        <v>1970</v>
      </c>
      <c r="O61" s="370" t="n">
        <v>1457</v>
      </c>
      <c r="P61" s="370" t="n">
        <v>0</v>
      </c>
      <c r="Q61" s="370" t="n">
        <v>20</v>
      </c>
      <c r="R61" s="370" t="n">
        <v>14</v>
      </c>
      <c r="S61" s="370" t="n">
        <v>1</v>
      </c>
      <c r="T61" s="369" t="inlineStr">
        <is>
          <t xml:space="preserve">I-B         </t>
        </is>
      </c>
      <c r="U61" s="370" t="n">
        <v>398</v>
      </c>
      <c r="V61" s="674" t="n">
        <v>36853</v>
      </c>
      <c r="W61" s="674" t="n">
        <v>37000</v>
      </c>
      <c r="X61" s="676" t="inlineStr">
        <is>
          <t>2.5:1</t>
        </is>
      </c>
      <c r="Y61" s="674" t="n">
        <v>15000</v>
      </c>
      <c r="Z61" s="369" t="inlineStr">
        <is>
          <t xml:space="preserve">C </t>
        </is>
      </c>
      <c r="AA61" s="370" t="n"/>
      <c r="AB61" s="370" t="n"/>
      <c r="AC61" s="370" t="n"/>
      <c r="AD61" s="370" t="inlineStr">
        <is>
          <t xml:space="preserve">AMERICAN IND G/D    </t>
        </is>
      </c>
      <c r="AE61" s="370" t="n"/>
      <c r="AF61" s="370" t="n"/>
      <c r="AG61" s="370" t="n"/>
      <c r="AH61" s="370" t="n"/>
      <c r="AI61" s="370" t="n"/>
      <c r="AK61" s="370" t="inlineStr">
        <is>
          <t xml:space="preserve">2010 LEASE.                                                       </t>
        </is>
      </c>
      <c r="AL61" s="370" t="n"/>
      <c r="AM61" s="370" t="n"/>
      <c r="AN61" s="370" t="n"/>
      <c r="AO61" s="370" t="n"/>
      <c r="AP61" s="370" t="n"/>
      <c r="AQ61" s="370" t="n"/>
    </row>
    <row r="62">
      <c r="A62" s="383" t="n">
        <v>6</v>
      </c>
      <c r="B62" s="370" t="n">
        <v>57</v>
      </c>
      <c r="C62" s="370" t="inlineStr">
        <is>
          <t>2013Q</t>
        </is>
      </c>
      <c r="D62" s="370" t="inlineStr">
        <is>
          <t xml:space="preserve">01203-00-073-000 </t>
        </is>
      </c>
      <c r="E62" s="369" t="inlineStr">
        <is>
          <t>Actual</t>
        </is>
      </c>
      <c r="F62" s="370" t="inlineStr">
        <is>
          <t>3880   HOLLY                ST</t>
        </is>
      </c>
      <c r="G62" s="370" t="n">
        <v>47.1</v>
      </c>
      <c r="H62" s="370" t="n">
        <v>9101</v>
      </c>
      <c r="I62" s="369" t="n">
        <v>0</v>
      </c>
      <c r="J62" s="674" t="n">
        <v>40388</v>
      </c>
      <c r="K62" s="675" t="n">
        <v>4.288452015450134</v>
      </c>
      <c r="L62" s="385" t="n">
        <v>0</v>
      </c>
      <c r="M62" s="374" t="n">
        <v>0.02886802692809552</v>
      </c>
      <c r="N62" s="370" t="n">
        <v>1965</v>
      </c>
      <c r="O62" s="370" t="n">
        <v>8677</v>
      </c>
      <c r="P62" s="370" t="n">
        <v>0</v>
      </c>
      <c r="Q62" s="370" t="n">
        <v>19</v>
      </c>
      <c r="R62" s="370" t="n">
        <v>4</v>
      </c>
      <c r="S62" s="370" t="n">
        <v>1</v>
      </c>
      <c r="T62" s="369" t="inlineStr">
        <is>
          <t xml:space="preserve">I-MX-3      </t>
        </is>
      </c>
      <c r="U62" s="370" t="n">
        <v>398</v>
      </c>
      <c r="V62" s="674" t="n">
        <v>106128</v>
      </c>
      <c r="W62" s="674" t="n">
        <v>106000</v>
      </c>
      <c r="X62" s="676" t="inlineStr">
        <is>
          <t>2.6:1</t>
        </is>
      </c>
      <c r="Y62" s="674" t="n">
        <v>40000</v>
      </c>
      <c r="Z62" s="369" t="inlineStr">
        <is>
          <t xml:space="preserve">C </t>
        </is>
      </c>
      <c r="AA62" s="370" t="n"/>
      <c r="AB62" s="370" t="n"/>
      <c r="AC62" s="370" t="n"/>
      <c r="AD62" s="370" t="inlineStr">
        <is>
          <t xml:space="preserve">MILE HIGH GROWS     </t>
        </is>
      </c>
      <c r="AE62" s="370" t="n"/>
      <c r="AF62" s="370" t="n"/>
      <c r="AG62" s="370" t="n"/>
      <c r="AH62" s="370" t="n"/>
      <c r="AI62" s="370" t="n"/>
      <c r="AK62" s="370" t="inlineStr">
        <is>
          <t xml:space="preserve">2010 LEASE.                                                       </t>
        </is>
      </c>
      <c r="AL62" s="370" t="n"/>
      <c r="AM62" s="370" t="n"/>
      <c r="AN62" s="370" t="n"/>
      <c r="AO62" s="370" t="n"/>
      <c r="AP62" s="370" t="n"/>
      <c r="AQ62" s="370" t="n"/>
    </row>
    <row r="63">
      <c r="A63" s="383" t="n">
        <v>6</v>
      </c>
      <c r="B63" s="370" t="n">
        <v>58</v>
      </c>
      <c r="C63" s="370" t="inlineStr">
        <is>
          <t>2013Q</t>
        </is>
      </c>
      <c r="D63" s="370" t="inlineStr">
        <is>
          <t xml:space="preserve">01203-00-100-000 </t>
        </is>
      </c>
      <c r="E63" s="369" t="inlineStr">
        <is>
          <t>Actual</t>
        </is>
      </c>
      <c r="F63" s="370" t="inlineStr">
        <is>
          <t>5775 E 39TH                 AV</t>
        </is>
      </c>
      <c r="G63" s="370" t="n">
        <v>44.1</v>
      </c>
      <c r="H63" s="370" t="n">
        <v>9101</v>
      </c>
      <c r="I63" s="369" t="n">
        <v>0</v>
      </c>
      <c r="J63" s="674" t="n">
        <v>25212</v>
      </c>
      <c r="K63" s="675" t="n">
        <v>3.24516103442805</v>
      </c>
      <c r="L63" s="385" t="n">
        <v>0</v>
      </c>
      <c r="M63" s="374" t="n">
        <v>0.1553833555373578</v>
      </c>
      <c r="N63" s="370" t="n">
        <v>1966</v>
      </c>
      <c r="O63" s="370" t="n">
        <v>2989</v>
      </c>
      <c r="P63" s="370" t="n">
        <v>0</v>
      </c>
      <c r="Q63" s="370" t="n">
        <v>17</v>
      </c>
      <c r="R63" s="370" t="n">
        <v>1</v>
      </c>
      <c r="S63" s="370" t="n">
        <v>1</v>
      </c>
      <c r="T63" s="369" t="inlineStr">
        <is>
          <t xml:space="preserve">I-A         </t>
        </is>
      </c>
      <c r="U63" s="370" t="n">
        <v>398</v>
      </c>
      <c r="V63" s="674" t="n">
        <v>38163</v>
      </c>
      <c r="W63" s="674" t="n">
        <v>38000</v>
      </c>
      <c r="X63" s="676" t="inlineStr">
        <is>
          <t>1.5:1</t>
        </is>
      </c>
      <c r="Y63" s="674" t="n">
        <v>25000</v>
      </c>
      <c r="Z63" s="369" t="inlineStr">
        <is>
          <t xml:space="preserve">C </t>
        </is>
      </c>
      <c r="AA63" s="370" t="n"/>
      <c r="AB63" s="370" t="n"/>
      <c r="AC63" s="370" t="n"/>
      <c r="AD63" s="370" t="inlineStr">
        <is>
          <t>                    </t>
        </is>
      </c>
      <c r="AE63" s="370" t="n"/>
      <c r="AF63" s="370" t="n"/>
      <c r="AG63" s="370" t="n"/>
      <c r="AH63" s="370" t="n"/>
      <c r="AI63" s="370" t="n"/>
      <c r="AK63" s="370" t="inlineStr">
        <is>
          <t xml:space="preserve">2010 LEASE.                                                       </t>
        </is>
      </c>
      <c r="AL63" s="370" t="n"/>
      <c r="AM63" s="370" t="n"/>
      <c r="AN63" s="370" t="n"/>
      <c r="AO63" s="370" t="n"/>
      <c r="AP63" s="370" t="n"/>
      <c r="AQ63" s="370" t="n"/>
    </row>
    <row r="64">
      <c r="A64" s="383" t="n">
        <v>6</v>
      </c>
      <c r="B64" s="370" t="n">
        <v>59</v>
      </c>
      <c r="C64" s="370" t="inlineStr">
        <is>
          <t>2013Q</t>
        </is>
      </c>
      <c r="D64" s="370" t="inlineStr">
        <is>
          <t xml:space="preserve">01203-00-134-000 </t>
        </is>
      </c>
      <c r="E64" s="369" t="inlineStr">
        <is>
          <t>Actual</t>
        </is>
      </c>
      <c r="F64" s="370" t="inlineStr">
        <is>
          <t>6300 E 39TH                 AV</t>
        </is>
      </c>
      <c r="G64" s="370" t="n">
        <v>44.1</v>
      </c>
      <c r="H64" s="370" t="n">
        <v>9101</v>
      </c>
      <c r="I64" s="369" t="n">
        <v>0</v>
      </c>
      <c r="J64" s="674" t="n">
        <v>29376</v>
      </c>
      <c r="K64" s="675" t="n">
        <v>4.193423202614379</v>
      </c>
      <c r="L64" s="385" t="n">
        <v>0</v>
      </c>
      <c r="M64" s="374" t="n">
        <v>0</v>
      </c>
      <c r="N64" s="370" t="n">
        <v>1971</v>
      </c>
      <c r="O64" s="370" t="n">
        <v>5721</v>
      </c>
      <c r="P64" s="370" t="n">
        <v>0</v>
      </c>
      <c r="Q64" s="370" t="n">
        <v>22</v>
      </c>
      <c r="R64" s="370" t="n">
        <v>10</v>
      </c>
      <c r="S64" s="370" t="n">
        <v>1</v>
      </c>
      <c r="T64" s="369" t="inlineStr">
        <is>
          <t xml:space="preserve">I-MX-3      </t>
        </is>
      </c>
      <c r="U64" s="370" t="n">
        <v>398</v>
      </c>
      <c r="V64" s="674" t="n">
        <v>61218</v>
      </c>
      <c r="W64" s="674" t="n">
        <v>61000</v>
      </c>
      <c r="X64" s="676" t="inlineStr">
        <is>
          <t>2.1:1</t>
        </is>
      </c>
      <c r="Y64" s="674" t="n">
        <v>29000</v>
      </c>
      <c r="Z64" s="369" t="inlineStr">
        <is>
          <t xml:space="preserve">C </t>
        </is>
      </c>
      <c r="AA64" s="370" t="n"/>
      <c r="AB64" s="370" t="n"/>
      <c r="AC64" s="370" t="n"/>
      <c r="AD64" s="370" t="inlineStr">
        <is>
          <t>                    </t>
        </is>
      </c>
      <c r="AE64" s="370" t="n"/>
      <c r="AF64" s="370" t="n"/>
      <c r="AG64" s="370" t="n"/>
      <c r="AH64" s="370" t="n"/>
      <c r="AI64" s="370" t="n"/>
      <c r="AK64" s="370" t="inlineStr">
        <is>
          <t>                                                                  </t>
        </is>
      </c>
      <c r="AL64" s="370" t="n"/>
      <c r="AM64" s="370" t="n"/>
      <c r="AN64" s="370" t="n"/>
      <c r="AO64" s="370" t="n"/>
      <c r="AP64" s="370" t="n"/>
      <c r="AQ64" s="370" t="n"/>
    </row>
    <row r="65">
      <c r="A65" s="383" t="n">
        <v>6</v>
      </c>
      <c r="B65" s="370" t="n">
        <v>60</v>
      </c>
      <c r="C65" s="370" t="inlineStr">
        <is>
          <t>2013Q</t>
        </is>
      </c>
      <c r="D65" s="370" t="inlineStr">
        <is>
          <t xml:space="preserve">01203-00-160-000 </t>
        </is>
      </c>
      <c r="E65" s="369" t="inlineStr">
        <is>
          <t>Actual</t>
        </is>
      </c>
      <c r="F65" s="370" t="inlineStr">
        <is>
          <t>6211 E 42ND                 AV</t>
        </is>
      </c>
      <c r="G65" s="370" t="n">
        <v>44.6</v>
      </c>
      <c r="H65" s="370" t="n">
        <v>9101</v>
      </c>
      <c r="I65" s="369" t="n">
        <v>0</v>
      </c>
      <c r="J65" s="674" t="n">
        <v>63040</v>
      </c>
      <c r="K65" s="675" t="n">
        <v>8.123110248657431</v>
      </c>
      <c r="L65" s="385" t="n">
        <v>0</v>
      </c>
      <c r="M65" s="374" t="n">
        <v>0</v>
      </c>
      <c r="N65" s="370" t="n">
        <v>1982</v>
      </c>
      <c r="O65" s="370" t="n">
        <v>9601</v>
      </c>
      <c r="P65" s="370" t="n">
        <v>0</v>
      </c>
      <c r="Q65" s="370" t="n">
        <v>14</v>
      </c>
      <c r="R65" s="370" t="n">
        <v>14</v>
      </c>
      <c r="S65" s="370" t="n">
        <v>1</v>
      </c>
      <c r="T65" s="369" t="inlineStr">
        <is>
          <t xml:space="preserve">I-B         </t>
        </is>
      </c>
      <c r="U65" s="370" t="n">
        <v>398</v>
      </c>
      <c r="V65" s="674" t="n">
        <v>129650</v>
      </c>
      <c r="W65" s="674" t="n">
        <v>130000</v>
      </c>
      <c r="X65" s="676" t="inlineStr">
        <is>
          <t>2.1:1</t>
        </is>
      </c>
      <c r="Y65" s="674" t="n">
        <v>63000</v>
      </c>
      <c r="Z65" s="369" t="inlineStr">
        <is>
          <t xml:space="preserve">C </t>
        </is>
      </c>
      <c r="AA65" s="370" t="n"/>
      <c r="AB65" s="370" t="n"/>
      <c r="AC65" s="370" t="n"/>
      <c r="AD65" s="370" t="inlineStr">
        <is>
          <t xml:space="preserve">DIST SNGL TENANT    </t>
        </is>
      </c>
      <c r="AE65" s="370" t="n"/>
      <c r="AF65" s="370" t="n"/>
      <c r="AG65" s="370" t="n"/>
      <c r="AH65" s="370" t="n"/>
      <c r="AI65" s="370" t="n"/>
      <c r="AK65" s="370" t="inlineStr">
        <is>
          <t>                                                                  </t>
        </is>
      </c>
      <c r="AL65" s="370" t="n"/>
      <c r="AM65" s="370" t="n"/>
      <c r="AN65" s="370" t="n"/>
      <c r="AO65" s="370" t="n"/>
      <c r="AP65" s="370" t="n"/>
      <c r="AQ65" s="370" t="n"/>
    </row>
    <row r="66">
      <c r="A66" s="383" t="n">
        <v>6</v>
      </c>
      <c r="B66" s="370" t="n">
        <v>61</v>
      </c>
      <c r="C66" s="370" t="inlineStr">
        <is>
          <t>2013Q</t>
        </is>
      </c>
      <c r="D66" s="370" t="inlineStr">
        <is>
          <t xml:space="preserve">01203-00-185-000 </t>
        </is>
      </c>
      <c r="E66" s="369" t="inlineStr">
        <is>
          <t>Actual</t>
        </is>
      </c>
      <c r="F66" s="370" t="inlineStr">
        <is>
          <t>3950   HOLLY                ST</t>
        </is>
      </c>
      <c r="G66" s="370" t="n">
        <v>44.1</v>
      </c>
      <c r="H66" s="370" t="n">
        <v>9101</v>
      </c>
      <c r="I66" s="369" t="n">
        <v>0</v>
      </c>
      <c r="J66" s="674" t="n">
        <v>7083</v>
      </c>
      <c r="K66" s="675" t="n">
        <v>10.16518424396442</v>
      </c>
      <c r="L66" s="385" t="n">
        <v>0</v>
      </c>
      <c r="M66" s="374" t="n">
        <v>0.03472222222222222</v>
      </c>
      <c r="N66" s="370" t="n">
        <v>1965</v>
      </c>
      <c r="O66" s="370" t="n">
        <v>1258</v>
      </c>
      <c r="P66" s="370" t="n">
        <v>0</v>
      </c>
      <c r="Q66" s="370" t="n">
        <v>14</v>
      </c>
      <c r="R66" s="370" t="n">
        <v>1</v>
      </c>
      <c r="S66" s="370" t="n">
        <v>1</v>
      </c>
      <c r="T66" s="369" t="inlineStr">
        <is>
          <t xml:space="preserve">I-A         </t>
        </is>
      </c>
      <c r="U66" s="370" t="n">
        <v>398</v>
      </c>
      <c r="V66" s="674" t="n">
        <v>11375</v>
      </c>
      <c r="W66" s="674" t="n">
        <v>11000</v>
      </c>
      <c r="X66" s="676" t="inlineStr">
        <is>
          <t>1.6:1</t>
        </is>
      </c>
      <c r="Y66" s="674" t="n">
        <v>7000</v>
      </c>
      <c r="Z66" s="369" t="inlineStr">
        <is>
          <t xml:space="preserve">C </t>
        </is>
      </c>
      <c r="AA66" s="370" t="n"/>
      <c r="AB66" s="370" t="n"/>
      <c r="AC66" s="370" t="n"/>
      <c r="AD66" s="370" t="inlineStr">
        <is>
          <t>                    </t>
        </is>
      </c>
      <c r="AE66" s="370" t="n"/>
      <c r="AF66" s="370" t="n"/>
      <c r="AG66" s="370" t="n"/>
      <c r="AH66" s="370" t="n"/>
      <c r="AI66" s="370" t="n"/>
      <c r="AK66" s="370" t="inlineStr">
        <is>
          <t xml:space="preserve">2010 LEASE.                                                       </t>
        </is>
      </c>
      <c r="AL66" s="370" t="n"/>
      <c r="AM66" s="370" t="n"/>
      <c r="AN66" s="370" t="n"/>
      <c r="AO66" s="370" t="n"/>
      <c r="AP66" s="370" t="n"/>
      <c r="AQ66" s="370" t="n"/>
    </row>
    <row r="67">
      <c r="A67" s="383" t="n">
        <v>6</v>
      </c>
      <c r="B67" s="370" t="n">
        <v>62</v>
      </c>
      <c r="C67" s="370" t="inlineStr">
        <is>
          <t>2013Q</t>
        </is>
      </c>
      <c r="D67" s="370" t="inlineStr">
        <is>
          <t xml:space="preserve">01213-00-038-000 </t>
        </is>
      </c>
      <c r="E67" s="369" t="inlineStr">
        <is>
          <t>Actual</t>
        </is>
      </c>
      <c r="F67" s="370" t="inlineStr">
        <is>
          <t>7777 E 40TH                 AV</t>
        </is>
      </c>
      <c r="G67" s="370" t="n">
        <v>44.1</v>
      </c>
      <c r="H67" s="370" t="n">
        <v>9101</v>
      </c>
      <c r="I67" s="369" t="n">
        <v>0</v>
      </c>
      <c r="J67" s="674" t="n">
        <v>63164</v>
      </c>
      <c r="K67" s="675" t="n">
        <v>3.229687796846305</v>
      </c>
      <c r="L67" s="385" t="n">
        <v>0</v>
      </c>
      <c r="M67" s="374" t="n">
        <v>0</v>
      </c>
      <c r="N67" s="370" t="n">
        <v>1963</v>
      </c>
      <c r="O67" s="370" t="n">
        <v>3300</v>
      </c>
      <c r="P67" s="370" t="n">
        <v>7164</v>
      </c>
      <c r="Q67" s="370" t="n">
        <v>19</v>
      </c>
      <c r="R67" s="370" t="n">
        <v>1</v>
      </c>
      <c r="S67" s="370" t="n">
        <v>1</v>
      </c>
      <c r="T67" s="369" t="inlineStr">
        <is>
          <t xml:space="preserve">I-MX-5      </t>
        </is>
      </c>
      <c r="U67" s="370" t="n">
        <v>398</v>
      </c>
      <c r="V67" s="674" t="n">
        <v>149373</v>
      </c>
      <c r="W67" s="674" t="n">
        <v>149000</v>
      </c>
      <c r="X67" s="676" t="inlineStr">
        <is>
          <t>2.4:1</t>
        </is>
      </c>
      <c r="Y67" s="674" t="n">
        <v>63000</v>
      </c>
      <c r="Z67" s="369" t="inlineStr">
        <is>
          <t>C-</t>
        </is>
      </c>
      <c r="AA67" s="370" t="n"/>
      <c r="AB67" s="370" t="n"/>
      <c r="AC67" s="370" t="n"/>
      <c r="AD67" s="370" t="inlineStr">
        <is>
          <t>                    </t>
        </is>
      </c>
      <c r="AE67" s="370" t="n"/>
      <c r="AF67" s="370" t="n"/>
      <c r="AG67" s="370" t="n"/>
      <c r="AH67" s="370" t="n"/>
      <c r="AI67" s="370" t="n"/>
      <c r="AK67" s="370" t="inlineStr">
        <is>
          <t>                                                                  </t>
        </is>
      </c>
      <c r="AL67" s="370" t="n"/>
      <c r="AM67" s="370" t="n"/>
      <c r="AN67" s="370" t="n"/>
      <c r="AO67" s="370" t="n"/>
      <c r="AP67" s="370" t="n"/>
      <c r="AQ67" s="370" t="n"/>
    </row>
    <row r="68">
      <c r="A68" s="383" t="n">
        <v>6</v>
      </c>
      <c r="B68" s="370" t="n">
        <v>63</v>
      </c>
      <c r="C68" s="370" t="inlineStr">
        <is>
          <t>2013Q</t>
        </is>
      </c>
      <c r="D68" s="370" t="inlineStr">
        <is>
          <t xml:space="preserve">01231-05-002-000 </t>
        </is>
      </c>
      <c r="E68" s="369" t="inlineStr">
        <is>
          <t>Actual</t>
        </is>
      </c>
      <c r="F68" s="370" t="inlineStr">
        <is>
          <t>4701   MOLINE               ST</t>
        </is>
      </c>
      <c r="G68" s="370" t="n">
        <v>44.4</v>
      </c>
      <c r="H68" s="370" t="n">
        <v>9102</v>
      </c>
      <c r="I68" s="369" t="n">
        <v>0</v>
      </c>
      <c r="J68" s="674" t="n">
        <v>104891</v>
      </c>
      <c r="K68" s="675" t="n">
        <v>5.216157725638997</v>
      </c>
      <c r="L68" s="385" t="n">
        <v>0</v>
      </c>
      <c r="M68" s="374" t="n">
        <v>0.3116638154143089</v>
      </c>
      <c r="N68" s="370" t="n">
        <v>1985</v>
      </c>
      <c r="O68" s="370" t="n">
        <v>14479</v>
      </c>
      <c r="P68" s="370" t="n">
        <v>0</v>
      </c>
      <c r="Q68" s="370" t="n">
        <v>24</v>
      </c>
      <c r="R68" s="370" t="n">
        <v>14</v>
      </c>
      <c r="S68" s="370" t="n">
        <v>8</v>
      </c>
      <c r="T68" s="369" t="inlineStr">
        <is>
          <t xml:space="preserve">I-B         </t>
        </is>
      </c>
      <c r="U68" s="370" t="n">
        <v>398</v>
      </c>
      <c r="V68" s="674" t="n">
        <v>219619</v>
      </c>
      <c r="W68" s="674" t="n">
        <v>220000</v>
      </c>
      <c r="X68" s="676" t="inlineStr">
        <is>
          <t>2.1:1</t>
        </is>
      </c>
      <c r="Y68" s="674" t="n">
        <v>105000</v>
      </c>
      <c r="Z68" s="369" t="inlineStr">
        <is>
          <t xml:space="preserve">C </t>
        </is>
      </c>
      <c r="AA68" s="370" t="n"/>
      <c r="AB68" s="370" t="n"/>
      <c r="AC68" s="370" t="n"/>
      <c r="AD68" s="370" t="inlineStr">
        <is>
          <t xml:space="preserve">M-W DIST WAREHOUSE  </t>
        </is>
      </c>
      <c r="AE68" s="370" t="n"/>
      <c r="AF68" s="370" t="n"/>
      <c r="AG68" s="370" t="n"/>
      <c r="AH68" s="370" t="n"/>
      <c r="AI68" s="370" t="n"/>
      <c r="AK68" s="370" t="inlineStr">
        <is>
          <t xml:space="preserve">LEASES 2008-2012; OWNER PAYS TOO BIG SHARE OF EXPENSE.            </t>
        </is>
      </c>
      <c r="AL68" s="370" t="n"/>
      <c r="AM68" s="370" t="n"/>
      <c r="AN68" s="370" t="n"/>
      <c r="AO68" s="370" t="n"/>
      <c r="AP68" s="370" t="n"/>
      <c r="AQ68" s="370" t="n"/>
    </row>
    <row r="69">
      <c r="A69" s="383" t="n">
        <v>6</v>
      </c>
      <c r="B69" s="370" t="n">
        <v>64</v>
      </c>
      <c r="C69" s="370" t="inlineStr">
        <is>
          <t>2013Q</t>
        </is>
      </c>
      <c r="D69" s="370" t="inlineStr">
        <is>
          <t xml:space="preserve">01232-00-040-000 </t>
        </is>
      </c>
      <c r="E69" s="369" t="inlineStr">
        <is>
          <t>Actual</t>
        </is>
      </c>
      <c r="F69" s="370" t="inlineStr">
        <is>
          <t>4620   IRONTON              ST</t>
        </is>
      </c>
      <c r="G69" s="370" t="n">
        <v>44.2</v>
      </c>
      <c r="H69" s="370" t="n">
        <v>9102</v>
      </c>
      <c r="I69" s="369" t="n">
        <v>0</v>
      </c>
      <c r="J69" s="674" t="n">
        <v>19776</v>
      </c>
      <c r="K69" s="675" t="n">
        <v>4.419902912621359</v>
      </c>
      <c r="L69" s="385" t="n">
        <v>0</v>
      </c>
      <c r="M69" s="374" t="n">
        <v>0.05720300201354567</v>
      </c>
      <c r="N69" s="370" t="n">
        <v>1969</v>
      </c>
      <c r="O69" s="370" t="n">
        <v>7104</v>
      </c>
      <c r="P69" s="370" t="n">
        <v>0</v>
      </c>
      <c r="Q69" s="370" t="n">
        <v>12</v>
      </c>
      <c r="R69" s="370" t="n">
        <v>14</v>
      </c>
      <c r="S69" s="370" t="n">
        <v>1</v>
      </c>
      <c r="T69" s="369" t="inlineStr">
        <is>
          <t xml:space="preserve">I-B         </t>
        </is>
      </c>
      <c r="U69" s="370" t="n">
        <v>398</v>
      </c>
      <c r="V69" s="674" t="n">
        <v>45325</v>
      </c>
      <c r="W69" s="674" t="n">
        <v>45000</v>
      </c>
      <c r="X69" s="676" t="inlineStr">
        <is>
          <t>2.3:1</t>
        </is>
      </c>
      <c r="Y69" s="674" t="n">
        <v>20000</v>
      </c>
      <c r="Z69" s="369" t="inlineStr">
        <is>
          <t xml:space="preserve">C </t>
        </is>
      </c>
      <c r="AA69" s="370" t="n"/>
      <c r="AB69" s="370" t="n"/>
      <c r="AC69" s="370" t="n"/>
      <c r="AD69" s="370" t="inlineStr">
        <is>
          <t xml:space="preserve">PLASTIC CREATIONS   </t>
        </is>
      </c>
      <c r="AE69" s="370" t="n"/>
      <c r="AF69" s="370" t="n"/>
      <c r="AG69" s="370" t="n"/>
      <c r="AH69" s="370" t="n"/>
      <c r="AI69" s="370" t="n"/>
      <c r="AK69" s="370" t="inlineStr">
        <is>
          <t xml:space="preserve">2010 LEASE.                                                       </t>
        </is>
      </c>
      <c r="AL69" s="370" t="n"/>
      <c r="AM69" s="370" t="n"/>
      <c r="AN69" s="370" t="n"/>
      <c r="AO69" s="370" t="n"/>
      <c r="AP69" s="370" t="n"/>
      <c r="AQ69" s="370" t="n"/>
    </row>
    <row r="70">
      <c r="A70" s="383" t="n">
        <v>6</v>
      </c>
      <c r="B70" s="370" t="n">
        <v>65</v>
      </c>
      <c r="C70" s="370" t="inlineStr">
        <is>
          <t>2013Q</t>
        </is>
      </c>
      <c r="D70" s="370" t="inlineStr">
        <is>
          <t xml:space="preserve">01232-00-051-000 </t>
        </is>
      </c>
      <c r="E70" s="369" t="inlineStr">
        <is>
          <t>Actual</t>
        </is>
      </c>
      <c r="F70" s="370" t="inlineStr">
        <is>
          <t>4690   IRONTON              ST</t>
        </is>
      </c>
      <c r="G70" s="370" t="n">
        <v>44.2</v>
      </c>
      <c r="H70" s="370" t="n">
        <v>9102</v>
      </c>
      <c r="I70" s="369" t="n">
        <v>0</v>
      </c>
      <c r="J70" s="674" t="n">
        <v>11918</v>
      </c>
      <c r="K70" s="675" t="n">
        <v>6.217486155395201</v>
      </c>
      <c r="L70" s="385" t="n">
        <v>0</v>
      </c>
      <c r="M70" s="374" t="n">
        <v>0.3345883940620783</v>
      </c>
      <c r="N70" s="370" t="n">
        <v>1967</v>
      </c>
      <c r="O70" s="370" t="n">
        <v>442</v>
      </c>
      <c r="P70" s="370" t="n">
        <v>0</v>
      </c>
      <c r="Q70" s="370" t="n">
        <v>22</v>
      </c>
      <c r="R70" s="370" t="n">
        <v>1</v>
      </c>
      <c r="S70" s="370" t="n">
        <v>1</v>
      </c>
      <c r="T70" s="369" t="inlineStr">
        <is>
          <t xml:space="preserve">I-B         </t>
        </is>
      </c>
      <c r="U70" s="370" t="n">
        <v>398</v>
      </c>
      <c r="V70" s="674" t="n">
        <v>32585</v>
      </c>
      <c r="W70" s="674" t="n">
        <v>33000</v>
      </c>
      <c r="X70" s="676" t="inlineStr">
        <is>
          <t>2.7:1</t>
        </is>
      </c>
      <c r="Y70" s="674" t="n">
        <v>12000</v>
      </c>
      <c r="Z70" s="369" t="inlineStr">
        <is>
          <t xml:space="preserve">C </t>
        </is>
      </c>
      <c r="AA70" s="370" t="n"/>
      <c r="AB70" s="370" t="n"/>
      <c r="AC70" s="370" t="n"/>
      <c r="AD70" s="370" t="inlineStr">
        <is>
          <t xml:space="preserve">M-W                 </t>
        </is>
      </c>
      <c r="AE70" s="370" t="n"/>
      <c r="AF70" s="370" t="n"/>
      <c r="AG70" s="370" t="n"/>
      <c r="AH70" s="370" t="n"/>
      <c r="AI70" s="370" t="n"/>
      <c r="AK70" s="370" t="inlineStr">
        <is>
          <t xml:space="preserve">OWNER PAYING TOO MUCH OF EXPENSES HERE.                           </t>
        </is>
      </c>
      <c r="AL70" s="370" t="n"/>
      <c r="AM70" s="370" t="n"/>
      <c r="AN70" s="370" t="n"/>
      <c r="AO70" s="370" t="n"/>
      <c r="AP70" s="370" t="n"/>
      <c r="AQ70" s="370" t="n"/>
    </row>
    <row r="71">
      <c r="A71" s="383" t="n">
        <v>6</v>
      </c>
      <c r="B71" s="370" t="n">
        <v>66</v>
      </c>
      <c r="C71" s="370" t="inlineStr">
        <is>
          <t>2013Q</t>
        </is>
      </c>
      <c r="D71" s="370" t="inlineStr">
        <is>
          <t xml:space="preserve">01232-03-004-000 </t>
        </is>
      </c>
      <c r="E71" s="369" t="inlineStr">
        <is>
          <t>Actual</t>
        </is>
      </c>
      <c r="F71" s="370" t="inlineStr">
        <is>
          <t>4695   KINGSTON             ST</t>
        </is>
      </c>
      <c r="G71" s="370" t="n">
        <v>44.2</v>
      </c>
      <c r="H71" s="370" t="n">
        <v>9102</v>
      </c>
      <c r="I71" s="369" t="n">
        <v>0</v>
      </c>
      <c r="J71" s="674" t="n">
        <v>10794</v>
      </c>
      <c r="K71" s="675" t="n">
        <v>5.188067444876784</v>
      </c>
      <c r="L71" s="385" t="n">
        <v>0.5</v>
      </c>
      <c r="M71" s="374" t="n">
        <v>0.125</v>
      </c>
      <c r="N71" s="370" t="n">
        <v>1985</v>
      </c>
      <c r="O71" s="370" t="n">
        <v>0</v>
      </c>
      <c r="P71" s="370" t="n">
        <v>5424</v>
      </c>
      <c r="Q71" s="370" t="n">
        <v>14</v>
      </c>
      <c r="R71" s="370" t="n">
        <v>3</v>
      </c>
      <c r="S71" s="370" t="n">
        <v>1</v>
      </c>
      <c r="T71" s="369" t="inlineStr">
        <is>
          <t xml:space="preserve">I-B         </t>
        </is>
      </c>
      <c r="U71" s="370" t="n">
        <v>398</v>
      </c>
      <c r="V71" s="674" t="n">
        <v>25300</v>
      </c>
      <c r="W71" s="674" t="n">
        <v>25000</v>
      </c>
      <c r="X71" s="676" t="inlineStr">
        <is>
          <t>2.3:1</t>
        </is>
      </c>
      <c r="Y71" s="674" t="n">
        <v>11000</v>
      </c>
      <c r="Z71" s="369" t="inlineStr">
        <is>
          <t xml:space="preserve">C </t>
        </is>
      </c>
      <c r="AA71" s="370" t="n"/>
      <c r="AB71" s="370" t="n"/>
      <c r="AC71" s="370" t="n"/>
      <c r="AD71" s="370" t="inlineStr">
        <is>
          <t>                    </t>
        </is>
      </c>
      <c r="AE71" s="370" t="n"/>
      <c r="AF71" s="370" t="n"/>
      <c r="AG71" s="370" t="n"/>
      <c r="AH71" s="370" t="n"/>
      <c r="AI71" s="370" t="n"/>
      <c r="AK71" s="370" t="inlineStr">
        <is>
          <t>                                                                  </t>
        </is>
      </c>
      <c r="AL71" s="370" t="n"/>
      <c r="AM71" s="370" t="n"/>
      <c r="AN71" s="370" t="n"/>
      <c r="AO71" s="370" t="n"/>
      <c r="AP71" s="370" t="n"/>
      <c r="AQ71" s="370" t="n"/>
    </row>
    <row r="72">
      <c r="A72" s="383" t="n">
        <v>6</v>
      </c>
      <c r="B72" s="370" t="n">
        <v>67</v>
      </c>
      <c r="C72" s="370" t="inlineStr">
        <is>
          <t>2013Q</t>
        </is>
      </c>
      <c r="D72" s="370" t="inlineStr">
        <is>
          <t xml:space="preserve">01232-03-006-000 </t>
        </is>
      </c>
      <c r="E72" s="369" t="inlineStr">
        <is>
          <t>Actual</t>
        </is>
      </c>
      <c r="F72" s="370" t="inlineStr">
        <is>
          <t>4675   KINGSTON             ST</t>
        </is>
      </c>
      <c r="G72" s="370" t="n">
        <v>44.2</v>
      </c>
      <c r="H72" s="370" t="n">
        <v>9102</v>
      </c>
      <c r="I72" s="369" t="n">
        <v>0</v>
      </c>
      <c r="J72" s="674" t="n">
        <v>22922</v>
      </c>
      <c r="K72" s="675" t="n">
        <v>4.484774452491057</v>
      </c>
      <c r="L72" s="385" t="n">
        <v>0</v>
      </c>
      <c r="M72" s="374" t="n">
        <v>0</v>
      </c>
      <c r="N72" s="370" t="n">
        <v>1985</v>
      </c>
      <c r="O72" s="370" t="n">
        <v>2168</v>
      </c>
      <c r="P72" s="370" t="n">
        <v>0</v>
      </c>
      <c r="Q72" s="370" t="n">
        <v>20</v>
      </c>
      <c r="R72" s="370" t="n">
        <v>10</v>
      </c>
      <c r="S72" s="370" t="n">
        <v>1</v>
      </c>
      <c r="T72" s="369" t="inlineStr">
        <is>
          <t xml:space="preserve">I-B         </t>
        </is>
      </c>
      <c r="U72" s="370" t="n">
        <v>398</v>
      </c>
      <c r="V72" s="674" t="n">
        <v>40700</v>
      </c>
      <c r="W72" s="674" t="n">
        <v>41000</v>
      </c>
      <c r="X72" s="676" t="inlineStr">
        <is>
          <t>1.8:1</t>
        </is>
      </c>
      <c r="Y72" s="674" t="n">
        <v>23000</v>
      </c>
      <c r="Z72" s="369" t="inlineStr">
        <is>
          <t>C+</t>
        </is>
      </c>
      <c r="AA72" s="370" t="n"/>
      <c r="AB72" s="370" t="n"/>
      <c r="AC72" s="370" t="n"/>
      <c r="AD72" s="370" t="inlineStr">
        <is>
          <t xml:space="preserve">CANDY AND PECKS     </t>
        </is>
      </c>
      <c r="AE72" s="370" t="n"/>
      <c r="AF72" s="370" t="n"/>
      <c r="AG72" s="370" t="n"/>
      <c r="AH72" s="370" t="n"/>
      <c r="AI72" s="370" t="n"/>
      <c r="AK72" s="370" t="inlineStr">
        <is>
          <t>                                                                  </t>
        </is>
      </c>
      <c r="AL72" s="370" t="n"/>
      <c r="AM72" s="370" t="n"/>
      <c r="AN72" s="370" t="n"/>
      <c r="AO72" s="370" t="n"/>
      <c r="AP72" s="370" t="n"/>
      <c r="AQ72" s="370" t="n"/>
    </row>
    <row r="73">
      <c r="A73" s="383" t="n">
        <v>6</v>
      </c>
      <c r="B73" s="370" t="n">
        <v>68</v>
      </c>
      <c r="C73" s="370" t="inlineStr">
        <is>
          <t>2013Q</t>
        </is>
      </c>
      <c r="D73" s="370" t="inlineStr">
        <is>
          <t xml:space="preserve">01232-07-007-000 </t>
        </is>
      </c>
      <c r="E73" s="369" t="inlineStr">
        <is>
          <t>Actual</t>
        </is>
      </c>
      <c r="F73" s="370" t="inlineStr">
        <is>
          <t>4675   JOLIET               ST</t>
        </is>
      </c>
      <c r="G73" s="370" t="n">
        <v>44.1</v>
      </c>
      <c r="H73" s="370" t="n">
        <v>9102</v>
      </c>
      <c r="I73" s="369" t="n">
        <v>0</v>
      </c>
      <c r="J73" s="674" t="n">
        <v>14848</v>
      </c>
      <c r="K73" s="675" t="n">
        <v>5.450767780172414</v>
      </c>
      <c r="L73" s="385" t="n">
        <v>0</v>
      </c>
      <c r="M73" s="374" t="n">
        <v>0</v>
      </c>
      <c r="N73" s="370" t="n">
        <v>1969</v>
      </c>
      <c r="O73" s="370" t="n">
        <v>1239</v>
      </c>
      <c r="P73" s="370" t="n">
        <v>0</v>
      </c>
      <c r="Q73" s="370" t="n">
        <v>22</v>
      </c>
      <c r="R73" s="370" t="n">
        <v>8</v>
      </c>
      <c r="S73" s="370" t="n">
        <v>1</v>
      </c>
      <c r="T73" s="369" t="inlineStr">
        <is>
          <t xml:space="preserve">I-B         </t>
        </is>
      </c>
      <c r="U73" s="370" t="n">
        <v>398</v>
      </c>
      <c r="V73" s="674" t="n">
        <v>44000</v>
      </c>
      <c r="W73" s="674" t="n">
        <v>44000</v>
      </c>
      <c r="X73" s="676" t="inlineStr">
        <is>
          <t>3:1</t>
        </is>
      </c>
      <c r="Y73" s="674" t="n">
        <v>15000</v>
      </c>
      <c r="Z73" s="369" t="inlineStr">
        <is>
          <t xml:space="preserve">C </t>
        </is>
      </c>
      <c r="AA73" s="370" t="n"/>
      <c r="AB73" s="370" t="n"/>
      <c r="AC73" s="370" t="n"/>
      <c r="AD73" s="370" t="inlineStr">
        <is>
          <t xml:space="preserve">RED-D-ARC (AIRGAS)  </t>
        </is>
      </c>
      <c r="AE73" s="370" t="n"/>
      <c r="AF73" s="370" t="n"/>
      <c r="AG73" s="370" t="n"/>
      <c r="AH73" s="370" t="n"/>
      <c r="AI73" s="370" t="n"/>
      <c r="AK73" s="370" t="inlineStr">
        <is>
          <t>                                                                  </t>
        </is>
      </c>
      <c r="AL73" s="370" t="n"/>
      <c r="AM73" s="370" t="n"/>
      <c r="AN73" s="370" t="n"/>
      <c r="AO73" s="370" t="n"/>
      <c r="AP73" s="370" t="n"/>
      <c r="AQ73" s="370" t="n"/>
    </row>
    <row r="74">
      <c r="A74" s="383" t="n">
        <v>6</v>
      </c>
      <c r="B74" s="370" t="n">
        <v>69</v>
      </c>
      <c r="C74" s="370" t="inlineStr">
        <is>
          <t>2013Q</t>
        </is>
      </c>
      <c r="D74" s="370" t="inlineStr">
        <is>
          <t xml:space="preserve">01232-10-002-000 </t>
        </is>
      </c>
      <c r="E74" s="369" t="inlineStr">
        <is>
          <t>Actual</t>
        </is>
      </c>
      <c r="F74" s="370" t="inlineStr">
        <is>
          <t>10645 E 47TH                 AV</t>
        </is>
      </c>
      <c r="G74" s="370" t="n">
        <v>44.1</v>
      </c>
      <c r="H74" s="370" t="n">
        <v>9102</v>
      </c>
      <c r="I74" s="369" t="n">
        <v>0</v>
      </c>
      <c r="J74" s="674" t="n">
        <v>10527</v>
      </c>
      <c r="K74" s="675" t="n">
        <v>6.915550489218201</v>
      </c>
      <c r="L74" s="385" t="n">
        <v>1</v>
      </c>
      <c r="M74" s="374" t="n">
        <v>0.1517994505494505</v>
      </c>
      <c r="N74" s="370" t="n">
        <v>1968</v>
      </c>
      <c r="O74" s="370" t="n">
        <v>4329</v>
      </c>
      <c r="P74" s="370" t="n">
        <v>0</v>
      </c>
      <c r="Q74" s="370" t="n">
        <v>21</v>
      </c>
      <c r="R74" s="370" t="n">
        <v>1</v>
      </c>
      <c r="S74" s="370" t="n">
        <v>1</v>
      </c>
      <c r="T74" s="369" t="inlineStr">
        <is>
          <t xml:space="preserve">I-B         </t>
        </is>
      </c>
      <c r="U74" s="370" t="n">
        <v>398</v>
      </c>
      <c r="V74" s="674" t="n">
        <v>25100</v>
      </c>
      <c r="W74" s="674" t="n">
        <v>25000</v>
      </c>
      <c r="X74" s="676" t="inlineStr">
        <is>
          <t>2.4:1</t>
        </is>
      </c>
      <c r="Y74" s="674" t="n">
        <v>11000</v>
      </c>
      <c r="Z74" s="369" t="inlineStr">
        <is>
          <t xml:space="preserve">C </t>
        </is>
      </c>
      <c r="AA74" s="370" t="n"/>
      <c r="AB74" s="370" t="n"/>
      <c r="AC74" s="370" t="n"/>
      <c r="AD74" s="370" t="inlineStr">
        <is>
          <t xml:space="preserve">INETDEALS           </t>
        </is>
      </c>
      <c r="AE74" s="370" t="n"/>
      <c r="AF74" s="370" t="n"/>
      <c r="AG74" s="370" t="n"/>
      <c r="AH74" s="370" t="n"/>
      <c r="AI74" s="370" t="n"/>
      <c r="AK74" s="370" t="inlineStr">
        <is>
          <t>                                                                  </t>
        </is>
      </c>
      <c r="AL74" s="370" t="n"/>
      <c r="AM74" s="370" t="n"/>
      <c r="AN74" s="370" t="n"/>
      <c r="AO74" s="370" t="n"/>
      <c r="AP74" s="370" t="n"/>
      <c r="AQ74" s="370" t="n"/>
    </row>
    <row r="75">
      <c r="A75" s="383" t="n">
        <v>6</v>
      </c>
      <c r="B75" s="370" t="n">
        <v>70</v>
      </c>
      <c r="C75" s="370" t="inlineStr">
        <is>
          <t>2013Q</t>
        </is>
      </c>
      <c r="D75" s="370" t="inlineStr">
        <is>
          <t xml:space="preserve">01234-01-014-000 </t>
        </is>
      </c>
      <c r="E75" s="369" t="inlineStr">
        <is>
          <t>Actual</t>
        </is>
      </c>
      <c r="F75" s="370" t="inlineStr">
        <is>
          <t>3841   PARIS                ST</t>
        </is>
      </c>
      <c r="G75" s="370" t="n">
        <v>44.2</v>
      </c>
      <c r="H75" s="370" t="n">
        <v>9104</v>
      </c>
      <c r="I75" s="369" t="n">
        <v>0</v>
      </c>
      <c r="J75" s="674" t="n">
        <v>20046</v>
      </c>
      <c r="K75" s="675" t="n">
        <v>6.375336725531279</v>
      </c>
      <c r="L75" s="385" t="n">
        <v>0</v>
      </c>
      <c r="M75" s="374" t="n">
        <v>0.1098278560250391</v>
      </c>
      <c r="N75" s="370" t="n">
        <v>1978</v>
      </c>
      <c r="O75" s="370" t="n">
        <v>2278</v>
      </c>
      <c r="P75" s="370" t="n">
        <v>0</v>
      </c>
      <c r="Q75" s="370" t="n">
        <v>20</v>
      </c>
      <c r="R75" s="370" t="n">
        <v>10</v>
      </c>
      <c r="S75" s="370" t="n">
        <v>1</v>
      </c>
      <c r="T75" s="369" t="inlineStr">
        <is>
          <t xml:space="preserve">I-B         </t>
        </is>
      </c>
      <c r="U75" s="370" t="n">
        <v>398</v>
      </c>
      <c r="V75" s="674" t="n">
        <v>43000</v>
      </c>
      <c r="W75" s="674" t="n">
        <v>43000</v>
      </c>
      <c r="X75" s="676" t="inlineStr">
        <is>
          <t>2.1:1</t>
        </is>
      </c>
      <c r="Y75" s="674" t="n">
        <v>20000</v>
      </c>
      <c r="Z75" s="369" t="inlineStr">
        <is>
          <t xml:space="preserve">C </t>
        </is>
      </c>
      <c r="AA75" s="370" t="n"/>
      <c r="AB75" s="370" t="n"/>
      <c r="AC75" s="370" t="n"/>
      <c r="AD75" s="370" t="inlineStr">
        <is>
          <t>                    </t>
        </is>
      </c>
      <c r="AE75" s="370" t="n"/>
      <c r="AF75" s="370" t="n"/>
      <c r="AG75" s="370" t="n"/>
      <c r="AH75" s="370" t="n"/>
      <c r="AI75" s="370" t="n"/>
      <c r="AK75" s="370" t="inlineStr">
        <is>
          <t xml:space="preserve">TOO HIGH A PROPORTION OF EXPENSES PICKED UP BY OWNER.             </t>
        </is>
      </c>
      <c r="AL75" s="370" t="n"/>
      <c r="AM75" s="370" t="n"/>
      <c r="AN75" s="370" t="n"/>
      <c r="AO75" s="370" t="n"/>
      <c r="AP75" s="370" t="n"/>
      <c r="AQ75" s="370" t="n"/>
    </row>
    <row r="76">
      <c r="A76" s="383" t="n">
        <v>6</v>
      </c>
      <c r="B76" s="370" t="n">
        <v>71</v>
      </c>
      <c r="C76" s="370" t="inlineStr">
        <is>
          <t>2013Q</t>
        </is>
      </c>
      <c r="D76" s="370" t="inlineStr">
        <is>
          <t xml:space="preserve">01246-00-039-000 </t>
        </is>
      </c>
      <c r="E76" s="369" t="inlineStr">
        <is>
          <t>Actual</t>
        </is>
      </c>
      <c r="F76" s="370" t="inlineStr">
        <is>
          <t>14155 E 42ND                 AV</t>
        </is>
      </c>
      <c r="G76" s="370" t="n">
        <v>44.4</v>
      </c>
      <c r="H76" s="370" t="n">
        <v>9102</v>
      </c>
      <c r="I76" s="369" t="n">
        <v>0</v>
      </c>
      <c r="J76" s="674" t="n">
        <v>198000</v>
      </c>
      <c r="K76" s="675" t="n">
        <v>5.24</v>
      </c>
      <c r="L76" s="385" t="n">
        <v>0.21</v>
      </c>
      <c r="M76" s="374" t="n">
        <v>0.3909958362248439</v>
      </c>
      <c r="N76" s="370" t="n">
        <v>1997</v>
      </c>
      <c r="O76" s="370" t="n">
        <v>38420</v>
      </c>
      <c r="P76" s="370" t="n">
        <v>0</v>
      </c>
      <c r="Q76" s="370" t="n">
        <v>26</v>
      </c>
      <c r="R76" s="370" t="n">
        <v>14</v>
      </c>
      <c r="S76" s="370" t="n">
        <v>9</v>
      </c>
      <c r="T76" s="369" t="inlineStr">
        <is>
          <t xml:space="preserve">I-0         </t>
        </is>
      </c>
      <c r="U76" s="370" t="n">
        <v>398</v>
      </c>
      <c r="V76" s="674" t="n">
        <v>489526</v>
      </c>
      <c r="W76" s="674" t="n">
        <v>490000</v>
      </c>
      <c r="X76" s="676" t="inlineStr">
        <is>
          <t>2.5:1</t>
        </is>
      </c>
      <c r="Y76" s="674" t="n">
        <v>198000</v>
      </c>
      <c r="Z76" s="369" t="inlineStr">
        <is>
          <t xml:space="preserve">C </t>
        </is>
      </c>
      <c r="AA76" s="370" t="n"/>
      <c r="AB76" s="370" t="n"/>
      <c r="AC76" s="370" t="n"/>
      <c r="AD76" s="370" t="inlineStr">
        <is>
          <t xml:space="preserve">ACCENT WINDOWS      </t>
        </is>
      </c>
      <c r="AE76" s="370" t="n"/>
      <c r="AF76" s="370" t="n"/>
      <c r="AG76" s="370" t="n"/>
      <c r="AH76" s="370" t="n"/>
      <c r="AI76" s="370" t="n"/>
      <c r="AK76" s="370" t="inlineStr">
        <is>
          <t>                                                                  </t>
        </is>
      </c>
      <c r="AL76" s="370" t="n"/>
      <c r="AM76" s="370" t="n"/>
      <c r="AN76" s="370" t="n"/>
      <c r="AO76" s="370" t="n"/>
      <c r="AP76" s="370" t="n"/>
      <c r="AQ76" s="370" t="n"/>
    </row>
    <row r="77">
      <c r="A77" s="383" t="n">
        <v>6</v>
      </c>
      <c r="B77" s="370" t="n">
        <v>72</v>
      </c>
      <c r="C77" s="370" t="inlineStr">
        <is>
          <t>2013Q</t>
        </is>
      </c>
      <c r="D77" s="370" t="inlineStr">
        <is>
          <t xml:space="preserve">01246-00-039-000 </t>
        </is>
      </c>
      <c r="E77" s="369" t="inlineStr">
        <is>
          <t>Actual</t>
        </is>
      </c>
      <c r="F77" s="370" t="inlineStr">
        <is>
          <t>14155 E 42ND                 AV</t>
        </is>
      </c>
      <c r="G77" s="370" t="n">
        <v>44.4</v>
      </c>
      <c r="H77" s="370" t="n">
        <v>9102</v>
      </c>
      <c r="I77" s="369" t="n">
        <v>0</v>
      </c>
      <c r="J77" s="674" t="n">
        <v>198000</v>
      </c>
      <c r="K77" s="675" t="n">
        <v>7.65</v>
      </c>
      <c r="L77" s="385" t="n">
        <v>0.21</v>
      </c>
      <c r="M77" s="374" t="n">
        <v>0</v>
      </c>
      <c r="N77" s="370" t="n">
        <v>1997</v>
      </c>
      <c r="O77" s="370" t="n">
        <v>38420</v>
      </c>
      <c r="P77" s="370" t="n">
        <v>0</v>
      </c>
      <c r="Q77" s="370" t="n">
        <v>26</v>
      </c>
      <c r="R77" s="370" t="n">
        <v>14</v>
      </c>
      <c r="S77" s="370" t="n">
        <v>9</v>
      </c>
      <c r="T77" s="369" t="inlineStr">
        <is>
          <t xml:space="preserve">I-0         </t>
        </is>
      </c>
      <c r="U77" s="370" t="n">
        <v>398</v>
      </c>
      <c r="V77" s="674" t="n">
        <v>489526</v>
      </c>
      <c r="W77" s="674" t="n">
        <v>490000</v>
      </c>
      <c r="X77" s="676" t="inlineStr">
        <is>
          <t>2.5:1</t>
        </is>
      </c>
      <c r="Y77" s="674" t="n">
        <v>198000</v>
      </c>
      <c r="Z77" s="369" t="inlineStr">
        <is>
          <t xml:space="preserve">C </t>
        </is>
      </c>
      <c r="AA77" s="370" t="n"/>
      <c r="AB77" s="370" t="n"/>
      <c r="AC77" s="370" t="n"/>
      <c r="AD77" s="370" t="inlineStr">
        <is>
          <t xml:space="preserve">ACCENT WINDOWS      </t>
        </is>
      </c>
      <c r="AE77" s="370" t="n"/>
      <c r="AF77" s="370" t="n"/>
      <c r="AG77" s="370" t="n"/>
      <c r="AH77" s="370" t="n"/>
      <c r="AI77" s="370" t="n"/>
      <c r="AK77" s="370" t="inlineStr">
        <is>
          <t xml:space="preserve">NNN LEASE SIGNED 2/2012 -- SOURCE: COSTAR                         </t>
        </is>
      </c>
      <c r="AL77" s="370" t="n"/>
      <c r="AM77" s="370" t="n"/>
      <c r="AN77" s="370" t="n"/>
      <c r="AO77" s="370" t="n"/>
      <c r="AP77" s="370" t="n"/>
      <c r="AQ77" s="370" t="n"/>
    </row>
    <row r="78">
      <c r="A78" s="383" t="n">
        <v>6</v>
      </c>
      <c r="B78" s="370" t="n">
        <v>73</v>
      </c>
      <c r="C78" s="370" t="inlineStr">
        <is>
          <t>2013Q</t>
        </is>
      </c>
      <c r="D78" s="370" t="inlineStr">
        <is>
          <t xml:space="preserve">01252-00-034-000 </t>
        </is>
      </c>
      <c r="E78" s="369" t="inlineStr">
        <is>
          <t>Actual</t>
        </is>
      </c>
      <c r="F78" s="370" t="inlineStr">
        <is>
          <t>12770 E 39TH                 AV</t>
        </is>
      </c>
      <c r="G78" s="370" t="n">
        <v>44.4</v>
      </c>
      <c r="H78" s="370" t="n">
        <v>9104</v>
      </c>
      <c r="I78" s="369" t="n">
        <v>0</v>
      </c>
      <c r="J78" s="674" t="n">
        <v>121360</v>
      </c>
      <c r="K78" s="675" t="n">
        <v>3.594734673698088</v>
      </c>
      <c r="L78" s="385" t="n">
        <v>0</v>
      </c>
      <c r="M78" s="374" t="n">
        <v>0.3330766039284183</v>
      </c>
      <c r="N78" s="370" t="n">
        <v>1971</v>
      </c>
      <c r="O78" s="370" t="n">
        <v>6439</v>
      </c>
      <c r="P78" s="370" t="n">
        <v>1570</v>
      </c>
      <c r="Q78" s="370" t="n">
        <v>30</v>
      </c>
      <c r="R78" s="370" t="n">
        <v>14</v>
      </c>
      <c r="S78" s="370" t="n">
        <v>2</v>
      </c>
      <c r="T78" s="369" t="inlineStr">
        <is>
          <t xml:space="preserve">I-B         </t>
        </is>
      </c>
      <c r="U78" s="370" t="n">
        <v>398</v>
      </c>
      <c r="V78" s="674" t="n">
        <v>255000</v>
      </c>
      <c r="W78" s="674" t="n">
        <v>255000</v>
      </c>
      <c r="X78" s="676" t="inlineStr">
        <is>
          <t>2.1:1</t>
        </is>
      </c>
      <c r="Y78" s="674" t="n">
        <v>121000</v>
      </c>
      <c r="Z78" s="369" t="inlineStr">
        <is>
          <t xml:space="preserve">C </t>
        </is>
      </c>
      <c r="AA78" s="370" t="n"/>
      <c r="AB78" s="370" t="n"/>
      <c r="AC78" s="370" t="n"/>
      <c r="AD78" s="370" t="inlineStr">
        <is>
          <t xml:space="preserve">M-W UNISOURCE       </t>
        </is>
      </c>
      <c r="AE78" s="370" t="n"/>
      <c r="AF78" s="370" t="n"/>
      <c r="AG78" s="370" t="n"/>
      <c r="AH78" s="370" t="n"/>
      <c r="AI78" s="370" t="n"/>
      <c r="AK78" s="370" t="inlineStr">
        <is>
          <t>                                                                  </t>
        </is>
      </c>
      <c r="AL78" s="370" t="n"/>
      <c r="AM78" s="370" t="n"/>
      <c r="AN78" s="370" t="n"/>
      <c r="AO78" s="370" t="n"/>
      <c r="AP78" s="370" t="n"/>
      <c r="AQ78" s="370" t="n"/>
    </row>
    <row r="79">
      <c r="A79" s="383" t="n">
        <v>6</v>
      </c>
      <c r="B79" s="370" t="n">
        <v>74</v>
      </c>
      <c r="C79" s="370" t="inlineStr">
        <is>
          <t>2013Q</t>
        </is>
      </c>
      <c r="D79" s="370" t="inlineStr">
        <is>
          <t xml:space="preserve">01252-00-056-000 </t>
        </is>
      </c>
      <c r="E79" s="369" t="inlineStr">
        <is>
          <t>Actual</t>
        </is>
      </c>
      <c r="F79" s="370" t="inlineStr">
        <is>
          <t>3800   QUENTIN              ST</t>
        </is>
      </c>
      <c r="G79" s="370" t="n">
        <v>44.1</v>
      </c>
      <c r="H79" s="370" t="n">
        <v>9104</v>
      </c>
      <c r="I79" s="369" t="n">
        <v>0</v>
      </c>
      <c r="J79" s="674" t="n">
        <v>25095</v>
      </c>
      <c r="K79" s="675" t="n">
        <v>16.58099222952779</v>
      </c>
      <c r="L79" s="385" t="n">
        <v>0</v>
      </c>
      <c r="M79" s="374" t="n">
        <v>0</v>
      </c>
      <c r="N79" s="370" t="n">
        <v>1990</v>
      </c>
      <c r="O79" s="370" t="n">
        <v>6866</v>
      </c>
      <c r="P79" s="370" t="n">
        <v>0</v>
      </c>
      <c r="Q79" s="370" t="n">
        <v>19</v>
      </c>
      <c r="R79" s="370" t="n">
        <v>3</v>
      </c>
      <c r="S79" s="370" t="n">
        <v>1</v>
      </c>
      <c r="T79" s="369" t="inlineStr">
        <is>
          <t xml:space="preserve">I-B         </t>
        </is>
      </c>
      <c r="U79" s="370" t="n">
        <v>398</v>
      </c>
      <c r="V79" s="674" t="n">
        <v>45240</v>
      </c>
      <c r="W79" s="674" t="n">
        <v>45000</v>
      </c>
      <c r="X79" s="676" t="inlineStr">
        <is>
          <t>1.8:1</t>
        </is>
      </c>
      <c r="Y79" s="674" t="n">
        <v>25000</v>
      </c>
      <c r="Z79" s="369" t="inlineStr">
        <is>
          <t xml:space="preserve">C </t>
        </is>
      </c>
      <c r="AA79" s="370" t="n"/>
      <c r="AB79" s="370" t="n"/>
      <c r="AC79" s="370" t="n"/>
      <c r="AD79" s="370" t="inlineStr">
        <is>
          <t xml:space="preserve">PRINTING PLANT      </t>
        </is>
      </c>
      <c r="AE79" s="370" t="n"/>
      <c r="AF79" s="370" t="n"/>
      <c r="AG79" s="370" t="n"/>
      <c r="AH79" s="370" t="n"/>
      <c r="AI79" s="370" t="n"/>
      <c r="AK79" s="370" t="inlineStr">
        <is>
          <t xml:space="preserve">2009 LEASE.                                                       </t>
        </is>
      </c>
      <c r="AL79" s="370" t="n"/>
      <c r="AM79" s="370" t="n"/>
      <c r="AN79" s="370" t="n"/>
      <c r="AO79" s="370" t="n"/>
      <c r="AP79" s="370" t="n"/>
      <c r="AQ79" s="370" t="n"/>
    </row>
    <row r="80">
      <c r="A80" s="383" t="n">
        <v>6</v>
      </c>
      <c r="B80" s="370" t="n">
        <v>75</v>
      </c>
      <c r="C80" s="370" t="inlineStr">
        <is>
          <t>2013Q</t>
        </is>
      </c>
      <c r="D80" s="370" t="inlineStr">
        <is>
          <t xml:space="preserve">01252-00-088-000 </t>
        </is>
      </c>
      <c r="E80" s="369" t="inlineStr">
        <is>
          <t>Actual</t>
        </is>
      </c>
      <c r="F80" s="370" t="inlineStr">
        <is>
          <t>3777   QUENTIN              ST</t>
        </is>
      </c>
      <c r="G80" s="370" t="n">
        <v>44.2</v>
      </c>
      <c r="H80" s="370" t="n">
        <v>9104</v>
      </c>
      <c r="I80" s="369" t="n">
        <v>0</v>
      </c>
      <c r="J80" s="674" t="n">
        <v>12107</v>
      </c>
      <c r="K80" s="675" t="n">
        <v>5.352275543074255</v>
      </c>
      <c r="L80" s="385" t="n">
        <v>0</v>
      </c>
      <c r="M80" s="374" t="n">
        <v>0.3070833333333333</v>
      </c>
      <c r="N80" s="370" t="n">
        <v>2000</v>
      </c>
      <c r="O80" s="370" t="n">
        <v>3823</v>
      </c>
      <c r="P80" s="370" t="n">
        <v>0</v>
      </c>
      <c r="Q80" s="370" t="n">
        <v>24</v>
      </c>
      <c r="R80" s="370" t="n">
        <v>3</v>
      </c>
      <c r="S80" s="370" t="n">
        <v>5</v>
      </c>
      <c r="T80" s="369" t="inlineStr">
        <is>
          <t xml:space="preserve">I-B         </t>
        </is>
      </c>
      <c r="U80" s="370" t="n">
        <v>398</v>
      </c>
      <c r="V80" s="674" t="n">
        <v>38408</v>
      </c>
      <c r="W80" s="674" t="n">
        <v>38000</v>
      </c>
      <c r="X80" s="676" t="inlineStr">
        <is>
          <t>3.2:1</t>
        </is>
      </c>
      <c r="Y80" s="674" t="n">
        <v>12000</v>
      </c>
      <c r="Z80" s="369" t="inlineStr">
        <is>
          <t xml:space="preserve">C </t>
        </is>
      </c>
      <c r="AA80" s="370" t="n"/>
      <c r="AB80" s="370" t="n"/>
      <c r="AC80" s="370" t="n"/>
      <c r="AD80" s="370" t="inlineStr">
        <is>
          <t xml:space="preserve">M-W                 </t>
        </is>
      </c>
      <c r="AE80" s="370" t="n"/>
      <c r="AF80" s="370" t="n"/>
      <c r="AG80" s="370" t="n"/>
      <c r="AH80" s="370" t="n"/>
      <c r="AI80" s="370" t="n"/>
      <c r="AK80" s="370" t="inlineStr">
        <is>
          <t>                                                                  </t>
        </is>
      </c>
      <c r="AL80" s="370" t="n"/>
      <c r="AM80" s="370" t="n"/>
      <c r="AN80" s="370" t="n"/>
      <c r="AO80" s="370" t="n"/>
      <c r="AP80" s="370" t="n"/>
      <c r="AQ80" s="370" t="n"/>
    </row>
    <row r="81">
      <c r="A81" s="383" t="n">
        <v>6</v>
      </c>
      <c r="B81" s="370" t="n">
        <v>76</v>
      </c>
      <c r="C81" s="370" t="inlineStr">
        <is>
          <t>2013Q</t>
        </is>
      </c>
      <c r="D81" s="370" t="inlineStr">
        <is>
          <t xml:space="preserve">01252-00-093-000 </t>
        </is>
      </c>
      <c r="E81" s="369" t="inlineStr">
        <is>
          <t>Actual</t>
        </is>
      </c>
      <c r="F81" s="370" t="inlineStr">
        <is>
          <t>3899   QUENTIN              ST</t>
        </is>
      </c>
      <c r="G81" s="370" t="n">
        <v>44.1</v>
      </c>
      <c r="H81" s="370" t="n">
        <v>9104</v>
      </c>
      <c r="I81" s="369" t="n">
        <v>0</v>
      </c>
      <c r="J81" s="674" t="n">
        <v>8018</v>
      </c>
      <c r="K81" s="675" t="n">
        <v>11.22474432526815</v>
      </c>
      <c r="L81" s="385" t="n">
        <v>0</v>
      </c>
      <c r="M81" s="374" t="n">
        <v>0.01555555555555556</v>
      </c>
      <c r="N81" s="370" t="n">
        <v>2004</v>
      </c>
      <c r="O81" s="370" t="n">
        <v>1337</v>
      </c>
      <c r="P81" s="370" t="n">
        <v>0</v>
      </c>
      <c r="Q81" s="370" t="n">
        <v>19</v>
      </c>
      <c r="R81" s="370" t="n">
        <v>3</v>
      </c>
      <c r="S81" s="370" t="n">
        <v>1</v>
      </c>
      <c r="T81" s="369" t="inlineStr">
        <is>
          <t xml:space="preserve">I-B         </t>
        </is>
      </c>
      <c r="U81" s="370" t="n">
        <v>398</v>
      </c>
      <c r="V81" s="674" t="n">
        <v>23918</v>
      </c>
      <c r="W81" s="674" t="n">
        <v>24000</v>
      </c>
      <c r="X81" s="676" t="inlineStr">
        <is>
          <t>3:1</t>
        </is>
      </c>
      <c r="Y81" s="674" t="n">
        <v>8000</v>
      </c>
      <c r="Z81" s="369" t="inlineStr">
        <is>
          <t xml:space="preserve">C </t>
        </is>
      </c>
      <c r="AA81" s="370" t="n"/>
      <c r="AB81" s="370" t="n"/>
      <c r="AC81" s="370" t="n"/>
      <c r="AD81" s="370" t="inlineStr">
        <is>
          <t>                    </t>
        </is>
      </c>
      <c r="AE81" s="370" t="n"/>
      <c r="AF81" s="370" t="n"/>
      <c r="AG81" s="370" t="n"/>
      <c r="AH81" s="370" t="n"/>
      <c r="AI81" s="370" t="n"/>
      <c r="AK81" s="370" t="inlineStr">
        <is>
          <t xml:space="preserve">2010 LEASE.                                                       </t>
        </is>
      </c>
      <c r="AL81" s="370" t="n"/>
      <c r="AM81" s="370" t="n"/>
      <c r="AN81" s="370" t="n"/>
      <c r="AO81" s="370" t="n"/>
      <c r="AP81" s="370" t="n"/>
      <c r="AQ81" s="370" t="n"/>
    </row>
    <row r="82">
      <c r="A82" s="383" t="n">
        <v>6</v>
      </c>
      <c r="B82" s="370" t="n">
        <v>77</v>
      </c>
      <c r="C82" s="370" t="inlineStr">
        <is>
          <t>2013Q</t>
        </is>
      </c>
      <c r="D82" s="370" t="inlineStr">
        <is>
          <t xml:space="preserve">01252-00-095-000 </t>
        </is>
      </c>
      <c r="E82" s="369" t="inlineStr">
        <is>
          <t>Actual</t>
        </is>
      </c>
      <c r="F82" s="370" t="inlineStr">
        <is>
          <t>3751   REVERE               ST</t>
        </is>
      </c>
      <c r="G82" s="370" t="n">
        <v>44.1</v>
      </c>
      <c r="H82" s="370" t="n">
        <v>9104</v>
      </c>
      <c r="I82" s="369" t="n">
        <v>0</v>
      </c>
      <c r="J82" s="674" t="n">
        <v>54662</v>
      </c>
      <c r="K82" s="675" t="n">
        <v>5.047016208700743</v>
      </c>
      <c r="L82" s="385" t="n">
        <v>0</v>
      </c>
      <c r="M82" s="374" t="n">
        <v>0.146958822676526</v>
      </c>
      <c r="N82" s="370" t="n">
        <v>1980</v>
      </c>
      <c r="O82" s="370" t="n">
        <v>3736</v>
      </c>
      <c r="P82" s="370" t="n">
        <v>0</v>
      </c>
      <c r="Q82" s="370" t="n">
        <v>27</v>
      </c>
      <c r="R82" s="370" t="n">
        <v>14</v>
      </c>
      <c r="S82" s="370" t="n">
        <v>1</v>
      </c>
      <c r="T82" s="369" t="inlineStr">
        <is>
          <t xml:space="preserve">I-B         </t>
        </is>
      </c>
      <c r="U82" s="370" t="n">
        <v>398</v>
      </c>
      <c r="V82" s="674" t="n">
        <v>99319</v>
      </c>
      <c r="W82" s="674" t="n">
        <v>99000</v>
      </c>
      <c r="X82" s="676" t="inlineStr">
        <is>
          <t>1.8:1</t>
        </is>
      </c>
      <c r="Y82" s="674" t="n">
        <v>55000</v>
      </c>
      <c r="Z82" s="369" t="inlineStr">
        <is>
          <t xml:space="preserve">C </t>
        </is>
      </c>
      <c r="AA82" s="370" t="n"/>
      <c r="AB82" s="370" t="n"/>
      <c r="AC82" s="370" t="n"/>
      <c r="AD82" s="370" t="inlineStr">
        <is>
          <t xml:space="preserve">CONLEY              </t>
        </is>
      </c>
      <c r="AE82" s="370" t="n"/>
      <c r="AF82" s="370" t="n"/>
      <c r="AG82" s="370" t="n"/>
      <c r="AH82" s="370" t="n"/>
      <c r="AI82" s="370" t="n"/>
      <c r="AK82" s="370" t="inlineStr">
        <is>
          <t xml:space="preserve">OWNER PAY TOO LARGE A SHARE OF EXPENSES.                          </t>
        </is>
      </c>
      <c r="AL82" s="370" t="n"/>
      <c r="AM82" s="370" t="n"/>
      <c r="AN82" s="370" t="n"/>
      <c r="AO82" s="370" t="n"/>
      <c r="AP82" s="370" t="n"/>
      <c r="AQ82" s="370" t="n"/>
    </row>
    <row r="83">
      <c r="A83" s="383" t="n">
        <v>6</v>
      </c>
      <c r="B83" s="370" t="n">
        <v>78</v>
      </c>
      <c r="C83" s="370" t="inlineStr">
        <is>
          <t>2013Q</t>
        </is>
      </c>
      <c r="D83" s="370" t="inlineStr">
        <is>
          <t xml:space="preserve">01252-04-001-000 </t>
        </is>
      </c>
      <c r="E83" s="369" t="inlineStr">
        <is>
          <t>Actual</t>
        </is>
      </c>
      <c r="F83" s="370" t="inlineStr">
        <is>
          <t>12585 E 39TH                 AV</t>
        </is>
      </c>
      <c r="G83" s="370" t="n">
        <v>44.2</v>
      </c>
      <c r="H83" s="370" t="n">
        <v>9104</v>
      </c>
      <c r="I83" s="369" t="n">
        <v>0</v>
      </c>
      <c r="J83" s="674" t="n">
        <v>9216</v>
      </c>
      <c r="K83" s="675" t="n">
        <v>6.525056095736724</v>
      </c>
      <c r="L83" s="385" t="n">
        <v>0.57</v>
      </c>
      <c r="M83" s="374" t="n">
        <v>0</v>
      </c>
      <c r="N83" s="370" t="n">
        <v>1978</v>
      </c>
      <c r="O83" s="370" t="n">
        <v>2320</v>
      </c>
      <c r="P83" s="370" t="n">
        <v>0</v>
      </c>
      <c r="Q83" s="370" t="n">
        <v>16</v>
      </c>
      <c r="R83" s="370" t="n">
        <v>14</v>
      </c>
      <c r="S83" s="370" t="n">
        <v>1</v>
      </c>
      <c r="T83" s="369" t="inlineStr">
        <is>
          <t xml:space="preserve">I-B         </t>
        </is>
      </c>
      <c r="U83" s="370" t="n">
        <v>398</v>
      </c>
      <c r="V83" s="674" t="n">
        <v>40511</v>
      </c>
      <c r="W83" s="674" t="n">
        <v>41000</v>
      </c>
      <c r="X83" s="676" t="inlineStr">
        <is>
          <t>4.4:1</t>
        </is>
      </c>
      <c r="Y83" s="674" t="n">
        <v>9000</v>
      </c>
      <c r="Z83" s="369" t="inlineStr">
        <is>
          <t xml:space="preserve">C </t>
        </is>
      </c>
      <c r="AA83" s="370" t="n"/>
      <c r="AB83" s="370" t="n"/>
      <c r="AC83" s="370" t="n"/>
      <c r="AD83" s="370" t="inlineStr">
        <is>
          <t>                    </t>
        </is>
      </c>
      <c r="AE83" s="370" t="n"/>
      <c r="AF83" s="370" t="n"/>
      <c r="AG83" s="370" t="n"/>
      <c r="AH83" s="370" t="n"/>
      <c r="AI83" s="370" t="n"/>
      <c r="AK83" s="370" t="inlineStr">
        <is>
          <t xml:space="preserve">CAN'T ALLOCATE EXPENSES.                                          </t>
        </is>
      </c>
      <c r="AL83" s="370" t="n"/>
      <c r="AM83" s="370" t="n"/>
      <c r="AN83" s="370" t="n"/>
      <c r="AO83" s="370" t="n"/>
      <c r="AP83" s="370" t="n"/>
      <c r="AQ83" s="370" t="n"/>
    </row>
    <row r="84">
      <c r="A84" s="383" t="n">
        <v>6</v>
      </c>
      <c r="B84" s="370" t="n">
        <v>79</v>
      </c>
      <c r="C84" s="370" t="inlineStr">
        <is>
          <t>2013Q</t>
        </is>
      </c>
      <c r="D84" s="370" t="inlineStr">
        <is>
          <t xml:space="preserve">01314-32-011-000 </t>
        </is>
      </c>
      <c r="E84" s="369" t="inlineStr">
        <is>
          <t>Actual</t>
        </is>
      </c>
      <c r="F84" s="370" t="inlineStr">
        <is>
          <t>1520   FILBERT              CT</t>
        </is>
      </c>
      <c r="G84" s="370" t="n">
        <v>44.1</v>
      </c>
      <c r="H84" s="370" t="n">
        <v>9101</v>
      </c>
      <c r="I84" s="369" t="n">
        <v>0</v>
      </c>
      <c r="J84" s="674" t="n">
        <v>5495</v>
      </c>
      <c r="K84" s="675" t="n">
        <v>4.660054595086442</v>
      </c>
      <c r="L84" s="385" t="n">
        <v>0</v>
      </c>
      <c r="M84" s="374" t="n">
        <v>0</v>
      </c>
      <c r="N84" s="370" t="n">
        <v>1946</v>
      </c>
      <c r="O84" s="370" t="n">
        <v>4847</v>
      </c>
      <c r="P84" s="370" t="n">
        <v>0</v>
      </c>
      <c r="Q84" s="370" t="n">
        <v>13</v>
      </c>
      <c r="R84" s="370" t="n">
        <v>1</v>
      </c>
      <c r="S84" s="370" t="n">
        <v>1</v>
      </c>
      <c r="T84" s="369" t="inlineStr">
        <is>
          <t xml:space="preserve">U-MS-3      </t>
        </is>
      </c>
      <c r="U84" s="370" t="n">
        <v>398</v>
      </c>
      <c r="V84" s="674" t="n">
        <v>6500</v>
      </c>
      <c r="W84" s="674" t="n">
        <v>7000</v>
      </c>
      <c r="X84" s="676" t="inlineStr">
        <is>
          <t>1.2:1</t>
        </is>
      </c>
      <c r="Y84" s="674" t="n">
        <v>5000</v>
      </c>
      <c r="Z84" s="369" t="inlineStr">
        <is>
          <t xml:space="preserve">C </t>
        </is>
      </c>
      <c r="AA84" s="370" t="n"/>
      <c r="AB84" s="370" t="n"/>
      <c r="AC84" s="370" t="n"/>
      <c r="AD84" s="370" t="inlineStr">
        <is>
          <t>                    </t>
        </is>
      </c>
      <c r="AE84" s="370" t="n"/>
      <c r="AF84" s="370" t="n"/>
      <c r="AG84" s="370" t="n"/>
      <c r="AH84" s="370" t="n"/>
      <c r="AI84" s="370" t="n"/>
      <c r="AK84" s="370" t="inlineStr">
        <is>
          <t xml:space="preserve">MO-TO-MO LEASE.                                                   </t>
        </is>
      </c>
      <c r="AL84" s="370" t="n"/>
      <c r="AM84" s="370" t="n"/>
      <c r="AN84" s="370" t="n"/>
      <c r="AO84" s="370" t="n"/>
      <c r="AP84" s="370" t="n"/>
      <c r="AQ84" s="370" t="n"/>
    </row>
    <row r="85">
      <c r="A85" s="383" t="n">
        <v>6</v>
      </c>
      <c r="B85" s="370" t="n">
        <v>80</v>
      </c>
      <c r="C85" s="370" t="inlineStr">
        <is>
          <t>2013Q</t>
        </is>
      </c>
      <c r="D85" s="370" t="inlineStr">
        <is>
          <t xml:space="preserve">02131-02-012-000 </t>
        </is>
      </c>
      <c r="E85" s="369" t="inlineStr">
        <is>
          <t>Actual</t>
        </is>
      </c>
      <c r="F85" s="370" t="inlineStr">
        <is>
          <t>5300   JACKSON              ST</t>
        </is>
      </c>
      <c r="G85" s="370" t="n">
        <v>44.1</v>
      </c>
      <c r="H85" s="370" t="n">
        <v>9201</v>
      </c>
      <c r="I85" s="369" t="n">
        <v>0</v>
      </c>
      <c r="J85" s="674" t="n">
        <v>4066</v>
      </c>
      <c r="K85" s="675" t="n">
        <v>3.9</v>
      </c>
      <c r="L85" s="385" t="n">
        <v>0</v>
      </c>
      <c r="M85" s="374" t="n">
        <v>0</v>
      </c>
      <c r="N85" s="370" t="n">
        <v>1985</v>
      </c>
      <c r="O85" s="370" t="n">
        <v>0</v>
      </c>
      <c r="P85" s="370" t="n">
        <v>0</v>
      </c>
      <c r="Q85" s="370" t="n">
        <v>16</v>
      </c>
      <c r="R85" s="370" t="n">
        <v>7</v>
      </c>
      <c r="S85" s="370" t="n">
        <v>1</v>
      </c>
      <c r="T85" s="369" t="inlineStr">
        <is>
          <t xml:space="preserve">I-A         </t>
        </is>
      </c>
      <c r="U85" s="370" t="n">
        <v>398</v>
      </c>
      <c r="V85" s="674" t="n">
        <v>13211</v>
      </c>
      <c r="W85" s="674" t="n">
        <v>13000</v>
      </c>
      <c r="X85" s="676" t="inlineStr">
        <is>
          <t>3.2:1</t>
        </is>
      </c>
      <c r="Y85" s="674" t="n">
        <v>4000</v>
      </c>
      <c r="Z85" s="369" t="inlineStr">
        <is>
          <t xml:space="preserve">C </t>
        </is>
      </c>
      <c r="AA85" s="370" t="n"/>
      <c r="AB85" s="370" t="n"/>
      <c r="AC85" s="370" t="n"/>
      <c r="AD85" s="370" t="inlineStr">
        <is>
          <t xml:space="preserve">S-W                 </t>
        </is>
      </c>
      <c r="AE85" s="370" t="n"/>
      <c r="AF85" s="370" t="n"/>
      <c r="AG85" s="370" t="n"/>
      <c r="AH85" s="370" t="n"/>
      <c r="AI85" s="370" t="n"/>
      <c r="AK85" s="370" t="inlineStr">
        <is>
          <t xml:space="preserve">MO-TO-MO LEASE.                                                   </t>
        </is>
      </c>
      <c r="AL85" s="370" t="n"/>
      <c r="AM85" s="370" t="n"/>
      <c r="AN85" s="370" t="n"/>
      <c r="AO85" s="370" t="n"/>
      <c r="AP85" s="370" t="n"/>
      <c r="AQ85" s="370" t="n"/>
    </row>
    <row r="86">
      <c r="A86" s="383" t="n">
        <v>6</v>
      </c>
      <c r="B86" s="370" t="n">
        <v>81</v>
      </c>
      <c r="C86" s="370" t="inlineStr">
        <is>
          <t>2013Q</t>
        </is>
      </c>
      <c r="D86" s="370" t="inlineStr">
        <is>
          <t xml:space="preserve">02131-02-014-000 </t>
        </is>
      </c>
      <c r="E86" s="369" t="inlineStr">
        <is>
          <t>Actual</t>
        </is>
      </c>
      <c r="F86" s="370" t="inlineStr">
        <is>
          <t>5335   HARRISON             ST</t>
        </is>
      </c>
      <c r="G86" s="370" t="n">
        <v>44.1</v>
      </c>
      <c r="H86" s="370" t="n">
        <v>9201</v>
      </c>
      <c r="I86" s="369" t="n">
        <v>0</v>
      </c>
      <c r="J86" s="674" t="n">
        <v>7272</v>
      </c>
      <c r="K86" s="675" t="n">
        <v>3.45</v>
      </c>
      <c r="L86" s="385" t="n">
        <v>0</v>
      </c>
      <c r="M86" s="374" t="n">
        <v>0</v>
      </c>
      <c r="N86" s="370" t="n">
        <v>1959</v>
      </c>
      <c r="O86" s="370" t="n">
        <v>2304</v>
      </c>
      <c r="P86" s="370" t="n">
        <v>0</v>
      </c>
      <c r="Q86" s="370" t="n">
        <v>10</v>
      </c>
      <c r="R86" s="370" t="n">
        <v>7</v>
      </c>
      <c r="S86" s="370" t="n">
        <v>1</v>
      </c>
      <c r="T86" s="369" t="inlineStr">
        <is>
          <t xml:space="preserve">I-A         </t>
        </is>
      </c>
      <c r="U86" s="370" t="n">
        <v>398</v>
      </c>
      <c r="V86" s="674" t="n">
        <v>53111</v>
      </c>
      <c r="W86" s="674" t="n">
        <v>53000</v>
      </c>
      <c r="X86" s="676" t="inlineStr">
        <is>
          <t>7.3:1</t>
        </is>
      </c>
      <c r="Y86" s="674" t="n">
        <v>7000</v>
      </c>
      <c r="Z86" s="369" t="inlineStr">
        <is>
          <t xml:space="preserve">C </t>
        </is>
      </c>
      <c r="AA86" s="370" t="n"/>
      <c r="AB86" s="370" t="n"/>
      <c r="AC86" s="370" t="n"/>
      <c r="AD86" s="370" t="inlineStr">
        <is>
          <t xml:space="preserve">DIST/SINGLE TENANT  </t>
        </is>
      </c>
      <c r="AE86" s="370" t="n"/>
      <c r="AF86" s="370" t="n"/>
      <c r="AG86" s="370" t="n"/>
      <c r="AH86" s="370" t="n"/>
      <c r="AI86" s="370" t="n"/>
      <c r="AK86" s="370" t="inlineStr">
        <is>
          <t xml:space="preserve">MO-TO-MO LEASE; CAN'T ALLOCATE EXPENSES BETWEEN O &amp; T.            </t>
        </is>
      </c>
      <c r="AL86" s="370" t="n"/>
      <c r="AM86" s="370" t="n"/>
      <c r="AN86" s="370" t="n"/>
      <c r="AO86" s="370" t="n"/>
      <c r="AP86" s="370" t="n"/>
      <c r="AQ86" s="370" t="n"/>
    </row>
    <row r="87">
      <c r="A87" s="383" t="n">
        <v>6</v>
      </c>
      <c r="B87" s="370" t="n">
        <v>82</v>
      </c>
      <c r="C87" s="370" t="inlineStr">
        <is>
          <t>2013Q</t>
        </is>
      </c>
      <c r="D87" s="370" t="inlineStr">
        <is>
          <t xml:space="preserve">02131-04-003-000 </t>
        </is>
      </c>
      <c r="E87" s="369" t="inlineStr">
        <is>
          <t>Actual</t>
        </is>
      </c>
      <c r="F87" s="370" t="inlineStr">
        <is>
          <t>5300   MONROE               ST</t>
        </is>
      </c>
      <c r="G87" s="370" t="n">
        <v>44.1</v>
      </c>
      <c r="H87" s="370" t="n">
        <v>9201</v>
      </c>
      <c r="I87" s="369" t="n">
        <v>0</v>
      </c>
      <c r="J87" s="674" t="n">
        <v>15699</v>
      </c>
      <c r="K87" s="675" t="n">
        <v>4.586279380852283</v>
      </c>
      <c r="L87" s="385" t="n">
        <v>0</v>
      </c>
      <c r="M87" s="374" t="n">
        <v>0</v>
      </c>
      <c r="N87" s="370" t="n">
        <v>1964</v>
      </c>
      <c r="O87" s="370" t="n">
        <v>778</v>
      </c>
      <c r="P87" s="370" t="n">
        <v>0</v>
      </c>
      <c r="Q87" s="370" t="n">
        <v>17</v>
      </c>
      <c r="R87" s="370" t="n">
        <v>3</v>
      </c>
      <c r="S87" s="370" t="n">
        <v>1</v>
      </c>
      <c r="T87" s="369" t="inlineStr">
        <is>
          <t xml:space="preserve">I-A         </t>
        </is>
      </c>
      <c r="U87" s="370" t="n">
        <v>398</v>
      </c>
      <c r="V87" s="674" t="n">
        <v>25000</v>
      </c>
      <c r="W87" s="674" t="n">
        <v>25000</v>
      </c>
      <c r="X87" s="676" t="inlineStr">
        <is>
          <t>1.6:1</t>
        </is>
      </c>
      <c r="Y87" s="674" t="n">
        <v>16000</v>
      </c>
      <c r="Z87" s="369" t="inlineStr">
        <is>
          <t xml:space="preserve">C </t>
        </is>
      </c>
      <c r="AA87" s="370" t="n"/>
      <c r="AB87" s="370" t="n"/>
      <c r="AC87" s="370" t="n"/>
      <c r="AD87" s="370" t="inlineStr">
        <is>
          <t>                    </t>
        </is>
      </c>
      <c r="AE87" s="370" t="n"/>
      <c r="AF87" s="370" t="n"/>
      <c r="AG87" s="370" t="n"/>
      <c r="AH87" s="370" t="n"/>
      <c r="AI87" s="370" t="n"/>
      <c r="AK87" s="370" t="inlineStr">
        <is>
          <t>                                                                  </t>
        </is>
      </c>
      <c r="AL87" s="370" t="n"/>
      <c r="AM87" s="370" t="n"/>
      <c r="AN87" s="370" t="n"/>
      <c r="AO87" s="370" t="n"/>
      <c r="AP87" s="370" t="n"/>
      <c r="AQ87" s="370" t="n"/>
    </row>
    <row r="88">
      <c r="A88" s="383" t="n">
        <v>6</v>
      </c>
      <c r="B88" s="370" t="n">
        <v>83</v>
      </c>
      <c r="C88" s="370" t="inlineStr">
        <is>
          <t>2013Q</t>
        </is>
      </c>
      <c r="D88" s="370" t="inlineStr">
        <is>
          <t xml:space="preserve">02131-08-020-000 </t>
        </is>
      </c>
      <c r="E88" s="369" t="inlineStr">
        <is>
          <t>Actual</t>
        </is>
      </c>
      <c r="F88" s="370" t="inlineStr">
        <is>
          <t>3333 E 52ND                 AV</t>
        </is>
      </c>
      <c r="G88" s="370" t="n">
        <v>44.1</v>
      </c>
      <c r="H88" s="370" t="n">
        <v>9201</v>
      </c>
      <c r="I88" s="369" t="n">
        <v>0</v>
      </c>
      <c r="J88" s="674" t="n">
        <v>37440</v>
      </c>
      <c r="K88" s="675" t="n">
        <v>6.185897435897436</v>
      </c>
      <c r="L88" s="385" t="n">
        <v>0</v>
      </c>
      <c r="M88" s="374" t="n">
        <v>0</v>
      </c>
      <c r="N88" s="370" t="n">
        <v>1970</v>
      </c>
      <c r="O88" s="370" t="n">
        <v>8400</v>
      </c>
      <c r="P88" s="370" t="n">
        <v>0</v>
      </c>
      <c r="Q88" s="370" t="n">
        <v>15</v>
      </c>
      <c r="R88" s="370" t="n">
        <v>7</v>
      </c>
      <c r="S88" s="370" t="n">
        <v>1</v>
      </c>
      <c r="T88" s="369" t="inlineStr">
        <is>
          <t xml:space="preserve">I-A         </t>
        </is>
      </c>
      <c r="U88" s="370" t="n">
        <v>398</v>
      </c>
      <c r="V88" s="674" t="n">
        <v>81300</v>
      </c>
      <c r="W88" s="674" t="n">
        <v>81000</v>
      </c>
      <c r="X88" s="676" t="inlineStr">
        <is>
          <t>2.2:1</t>
        </is>
      </c>
      <c r="Y88" s="674" t="n">
        <v>37000</v>
      </c>
      <c r="Z88" s="369" t="inlineStr">
        <is>
          <t xml:space="preserve">C </t>
        </is>
      </c>
      <c r="AA88" s="370" t="n"/>
      <c r="AB88" s="370" t="n"/>
      <c r="AC88" s="370" t="n"/>
      <c r="AD88" s="370" t="inlineStr">
        <is>
          <t xml:space="preserve">COLORADO DOORWAYS   </t>
        </is>
      </c>
      <c r="AE88" s="370" t="n"/>
      <c r="AF88" s="370" t="n"/>
      <c r="AG88" s="370" t="n"/>
      <c r="AH88" s="370" t="n"/>
      <c r="AI88" s="370" t="n"/>
      <c r="AK88" s="370" t="inlineStr">
        <is>
          <t xml:space="preserve">2009 LEASE; PARCEL 02131-08-021 INCLUDED IN LEASE.                </t>
        </is>
      </c>
      <c r="AL88" s="370" t="n"/>
      <c r="AM88" s="370" t="n"/>
      <c r="AN88" s="370" t="n"/>
      <c r="AO88" s="370" t="n"/>
      <c r="AP88" s="370" t="n"/>
      <c r="AQ88" s="370" t="n"/>
    </row>
    <row r="89">
      <c r="A89" s="383" t="n">
        <v>6</v>
      </c>
      <c r="B89" s="370" t="n">
        <v>84</v>
      </c>
      <c r="C89" s="370" t="inlineStr">
        <is>
          <t>2013Q</t>
        </is>
      </c>
      <c r="D89" s="370" t="inlineStr">
        <is>
          <t xml:space="preserve">02132-00-039-000 </t>
        </is>
      </c>
      <c r="E89" s="369" t="inlineStr">
        <is>
          <t>Actual</t>
        </is>
      </c>
      <c r="F89" s="370" t="inlineStr">
        <is>
          <t>3055 E 52ND                 AV</t>
        </is>
      </c>
      <c r="G89" s="370" t="n">
        <v>44.2</v>
      </c>
      <c r="H89" s="370" t="n">
        <v>9201</v>
      </c>
      <c r="I89" s="369" t="n">
        <v>0</v>
      </c>
      <c r="J89" s="674" t="n">
        <v>24250</v>
      </c>
      <c r="K89" s="675" t="n">
        <v>3.562886597938145</v>
      </c>
      <c r="L89" s="385" t="n">
        <v>0</v>
      </c>
      <c r="M89" s="374" t="n">
        <v>0</v>
      </c>
      <c r="N89" s="370" t="n">
        <v>1963</v>
      </c>
      <c r="O89" s="370" t="n">
        <v>2784</v>
      </c>
      <c r="P89" s="370" t="n">
        <v>0</v>
      </c>
      <c r="Q89" s="370" t="n">
        <v>14</v>
      </c>
      <c r="R89" s="370" t="n">
        <v>3</v>
      </c>
      <c r="S89" s="370" t="n">
        <v>5</v>
      </c>
      <c r="T89" s="369" t="inlineStr">
        <is>
          <t xml:space="preserve">I-A         </t>
        </is>
      </c>
      <c r="U89" s="370" t="n">
        <v>398</v>
      </c>
      <c r="V89" s="674" t="n">
        <v>58000</v>
      </c>
      <c r="W89" s="674" t="n">
        <v>58000</v>
      </c>
      <c r="X89" s="676" t="inlineStr">
        <is>
          <t>2.4:1</t>
        </is>
      </c>
      <c r="Y89" s="674" t="n">
        <v>24000</v>
      </c>
      <c r="Z89" s="369" t="inlineStr">
        <is>
          <t xml:space="preserve">C </t>
        </is>
      </c>
      <c r="AA89" s="370" t="n"/>
      <c r="AB89" s="370" t="n"/>
      <c r="AC89" s="370" t="n"/>
      <c r="AD89" s="370" t="inlineStr">
        <is>
          <t xml:space="preserve">DIST/STRGE WHSE     </t>
        </is>
      </c>
      <c r="AE89" s="370" t="n"/>
      <c r="AF89" s="370" t="n"/>
      <c r="AG89" s="370" t="n"/>
      <c r="AH89" s="370" t="n"/>
      <c r="AI89" s="370" t="n"/>
      <c r="AK89" s="370" t="inlineStr">
        <is>
          <t xml:space="preserve">EXP NOT ENTERED - OWNER BEAR WAY TOO MUCH OF EXPENSES.            </t>
        </is>
      </c>
      <c r="AL89" s="370" t="n"/>
      <c r="AM89" s="370" t="n"/>
      <c r="AN89" s="370" t="n"/>
      <c r="AO89" s="370" t="n"/>
      <c r="AP89" s="370" t="n"/>
      <c r="AQ89" s="370" t="n"/>
    </row>
    <row r="90">
      <c r="A90" s="383" t="n">
        <v>6</v>
      </c>
      <c r="B90" s="370" t="n">
        <v>85</v>
      </c>
      <c r="C90" s="370" t="inlineStr">
        <is>
          <t>2013Q</t>
        </is>
      </c>
      <c r="D90" s="370" t="inlineStr">
        <is>
          <t xml:space="preserve">02134-00-158-000 </t>
        </is>
      </c>
      <c r="E90" s="369" t="inlineStr">
        <is>
          <t>Actual</t>
        </is>
      </c>
      <c r="F90" s="370" t="inlineStr">
        <is>
          <t>5105   COOK                 ST</t>
        </is>
      </c>
      <c r="G90" s="370" t="n">
        <v>44.1</v>
      </c>
      <c r="H90" s="370" t="n">
        <v>9201</v>
      </c>
      <c r="I90" s="369" t="n">
        <v>0</v>
      </c>
      <c r="J90" s="674" t="n">
        <v>29787</v>
      </c>
      <c r="K90" s="675" t="n">
        <v>5.237184006445765</v>
      </c>
      <c r="L90" s="385" t="n">
        <v>0</v>
      </c>
      <c r="M90" s="374" t="n">
        <v>0</v>
      </c>
      <c r="N90" s="370" t="n">
        <v>1983</v>
      </c>
      <c r="O90" s="370" t="n">
        <v>1063</v>
      </c>
      <c r="P90" s="370" t="n">
        <v>0</v>
      </c>
      <c r="Q90" s="370" t="n">
        <v>18</v>
      </c>
      <c r="R90" s="370" t="n">
        <v>10</v>
      </c>
      <c r="S90" s="370" t="n">
        <v>1</v>
      </c>
      <c r="T90" s="369" t="inlineStr">
        <is>
          <t xml:space="preserve">I-A         </t>
        </is>
      </c>
      <c r="U90" s="370" t="n">
        <v>398</v>
      </c>
      <c r="V90" s="674" t="n">
        <v>130639</v>
      </c>
      <c r="W90" s="674" t="n">
        <v>131000</v>
      </c>
      <c r="X90" s="676" t="inlineStr">
        <is>
          <t>4.4:1</t>
        </is>
      </c>
      <c r="Y90" s="674" t="n">
        <v>30000</v>
      </c>
      <c r="Z90" s="369" t="inlineStr">
        <is>
          <t xml:space="preserve">C </t>
        </is>
      </c>
      <c r="AA90" s="370" t="n"/>
      <c r="AB90" s="370" t="n"/>
      <c r="AC90" s="370" t="n"/>
      <c r="AD90" s="370" t="inlineStr">
        <is>
          <t xml:space="preserve">SAMS PRODUCE        </t>
        </is>
      </c>
      <c r="AE90" s="370" t="n"/>
      <c r="AF90" s="370" t="n"/>
      <c r="AG90" s="370" t="n"/>
      <c r="AH90" s="370" t="n"/>
      <c r="AI90" s="370" t="n"/>
      <c r="AK90" s="370" t="inlineStr">
        <is>
          <t xml:space="preserve">2010 LEASE.                                                       </t>
        </is>
      </c>
      <c r="AL90" s="370" t="n"/>
      <c r="AM90" s="370" t="n"/>
      <c r="AN90" s="370" t="n"/>
      <c r="AO90" s="370" t="n"/>
      <c r="AP90" s="370" t="n"/>
      <c r="AQ90" s="370" t="n"/>
    </row>
    <row r="91">
      <c r="A91" s="383" t="n">
        <v>6</v>
      </c>
      <c r="B91" s="370" t="n">
        <v>86</v>
      </c>
      <c r="C91" s="370" t="inlineStr">
        <is>
          <t>2013Q</t>
        </is>
      </c>
      <c r="D91" s="370" t="inlineStr">
        <is>
          <t xml:space="preserve">02134-01-021-000 </t>
        </is>
      </c>
      <c r="E91" s="369" t="inlineStr">
        <is>
          <t>Actual</t>
        </is>
      </c>
      <c r="F91" s="370" t="inlineStr">
        <is>
          <t>4985   COLORADO             BV</t>
        </is>
      </c>
      <c r="G91" s="370" t="n">
        <v>44.1</v>
      </c>
      <c r="H91" s="370" t="n">
        <v>9201</v>
      </c>
      <c r="I91" s="369" t="n">
        <v>5</v>
      </c>
      <c r="J91" s="674" t="n">
        <v>24416</v>
      </c>
      <c r="K91" s="675" t="n">
        <v>3.931847968545216</v>
      </c>
      <c r="L91" s="385" t="n">
        <v>0</v>
      </c>
      <c r="M91" s="374" t="n">
        <v>0.037625</v>
      </c>
      <c r="N91" s="370" t="n">
        <v>1973</v>
      </c>
      <c r="O91" s="370" t="n">
        <v>1560</v>
      </c>
      <c r="P91" s="370" t="n">
        <v>0</v>
      </c>
      <c r="Q91" s="370" t="n">
        <v>18</v>
      </c>
      <c r="R91" s="370" t="n">
        <v>1</v>
      </c>
      <c r="S91" s="370" t="n">
        <v>1</v>
      </c>
      <c r="T91" s="369" t="inlineStr">
        <is>
          <t xml:space="preserve">I-A         </t>
        </is>
      </c>
      <c r="U91" s="370" t="n">
        <v>398</v>
      </c>
      <c r="V91" s="674" t="n">
        <v>45515</v>
      </c>
      <c r="W91" s="674" t="n">
        <v>46000</v>
      </c>
      <c r="X91" s="676" t="inlineStr">
        <is>
          <t>1.9:1</t>
        </is>
      </c>
      <c r="Y91" s="674" t="n">
        <v>24000</v>
      </c>
      <c r="Z91" s="369" t="inlineStr">
        <is>
          <t xml:space="preserve">C </t>
        </is>
      </c>
      <c r="AA91" s="370" t="n"/>
      <c r="AB91" s="370" t="n"/>
      <c r="AC91" s="370" t="n"/>
      <c r="AD91" s="370" t="inlineStr">
        <is>
          <t xml:space="preserve">FOREE TIRE          </t>
        </is>
      </c>
      <c r="AE91" s="370" t="n"/>
      <c r="AF91" s="370" t="n"/>
      <c r="AG91" s="370" t="n"/>
      <c r="AH91" s="370" t="n"/>
      <c r="AI91" s="370" t="n"/>
      <c r="AK91" s="370" t="inlineStr">
        <is>
          <t>                                                                  </t>
        </is>
      </c>
      <c r="AL91" s="370" t="n"/>
      <c r="AM91" s="370" t="n"/>
      <c r="AN91" s="370" t="n"/>
      <c r="AO91" s="370" t="n"/>
      <c r="AP91" s="370" t="n"/>
      <c r="AQ91" s="370" t="n"/>
    </row>
    <row r="92">
      <c r="A92" s="383" t="n">
        <v>6</v>
      </c>
      <c r="B92" s="370" t="n">
        <v>87</v>
      </c>
      <c r="C92" s="370" t="inlineStr">
        <is>
          <t>2013Q</t>
        </is>
      </c>
      <c r="D92" s="370" t="inlineStr">
        <is>
          <t xml:space="preserve">02134-01-044-000 </t>
        </is>
      </c>
      <c r="E92" s="369" t="inlineStr">
        <is>
          <t>Actual</t>
        </is>
      </c>
      <c r="F92" s="370" t="inlineStr">
        <is>
          <t>4975   COLORADO             BV</t>
        </is>
      </c>
      <c r="G92" s="370" t="n">
        <v>44.1</v>
      </c>
      <c r="H92" s="370" t="n">
        <v>9201</v>
      </c>
      <c r="I92" s="369" t="n">
        <v>5</v>
      </c>
      <c r="J92" s="674" t="n">
        <v>8520</v>
      </c>
      <c r="K92" s="675" t="n">
        <v>5.600704225352112</v>
      </c>
      <c r="L92" s="385" t="n">
        <v>0</v>
      </c>
      <c r="M92" s="374" t="n">
        <v>0.3995766796596672</v>
      </c>
      <c r="N92" s="370" t="n">
        <v>1954</v>
      </c>
      <c r="O92" s="370" t="n">
        <v>2531</v>
      </c>
      <c r="P92" s="370" t="n">
        <v>0</v>
      </c>
      <c r="Q92" s="370" t="n">
        <v>17</v>
      </c>
      <c r="R92" s="370" t="n">
        <v>1</v>
      </c>
      <c r="S92" s="370" t="n">
        <v>1</v>
      </c>
      <c r="T92" s="369" t="inlineStr">
        <is>
          <t xml:space="preserve">I-A         </t>
        </is>
      </c>
      <c r="U92" s="370" t="n">
        <v>398</v>
      </c>
      <c r="V92" s="674" t="n">
        <v>34314</v>
      </c>
      <c r="W92" s="674" t="n">
        <v>34000</v>
      </c>
      <c r="X92" s="676" t="inlineStr">
        <is>
          <t>4:1</t>
        </is>
      </c>
      <c r="Y92" s="674" t="n">
        <v>9000</v>
      </c>
      <c r="Z92" s="369" t="inlineStr">
        <is>
          <t xml:space="preserve">C </t>
        </is>
      </c>
      <c r="AA92" s="370" t="n"/>
      <c r="AB92" s="370" t="n"/>
      <c r="AC92" s="370" t="n"/>
      <c r="AD92" s="370" t="inlineStr">
        <is>
          <t xml:space="preserve">VACANT              </t>
        </is>
      </c>
      <c r="AE92" s="370" t="n"/>
      <c r="AF92" s="370" t="n"/>
      <c r="AG92" s="370" t="n"/>
      <c r="AH92" s="370" t="n"/>
      <c r="AI92" s="370" t="n"/>
      <c r="AK92" s="370" t="inlineStr">
        <is>
          <t xml:space="preserve">DATE OF LEASE COMMENCEMENT UNKNOWN.                               </t>
        </is>
      </c>
      <c r="AL92" s="370" t="n"/>
      <c r="AM92" s="370" t="n"/>
      <c r="AN92" s="370" t="n"/>
      <c r="AO92" s="370" t="n"/>
      <c r="AP92" s="370" t="n"/>
      <c r="AQ92" s="370" t="n"/>
    </row>
    <row r="93">
      <c r="A93" s="383" t="n">
        <v>6</v>
      </c>
      <c r="B93" s="370" t="n">
        <v>88</v>
      </c>
      <c r="C93" s="370" t="inlineStr">
        <is>
          <t>2013Q</t>
        </is>
      </c>
      <c r="D93" s="370" t="inlineStr">
        <is>
          <t xml:space="preserve">02143-00-032-000 </t>
        </is>
      </c>
      <c r="E93" s="369" t="inlineStr">
        <is>
          <t>Actual</t>
        </is>
      </c>
      <c r="F93" s="370" t="inlineStr">
        <is>
          <t>707 E 50TH                 AV</t>
        </is>
      </c>
      <c r="G93" s="370" t="n">
        <v>45.6</v>
      </c>
      <c r="H93" s="370" t="n">
        <v>9201</v>
      </c>
      <c r="I93" s="369" t="n">
        <v>0</v>
      </c>
      <c r="J93" s="674" t="n">
        <v>15977</v>
      </c>
      <c r="K93" s="675" t="n">
        <v>10.64029542467297</v>
      </c>
      <c r="L93" s="385" t="n">
        <v>0</v>
      </c>
      <c r="M93" s="374" t="n">
        <v>0</v>
      </c>
      <c r="N93" s="370" t="n">
        <v>1956</v>
      </c>
      <c r="O93" s="370" t="n">
        <v>851</v>
      </c>
      <c r="P93" s="370" t="n">
        <v>0</v>
      </c>
      <c r="Q93" s="370" t="n">
        <v>15</v>
      </c>
      <c r="R93" s="370" t="n">
        <v>1</v>
      </c>
      <c r="S93" s="370" t="n">
        <v>1</v>
      </c>
      <c r="T93" s="369" t="inlineStr">
        <is>
          <t xml:space="preserve">I-A         </t>
        </is>
      </c>
      <c r="U93" s="370" t="n">
        <v>401</v>
      </c>
      <c r="V93" s="674" t="n">
        <v>31600</v>
      </c>
      <c r="W93" s="674" t="n">
        <v>32000</v>
      </c>
      <c r="X93" s="676" t="inlineStr">
        <is>
          <t>2:1</t>
        </is>
      </c>
      <c r="Y93" s="674" t="n">
        <v>16000</v>
      </c>
      <c r="Z93" s="369" t="inlineStr">
        <is>
          <t xml:space="preserve">C </t>
        </is>
      </c>
      <c r="AA93" s="370" t="n"/>
      <c r="AB93" s="370" t="n"/>
      <c r="AC93" s="370" t="n"/>
      <c r="AD93" s="370" t="inlineStr">
        <is>
          <t xml:space="preserve">CASTLE ROCK MEATS   </t>
        </is>
      </c>
      <c r="AE93" s="370" t="n"/>
      <c r="AF93" s="370" t="n"/>
      <c r="AG93" s="370" t="n"/>
      <c r="AH93" s="370" t="n"/>
      <c r="AI93" s="370" t="n"/>
      <c r="AK93" s="370" t="inlineStr">
        <is>
          <t xml:space="preserve">PER COSTAR, THIS MAY BE OWNER-OCCUPIED PROPERTY.                  </t>
        </is>
      </c>
      <c r="AL93" s="370" t="n"/>
      <c r="AM93" s="370" t="n"/>
      <c r="AN93" s="370" t="n"/>
      <c r="AO93" s="370" t="n"/>
      <c r="AP93" s="370" t="n"/>
      <c r="AQ93" s="370" t="n"/>
    </row>
    <row r="94">
      <c r="A94" s="383" t="n">
        <v>6</v>
      </c>
      <c r="B94" s="370" t="n">
        <v>89</v>
      </c>
      <c r="C94" s="370" t="inlineStr">
        <is>
          <t>2013Q</t>
        </is>
      </c>
      <c r="D94" s="370" t="inlineStr">
        <is>
          <t xml:space="preserve">02143-00-093-000 </t>
        </is>
      </c>
      <c r="E94" s="369" t="inlineStr">
        <is>
          <t>Actual</t>
        </is>
      </c>
      <c r="F94" s="370" t="inlineStr">
        <is>
          <t>770 E 51ST                 AV</t>
        </is>
      </c>
      <c r="G94" s="370" t="n">
        <v>44.2</v>
      </c>
      <c r="H94" s="370" t="n">
        <v>9201</v>
      </c>
      <c r="I94" s="369" t="n">
        <v>0</v>
      </c>
      <c r="J94" s="674" t="n">
        <v>2982</v>
      </c>
      <c r="K94" s="675" t="n">
        <v>4.426559356136821</v>
      </c>
      <c r="L94" s="385" t="n">
        <v>0</v>
      </c>
      <c r="M94" s="374" t="n">
        <v>0.07136363636363637</v>
      </c>
      <c r="N94" s="370" t="n">
        <v>1961</v>
      </c>
      <c r="O94" s="370" t="n">
        <v>0</v>
      </c>
      <c r="P94" s="370" t="n">
        <v>1656</v>
      </c>
      <c r="Q94" s="370" t="n">
        <v>9</v>
      </c>
      <c r="R94" s="370" t="n">
        <v>1</v>
      </c>
      <c r="S94" s="370" t="n">
        <v>1</v>
      </c>
      <c r="T94" s="369" t="inlineStr">
        <is>
          <t xml:space="preserve">I-A         </t>
        </is>
      </c>
      <c r="U94" s="370" t="n">
        <v>353</v>
      </c>
      <c r="V94" s="674" t="n">
        <v>6711</v>
      </c>
      <c r="W94" s="674" t="n">
        <v>7000</v>
      </c>
      <c r="X94" s="676" t="inlineStr">
        <is>
          <t>2.3:1</t>
        </is>
      </c>
      <c r="Y94" s="674" t="n">
        <v>3000</v>
      </c>
      <c r="Z94" s="369" t="inlineStr">
        <is>
          <t xml:space="preserve">C </t>
        </is>
      </c>
      <c r="AA94" s="370" t="n"/>
      <c r="AB94" s="370" t="n"/>
      <c r="AC94" s="370" t="n"/>
      <c r="AD94" s="370" t="inlineStr">
        <is>
          <t>                    </t>
        </is>
      </c>
      <c r="AE94" s="370" t="n"/>
      <c r="AF94" s="370" t="n"/>
      <c r="AG94" s="370" t="n"/>
      <c r="AH94" s="370" t="n"/>
      <c r="AI94" s="370" t="n"/>
      <c r="AK94" s="370" t="inlineStr">
        <is>
          <t>                                                                  </t>
        </is>
      </c>
      <c r="AL94" s="370" t="n"/>
      <c r="AM94" s="370" t="n"/>
      <c r="AN94" s="370" t="n"/>
      <c r="AO94" s="370" t="n"/>
      <c r="AP94" s="370" t="n"/>
      <c r="AQ94" s="370" t="n"/>
    </row>
    <row r="95">
      <c r="A95" s="383" t="n">
        <v>6</v>
      </c>
      <c r="B95" s="370" t="n">
        <v>90</v>
      </c>
      <c r="C95" s="370" t="inlineStr">
        <is>
          <t>2013Q</t>
        </is>
      </c>
      <c r="D95" s="370" t="inlineStr">
        <is>
          <t xml:space="preserve">02143-00-148-000 </t>
        </is>
      </c>
      <c r="E95" s="369" t="inlineStr">
        <is>
          <t>Actual</t>
        </is>
      </c>
      <c r="F95" s="370" t="inlineStr">
        <is>
          <t>5151   FRANKLIN             ST</t>
        </is>
      </c>
      <c r="G95" s="370" t="n">
        <v>44.4</v>
      </c>
      <c r="H95" s="370" t="n">
        <v>9201</v>
      </c>
      <c r="I95" s="369" t="n">
        <v>0</v>
      </c>
      <c r="J95" s="674" t="n">
        <v>143328</v>
      </c>
      <c r="K95" s="675" t="n">
        <v>3.215568486269257</v>
      </c>
      <c r="L95" s="385" t="n">
        <v>0</v>
      </c>
      <c r="M95" s="374" t="n">
        <v>0.09042681299511153</v>
      </c>
      <c r="N95" s="370" t="n">
        <v>1980</v>
      </c>
      <c r="O95" s="370" t="n">
        <v>6391</v>
      </c>
      <c r="P95" s="370" t="n">
        <v>0</v>
      </c>
      <c r="Q95" s="370" t="n">
        <v>25</v>
      </c>
      <c r="R95" s="370" t="n">
        <v>3</v>
      </c>
      <c r="S95" s="370" t="n">
        <v>1</v>
      </c>
      <c r="T95" s="369" t="inlineStr">
        <is>
          <t xml:space="preserve">I-B         </t>
        </is>
      </c>
      <c r="U95" s="370" t="n">
        <v>398</v>
      </c>
      <c r="V95" s="674" t="n">
        <v>286723</v>
      </c>
      <c r="W95" s="674" t="n">
        <v>287000</v>
      </c>
      <c r="X95" s="676" t="inlineStr">
        <is>
          <t>2:1</t>
        </is>
      </c>
      <c r="Y95" s="674" t="n">
        <v>143000</v>
      </c>
      <c r="Z95" s="369" t="inlineStr">
        <is>
          <t xml:space="preserve">C </t>
        </is>
      </c>
      <c r="AA95" s="370" t="n"/>
      <c r="AB95" s="370" t="n"/>
      <c r="AC95" s="370" t="n"/>
      <c r="AD95" s="370" t="inlineStr">
        <is>
          <t>MW PLATTE R DISTRIB.</t>
        </is>
      </c>
      <c r="AE95" s="370" t="n"/>
      <c r="AF95" s="370" t="n"/>
      <c r="AG95" s="370" t="n"/>
      <c r="AH95" s="370" t="n"/>
      <c r="AI95" s="370" t="n"/>
      <c r="AK95" s="370" t="inlineStr">
        <is>
          <t xml:space="preserve">2010-2011 LEASES.                                                 </t>
        </is>
      </c>
      <c r="AL95" s="370" t="n"/>
      <c r="AM95" s="370" t="n"/>
      <c r="AN95" s="370" t="n"/>
      <c r="AO95" s="370" t="n"/>
      <c r="AP95" s="370" t="n"/>
      <c r="AQ95" s="370" t="n"/>
    </row>
    <row r="96">
      <c r="A96" s="383" t="n">
        <v>6</v>
      </c>
      <c r="B96" s="370" t="n">
        <v>91</v>
      </c>
      <c r="C96" s="370" t="inlineStr">
        <is>
          <t>2013Q</t>
        </is>
      </c>
      <c r="D96" s="370" t="inlineStr">
        <is>
          <t xml:space="preserve">02143-05-039-000 </t>
        </is>
      </c>
      <c r="E96" s="369" t="inlineStr">
        <is>
          <t>Actual</t>
        </is>
      </c>
      <c r="F96" s="370" t="inlineStr">
        <is>
          <t>5113   CLARKSON             ST</t>
        </is>
      </c>
      <c r="G96" s="370" t="n">
        <v>44.2</v>
      </c>
      <c r="H96" s="370" t="n">
        <v>9201</v>
      </c>
      <c r="I96" s="369" t="n">
        <v>0</v>
      </c>
      <c r="J96" s="674" t="n">
        <v>2304</v>
      </c>
      <c r="K96" s="675" t="n">
        <v>5.208333333333333</v>
      </c>
      <c r="L96" s="385" t="n">
        <v>0</v>
      </c>
      <c r="M96" s="374" t="n">
        <v>0</v>
      </c>
      <c r="N96" s="370" t="n">
        <v>2000</v>
      </c>
      <c r="O96" s="370" t="n">
        <v>0</v>
      </c>
      <c r="P96" s="370" t="n">
        <v>0</v>
      </c>
      <c r="Q96" s="370" t="n">
        <v>13</v>
      </c>
      <c r="R96" s="370" t="n">
        <v>3</v>
      </c>
      <c r="S96" s="370" t="n">
        <v>1</v>
      </c>
      <c r="T96" s="369" t="inlineStr">
        <is>
          <t xml:space="preserve">I-A         </t>
        </is>
      </c>
      <c r="U96" s="370" t="n">
        <v>398</v>
      </c>
      <c r="V96" s="674" t="n">
        <v>15000</v>
      </c>
      <c r="W96" s="674" t="n">
        <v>15000</v>
      </c>
      <c r="X96" s="676" t="inlineStr">
        <is>
          <t>6.5:1</t>
        </is>
      </c>
      <c r="Y96" s="674" t="n">
        <v>2000</v>
      </c>
      <c r="Z96" s="369" t="inlineStr">
        <is>
          <t xml:space="preserve">C </t>
        </is>
      </c>
      <c r="AA96" s="370" t="n"/>
      <c r="AB96" s="370" t="n"/>
      <c r="AC96" s="370" t="n"/>
      <c r="AD96" s="370" t="inlineStr">
        <is>
          <t xml:space="preserve">S-W                 </t>
        </is>
      </c>
      <c r="AE96" s="370" t="n"/>
      <c r="AF96" s="370" t="n"/>
      <c r="AG96" s="370" t="n"/>
      <c r="AH96" s="370" t="n"/>
      <c r="AI96" s="370" t="n"/>
      <c r="AK96" s="370" t="inlineStr">
        <is>
          <t>                                                                  </t>
        </is>
      </c>
      <c r="AL96" s="370" t="n"/>
      <c r="AM96" s="370" t="n"/>
      <c r="AN96" s="370" t="n"/>
      <c r="AO96" s="370" t="n"/>
      <c r="AP96" s="370" t="n"/>
      <c r="AQ96" s="370" t="n"/>
    </row>
    <row r="97">
      <c r="A97" s="383" t="n">
        <v>6</v>
      </c>
      <c r="B97" s="370" t="n">
        <v>92</v>
      </c>
      <c r="C97" s="370" t="inlineStr">
        <is>
          <t>2013Q</t>
        </is>
      </c>
      <c r="D97" s="370" t="inlineStr">
        <is>
          <t xml:space="preserve">02144-00-098-000 </t>
        </is>
      </c>
      <c r="E97" s="369" t="inlineStr">
        <is>
          <t>Actual</t>
        </is>
      </c>
      <c r="F97" s="370" t="inlineStr">
        <is>
          <t>5150   RACE                 CT</t>
        </is>
      </c>
      <c r="G97" s="370" t="n">
        <v>44.2</v>
      </c>
      <c r="H97" s="370" t="n">
        <v>9201</v>
      </c>
      <c r="I97" s="369" t="n">
        <v>0</v>
      </c>
      <c r="J97" s="674" t="n">
        <v>27624</v>
      </c>
      <c r="K97" s="675" t="n">
        <v>6.697075007240081</v>
      </c>
      <c r="L97" s="385" t="n">
        <v>0</v>
      </c>
      <c r="M97" s="374" t="n">
        <v>0.002405405405405405</v>
      </c>
      <c r="N97" s="370" t="n">
        <v>1999</v>
      </c>
      <c r="O97" s="370" t="n">
        <v>4027</v>
      </c>
      <c r="P97" s="370" t="n">
        <v>1052</v>
      </c>
      <c r="Q97" s="370" t="n">
        <v>19</v>
      </c>
      <c r="R97" s="370" t="n">
        <v>3</v>
      </c>
      <c r="S97" s="370" t="n">
        <v>1</v>
      </c>
      <c r="T97" s="369" t="inlineStr">
        <is>
          <t xml:space="preserve">I-B         </t>
        </is>
      </c>
      <c r="U97" s="370" t="n">
        <v>398</v>
      </c>
      <c r="V97" s="674" t="n">
        <v>144374</v>
      </c>
      <c r="W97" s="674" t="n">
        <v>144000</v>
      </c>
      <c r="X97" s="676" t="inlineStr">
        <is>
          <t>5.2:1</t>
        </is>
      </c>
      <c r="Y97" s="674" t="n">
        <v>28000</v>
      </c>
      <c r="Z97" s="369" t="inlineStr">
        <is>
          <t xml:space="preserve">C </t>
        </is>
      </c>
      <c r="AA97" s="370" t="n"/>
      <c r="AB97" s="370" t="n"/>
      <c r="AC97" s="370" t="n"/>
      <c r="AD97" s="370" t="inlineStr">
        <is>
          <t xml:space="preserve">S-W                 </t>
        </is>
      </c>
      <c r="AE97" s="370" t="n"/>
      <c r="AF97" s="370" t="n"/>
      <c r="AG97" s="370" t="n"/>
      <c r="AH97" s="370" t="n"/>
      <c r="AI97" s="370" t="n"/>
      <c r="AK97" s="370" t="inlineStr">
        <is>
          <t>                                                                  </t>
        </is>
      </c>
      <c r="AL97" s="370" t="n"/>
      <c r="AM97" s="370" t="n"/>
      <c r="AN97" s="370" t="n"/>
      <c r="AO97" s="370" t="n"/>
      <c r="AP97" s="370" t="n"/>
      <c r="AQ97" s="370" t="n"/>
    </row>
    <row r="98">
      <c r="A98" s="383" t="n">
        <v>6</v>
      </c>
      <c r="B98" s="370" t="n">
        <v>93</v>
      </c>
      <c r="C98" s="370" t="inlineStr">
        <is>
          <t>2013Q</t>
        </is>
      </c>
      <c r="D98" s="370" t="inlineStr">
        <is>
          <t xml:space="preserve">02153-00-014-000 </t>
        </is>
      </c>
      <c r="E98" s="369" t="inlineStr">
        <is>
          <t>Actual</t>
        </is>
      </c>
      <c r="F98" s="370" t="inlineStr">
        <is>
          <t>555 W 48TH                 AV</t>
        </is>
      </c>
      <c r="G98" s="370" t="n">
        <v>44.4</v>
      </c>
      <c r="H98" s="370" t="n">
        <v>9208</v>
      </c>
      <c r="I98" s="369" t="n">
        <v>0</v>
      </c>
      <c r="J98" s="674" t="n">
        <v>109323</v>
      </c>
      <c r="K98" s="675" t="n">
        <v>5.370004482130933</v>
      </c>
      <c r="L98" s="385" t="n">
        <v>0.25</v>
      </c>
      <c r="M98" s="374" t="n">
        <v>0.1462103855620757</v>
      </c>
      <c r="N98" s="370" t="n">
        <v>1955</v>
      </c>
      <c r="O98" s="370" t="n">
        <v>27857</v>
      </c>
      <c r="P98" s="370" t="n">
        <v>0</v>
      </c>
      <c r="Q98" s="370" t="n">
        <v>20</v>
      </c>
      <c r="R98" s="370" t="n">
        <v>1</v>
      </c>
      <c r="S98" s="370" t="n">
        <v>5</v>
      </c>
      <c r="T98" s="369" t="inlineStr">
        <is>
          <t xml:space="preserve">I-B         </t>
        </is>
      </c>
      <c r="U98" s="370" t="n">
        <v>398</v>
      </c>
      <c r="V98" s="674" t="n">
        <v>240000</v>
      </c>
      <c r="W98" s="674" t="n">
        <v>240000</v>
      </c>
      <c r="X98" s="676" t="inlineStr">
        <is>
          <t>2.2:1</t>
        </is>
      </c>
      <c r="Y98" s="674" t="n">
        <v>109000</v>
      </c>
      <c r="Z98" s="369" t="inlineStr">
        <is>
          <t xml:space="preserve">C </t>
        </is>
      </c>
      <c r="AA98" s="370" t="n"/>
      <c r="AB98" s="370" t="n"/>
      <c r="AC98" s="370" t="n"/>
      <c r="AD98" s="370" t="inlineStr">
        <is>
          <t>M-W-LINCOLN BUS PARK</t>
        </is>
      </c>
      <c r="AE98" s="370" t="n"/>
      <c r="AF98" s="370" t="n"/>
      <c r="AG98" s="370" t="n"/>
      <c r="AH98" s="370" t="n"/>
      <c r="AI98" s="370" t="n"/>
      <c r="AK98" s="370" t="inlineStr">
        <is>
          <t>                                                                  </t>
        </is>
      </c>
      <c r="AL98" s="370" t="n"/>
      <c r="AM98" s="370" t="n"/>
      <c r="AN98" s="370" t="n"/>
      <c r="AO98" s="370" t="n"/>
      <c r="AP98" s="370" t="n"/>
      <c r="AQ98" s="370" t="n"/>
    </row>
    <row r="99">
      <c r="A99" s="383" t="n">
        <v>6</v>
      </c>
      <c r="B99" s="370" t="n">
        <v>94</v>
      </c>
      <c r="C99" s="370" t="inlineStr">
        <is>
          <t>2013Q</t>
        </is>
      </c>
      <c r="D99" s="370" t="inlineStr">
        <is>
          <t xml:space="preserve">02153-00-047-000 </t>
        </is>
      </c>
      <c r="E99" s="369" t="inlineStr">
        <is>
          <t>Actual</t>
        </is>
      </c>
      <c r="F99" s="370" t="inlineStr">
        <is>
          <t>601 W 50TH                 AV</t>
        </is>
      </c>
      <c r="G99" s="370" t="n">
        <v>44.2</v>
      </c>
      <c r="H99" s="370" t="n">
        <v>9208</v>
      </c>
      <c r="I99" s="369" t="n">
        <v>0</v>
      </c>
      <c r="J99" s="674" t="n">
        <v>95263</v>
      </c>
      <c r="K99" s="675" t="n">
        <v>4.512245047919968</v>
      </c>
      <c r="L99" s="385" t="n">
        <v>0</v>
      </c>
      <c r="M99" s="374" t="n">
        <v>0.04397115272769571</v>
      </c>
      <c r="N99" s="370" t="n">
        <v>1977</v>
      </c>
      <c r="O99" s="370" t="n">
        <v>1935</v>
      </c>
      <c r="P99" s="370" t="n">
        <v>0</v>
      </c>
      <c r="Q99" s="370" t="n">
        <v>24</v>
      </c>
      <c r="R99" s="370" t="n">
        <v>1</v>
      </c>
      <c r="S99" s="370" t="n">
        <v>1</v>
      </c>
      <c r="T99" s="369" t="inlineStr">
        <is>
          <t xml:space="preserve">I-B         </t>
        </is>
      </c>
      <c r="U99" s="370" t="n">
        <v>398</v>
      </c>
      <c r="V99" s="674" t="n">
        <v>153950</v>
      </c>
      <c r="W99" s="674" t="n">
        <v>154000</v>
      </c>
      <c r="X99" s="676" t="inlineStr">
        <is>
          <t>1.6:1</t>
        </is>
      </c>
      <c r="Y99" s="674" t="n">
        <v>95000</v>
      </c>
      <c r="Z99" s="369" t="inlineStr">
        <is>
          <t xml:space="preserve">C </t>
        </is>
      </c>
      <c r="AA99" s="370" t="n"/>
      <c r="AB99" s="370" t="n"/>
      <c r="AC99" s="370" t="n"/>
      <c r="AD99" s="370" t="inlineStr">
        <is>
          <t xml:space="preserve">DIST WAREHOUSE      </t>
        </is>
      </c>
      <c r="AE99" s="370" t="n"/>
      <c r="AF99" s="370" t="n"/>
      <c r="AG99" s="370" t="n"/>
      <c r="AH99" s="370" t="n"/>
      <c r="AI99" s="370" t="n"/>
      <c r="AK99" s="370" t="inlineStr">
        <is>
          <t xml:space="preserve">2010-2011 LEASES.                                                 </t>
        </is>
      </c>
      <c r="AL99" s="370" t="n"/>
      <c r="AM99" s="370" t="n"/>
      <c r="AN99" s="370" t="n"/>
      <c r="AO99" s="370" t="n"/>
      <c r="AP99" s="370" t="n"/>
      <c r="AQ99" s="370" t="n"/>
    </row>
    <row r="100">
      <c r="A100" s="383" t="n">
        <v>6</v>
      </c>
      <c r="B100" s="370" t="n">
        <v>95</v>
      </c>
      <c r="C100" s="370" t="inlineStr">
        <is>
          <t>2013Q</t>
        </is>
      </c>
      <c r="D100" s="370" t="inlineStr">
        <is>
          <t xml:space="preserve">02153-00-047-000 </t>
        </is>
      </c>
      <c r="E100" s="369" t="inlineStr">
        <is>
          <t>Actual</t>
        </is>
      </c>
      <c r="F100" s="370" t="inlineStr">
        <is>
          <t>601 W 50TH                 AV</t>
        </is>
      </c>
      <c r="G100" s="370" t="n">
        <v>44.2</v>
      </c>
      <c r="H100" s="370" t="n">
        <v>9208</v>
      </c>
      <c r="I100" s="369" t="n">
        <v>0</v>
      </c>
      <c r="J100" s="674" t="n">
        <v>95263</v>
      </c>
      <c r="K100" s="675" t="n">
        <v>3.8</v>
      </c>
      <c r="L100" s="385" t="n">
        <v>0</v>
      </c>
      <c r="M100" s="374" t="n">
        <v>0</v>
      </c>
      <c r="N100" s="370" t="n">
        <v>1977</v>
      </c>
      <c r="O100" s="370" t="n">
        <v>1935</v>
      </c>
      <c r="P100" s="370" t="n">
        <v>0</v>
      </c>
      <c r="Q100" s="370" t="n">
        <v>24</v>
      </c>
      <c r="R100" s="370" t="n">
        <v>1</v>
      </c>
      <c r="S100" s="370" t="n">
        <v>1</v>
      </c>
      <c r="T100" s="369" t="inlineStr">
        <is>
          <t xml:space="preserve">I-B         </t>
        </is>
      </c>
      <c r="U100" s="370" t="n">
        <v>398</v>
      </c>
      <c r="V100" s="674" t="n">
        <v>153950</v>
      </c>
      <c r="W100" s="674" t="n">
        <v>154000</v>
      </c>
      <c r="X100" s="676" t="inlineStr">
        <is>
          <t>1.6:1</t>
        </is>
      </c>
      <c r="Y100" s="674" t="n">
        <v>95000</v>
      </c>
      <c r="Z100" s="369" t="inlineStr">
        <is>
          <t xml:space="preserve">C </t>
        </is>
      </c>
      <c r="AA100" s="370" t="n"/>
      <c r="AB100" s="370" t="n"/>
      <c r="AC100" s="370" t="n"/>
      <c r="AD100" s="370" t="inlineStr">
        <is>
          <t xml:space="preserve">DIST WAREHOUSE      </t>
        </is>
      </c>
      <c r="AE100" s="370" t="n"/>
      <c r="AF100" s="370" t="n"/>
      <c r="AG100" s="370" t="n"/>
      <c r="AH100" s="370" t="n"/>
      <c r="AI100" s="370" t="n"/>
      <c r="AK100" s="370" t="inlineStr">
        <is>
          <t xml:space="preserve">NNN -- LEASE SIGNED 4/2012 -- SOURCE: COSTAR                      </t>
        </is>
      </c>
      <c r="AL100" s="370" t="n"/>
      <c r="AM100" s="370" t="n"/>
      <c r="AN100" s="370" t="n"/>
      <c r="AO100" s="370" t="n"/>
      <c r="AP100" s="370" t="n"/>
      <c r="AQ100" s="370" t="n"/>
    </row>
    <row r="101">
      <c r="A101" s="383" t="n">
        <v>6</v>
      </c>
      <c r="B101" s="370" t="n">
        <v>96</v>
      </c>
      <c r="C101" s="370" t="inlineStr">
        <is>
          <t>2013Q</t>
        </is>
      </c>
      <c r="D101" s="370" t="inlineStr">
        <is>
          <t xml:space="preserve">02153-09-014-000 </t>
        </is>
      </c>
      <c r="E101" s="369" t="inlineStr">
        <is>
          <t>Actual</t>
        </is>
      </c>
      <c r="F101" s="370" t="inlineStr">
        <is>
          <t>4855   BROADWAY             ST</t>
        </is>
      </c>
      <c r="G101" s="370" t="n">
        <v>44.2</v>
      </c>
      <c r="H101" s="370" t="n">
        <v>9201</v>
      </c>
      <c r="I101" s="369" t="n">
        <v>0</v>
      </c>
      <c r="J101" s="674" t="n">
        <v>14000</v>
      </c>
      <c r="K101" s="675" t="n">
        <v>3.985714285714286</v>
      </c>
      <c r="L101" s="385" t="n">
        <v>0</v>
      </c>
      <c r="M101" s="374" t="n">
        <v>0</v>
      </c>
      <c r="N101" s="370" t="n">
        <v>1968</v>
      </c>
      <c r="O101" s="370" t="n">
        <v>1143</v>
      </c>
      <c r="P101" s="370" t="n">
        <v>0</v>
      </c>
      <c r="Q101" s="370" t="n">
        <v>18</v>
      </c>
      <c r="R101" s="370" t="n">
        <v>10</v>
      </c>
      <c r="S101" s="370" t="n">
        <v>2</v>
      </c>
      <c r="T101" s="369" t="inlineStr">
        <is>
          <t xml:space="preserve">I-A         </t>
        </is>
      </c>
      <c r="U101" s="370" t="n">
        <v>398</v>
      </c>
      <c r="V101" s="674" t="n">
        <v>24000</v>
      </c>
      <c r="W101" s="674" t="n">
        <v>24000</v>
      </c>
      <c r="X101" s="676" t="inlineStr">
        <is>
          <t>1.7:1</t>
        </is>
      </c>
      <c r="Y101" s="674" t="n">
        <v>14000</v>
      </c>
      <c r="Z101" s="369" t="inlineStr">
        <is>
          <t xml:space="preserve">C </t>
        </is>
      </c>
      <c r="AA101" s="370" t="n"/>
      <c r="AB101" s="370" t="n"/>
      <c r="AC101" s="370" t="n"/>
      <c r="AD101" s="370" t="inlineStr">
        <is>
          <t>                    </t>
        </is>
      </c>
      <c r="AE101" s="370" t="n"/>
      <c r="AF101" s="370" t="n"/>
      <c r="AG101" s="370" t="n"/>
      <c r="AH101" s="370" t="n"/>
      <c r="AI101" s="370" t="n"/>
      <c r="AK101" s="370" t="inlineStr">
        <is>
          <t xml:space="preserve">OWNER PAYS TOO LARGE A PROPORTION OF EXP = NOT ENTERED.           </t>
        </is>
      </c>
      <c r="AL101" s="370" t="n"/>
      <c r="AM101" s="370" t="n"/>
      <c r="AN101" s="370" t="n"/>
      <c r="AO101" s="370" t="n"/>
      <c r="AP101" s="370" t="n"/>
      <c r="AQ101" s="370" t="n"/>
    </row>
    <row r="102">
      <c r="A102" s="383" t="n">
        <v>6</v>
      </c>
      <c r="B102" s="370" t="n">
        <v>97</v>
      </c>
      <c r="C102" s="370" t="inlineStr">
        <is>
          <t>2013Q</t>
        </is>
      </c>
      <c r="D102" s="370" t="inlineStr">
        <is>
          <t xml:space="preserve">02154-00-045-000 </t>
        </is>
      </c>
      <c r="E102" s="369" t="inlineStr">
        <is>
          <t>Actual</t>
        </is>
      </c>
      <c r="F102" s="370" t="inlineStr">
        <is>
          <t>5055   WASHINGTON           ST</t>
        </is>
      </c>
      <c r="G102" s="370" t="n">
        <v>44.1</v>
      </c>
      <c r="H102" s="370" t="n">
        <v>9201</v>
      </c>
      <c r="I102" s="369" t="n">
        <v>0</v>
      </c>
      <c r="J102" s="674" t="n">
        <v>16140</v>
      </c>
      <c r="K102" s="675" t="n">
        <v>5.712763320941759</v>
      </c>
      <c r="L102" s="385" t="n">
        <v>0</v>
      </c>
      <c r="M102" s="374" t="n">
        <v>0</v>
      </c>
      <c r="N102" s="370" t="n">
        <v>1951</v>
      </c>
      <c r="O102" s="370" t="n">
        <v>0</v>
      </c>
      <c r="P102" s="370" t="n">
        <v>0</v>
      </c>
      <c r="Q102" s="370" t="n">
        <v>17</v>
      </c>
      <c r="R102" s="370" t="n">
        <v>3</v>
      </c>
      <c r="S102" s="370" t="n">
        <v>1</v>
      </c>
      <c r="T102" s="369" t="inlineStr">
        <is>
          <t xml:space="preserve">I-A         </t>
        </is>
      </c>
      <c r="U102" s="370" t="n">
        <v>398</v>
      </c>
      <c r="V102" s="674" t="n">
        <v>47915</v>
      </c>
      <c r="W102" s="674" t="n">
        <v>48000</v>
      </c>
      <c r="X102" s="676" t="inlineStr">
        <is>
          <t>3:1</t>
        </is>
      </c>
      <c r="Y102" s="674" t="n">
        <v>16000</v>
      </c>
      <c r="Z102" s="369" t="inlineStr">
        <is>
          <t xml:space="preserve">C </t>
        </is>
      </c>
      <c r="AA102" s="370" t="n"/>
      <c r="AB102" s="370" t="n"/>
      <c r="AC102" s="370" t="n"/>
      <c r="AD102" s="370" t="inlineStr">
        <is>
          <t>WESTERN WATERPROOFIN</t>
        </is>
      </c>
      <c r="AE102" s="370" t="n"/>
      <c r="AF102" s="370" t="n"/>
      <c r="AG102" s="370" t="n"/>
      <c r="AH102" s="370" t="n"/>
      <c r="AI102" s="370" t="n"/>
      <c r="AK102" s="370" t="inlineStr">
        <is>
          <t>                                                                  </t>
        </is>
      </c>
      <c r="AL102" s="370" t="n"/>
      <c r="AM102" s="370" t="n"/>
      <c r="AN102" s="370" t="n"/>
      <c r="AO102" s="370" t="n"/>
      <c r="AP102" s="370" t="n"/>
      <c r="AQ102" s="370" t="n"/>
    </row>
    <row r="103">
      <c r="A103" s="383" t="n">
        <v>6</v>
      </c>
      <c r="B103" s="370" t="n">
        <v>98</v>
      </c>
      <c r="C103" s="370" t="inlineStr">
        <is>
          <t>2013Q</t>
        </is>
      </c>
      <c r="D103" s="370" t="inlineStr">
        <is>
          <t xml:space="preserve">02154-17-014-000 </t>
        </is>
      </c>
      <c r="E103" s="369" t="inlineStr">
        <is>
          <t>Actual</t>
        </is>
      </c>
      <c r="F103" s="370" t="inlineStr">
        <is>
          <t>4850   BROADWAY             ST</t>
        </is>
      </c>
      <c r="G103" s="370" t="n">
        <v>46.2</v>
      </c>
      <c r="H103" s="370" t="n">
        <v>9201</v>
      </c>
      <c r="I103" s="369" t="n">
        <v>0</v>
      </c>
      <c r="J103" s="674" t="n">
        <v>10354</v>
      </c>
      <c r="K103" s="675" t="n">
        <v>5.423990728220978</v>
      </c>
      <c r="L103" s="385" t="n">
        <v>0</v>
      </c>
      <c r="M103" s="374" t="n">
        <v>0.1776175213675214</v>
      </c>
      <c r="N103" s="370" t="n">
        <v>1967</v>
      </c>
      <c r="O103" s="370" t="n">
        <v>3174</v>
      </c>
      <c r="P103" s="370" t="n">
        <v>0</v>
      </c>
      <c r="Q103" s="370" t="n">
        <v>17</v>
      </c>
      <c r="R103" s="370" t="n">
        <v>14</v>
      </c>
      <c r="S103" s="370" t="n">
        <v>3</v>
      </c>
      <c r="T103" s="369" t="inlineStr">
        <is>
          <t xml:space="preserve">I-A         </t>
        </is>
      </c>
      <c r="U103" s="370" t="n">
        <v>401</v>
      </c>
      <c r="V103" s="674" t="n">
        <v>21063</v>
      </c>
      <c r="W103" s="674" t="n">
        <v>21000</v>
      </c>
      <c r="X103" s="676" t="inlineStr">
        <is>
          <t>2:1</t>
        </is>
      </c>
      <c r="Y103" s="674" t="n">
        <v>10000</v>
      </c>
      <c r="Z103" s="369" t="inlineStr">
        <is>
          <t xml:space="preserve">C </t>
        </is>
      </c>
      <c r="AA103" s="370" t="n"/>
      <c r="AB103" s="370" t="n"/>
      <c r="AC103" s="370" t="n"/>
      <c r="AD103" s="370" t="inlineStr">
        <is>
          <t>                    </t>
        </is>
      </c>
      <c r="AE103" s="370" t="n"/>
      <c r="AF103" s="370" t="n"/>
      <c r="AG103" s="370" t="n"/>
      <c r="AH103" s="370" t="n"/>
      <c r="AI103" s="370" t="n"/>
      <c r="AK103" s="370" t="inlineStr">
        <is>
          <t xml:space="preserve">OWNER FOOTS TOO HIGH A PROPORTION OF THE EXPENSES.                </t>
        </is>
      </c>
      <c r="AL103" s="370" t="n"/>
      <c r="AM103" s="370" t="n"/>
      <c r="AN103" s="370" t="n"/>
      <c r="AO103" s="370" t="n"/>
      <c r="AP103" s="370" t="n"/>
      <c r="AQ103" s="370" t="n"/>
    </row>
    <row r="104">
      <c r="A104" s="383" t="n">
        <v>6</v>
      </c>
      <c r="B104" s="370" t="n">
        <v>99</v>
      </c>
      <c r="C104" s="370" t="inlineStr">
        <is>
          <t>2013Q</t>
        </is>
      </c>
      <c r="D104" s="370" t="inlineStr">
        <is>
          <t xml:space="preserve">02154-17-014-000 </t>
        </is>
      </c>
      <c r="E104" s="369" t="inlineStr">
        <is>
          <t>Actual</t>
        </is>
      </c>
      <c r="F104" s="370" t="inlineStr">
        <is>
          <t>4850   BROADWAY             ST</t>
        </is>
      </c>
      <c r="G104" s="370" t="n">
        <v>46.2</v>
      </c>
      <c r="H104" s="370" t="n">
        <v>9201</v>
      </c>
      <c r="I104" s="369" t="n">
        <v>0</v>
      </c>
      <c r="J104" s="674" t="n">
        <v>10354</v>
      </c>
      <c r="K104" s="675" t="n">
        <v>6.729186787714893</v>
      </c>
      <c r="L104" s="385" t="n">
        <v>0</v>
      </c>
      <c r="M104" s="374" t="n">
        <v>0</v>
      </c>
      <c r="N104" s="370" t="n">
        <v>1967</v>
      </c>
      <c r="O104" s="370" t="n">
        <v>3174</v>
      </c>
      <c r="P104" s="370" t="n">
        <v>0</v>
      </c>
      <c r="Q104" s="370" t="n">
        <v>17</v>
      </c>
      <c r="R104" s="370" t="n">
        <v>14</v>
      </c>
      <c r="S104" s="370" t="n">
        <v>3</v>
      </c>
      <c r="T104" s="369" t="inlineStr">
        <is>
          <t xml:space="preserve">I-A         </t>
        </is>
      </c>
      <c r="U104" s="370" t="n">
        <v>401</v>
      </c>
      <c r="V104" s="674" t="n">
        <v>21063</v>
      </c>
      <c r="W104" s="674" t="n">
        <v>21000</v>
      </c>
      <c r="X104" s="676" t="inlineStr">
        <is>
          <t>2:1</t>
        </is>
      </c>
      <c r="Y104" s="674" t="n">
        <v>10000</v>
      </c>
      <c r="Z104" s="369" t="inlineStr">
        <is>
          <t xml:space="preserve">C </t>
        </is>
      </c>
      <c r="AA104" s="370" t="n"/>
      <c r="AB104" s="370" t="n"/>
      <c r="AC104" s="370" t="n"/>
      <c r="AD104" s="370" t="inlineStr">
        <is>
          <t>                    </t>
        </is>
      </c>
      <c r="AE104" s="370" t="n"/>
      <c r="AF104" s="370" t="n"/>
      <c r="AG104" s="370" t="n"/>
      <c r="AH104" s="370" t="n"/>
      <c r="AI104" s="370" t="n"/>
      <c r="AK104" s="370" t="inlineStr">
        <is>
          <t xml:space="preserve">7.42 PSF NNN LEASE SIGNED 10/2011 PER COSTAR CONFIRMED            </t>
        </is>
      </c>
      <c r="AL104" s="370" t="n"/>
      <c r="AM104" s="370" t="n"/>
      <c r="AN104" s="370" t="n"/>
      <c r="AO104" s="370" t="n"/>
      <c r="AP104" s="370" t="n"/>
      <c r="AQ104" s="370" t="n"/>
    </row>
    <row r="105">
      <c r="A105" s="383" t="n">
        <v>6</v>
      </c>
      <c r="B105" s="370" t="n">
        <v>100</v>
      </c>
      <c r="C105" s="370" t="inlineStr">
        <is>
          <t>2013Q</t>
        </is>
      </c>
      <c r="D105" s="370" t="inlineStr">
        <is>
          <t xml:space="preserve">02154-18-021-000 </t>
        </is>
      </c>
      <c r="E105" s="369" t="inlineStr">
        <is>
          <t>Actual</t>
        </is>
      </c>
      <c r="F105" s="370" t="inlineStr">
        <is>
          <t>4836   LEAF                 CT</t>
        </is>
      </c>
      <c r="G105" s="370" t="n">
        <v>44.1</v>
      </c>
      <c r="H105" s="370" t="n">
        <v>9201</v>
      </c>
      <c r="I105" s="369" t="n">
        <v>0</v>
      </c>
      <c r="J105" s="674" t="n">
        <v>23874</v>
      </c>
      <c r="K105" s="675" t="n">
        <v>4.533802462930384</v>
      </c>
      <c r="L105" s="385" t="n">
        <v>0</v>
      </c>
      <c r="M105" s="374" t="n">
        <v>0.1595343680709534</v>
      </c>
      <c r="N105" s="370" t="n">
        <v>1969</v>
      </c>
      <c r="O105" s="370" t="n">
        <v>2605</v>
      </c>
      <c r="P105" s="370" t="n">
        <v>0</v>
      </c>
      <c r="Q105" s="370" t="n">
        <v>23</v>
      </c>
      <c r="R105" s="370" t="n">
        <v>14</v>
      </c>
      <c r="S105" s="370" t="n">
        <v>2</v>
      </c>
      <c r="T105" s="369" t="inlineStr">
        <is>
          <t xml:space="preserve">I-MX-3      </t>
        </is>
      </c>
      <c r="U105" s="370" t="n">
        <v>398</v>
      </c>
      <c r="V105" s="674" t="n">
        <v>47500</v>
      </c>
      <c r="W105" s="674" t="n">
        <v>48000</v>
      </c>
      <c r="X105" s="676" t="inlineStr">
        <is>
          <t>2:1</t>
        </is>
      </c>
      <c r="Y105" s="674" t="n">
        <v>24000</v>
      </c>
      <c r="Z105" s="369" t="inlineStr">
        <is>
          <t xml:space="preserve">C </t>
        </is>
      </c>
      <c r="AA105" s="370" t="n"/>
      <c r="AB105" s="370" t="n"/>
      <c r="AC105" s="370" t="n"/>
      <c r="AD105" s="370" t="inlineStr">
        <is>
          <t xml:space="preserve">WAREHOUSE DIST.     </t>
        </is>
      </c>
      <c r="AE105" s="370" t="n"/>
      <c r="AF105" s="370" t="n"/>
      <c r="AG105" s="370" t="n"/>
      <c r="AH105" s="370" t="n"/>
      <c r="AI105" s="370" t="n"/>
      <c r="AK105" s="370" t="inlineStr">
        <is>
          <t xml:space="preserve">2010-11 LEASES.  OWNER FOOTS TOO MANY OF THE EXPENSES.            </t>
        </is>
      </c>
      <c r="AL105" s="370" t="n"/>
      <c r="AM105" s="370" t="n"/>
      <c r="AN105" s="370" t="n"/>
      <c r="AO105" s="370" t="n"/>
      <c r="AP105" s="370" t="n"/>
      <c r="AQ105" s="370" t="n"/>
    </row>
    <row r="106">
      <c r="A106" s="383" t="n">
        <v>6</v>
      </c>
      <c r="B106" s="370" t="n">
        <v>101</v>
      </c>
      <c r="C106" s="370" t="inlineStr">
        <is>
          <t>2013Q</t>
        </is>
      </c>
      <c r="D106" s="370" t="inlineStr">
        <is>
          <t xml:space="preserve">02164-09-028-000 </t>
        </is>
      </c>
      <c r="E106" s="369" t="inlineStr">
        <is>
          <t>Actual</t>
        </is>
      </c>
      <c r="F106" s="370" t="inlineStr">
        <is>
          <t>4800   OSAGE                ST</t>
        </is>
      </c>
      <c r="G106" s="370" t="n">
        <v>44.4</v>
      </c>
      <c r="H106" s="370" t="n">
        <v>9208</v>
      </c>
      <c r="I106" s="369" t="n">
        <v>0</v>
      </c>
      <c r="J106" s="674" t="n">
        <v>108000</v>
      </c>
      <c r="K106" s="675" t="n">
        <v>4.95</v>
      </c>
      <c r="L106" s="385" t="n">
        <v>0</v>
      </c>
      <c r="M106" s="374" t="n">
        <v>0</v>
      </c>
      <c r="N106" s="370" t="n">
        <v>2003</v>
      </c>
      <c r="O106" s="370" t="n">
        <v>27707</v>
      </c>
      <c r="P106" s="370" t="n">
        <v>0</v>
      </c>
      <c r="Q106" s="370" t="n">
        <v>35</v>
      </c>
      <c r="R106" s="370" t="n">
        <v>14</v>
      </c>
      <c r="S106" s="370" t="n">
        <v>2</v>
      </c>
      <c r="T106" s="369" t="inlineStr">
        <is>
          <t xml:space="preserve">I-MX-3      </t>
        </is>
      </c>
      <c r="U106" s="370" t="n">
        <v>398</v>
      </c>
      <c r="V106" s="674" t="n">
        <v>259651</v>
      </c>
      <c r="W106" s="674" t="n">
        <v>260000</v>
      </c>
      <c r="X106" s="676" t="inlineStr">
        <is>
          <t>2.4:1</t>
        </is>
      </c>
      <c r="Y106" s="674" t="n">
        <v>108000</v>
      </c>
      <c r="Z106" s="369" t="inlineStr">
        <is>
          <t xml:space="preserve">C </t>
        </is>
      </c>
      <c r="AA106" s="370" t="n"/>
      <c r="AB106" s="370" t="n"/>
      <c r="AC106" s="370" t="n"/>
      <c r="AD106" s="370" t="inlineStr">
        <is>
          <t>CENTERPARK M-T WHSE.</t>
        </is>
      </c>
      <c r="AE106" s="370" t="n"/>
      <c r="AF106" s="370" t="n"/>
      <c r="AG106" s="370" t="n"/>
      <c r="AH106" s="370" t="n"/>
      <c r="AI106" s="370" t="n"/>
      <c r="AK106" s="370" t="inlineStr">
        <is>
          <t>                                                                  </t>
        </is>
      </c>
      <c r="AL106" s="370" t="n"/>
      <c r="AM106" s="370" t="n"/>
      <c r="AN106" s="370" t="n"/>
      <c r="AO106" s="370" t="n"/>
      <c r="AP106" s="370" t="n"/>
      <c r="AQ106" s="370" t="n"/>
    </row>
    <row r="107">
      <c r="A107" s="383" t="n">
        <v>6</v>
      </c>
      <c r="B107" s="370" t="n">
        <v>102</v>
      </c>
      <c r="C107" s="370" t="inlineStr">
        <is>
          <t>2013Q</t>
        </is>
      </c>
      <c r="D107" s="370" t="inlineStr">
        <is>
          <t xml:space="preserve">02194-28-018-000 </t>
        </is>
      </c>
      <c r="E107" s="369" t="inlineStr">
        <is>
          <t>Actual</t>
        </is>
      </c>
      <c r="F107" s="370" t="inlineStr">
        <is>
          <t>3868   TENNYSON             ST</t>
        </is>
      </c>
      <c r="G107" s="370" t="n">
        <v>44.2</v>
      </c>
      <c r="H107" s="370" t="n">
        <v>9208</v>
      </c>
      <c r="I107" s="369" t="n">
        <v>3</v>
      </c>
      <c r="J107" s="674" t="n">
        <v>4240</v>
      </c>
      <c r="K107" s="675" t="n">
        <v>2.889858490566038</v>
      </c>
      <c r="L107" s="385" t="n">
        <v>0</v>
      </c>
      <c r="M107" s="374" t="n">
        <v>0.03982698114747409</v>
      </c>
      <c r="N107" s="370" t="n">
        <v>1972</v>
      </c>
      <c r="O107" s="370" t="n">
        <v>640</v>
      </c>
      <c r="P107" s="370" t="n">
        <v>0</v>
      </c>
      <c r="Q107" s="370" t="n">
        <v>14</v>
      </c>
      <c r="R107" s="370" t="n">
        <v>3</v>
      </c>
      <c r="S107" s="370" t="n">
        <v>1</v>
      </c>
      <c r="T107" s="369" t="inlineStr">
        <is>
          <t xml:space="preserve">U-MS-5      </t>
        </is>
      </c>
      <c r="U107" s="370" t="n">
        <v>398</v>
      </c>
      <c r="V107" s="674" t="n">
        <v>9518</v>
      </c>
      <c r="W107" s="674" t="n">
        <v>10000</v>
      </c>
      <c r="X107" s="676" t="inlineStr">
        <is>
          <t>2.2:1</t>
        </is>
      </c>
      <c r="Y107" s="674" t="n">
        <v>4000</v>
      </c>
      <c r="Z107" s="369" t="inlineStr">
        <is>
          <t xml:space="preserve">C </t>
        </is>
      </c>
      <c r="AA107" s="370" t="n"/>
      <c r="AB107" s="370" t="n"/>
      <c r="AC107" s="370" t="n"/>
      <c r="AD107" s="370" t="inlineStr">
        <is>
          <t xml:space="preserve">S-W TULLAR ELECTRIC </t>
        </is>
      </c>
      <c r="AE107" s="370" t="n"/>
      <c r="AF107" s="370" t="n"/>
      <c r="AG107" s="370" t="n"/>
      <c r="AH107" s="370" t="n"/>
      <c r="AI107" s="370" t="n"/>
      <c r="AK107" s="370" t="inlineStr">
        <is>
          <t xml:space="preserve">PER COSTAR, LEASE ORIGINATED IN 1998.                             </t>
        </is>
      </c>
      <c r="AL107" s="370" t="n"/>
      <c r="AM107" s="370" t="n"/>
      <c r="AN107" s="370" t="n"/>
      <c r="AO107" s="370" t="n"/>
      <c r="AP107" s="370" t="n"/>
      <c r="AQ107" s="370" t="n"/>
    </row>
    <row r="108">
      <c r="A108" s="383" t="n">
        <v>6</v>
      </c>
      <c r="B108" s="370" t="n">
        <v>103</v>
      </c>
      <c r="C108" s="370" t="inlineStr">
        <is>
          <t>2013Q</t>
        </is>
      </c>
      <c r="D108" s="370" t="inlineStr">
        <is>
          <t xml:space="preserve">02211-08-007-000 </t>
        </is>
      </c>
      <c r="E108" s="369" t="inlineStr">
        <is>
          <t>Actual</t>
        </is>
      </c>
      <c r="F108" s="370" t="inlineStr">
        <is>
          <t>1111 W 47TH                 AV</t>
        </is>
      </c>
      <c r="G108" s="370" t="n">
        <v>44.2</v>
      </c>
      <c r="H108" s="370" t="n">
        <v>9208</v>
      </c>
      <c r="I108" s="369" t="n">
        <v>0</v>
      </c>
      <c r="J108" s="674" t="n">
        <v>10840</v>
      </c>
      <c r="K108" s="675" t="n">
        <v>6.088560885608856</v>
      </c>
      <c r="L108" s="385" t="n">
        <v>0</v>
      </c>
      <c r="M108" s="374" t="n">
        <v>0</v>
      </c>
      <c r="N108" s="370" t="n">
        <v>1972</v>
      </c>
      <c r="O108" s="370" t="n">
        <v>2160</v>
      </c>
      <c r="P108" s="370" t="n">
        <v>0</v>
      </c>
      <c r="Q108" s="370" t="n">
        <v>18</v>
      </c>
      <c r="R108" s="370" t="n">
        <v>7</v>
      </c>
      <c r="S108" s="370" t="n">
        <v>1</v>
      </c>
      <c r="T108" s="369" t="inlineStr">
        <is>
          <t xml:space="preserve">I-A         </t>
        </is>
      </c>
      <c r="U108" s="370" t="n">
        <v>398</v>
      </c>
      <c r="V108" s="674" t="n">
        <v>41250</v>
      </c>
      <c r="W108" s="674" t="n">
        <v>41000</v>
      </c>
      <c r="X108" s="676" t="inlineStr">
        <is>
          <t>3.8:1</t>
        </is>
      </c>
      <c r="Y108" s="674" t="n">
        <v>11000</v>
      </c>
      <c r="Z108" s="369" t="inlineStr">
        <is>
          <t xml:space="preserve">C </t>
        </is>
      </c>
      <c r="AA108" s="370" t="n"/>
      <c r="AB108" s="370" t="n"/>
      <c r="AC108" s="370" t="n"/>
      <c r="AD108" s="370" t="inlineStr">
        <is>
          <t xml:space="preserve">MW BOTH OWNERS      </t>
        </is>
      </c>
      <c r="AE108" s="370" t="n"/>
      <c r="AF108" s="370" t="n"/>
      <c r="AG108" s="370" t="n"/>
      <c r="AH108" s="370" t="n"/>
      <c r="AI108" s="370" t="n"/>
      <c r="AK108" s="370" t="inlineStr">
        <is>
          <t>                                                                  </t>
        </is>
      </c>
      <c r="AL108" s="370" t="n"/>
      <c r="AM108" s="370" t="n"/>
      <c r="AN108" s="370" t="n"/>
      <c r="AO108" s="370" t="n"/>
      <c r="AP108" s="370" t="n"/>
      <c r="AQ108" s="370" t="n"/>
    </row>
    <row r="109">
      <c r="A109" s="383" t="n">
        <v>6</v>
      </c>
      <c r="B109" s="370" t="n">
        <v>104</v>
      </c>
      <c r="C109" s="370" t="inlineStr">
        <is>
          <t>2013Q</t>
        </is>
      </c>
      <c r="D109" s="370" t="inlineStr">
        <is>
          <t xml:space="preserve">02211-13-022-000 </t>
        </is>
      </c>
      <c r="E109" s="369" t="inlineStr">
        <is>
          <t>Actual</t>
        </is>
      </c>
      <c r="F109" s="370" t="inlineStr">
        <is>
          <t>1051 W 46TH                 AV</t>
        </is>
      </c>
      <c r="G109" s="370" t="n">
        <v>44.1</v>
      </c>
      <c r="H109" s="370" t="n">
        <v>9208</v>
      </c>
      <c r="I109" s="369" t="n">
        <v>0</v>
      </c>
      <c r="J109" s="674" t="n">
        <v>4008</v>
      </c>
      <c r="K109" s="675" t="n">
        <v>6.736526946107785</v>
      </c>
      <c r="L109" s="385" t="n">
        <v>0</v>
      </c>
      <c r="M109" s="374" t="n">
        <v>0.126</v>
      </c>
      <c r="N109" s="370" t="n">
        <v>1980</v>
      </c>
      <c r="O109" s="370" t="n">
        <v>484</v>
      </c>
      <c r="P109" s="370" t="n">
        <v>0</v>
      </c>
      <c r="Q109" s="370" t="n">
        <v>17</v>
      </c>
      <c r="R109" s="370" t="n">
        <v>3</v>
      </c>
      <c r="S109" s="370" t="n">
        <v>1</v>
      </c>
      <c r="T109" s="369" t="inlineStr">
        <is>
          <t xml:space="preserve">I-A         </t>
        </is>
      </c>
      <c r="U109" s="370" t="n">
        <v>398</v>
      </c>
      <c r="V109" s="674" t="n">
        <v>6625</v>
      </c>
      <c r="W109" s="674" t="n">
        <v>7000</v>
      </c>
      <c r="X109" s="676" t="inlineStr">
        <is>
          <t>1.7:1</t>
        </is>
      </c>
      <c r="Y109" s="674" t="n">
        <v>4000</v>
      </c>
      <c r="Z109" s="369" t="inlineStr">
        <is>
          <t xml:space="preserve">C </t>
        </is>
      </c>
      <c r="AA109" s="370" t="n"/>
      <c r="AB109" s="370" t="n"/>
      <c r="AC109" s="370" t="n"/>
      <c r="AD109" s="370" t="inlineStr">
        <is>
          <t xml:space="preserve">MILE HIGH DOOR SEAL </t>
        </is>
      </c>
      <c r="AE109" s="370" t="n"/>
      <c r="AF109" s="370" t="n"/>
      <c r="AG109" s="370" t="n"/>
      <c r="AH109" s="370" t="n"/>
      <c r="AI109" s="370" t="n"/>
      <c r="AK109" s="370" t="inlineStr">
        <is>
          <t xml:space="preserve">DATE OF LEASE COMMENCEMENT UNKNOWN.                               </t>
        </is>
      </c>
      <c r="AL109" s="370" t="n"/>
      <c r="AM109" s="370" t="n"/>
      <c r="AN109" s="370" t="n"/>
      <c r="AO109" s="370" t="n"/>
      <c r="AP109" s="370" t="n"/>
      <c r="AQ109" s="370" t="n"/>
    </row>
    <row r="110">
      <c r="A110" s="383" t="n">
        <v>6</v>
      </c>
      <c r="B110" s="370" t="n">
        <v>105</v>
      </c>
      <c r="C110" s="370" t="inlineStr">
        <is>
          <t>2013Q</t>
        </is>
      </c>
      <c r="D110" s="370" t="inlineStr">
        <is>
          <t xml:space="preserve">02214-19-007-000 </t>
        </is>
      </c>
      <c r="E110" s="369" t="inlineStr">
        <is>
          <t>Actual</t>
        </is>
      </c>
      <c r="F110" s="370" t="inlineStr">
        <is>
          <t>4105   JASON                ST</t>
        </is>
      </c>
      <c r="G110" s="370" t="n">
        <v>44.1</v>
      </c>
      <c r="H110" s="370" t="n">
        <v>9208</v>
      </c>
      <c r="I110" s="369" t="n">
        <v>0</v>
      </c>
      <c r="J110" s="674" t="n">
        <v>5000</v>
      </c>
      <c r="K110" s="675" t="n">
        <v>5.0304</v>
      </c>
      <c r="L110" s="385" t="n">
        <v>0</v>
      </c>
      <c r="M110" s="374" t="n">
        <v>0.08997296437659033</v>
      </c>
      <c r="N110" s="370" t="n">
        <v>1967</v>
      </c>
      <c r="O110" s="370" t="n">
        <v>0</v>
      </c>
      <c r="P110" s="370" t="n">
        <v>0</v>
      </c>
      <c r="Q110" s="370" t="n">
        <v>12</v>
      </c>
      <c r="R110" s="370" t="n">
        <v>1</v>
      </c>
      <c r="S110" s="370" t="n">
        <v>1</v>
      </c>
      <c r="T110" s="369" t="inlineStr">
        <is>
          <t xml:space="preserve">I-MX-3      </t>
        </is>
      </c>
      <c r="U110" s="370" t="n">
        <v>397</v>
      </c>
      <c r="V110" s="674" t="n">
        <v>12500</v>
      </c>
      <c r="W110" s="674" t="n">
        <v>13000</v>
      </c>
      <c r="X110" s="676" t="inlineStr">
        <is>
          <t>2.5:1</t>
        </is>
      </c>
      <c r="Y110" s="674" t="n">
        <v>5000</v>
      </c>
      <c r="Z110" s="369" t="inlineStr">
        <is>
          <t xml:space="preserve">C </t>
        </is>
      </c>
      <c r="AA110" s="370" t="n"/>
      <c r="AB110" s="370" t="n"/>
      <c r="AC110" s="370" t="n"/>
      <c r="AD110" s="370" t="inlineStr">
        <is>
          <t>                    </t>
        </is>
      </c>
      <c r="AE110" s="370" t="n"/>
      <c r="AF110" s="370" t="n"/>
      <c r="AG110" s="370" t="n"/>
      <c r="AH110" s="370" t="n"/>
      <c r="AI110" s="370" t="n"/>
      <c r="AK110" s="370" t="inlineStr">
        <is>
          <t xml:space="preserve">DATE OF LEASE ORIGINATION UNKNOWN.                                </t>
        </is>
      </c>
      <c r="AL110" s="370" t="n"/>
      <c r="AM110" s="370" t="n"/>
      <c r="AN110" s="370" t="n"/>
      <c r="AO110" s="370" t="n"/>
      <c r="AP110" s="370" t="n"/>
      <c r="AQ110" s="370" t="n"/>
    </row>
    <row r="111">
      <c r="A111" s="383" t="n">
        <v>6</v>
      </c>
      <c r="B111" s="370" t="n">
        <v>106</v>
      </c>
      <c r="C111" s="370" t="inlineStr">
        <is>
          <t>2013Q</t>
        </is>
      </c>
      <c r="D111" s="370" t="inlineStr">
        <is>
          <t xml:space="preserve">02214-31-003-000 </t>
        </is>
      </c>
      <c r="E111" s="369" t="inlineStr">
        <is>
          <t>Actual</t>
        </is>
      </c>
      <c r="F111" s="370" t="inlineStr">
        <is>
          <t>4024   JASON                ST</t>
        </is>
      </c>
      <c r="G111" s="370" t="n">
        <v>44.1</v>
      </c>
      <c r="H111" s="370" t="n">
        <v>9208</v>
      </c>
      <c r="I111" s="369" t="n">
        <v>0</v>
      </c>
      <c r="J111" s="674" t="n">
        <v>5000</v>
      </c>
      <c r="K111" s="675" t="n">
        <v>8.4</v>
      </c>
      <c r="L111" s="385" t="n">
        <v>0</v>
      </c>
      <c r="M111" s="374" t="n">
        <v>0.06573809523809523</v>
      </c>
      <c r="N111" s="370" t="n">
        <v>1968</v>
      </c>
      <c r="O111" s="370" t="n">
        <v>500</v>
      </c>
      <c r="P111" s="370" t="n">
        <v>0</v>
      </c>
      <c r="Q111" s="370" t="n">
        <v>11</v>
      </c>
      <c r="R111" s="370" t="n">
        <v>3</v>
      </c>
      <c r="S111" s="370" t="n">
        <v>2</v>
      </c>
      <c r="T111" s="369" t="inlineStr">
        <is>
          <t xml:space="preserve">I-A         </t>
        </is>
      </c>
      <c r="U111" s="370" t="n">
        <v>398</v>
      </c>
      <c r="V111" s="674" t="n">
        <v>9370</v>
      </c>
      <c r="W111" s="674" t="n">
        <v>9000</v>
      </c>
      <c r="X111" s="676" t="inlineStr">
        <is>
          <t>1.9:1</t>
        </is>
      </c>
      <c r="Y111" s="674" t="n">
        <v>5000</v>
      </c>
      <c r="Z111" s="369" t="inlineStr">
        <is>
          <t xml:space="preserve">C </t>
        </is>
      </c>
      <c r="AA111" s="370" t="n"/>
      <c r="AB111" s="370" t="n"/>
      <c r="AC111" s="370" t="n"/>
      <c r="AD111" s="370" t="inlineStr">
        <is>
          <t>                    </t>
        </is>
      </c>
      <c r="AE111" s="370" t="n"/>
      <c r="AF111" s="370" t="n"/>
      <c r="AG111" s="370" t="n"/>
      <c r="AH111" s="370" t="n"/>
      <c r="AI111" s="370" t="n"/>
      <c r="AK111" s="370" t="inlineStr">
        <is>
          <t xml:space="preserve">DATE OF LEASE ORIGINATION UNKNOWN.                                </t>
        </is>
      </c>
      <c r="AL111" s="370" t="n"/>
      <c r="AM111" s="370" t="n"/>
      <c r="AN111" s="370" t="n"/>
      <c r="AO111" s="370" t="n"/>
      <c r="AP111" s="370" t="n"/>
      <c r="AQ111" s="370" t="n"/>
    </row>
    <row r="112">
      <c r="A112" s="383" t="n">
        <v>6</v>
      </c>
      <c r="B112" s="370" t="n">
        <v>107</v>
      </c>
      <c r="C112" s="370" t="inlineStr">
        <is>
          <t>2013Q</t>
        </is>
      </c>
      <c r="D112" s="370" t="inlineStr">
        <is>
          <t xml:space="preserve">02214-31-007-000 </t>
        </is>
      </c>
      <c r="E112" s="369" t="inlineStr">
        <is>
          <t>Actual</t>
        </is>
      </c>
      <c r="F112" s="370" t="inlineStr">
        <is>
          <t>4090   JASON                ST</t>
        </is>
      </c>
      <c r="G112" s="370" t="n">
        <v>44.1</v>
      </c>
      <c r="H112" s="370" t="n">
        <v>9208</v>
      </c>
      <c r="I112" s="369" t="n">
        <v>0</v>
      </c>
      <c r="J112" s="674" t="n">
        <v>2909</v>
      </c>
      <c r="K112" s="675" t="n">
        <v>6.187693365417669</v>
      </c>
      <c r="L112" s="385" t="n">
        <v>0</v>
      </c>
      <c r="M112" s="374" t="n">
        <v>0.1093333333333333</v>
      </c>
      <c r="N112" s="370" t="n">
        <v>1951</v>
      </c>
      <c r="O112" s="370" t="n">
        <v>431</v>
      </c>
      <c r="P112" s="370" t="n">
        <v>0</v>
      </c>
      <c r="Q112" s="370" t="n">
        <v>10</v>
      </c>
      <c r="R112" s="370" t="n">
        <v>3</v>
      </c>
      <c r="S112" s="370" t="n">
        <v>1</v>
      </c>
      <c r="T112" s="369" t="inlineStr">
        <is>
          <t xml:space="preserve">I-A         </t>
        </is>
      </c>
      <c r="U112" s="370" t="n">
        <v>398</v>
      </c>
      <c r="V112" s="674" t="n">
        <v>9375</v>
      </c>
      <c r="W112" s="674" t="n">
        <v>9000</v>
      </c>
      <c r="X112" s="676" t="inlineStr">
        <is>
          <t>3.2:1</t>
        </is>
      </c>
      <c r="Y112" s="674" t="n">
        <v>3000</v>
      </c>
      <c r="Z112" s="369" t="inlineStr">
        <is>
          <t xml:space="preserve">C </t>
        </is>
      </c>
      <c r="AA112" s="370" t="n"/>
      <c r="AB112" s="370" t="n"/>
      <c r="AC112" s="370" t="n"/>
      <c r="AD112" s="370" t="inlineStr">
        <is>
          <t xml:space="preserve">S-W CONCRETE CORING </t>
        </is>
      </c>
      <c r="AE112" s="370" t="n"/>
      <c r="AF112" s="370" t="n"/>
      <c r="AG112" s="370" t="n"/>
      <c r="AH112" s="370" t="n"/>
      <c r="AI112" s="370" t="n"/>
      <c r="AK112" s="370" t="inlineStr">
        <is>
          <t xml:space="preserve">2010 LEASE PER COSTAR.                                            </t>
        </is>
      </c>
      <c r="AL112" s="370" t="n"/>
      <c r="AM112" s="370" t="n"/>
      <c r="AN112" s="370" t="n"/>
      <c r="AO112" s="370" t="n"/>
      <c r="AP112" s="370" t="n"/>
      <c r="AQ112" s="370" t="n"/>
    </row>
    <row r="113">
      <c r="A113" s="383" t="n">
        <v>6</v>
      </c>
      <c r="B113" s="370" t="n">
        <v>108</v>
      </c>
      <c r="C113" s="370" t="inlineStr">
        <is>
          <t>2013Q</t>
        </is>
      </c>
      <c r="D113" s="370" t="inlineStr">
        <is>
          <t xml:space="preserve">02214-41-006-000 </t>
        </is>
      </c>
      <c r="E113" s="369" t="inlineStr">
        <is>
          <t>Actual</t>
        </is>
      </c>
      <c r="F113" s="370" t="inlineStr">
        <is>
          <t>1627 W 38TH                 AV</t>
        </is>
      </c>
      <c r="G113" s="370" t="n">
        <v>44.1</v>
      </c>
      <c r="H113" s="370" t="n">
        <v>9208</v>
      </c>
      <c r="I113" s="369" t="n">
        <v>9</v>
      </c>
      <c r="J113" s="674" t="n">
        <v>6599</v>
      </c>
      <c r="K113" s="675" t="n">
        <v>7.001060766782846</v>
      </c>
      <c r="L113" s="385" t="n">
        <v>0</v>
      </c>
      <c r="M113" s="374" t="n">
        <v>0.1844805194805195</v>
      </c>
      <c r="N113" s="370" t="n">
        <v>1952</v>
      </c>
      <c r="O113" s="370" t="n">
        <v>0</v>
      </c>
      <c r="P113" s="370" t="n">
        <v>0</v>
      </c>
      <c r="Q113" s="370" t="n">
        <v>12</v>
      </c>
      <c r="R113" s="370" t="n">
        <v>3</v>
      </c>
      <c r="S113" s="370" t="n">
        <v>3</v>
      </c>
      <c r="T113" s="369" t="inlineStr">
        <is>
          <t xml:space="preserve">U-MX-3      </t>
        </is>
      </c>
      <c r="U113" s="370" t="n">
        <v>398</v>
      </c>
      <c r="V113" s="674" t="n">
        <v>9440</v>
      </c>
      <c r="W113" s="674" t="n">
        <v>9000</v>
      </c>
      <c r="X113" s="676" t="inlineStr">
        <is>
          <t>1.4:1</t>
        </is>
      </c>
      <c r="Y113" s="674" t="n">
        <v>7000</v>
      </c>
      <c r="Z113" s="369" t="inlineStr">
        <is>
          <t xml:space="preserve">C </t>
        </is>
      </c>
      <c r="AA113" s="370" t="n"/>
      <c r="AB113" s="370" t="n"/>
      <c r="AC113" s="370" t="n"/>
      <c r="AD113" s="370" t="inlineStr">
        <is>
          <t>                    </t>
        </is>
      </c>
      <c r="AE113" s="370" t="n"/>
      <c r="AF113" s="370" t="n"/>
      <c r="AG113" s="370" t="n"/>
      <c r="AH113" s="370" t="n"/>
      <c r="AI113" s="370" t="n"/>
      <c r="AK113" s="370" t="inlineStr">
        <is>
          <t xml:space="preserve">COMMENCEMENT DATE OF LEASES UNKNOWN.                              </t>
        </is>
      </c>
      <c r="AL113" s="370" t="n"/>
      <c r="AM113" s="370" t="n"/>
      <c r="AN113" s="370" t="n"/>
      <c r="AO113" s="370" t="n"/>
      <c r="AP113" s="370" t="n"/>
      <c r="AQ113" s="370" t="n"/>
    </row>
    <row r="114">
      <c r="A114" s="383" t="n">
        <v>6</v>
      </c>
      <c r="B114" s="370" t="n">
        <v>109</v>
      </c>
      <c r="C114" s="370" t="inlineStr">
        <is>
          <t>2013Q</t>
        </is>
      </c>
      <c r="D114" s="370" t="inlineStr">
        <is>
          <t xml:space="preserve">02214-43-017-000 </t>
        </is>
      </c>
      <c r="E114" s="369" t="inlineStr">
        <is>
          <t>Actual</t>
        </is>
      </c>
      <c r="F114" s="370" t="inlineStr">
        <is>
          <t>3855   MARIPOSA             ST</t>
        </is>
      </c>
      <c r="G114" s="370" t="n">
        <v>44.2</v>
      </c>
      <c r="H114" s="370" t="n">
        <v>9208</v>
      </c>
      <c r="I114" s="369" t="n">
        <v>9</v>
      </c>
      <c r="J114" s="674" t="n">
        <v>27955</v>
      </c>
      <c r="K114" s="675" t="n">
        <v>5.499982114111965</v>
      </c>
      <c r="L114" s="385" t="n">
        <v>0.5</v>
      </c>
      <c r="M114" s="374" t="n">
        <v>0.2116590353296217</v>
      </c>
      <c r="N114" s="370" t="n">
        <v>1956</v>
      </c>
      <c r="O114" s="370" t="n">
        <v>7498</v>
      </c>
      <c r="P114" s="370" t="n">
        <v>0</v>
      </c>
      <c r="Q114" s="370" t="n">
        <v>16</v>
      </c>
      <c r="R114" s="370" t="n">
        <v>3</v>
      </c>
      <c r="S114" s="370" t="n">
        <v>1</v>
      </c>
      <c r="T114" s="369" t="inlineStr">
        <is>
          <t xml:space="preserve">U-MX-3      </t>
        </is>
      </c>
      <c r="U114" s="370" t="n">
        <v>398</v>
      </c>
      <c r="V114" s="674" t="n">
        <v>47006</v>
      </c>
      <c r="W114" s="674" t="n">
        <v>47000</v>
      </c>
      <c r="X114" s="676" t="inlineStr">
        <is>
          <t>1.7:1</t>
        </is>
      </c>
      <c r="Y114" s="674" t="n">
        <v>28000</v>
      </c>
      <c r="Z114" s="369" t="inlineStr">
        <is>
          <t xml:space="preserve">C </t>
        </is>
      </c>
      <c r="AA114" s="370" t="n"/>
      <c r="AB114" s="370" t="n"/>
      <c r="AC114" s="370" t="n"/>
      <c r="AD114" s="370" t="inlineStr">
        <is>
          <t>M-W URBAN FABRICAT'N</t>
        </is>
      </c>
      <c r="AE114" s="370" t="n"/>
      <c r="AF114" s="370" t="n"/>
      <c r="AG114" s="370" t="n"/>
      <c r="AH114" s="370" t="n"/>
      <c r="AI114" s="370" t="n"/>
      <c r="AK114" s="370" t="inlineStr">
        <is>
          <t xml:space="preserve">LEASES 2010-2012.                                                 </t>
        </is>
      </c>
      <c r="AL114" s="370" t="n"/>
      <c r="AM114" s="370" t="n"/>
      <c r="AN114" s="370" t="n"/>
      <c r="AO114" s="370" t="n"/>
      <c r="AP114" s="370" t="n"/>
      <c r="AQ114" s="370" t="n"/>
    </row>
    <row r="115">
      <c r="A115" s="383" t="n">
        <v>6</v>
      </c>
      <c r="B115" s="370" t="n">
        <v>110</v>
      </c>
      <c r="C115" s="370" t="inlineStr">
        <is>
          <t>2013Q</t>
        </is>
      </c>
      <c r="D115" s="370" t="inlineStr">
        <is>
          <t xml:space="preserve">02223-00-078-000 </t>
        </is>
      </c>
      <c r="E115" s="369" t="inlineStr">
        <is>
          <t>Actual</t>
        </is>
      </c>
      <c r="F115" s="370" t="inlineStr">
        <is>
          <t>2570   31ST                 ST</t>
        </is>
      </c>
      <c r="G115" s="370" t="n">
        <v>44.1</v>
      </c>
      <c r="H115" s="370" t="n">
        <v>9208</v>
      </c>
      <c r="I115" s="369" t="n">
        <v>0</v>
      </c>
      <c r="J115" s="674" t="n">
        <v>33280</v>
      </c>
      <c r="K115" s="675" t="n">
        <v>3.119718309859155</v>
      </c>
      <c r="L115" s="385" t="n">
        <v>0</v>
      </c>
      <c r="M115" s="374" t="n">
        <v>0</v>
      </c>
      <c r="N115" s="370" t="n">
        <v>1968</v>
      </c>
      <c r="O115" s="370" t="n">
        <v>4285</v>
      </c>
      <c r="P115" s="370" t="n">
        <v>0</v>
      </c>
      <c r="Q115" s="370" t="n">
        <v>25</v>
      </c>
      <c r="R115" s="370" t="n">
        <v>10</v>
      </c>
      <c r="S115" s="370" t="n">
        <v>1</v>
      </c>
      <c r="T115" s="369" t="inlineStr">
        <is>
          <t xml:space="preserve">I-A         </t>
        </is>
      </c>
      <c r="U115" s="370" t="n">
        <v>398</v>
      </c>
      <c r="V115" s="674" t="n">
        <v>62400</v>
      </c>
      <c r="W115" s="674" t="n">
        <v>62000</v>
      </c>
      <c r="X115" s="676" t="inlineStr">
        <is>
          <t>1.9:1</t>
        </is>
      </c>
      <c r="Y115" s="674" t="n">
        <v>33000</v>
      </c>
      <c r="Z115" s="369" t="inlineStr">
        <is>
          <t xml:space="preserve">C </t>
        </is>
      </c>
      <c r="AA115" s="370" t="n"/>
      <c r="AB115" s="370" t="n"/>
      <c r="AC115" s="370" t="n"/>
      <c r="AD115" s="370" t="inlineStr">
        <is>
          <t>                    </t>
        </is>
      </c>
      <c r="AE115" s="370" t="n"/>
      <c r="AF115" s="370" t="n"/>
      <c r="AG115" s="370" t="n"/>
      <c r="AH115" s="370" t="n"/>
      <c r="AI115" s="370" t="n"/>
      <c r="AK115" s="370" t="inlineStr">
        <is>
          <t xml:space="preserve">INSUFF. INFO TO ALLOCATE EXP. BETWEEN BUSINESS &amp; R.E.             </t>
        </is>
      </c>
      <c r="AL115" s="370" t="n"/>
      <c r="AM115" s="370" t="n"/>
      <c r="AN115" s="370" t="n"/>
      <c r="AO115" s="370" t="n"/>
      <c r="AP115" s="370" t="n"/>
      <c r="AQ115" s="370" t="n"/>
    </row>
    <row r="116">
      <c r="A116" s="383" t="n">
        <v>6</v>
      </c>
      <c r="B116" s="370" t="n">
        <v>111</v>
      </c>
      <c r="C116" s="370" t="inlineStr">
        <is>
          <t>2013Q</t>
        </is>
      </c>
      <c r="D116" s="370" t="inlineStr">
        <is>
          <t xml:space="preserve">02223-11-011-000 </t>
        </is>
      </c>
      <c r="E116" s="369" t="inlineStr">
        <is>
          <t>Actual</t>
        </is>
      </c>
      <c r="F116" s="370" t="inlineStr">
        <is>
          <t>642 W 43RD                 AV</t>
        </is>
      </c>
      <c r="G116" s="370" t="n">
        <v>44.1</v>
      </c>
      <c r="H116" s="370" t="n">
        <v>9208</v>
      </c>
      <c r="I116" s="369" t="n">
        <v>0</v>
      </c>
      <c r="J116" s="674" t="n">
        <v>9000</v>
      </c>
      <c r="K116" s="675" t="n">
        <v>6.666666666666667</v>
      </c>
      <c r="L116" s="385" t="n">
        <v>0</v>
      </c>
      <c r="M116" s="374" t="n">
        <v>0.1</v>
      </c>
      <c r="N116" s="370" t="n">
        <v>1978</v>
      </c>
      <c r="O116" s="370" t="n">
        <v>330</v>
      </c>
      <c r="P116" s="370" t="n">
        <v>1000</v>
      </c>
      <c r="Q116" s="370" t="n">
        <v>16</v>
      </c>
      <c r="R116" s="370" t="n">
        <v>7</v>
      </c>
      <c r="S116" s="370" t="n">
        <v>1</v>
      </c>
      <c r="T116" s="369" t="inlineStr">
        <is>
          <t xml:space="preserve">I-A         </t>
        </is>
      </c>
      <c r="U116" s="370" t="n">
        <v>398</v>
      </c>
      <c r="V116" s="674" t="n">
        <v>12485</v>
      </c>
      <c r="W116" s="674" t="n">
        <v>12000</v>
      </c>
      <c r="X116" s="676" t="inlineStr">
        <is>
          <t>1.4:1</t>
        </is>
      </c>
      <c r="Y116" s="674" t="n">
        <v>9000</v>
      </c>
      <c r="Z116" s="369" t="inlineStr">
        <is>
          <t xml:space="preserve">C </t>
        </is>
      </c>
      <c r="AA116" s="370" t="n"/>
      <c r="AB116" s="370" t="n"/>
      <c r="AC116" s="370" t="n"/>
      <c r="AD116" s="370" t="inlineStr">
        <is>
          <t>                    </t>
        </is>
      </c>
      <c r="AE116" s="370" t="n"/>
      <c r="AF116" s="370" t="n"/>
      <c r="AG116" s="370" t="n"/>
      <c r="AH116" s="370" t="n"/>
      <c r="AI116" s="370" t="n"/>
      <c r="AK116" s="370" t="inlineStr">
        <is>
          <t xml:space="preserve">2009 LEASE.                                                       </t>
        </is>
      </c>
      <c r="AL116" s="370" t="n"/>
      <c r="AM116" s="370" t="n"/>
      <c r="AN116" s="370" t="n"/>
      <c r="AO116" s="370" t="n"/>
      <c r="AP116" s="370" t="n"/>
      <c r="AQ116" s="370" t="n"/>
    </row>
    <row r="117">
      <c r="A117" s="383" t="n">
        <v>6</v>
      </c>
      <c r="B117" s="370" t="n">
        <v>112</v>
      </c>
      <c r="C117" s="370" t="inlineStr">
        <is>
          <t>2013Q</t>
        </is>
      </c>
      <c r="D117" s="370" t="inlineStr">
        <is>
          <t xml:space="preserve">02223-12-017-000 </t>
        </is>
      </c>
      <c r="E117" s="369" t="inlineStr">
        <is>
          <t>Actual</t>
        </is>
      </c>
      <c r="F117" s="370" t="inlineStr">
        <is>
          <t>4225   ELATI                ST</t>
        </is>
      </c>
      <c r="G117" s="370" t="n">
        <v>44.1</v>
      </c>
      <c r="H117" s="370" t="n">
        <v>9208</v>
      </c>
      <c r="I117" s="369" t="n">
        <v>0</v>
      </c>
      <c r="J117" s="674" t="n">
        <v>1320</v>
      </c>
      <c r="K117" s="675" t="n">
        <v>16.36363636363636</v>
      </c>
      <c r="L117" s="385" t="n">
        <v>0</v>
      </c>
      <c r="M117" s="374" t="n">
        <v>0.01759259259259259</v>
      </c>
      <c r="N117" s="370" t="n">
        <v>1972</v>
      </c>
      <c r="O117" s="370" t="n">
        <v>580</v>
      </c>
      <c r="P117" s="370" t="n">
        <v>0</v>
      </c>
      <c r="Q117" s="370" t="n">
        <v>12</v>
      </c>
      <c r="R117" s="370" t="n">
        <v>7</v>
      </c>
      <c r="S117" s="370" t="n">
        <v>1</v>
      </c>
      <c r="T117" s="369" t="inlineStr">
        <is>
          <t xml:space="preserve">I-A         </t>
        </is>
      </c>
      <c r="U117" s="370" t="n">
        <v>398</v>
      </c>
      <c r="V117" s="674" t="n">
        <v>25000</v>
      </c>
      <c r="W117" s="674" t="n">
        <v>25000</v>
      </c>
      <c r="X117" s="676" t="inlineStr">
        <is>
          <t>18.9:1</t>
        </is>
      </c>
      <c r="Y117" s="674" t="n">
        <v>1000</v>
      </c>
      <c r="Z117" s="369" t="inlineStr">
        <is>
          <t xml:space="preserve">C </t>
        </is>
      </c>
      <c r="AA117" s="370" t="n"/>
      <c r="AB117" s="370" t="n"/>
      <c r="AC117" s="370" t="n"/>
      <c r="AD117" s="370" t="inlineStr">
        <is>
          <t xml:space="preserve">S-W DENVER BRICK    </t>
        </is>
      </c>
      <c r="AE117" s="370" t="n"/>
      <c r="AF117" s="370" t="n"/>
      <c r="AG117" s="370" t="n"/>
      <c r="AH117" s="370" t="n"/>
      <c r="AI117" s="370" t="n"/>
      <c r="AK117" s="370" t="inlineStr">
        <is>
          <t xml:space="preserve">LEASE ORIGINATION UNKNOWN; HIGH LAND-TO-BLDG RATIO/EXCESS LAND.   </t>
        </is>
      </c>
      <c r="AL117" s="370" t="n"/>
      <c r="AM117" s="370" t="n"/>
      <c r="AN117" s="370" t="n"/>
      <c r="AO117" s="370" t="n"/>
      <c r="AP117" s="370" t="n"/>
      <c r="AQ117" s="370" t="n"/>
    </row>
    <row r="118">
      <c r="A118" s="383" t="n">
        <v>6</v>
      </c>
      <c r="B118" s="370" t="n">
        <v>113</v>
      </c>
      <c r="C118" s="370" t="inlineStr">
        <is>
          <t>2013Q</t>
        </is>
      </c>
      <c r="D118" s="370" t="inlineStr">
        <is>
          <t xml:space="preserve">02223-13-024-000 </t>
        </is>
      </c>
      <c r="E118" s="369" t="inlineStr">
        <is>
          <t>Actual</t>
        </is>
      </c>
      <c r="F118" s="370" t="inlineStr">
        <is>
          <t>4256   ELATI                ST</t>
        </is>
      </c>
      <c r="G118" s="370" t="inlineStr">
        <is>
          <t>44.M</t>
        </is>
      </c>
      <c r="H118" s="370" t="n">
        <v>9208</v>
      </c>
      <c r="I118" s="369" t="n">
        <v>0</v>
      </c>
      <c r="J118" s="674" t="n">
        <v>2000</v>
      </c>
      <c r="K118" s="675" t="n">
        <v>6</v>
      </c>
      <c r="L118" s="385" t="n">
        <v>1</v>
      </c>
      <c r="M118" s="374" t="n">
        <v>0</v>
      </c>
      <c r="N118" s="370" t="n">
        <v>1978</v>
      </c>
      <c r="O118" s="370" t="n">
        <v>150</v>
      </c>
      <c r="P118" s="370" t="n">
        <v>0</v>
      </c>
      <c r="Q118" s="370" t="n">
        <v>10</v>
      </c>
      <c r="R118" s="370" t="n">
        <v>7</v>
      </c>
      <c r="S118" s="370" t="n">
        <v>1</v>
      </c>
      <c r="T118" s="369" t="inlineStr">
        <is>
          <t xml:space="preserve">I-A         </t>
        </is>
      </c>
      <c r="U118" s="370" t="n">
        <v>398</v>
      </c>
      <c r="V118" s="674" t="n">
        <v>7175</v>
      </c>
      <c r="W118" s="674" t="n">
        <v>7000</v>
      </c>
      <c r="X118" s="676" t="inlineStr">
        <is>
          <t>3.6:1</t>
        </is>
      </c>
      <c r="Y118" s="674" t="n">
        <v>2000</v>
      </c>
      <c r="Z118" s="369" t="inlineStr">
        <is>
          <t xml:space="preserve">C </t>
        </is>
      </c>
      <c r="AA118" s="370" t="n"/>
      <c r="AB118" s="370" t="n"/>
      <c r="AC118" s="370" t="n"/>
      <c r="AD118" s="370" t="inlineStr">
        <is>
          <t>S-W ALEX MANUFACTURG</t>
        </is>
      </c>
      <c r="AE118" s="370" t="n"/>
      <c r="AF118" s="370" t="n"/>
      <c r="AG118" s="370" t="n"/>
      <c r="AH118" s="370" t="n"/>
      <c r="AI118" s="370" t="n"/>
      <c r="AK118" s="370" t="inlineStr">
        <is>
          <t xml:space="preserve">C&amp;R - CAN'T ALLOCATE EXPENSES BETWEEN THE USES.                   </t>
        </is>
      </c>
      <c r="AL118" s="370" t="n"/>
      <c r="AM118" s="370" t="n"/>
      <c r="AN118" s="370" t="n"/>
      <c r="AO118" s="370" t="n"/>
      <c r="AP118" s="370" t="n"/>
      <c r="AQ118" s="370" t="n"/>
    </row>
    <row r="119">
      <c r="A119" s="383" t="n">
        <v>6</v>
      </c>
      <c r="B119" s="370" t="n">
        <v>114</v>
      </c>
      <c r="C119" s="370" t="inlineStr">
        <is>
          <t>2013Q</t>
        </is>
      </c>
      <c r="D119" s="370" t="inlineStr">
        <is>
          <t xml:space="preserve">02223-19-009-000 </t>
        </is>
      </c>
      <c r="E119" s="369" t="inlineStr">
        <is>
          <t>Actual</t>
        </is>
      </c>
      <c r="F119" s="370" t="inlineStr">
        <is>
          <t>450 W 42ND                 AV</t>
        </is>
      </c>
      <c r="G119" s="370" t="n">
        <v>44.1</v>
      </c>
      <c r="H119" s="370" t="n">
        <v>9208</v>
      </c>
      <c r="I119" s="369" t="n">
        <v>0</v>
      </c>
      <c r="J119" s="674" t="n">
        <v>6144</v>
      </c>
      <c r="K119" s="675" t="n">
        <v>5.227864583333333</v>
      </c>
      <c r="L119" s="385" t="n">
        <v>0</v>
      </c>
      <c r="M119" s="374" t="n">
        <v>0</v>
      </c>
      <c r="N119" s="370" t="n">
        <v>1973</v>
      </c>
      <c r="O119" s="370" t="n">
        <v>1593</v>
      </c>
      <c r="P119" s="370" t="n">
        <v>0</v>
      </c>
      <c r="Q119" s="370" t="n">
        <v>14</v>
      </c>
      <c r="R119" s="370" t="n">
        <v>14</v>
      </c>
      <c r="S119" s="370" t="n">
        <v>1</v>
      </c>
      <c r="T119" s="369" t="inlineStr">
        <is>
          <t xml:space="preserve">I-A         </t>
        </is>
      </c>
      <c r="U119" s="370" t="n">
        <v>398</v>
      </c>
      <c r="V119" s="674" t="n">
        <v>30805</v>
      </c>
      <c r="W119" s="674" t="n">
        <v>31000</v>
      </c>
      <c r="X119" s="676" t="inlineStr">
        <is>
          <t>5:1</t>
        </is>
      </c>
      <c r="Y119" s="674" t="n">
        <v>6000</v>
      </c>
      <c r="Z119" s="369" t="inlineStr">
        <is>
          <t xml:space="preserve">C </t>
        </is>
      </c>
      <c r="AA119" s="370" t="n"/>
      <c r="AB119" s="370" t="n"/>
      <c r="AC119" s="370" t="n"/>
      <c r="AD119" s="370" t="inlineStr">
        <is>
          <t xml:space="preserve">SHERMAN WILLIAMS    </t>
        </is>
      </c>
      <c r="AE119" s="370" t="n"/>
      <c r="AF119" s="370" t="n"/>
      <c r="AG119" s="370" t="n"/>
      <c r="AH119" s="370" t="n"/>
      <c r="AI119" s="370" t="n"/>
      <c r="AK119" s="370" t="inlineStr">
        <is>
          <t xml:space="preserve">2010 LEASE.                                                       </t>
        </is>
      </c>
      <c r="AL119" s="370" t="n"/>
      <c r="AM119" s="370" t="n"/>
      <c r="AN119" s="370" t="n"/>
      <c r="AO119" s="370" t="n"/>
      <c r="AP119" s="370" t="n"/>
      <c r="AQ119" s="370" t="n"/>
    </row>
    <row r="120">
      <c r="A120" s="383" t="n">
        <v>6</v>
      </c>
      <c r="B120" s="370" t="n">
        <v>115</v>
      </c>
      <c r="C120" s="370" t="inlineStr">
        <is>
          <t>2013Q</t>
        </is>
      </c>
      <c r="D120" s="370" t="inlineStr">
        <is>
          <t xml:space="preserve">02231-30-009-000 </t>
        </is>
      </c>
      <c r="E120" s="369" t="inlineStr">
        <is>
          <t>Actual</t>
        </is>
      </c>
      <c r="F120" s="370" t="inlineStr">
        <is>
          <t>4301   CLAUDE               CT</t>
        </is>
      </c>
      <c r="G120" s="370" t="n">
        <v>47.2</v>
      </c>
      <c r="H120" s="370" t="n">
        <v>9201</v>
      </c>
      <c r="I120" s="369" t="n">
        <v>0</v>
      </c>
      <c r="J120" s="674" t="n">
        <v>24266</v>
      </c>
      <c r="K120" s="675" t="n">
        <v>6.666666666666667</v>
      </c>
      <c r="L120" s="385" t="n">
        <v>0</v>
      </c>
      <c r="M120" s="374" t="n">
        <v>0</v>
      </c>
      <c r="N120" s="370" t="n">
        <v>1964</v>
      </c>
      <c r="O120" s="370" t="n">
        <v>600</v>
      </c>
      <c r="P120" s="370" t="n">
        <v>0</v>
      </c>
      <c r="Q120" s="370" t="n">
        <v>18</v>
      </c>
      <c r="R120" s="370" t="n">
        <v>1</v>
      </c>
      <c r="S120" s="370" t="n">
        <v>1</v>
      </c>
      <c r="T120" s="369" t="inlineStr">
        <is>
          <t xml:space="preserve">I-A         </t>
        </is>
      </c>
      <c r="U120" s="370" t="n">
        <v>401</v>
      </c>
      <c r="V120" s="674" t="n">
        <v>25425</v>
      </c>
      <c r="W120" s="674" t="n">
        <v>25000</v>
      </c>
      <c r="X120" s="676" t="inlineStr">
        <is>
          <t>1:1</t>
        </is>
      </c>
      <c r="Y120" s="674" t="n">
        <v>24000</v>
      </c>
      <c r="Z120" s="369" t="inlineStr">
        <is>
          <t xml:space="preserve">C </t>
        </is>
      </c>
      <c r="AA120" s="370" t="n"/>
      <c r="AB120" s="370" t="n"/>
      <c r="AC120" s="370" t="n"/>
      <c r="AD120" s="370" t="inlineStr">
        <is>
          <t>                    </t>
        </is>
      </c>
      <c r="AE120" s="370" t="n"/>
      <c r="AF120" s="370" t="n"/>
      <c r="AG120" s="370" t="n"/>
      <c r="AH120" s="370" t="n"/>
      <c r="AI120" s="370" t="n"/>
      <c r="AK120" s="370" t="inlineStr">
        <is>
          <t xml:space="preserve">2010 COMMENCEMENT; CAN'T SEPARATE OWNER &amp; TENANT EXPENSES.        </t>
        </is>
      </c>
      <c r="AL120" s="370" t="n"/>
      <c r="AM120" s="370" t="n"/>
      <c r="AN120" s="370" t="n"/>
      <c r="AO120" s="370" t="n"/>
      <c r="AP120" s="370" t="n"/>
      <c r="AQ120" s="370" t="n"/>
    </row>
    <row r="121">
      <c r="A121" s="383" t="n">
        <v>6</v>
      </c>
      <c r="B121" s="370" t="n">
        <v>116</v>
      </c>
      <c r="C121" s="370" t="inlineStr">
        <is>
          <t>2013Q</t>
        </is>
      </c>
      <c r="D121" s="370" t="inlineStr">
        <is>
          <t xml:space="preserve">02232-00-194-000 </t>
        </is>
      </c>
      <c r="E121" s="369" t="inlineStr">
        <is>
          <t>Actual</t>
        </is>
      </c>
      <c r="F121" s="370" t="inlineStr">
        <is>
          <t>4701   PACKING HOUSE        RD</t>
        </is>
      </c>
      <c r="G121" s="370" t="n">
        <v>44.2</v>
      </c>
      <c r="H121" s="370" t="n">
        <v>9201</v>
      </c>
      <c r="I121" s="369" t="n">
        <v>0</v>
      </c>
      <c r="J121" s="674" t="n">
        <v>18540</v>
      </c>
      <c r="K121" s="675" t="n">
        <v>5.139979977622049</v>
      </c>
      <c r="L121" s="385" t="n">
        <v>0</v>
      </c>
      <c r="M121" s="374" t="n">
        <v>0.2068696867624482</v>
      </c>
      <c r="N121" s="370" t="n">
        <v>1918</v>
      </c>
      <c r="O121" s="370" t="n">
        <v>300</v>
      </c>
      <c r="P121" s="370" t="n">
        <v>0</v>
      </c>
      <c r="Q121" s="370" t="n">
        <v>14</v>
      </c>
      <c r="R121" s="370" t="n">
        <v>1</v>
      </c>
      <c r="S121" s="370" t="n">
        <v>1</v>
      </c>
      <c r="T121" s="369" t="inlineStr">
        <is>
          <t xml:space="preserve">I-B         </t>
        </is>
      </c>
      <c r="U121" s="370" t="n">
        <v>398</v>
      </c>
      <c r="V121" s="674" t="n">
        <v>27040</v>
      </c>
      <c r="W121" s="674" t="n">
        <v>27000</v>
      </c>
      <c r="X121" s="676" t="inlineStr">
        <is>
          <t>1.5:1</t>
        </is>
      </c>
      <c r="Y121" s="674" t="n">
        <v>19000</v>
      </c>
      <c r="Z121" s="369" t="inlineStr">
        <is>
          <t xml:space="preserve">C </t>
        </is>
      </c>
      <c r="AA121" s="370" t="n"/>
      <c r="AB121" s="370" t="n"/>
      <c r="AC121" s="370" t="n"/>
      <c r="AD121" s="370" t="inlineStr">
        <is>
          <t xml:space="preserve">ARTIST STUDIOS      </t>
        </is>
      </c>
      <c r="AE121" s="370" t="n"/>
      <c r="AF121" s="370" t="n"/>
      <c r="AG121" s="370" t="n"/>
      <c r="AH121" s="370" t="n"/>
      <c r="AI121" s="370" t="n"/>
      <c r="AK121" s="370" t="inlineStr">
        <is>
          <t xml:space="preserve">EXPENSES STABILIZED - OWNER'S SHARE TOO HIGH.                     </t>
        </is>
      </c>
      <c r="AL121" s="370" t="n"/>
      <c r="AM121" s="370" t="n"/>
      <c r="AN121" s="370" t="n"/>
      <c r="AO121" s="370" t="n"/>
      <c r="AP121" s="370" t="n"/>
      <c r="AQ121" s="370" t="n"/>
    </row>
    <row r="122">
      <c r="A122" s="383" t="n">
        <v>6</v>
      </c>
      <c r="B122" s="370" t="n">
        <v>117</v>
      </c>
      <c r="C122" s="370" t="inlineStr">
        <is>
          <t>2013Q</t>
        </is>
      </c>
      <c r="D122" s="370" t="inlineStr">
        <is>
          <t xml:space="preserve">02232-00-221-000 </t>
        </is>
      </c>
      <c r="E122" s="369" t="inlineStr">
        <is>
          <t>Actual</t>
        </is>
      </c>
      <c r="F122" s="370" t="inlineStr">
        <is>
          <t>4800   WASHINGTON           ST</t>
        </is>
      </c>
      <c r="G122" s="370" t="n">
        <v>44.2</v>
      </c>
      <c r="H122" s="370" t="n">
        <v>9201</v>
      </c>
      <c r="I122" s="369" t="n">
        <v>0</v>
      </c>
      <c r="J122" s="674" t="n">
        <v>59837</v>
      </c>
      <c r="K122" s="675" t="n">
        <v>3.514297173989338</v>
      </c>
      <c r="L122" s="385" t="n">
        <v>0</v>
      </c>
      <c r="M122" s="374" t="n">
        <v>0.4178662291651806</v>
      </c>
      <c r="N122" s="370" t="n">
        <v>1931</v>
      </c>
      <c r="O122" s="370" t="n">
        <v>5992</v>
      </c>
      <c r="P122" s="370" t="n">
        <v>0</v>
      </c>
      <c r="Q122" s="370" t="n">
        <v>12</v>
      </c>
      <c r="R122" s="370" t="n">
        <v>1</v>
      </c>
      <c r="S122" s="370" t="n">
        <v>5</v>
      </c>
      <c r="T122" s="369" t="inlineStr">
        <is>
          <t xml:space="preserve">I-B         </t>
        </is>
      </c>
      <c r="U122" s="370" t="n">
        <v>398</v>
      </c>
      <c r="V122" s="674" t="n">
        <v>109420</v>
      </c>
      <c r="W122" s="674" t="n">
        <v>109000</v>
      </c>
      <c r="X122" s="676" t="inlineStr">
        <is>
          <t>1.8:1</t>
        </is>
      </c>
      <c r="Y122" s="674" t="n">
        <v>60000</v>
      </c>
      <c r="Z122" s="369" t="inlineStr">
        <is>
          <t xml:space="preserve">C </t>
        </is>
      </c>
      <c r="AA122" s="370" t="n"/>
      <c r="AB122" s="370" t="n"/>
      <c r="AC122" s="370" t="n"/>
      <c r="AD122" s="370" t="inlineStr">
        <is>
          <t xml:space="preserve">M-2 MULTI DISTWHSE  </t>
        </is>
      </c>
      <c r="AE122" s="370" t="n"/>
      <c r="AF122" s="370" t="n"/>
      <c r="AG122" s="370" t="n"/>
      <c r="AH122" s="370" t="n"/>
      <c r="AI122" s="370" t="n"/>
      <c r="AK122" s="370" t="inlineStr">
        <is>
          <t xml:space="preserve">SOME LEASES GO BACK AS FAR AS 1998.                               </t>
        </is>
      </c>
      <c r="AL122" s="370" t="n"/>
      <c r="AM122" s="370" t="n"/>
      <c r="AN122" s="370" t="n"/>
      <c r="AO122" s="370" t="n"/>
      <c r="AP122" s="370" t="n"/>
      <c r="AQ122" s="370" t="n"/>
    </row>
    <row r="123">
      <c r="A123" s="383" t="n">
        <v>6</v>
      </c>
      <c r="B123" s="370" t="n">
        <v>118</v>
      </c>
      <c r="C123" s="370" t="inlineStr">
        <is>
          <t>2013Q</t>
        </is>
      </c>
      <c r="D123" s="370" t="inlineStr">
        <is>
          <t xml:space="preserve">02234-00-055-000 </t>
        </is>
      </c>
      <c r="E123" s="369" t="inlineStr">
        <is>
          <t>Actual</t>
        </is>
      </c>
      <c r="F123" s="370" t="inlineStr">
        <is>
          <t>3975   YORK                 ST</t>
        </is>
      </c>
      <c r="G123" s="370" t="n">
        <v>47.1</v>
      </c>
      <c r="H123" s="370" t="n">
        <v>9201</v>
      </c>
      <c r="I123" s="369" t="n">
        <v>0</v>
      </c>
      <c r="J123" s="674" t="n">
        <v>20773</v>
      </c>
      <c r="K123" s="675" t="n">
        <v>5.199056467529966</v>
      </c>
      <c r="L123" s="385" t="n">
        <v>0</v>
      </c>
      <c r="M123" s="374" t="n">
        <v>0</v>
      </c>
      <c r="N123" s="370" t="n">
        <v>1949</v>
      </c>
      <c r="O123" s="370" t="n">
        <v>2655</v>
      </c>
      <c r="P123" s="370" t="n">
        <v>0</v>
      </c>
      <c r="Q123" s="370" t="n">
        <v>18</v>
      </c>
      <c r="R123" s="370" t="n">
        <v>7</v>
      </c>
      <c r="S123" s="370" t="n">
        <v>1</v>
      </c>
      <c r="T123" s="369" t="inlineStr">
        <is>
          <t xml:space="preserve">I-B         </t>
        </is>
      </c>
      <c r="U123" s="370" t="n">
        <v>401</v>
      </c>
      <c r="V123" s="674" t="n">
        <v>173969</v>
      </c>
      <c r="W123" s="674" t="n">
        <v>174000</v>
      </c>
      <c r="X123" s="676" t="inlineStr">
        <is>
          <t>8.4:1</t>
        </is>
      </c>
      <c r="Y123" s="674" t="n">
        <v>21000</v>
      </c>
      <c r="Z123" s="369" t="inlineStr">
        <is>
          <t xml:space="preserve">C </t>
        </is>
      </c>
      <c r="AA123" s="370" t="n"/>
      <c r="AB123" s="370" t="n"/>
      <c r="AC123" s="370" t="n"/>
      <c r="AD123" s="370" t="inlineStr">
        <is>
          <t xml:space="preserve">FELIX'S TOWING      </t>
        </is>
      </c>
      <c r="AE123" s="370" t="n"/>
      <c r="AF123" s="370" t="n"/>
      <c r="AG123" s="370" t="n"/>
      <c r="AH123" s="370" t="n"/>
      <c r="AI123" s="370" t="n"/>
      <c r="AK123" s="370" t="inlineStr">
        <is>
          <t>                                                                  </t>
        </is>
      </c>
      <c r="AL123" s="370" t="n"/>
      <c r="AM123" s="370" t="n"/>
      <c r="AN123" s="370" t="n"/>
      <c r="AO123" s="370" t="n"/>
      <c r="AP123" s="370" t="n"/>
      <c r="AQ123" s="370" t="n"/>
    </row>
    <row r="124">
      <c r="A124" s="383" t="n">
        <v>6</v>
      </c>
      <c r="B124" s="370" t="n">
        <v>119</v>
      </c>
      <c r="C124" s="370" t="inlineStr">
        <is>
          <t>2013Q</t>
        </is>
      </c>
      <c r="D124" s="370" t="inlineStr">
        <is>
          <t xml:space="preserve">02241-00-013-000 </t>
        </is>
      </c>
      <c r="E124" s="369" t="inlineStr">
        <is>
          <t>Actual</t>
        </is>
      </c>
      <c r="F124" s="370" t="inlineStr">
        <is>
          <t>4701   JACKSON              ST</t>
        </is>
      </c>
      <c r="G124" s="370" t="n">
        <v>44.2</v>
      </c>
      <c r="H124" s="370" t="n">
        <v>9201</v>
      </c>
      <c r="I124" s="369" t="n">
        <v>0</v>
      </c>
      <c r="J124" s="674" t="n">
        <v>5258</v>
      </c>
      <c r="K124" s="675" t="n">
        <v>5.753138075313807</v>
      </c>
      <c r="L124" s="385" t="n">
        <v>0</v>
      </c>
      <c r="M124" s="374" t="n">
        <v>0</v>
      </c>
      <c r="N124" s="370" t="n">
        <v>1955</v>
      </c>
      <c r="O124" s="370" t="n">
        <v>2032</v>
      </c>
      <c r="P124" s="370" t="n">
        <v>0</v>
      </c>
      <c r="Q124" s="370" t="n">
        <v>15</v>
      </c>
      <c r="R124" s="370" t="n">
        <v>1</v>
      </c>
      <c r="S124" s="370" t="n">
        <v>1</v>
      </c>
      <c r="T124" s="369" t="inlineStr">
        <is>
          <t xml:space="preserve">I-A         </t>
        </is>
      </c>
      <c r="U124" s="370" t="n">
        <v>398</v>
      </c>
      <c r="V124" s="674" t="n">
        <v>23375</v>
      </c>
      <c r="W124" s="674" t="n">
        <v>23000</v>
      </c>
      <c r="X124" s="676" t="inlineStr">
        <is>
          <t>4.4:1</t>
        </is>
      </c>
      <c r="Y124" s="674" t="n">
        <v>5000</v>
      </c>
      <c r="Z124" s="369" t="inlineStr">
        <is>
          <t xml:space="preserve">C </t>
        </is>
      </c>
      <c r="AA124" s="370" t="n"/>
      <c r="AB124" s="370" t="n"/>
      <c r="AC124" s="370" t="n"/>
      <c r="AD124" s="370" t="inlineStr">
        <is>
          <t xml:space="preserve">S-W                 </t>
        </is>
      </c>
      <c r="AE124" s="370" t="n"/>
      <c r="AF124" s="370" t="n"/>
      <c r="AG124" s="370" t="n"/>
      <c r="AH124" s="370" t="n"/>
      <c r="AI124" s="370" t="n"/>
      <c r="AK124" s="370" t="inlineStr">
        <is>
          <t xml:space="preserve">LEASE COMMENCEMENT UNKNOWN.                                       </t>
        </is>
      </c>
      <c r="AL124" s="370" t="n"/>
      <c r="AM124" s="370" t="n"/>
      <c r="AN124" s="370" t="n"/>
      <c r="AO124" s="370" t="n"/>
      <c r="AP124" s="370" t="n"/>
      <c r="AQ124" s="370" t="n"/>
    </row>
    <row r="125">
      <c r="A125" s="383" t="n">
        <v>6</v>
      </c>
      <c r="B125" s="370" t="n">
        <v>120</v>
      </c>
      <c r="C125" s="370" t="inlineStr">
        <is>
          <t>2013Q</t>
        </is>
      </c>
      <c r="D125" s="370" t="inlineStr">
        <is>
          <t xml:space="preserve">02241-02-009-000 </t>
        </is>
      </c>
      <c r="E125" s="369" t="inlineStr">
        <is>
          <t>Actual</t>
        </is>
      </c>
      <c r="F125" s="370" t="inlineStr">
        <is>
          <t>4550   JACKSON              ST</t>
        </is>
      </c>
      <c r="G125" s="370" t="n">
        <v>47.2</v>
      </c>
      <c r="H125" s="370" t="n">
        <v>9201</v>
      </c>
      <c r="I125" s="369" t="n">
        <v>0</v>
      </c>
      <c r="J125" s="674" t="n">
        <v>27492</v>
      </c>
      <c r="K125" s="675" t="n">
        <v>3.153280954459479</v>
      </c>
      <c r="L125" s="385" t="n">
        <v>0</v>
      </c>
      <c r="M125" s="374" t="n">
        <v>0.0384704118122044</v>
      </c>
      <c r="N125" s="370" t="n">
        <v>1978</v>
      </c>
      <c r="O125" s="370" t="n">
        <v>3564</v>
      </c>
      <c r="P125" s="370" t="n">
        <v>0</v>
      </c>
      <c r="Q125" s="370" t="n">
        <v>16</v>
      </c>
      <c r="R125" s="370" t="n">
        <v>3</v>
      </c>
      <c r="S125" s="370" t="n">
        <v>4</v>
      </c>
      <c r="T125" s="369" t="inlineStr">
        <is>
          <t xml:space="preserve">I-A         </t>
        </is>
      </c>
      <c r="U125" s="370" t="n">
        <v>401</v>
      </c>
      <c r="V125" s="674" t="n">
        <v>44379</v>
      </c>
      <c r="W125" s="674" t="n">
        <v>44000</v>
      </c>
      <c r="X125" s="676" t="inlineStr">
        <is>
          <t>1.6:1</t>
        </is>
      </c>
      <c r="Y125" s="674" t="n">
        <v>27000</v>
      </c>
      <c r="Z125" s="369" t="inlineStr">
        <is>
          <t xml:space="preserve">C </t>
        </is>
      </c>
      <c r="AA125" s="370" t="n"/>
      <c r="AB125" s="370" t="n"/>
      <c r="AC125" s="370" t="n"/>
      <c r="AD125" s="370" t="inlineStr">
        <is>
          <t>                    </t>
        </is>
      </c>
      <c r="AE125" s="370" t="n"/>
      <c r="AF125" s="370" t="n"/>
      <c r="AG125" s="370" t="n"/>
      <c r="AH125" s="370" t="n"/>
      <c r="AI125" s="370" t="n"/>
      <c r="AK125" s="370" t="inlineStr">
        <is>
          <t xml:space="preserve">2010 LEASE.                                                       </t>
        </is>
      </c>
      <c r="AL125" s="370" t="n"/>
      <c r="AM125" s="370" t="n"/>
      <c r="AN125" s="370" t="n"/>
      <c r="AO125" s="370" t="n"/>
      <c r="AP125" s="370" t="n"/>
      <c r="AQ125" s="370" t="n"/>
    </row>
    <row r="126">
      <c r="A126" s="383" t="n">
        <v>6</v>
      </c>
      <c r="B126" s="370" t="n">
        <v>121</v>
      </c>
      <c r="C126" s="370" t="inlineStr">
        <is>
          <t>2013Q</t>
        </is>
      </c>
      <c r="D126" s="370" t="inlineStr">
        <is>
          <t xml:space="preserve">02241-25-014-000 </t>
        </is>
      </c>
      <c r="E126" s="369" t="inlineStr">
        <is>
          <t>Actual</t>
        </is>
      </c>
      <c r="F126" s="370" t="inlineStr">
        <is>
          <t>4715   COLORADO             BV</t>
        </is>
      </c>
      <c r="G126" s="370" t="n">
        <v>44.1</v>
      </c>
      <c r="H126" s="370" t="n">
        <v>9201</v>
      </c>
      <c r="I126" s="369" t="n">
        <v>5</v>
      </c>
      <c r="J126" s="674" t="n">
        <v>37044</v>
      </c>
      <c r="K126" s="675" t="n">
        <v>2.751862649821834</v>
      </c>
      <c r="L126" s="385" t="n">
        <v>0</v>
      </c>
      <c r="M126" s="374" t="n">
        <v>0</v>
      </c>
      <c r="N126" s="370" t="n">
        <v>1954</v>
      </c>
      <c r="O126" s="370" t="n">
        <v>7620</v>
      </c>
      <c r="P126" s="370" t="n">
        <v>0</v>
      </c>
      <c r="Q126" s="370" t="n">
        <v>16</v>
      </c>
      <c r="R126" s="370" t="n">
        <v>1</v>
      </c>
      <c r="S126" s="370" t="n">
        <v>1</v>
      </c>
      <c r="T126" s="369" t="inlineStr">
        <is>
          <t xml:space="preserve">I-A         </t>
        </is>
      </c>
      <c r="U126" s="370" t="n">
        <v>398</v>
      </c>
      <c r="V126" s="674" t="n">
        <v>91930</v>
      </c>
      <c r="W126" s="674" t="n">
        <v>92000</v>
      </c>
      <c r="X126" s="676" t="inlineStr">
        <is>
          <t>2.5:1</t>
        </is>
      </c>
      <c r="Y126" s="674" t="n">
        <v>37000</v>
      </c>
      <c r="Z126" s="369" t="inlineStr">
        <is>
          <t xml:space="preserve">C </t>
        </is>
      </c>
      <c r="AA126" s="370" t="n"/>
      <c r="AB126" s="370" t="n"/>
      <c r="AC126" s="370" t="n"/>
      <c r="AD126" s="370" t="inlineStr">
        <is>
          <t>                    </t>
        </is>
      </c>
      <c r="AE126" s="370" t="n"/>
      <c r="AF126" s="370" t="n"/>
      <c r="AG126" s="370" t="n"/>
      <c r="AH126" s="370" t="n"/>
      <c r="AI126" s="370" t="n"/>
      <c r="AK126" s="370" t="inlineStr">
        <is>
          <t>                                                                  </t>
        </is>
      </c>
      <c r="AL126" s="370" t="n"/>
      <c r="AM126" s="370" t="n"/>
      <c r="AN126" s="370" t="n"/>
      <c r="AO126" s="370" t="n"/>
      <c r="AP126" s="370" t="n"/>
      <c r="AQ126" s="370" t="n"/>
    </row>
    <row r="127">
      <c r="A127" s="383" t="n">
        <v>6</v>
      </c>
      <c r="B127" s="370" t="n">
        <v>122</v>
      </c>
      <c r="C127" s="370" t="inlineStr">
        <is>
          <t>2013Q</t>
        </is>
      </c>
      <c r="D127" s="370" t="inlineStr">
        <is>
          <t xml:space="preserve">02243-01-012-000 </t>
        </is>
      </c>
      <c r="E127" s="369" t="inlineStr">
        <is>
          <t>Actual</t>
        </is>
      </c>
      <c r="F127" s="370" t="inlineStr">
        <is>
          <t>3100 E 43RD                 AV</t>
        </is>
      </c>
      <c r="G127" s="370" t="n">
        <v>47.2</v>
      </c>
      <c r="H127" s="370" t="n">
        <v>9201</v>
      </c>
      <c r="I127" s="369" t="n">
        <v>0</v>
      </c>
      <c r="J127" s="674" t="n">
        <v>33001</v>
      </c>
      <c r="K127" s="675" t="n">
        <v>5.45438017029787</v>
      </c>
      <c r="L127" s="385" t="n">
        <v>0</v>
      </c>
      <c r="M127" s="374" t="n">
        <v>0</v>
      </c>
      <c r="N127" s="370" t="n">
        <v>1958</v>
      </c>
      <c r="O127" s="370" t="n">
        <v>1215</v>
      </c>
      <c r="P127" s="370" t="n">
        <v>0</v>
      </c>
      <c r="Q127" s="370" t="n">
        <v>13</v>
      </c>
      <c r="R127" s="370" t="n">
        <v>3</v>
      </c>
      <c r="S127" s="370" t="n">
        <v>1</v>
      </c>
      <c r="T127" s="369" t="inlineStr">
        <is>
          <t xml:space="preserve">I-A         </t>
        </is>
      </c>
      <c r="U127" s="370" t="n">
        <v>401</v>
      </c>
      <c r="V127" s="674" t="n">
        <v>36515</v>
      </c>
      <c r="W127" s="674" t="n">
        <v>37000</v>
      </c>
      <c r="X127" s="676" t="inlineStr">
        <is>
          <t>1.1:1</t>
        </is>
      </c>
      <c r="Y127" s="674" t="n">
        <v>33000</v>
      </c>
      <c r="Z127" s="369" t="inlineStr">
        <is>
          <t xml:space="preserve">C </t>
        </is>
      </c>
      <c r="AA127" s="370" t="n"/>
      <c r="AB127" s="370" t="n"/>
      <c r="AC127" s="370" t="n"/>
      <c r="AD127" s="370" t="inlineStr">
        <is>
          <t>DENVER METAL FINSHNG</t>
        </is>
      </c>
      <c r="AE127" s="370" t="n"/>
      <c r="AF127" s="370" t="n"/>
      <c r="AG127" s="370" t="n"/>
      <c r="AH127" s="370" t="n"/>
      <c r="AI127" s="370" t="n"/>
      <c r="AK127" s="370" t="inlineStr">
        <is>
          <t xml:space="preserve">2009 LEASE.                                                       </t>
        </is>
      </c>
      <c r="AL127" s="370" t="n"/>
      <c r="AM127" s="370" t="n"/>
      <c r="AN127" s="370" t="n"/>
      <c r="AO127" s="370" t="n"/>
      <c r="AP127" s="370" t="n"/>
      <c r="AQ127" s="370" t="n"/>
    </row>
    <row r="128">
      <c r="A128" s="383" t="n">
        <v>6</v>
      </c>
      <c r="B128" s="370" t="n">
        <v>123</v>
      </c>
      <c r="C128" s="370" t="inlineStr">
        <is>
          <t>2013Q</t>
        </is>
      </c>
      <c r="D128" s="370" t="inlineStr">
        <is>
          <t xml:space="preserve">02243-02-020-000 </t>
        </is>
      </c>
      <c r="E128" s="369" t="inlineStr">
        <is>
          <t>Actual</t>
        </is>
      </c>
      <c r="F128" s="370" t="inlineStr">
        <is>
          <t>3020 E 43RD                 AV</t>
        </is>
      </c>
      <c r="G128" s="370" t="n">
        <v>44.1</v>
      </c>
      <c r="H128" s="370" t="n">
        <v>9201</v>
      </c>
      <c r="I128" s="369" t="n">
        <v>0</v>
      </c>
      <c r="J128" s="674" t="n">
        <v>13968</v>
      </c>
      <c r="K128" s="675" t="n">
        <v>6.571428571428571</v>
      </c>
      <c r="L128" s="385" t="n">
        <v>0.25</v>
      </c>
      <c r="M128" s="374" t="n">
        <v>0.02898550724637681</v>
      </c>
      <c r="N128" s="370" t="n">
        <v>1946</v>
      </c>
      <c r="O128" s="370" t="n">
        <v>1650</v>
      </c>
      <c r="P128" s="370" t="n">
        <v>0</v>
      </c>
      <c r="Q128" s="370" t="n">
        <v>12</v>
      </c>
      <c r="R128" s="370" t="n">
        <v>3</v>
      </c>
      <c r="S128" s="370" t="n">
        <v>1</v>
      </c>
      <c r="T128" s="369" t="inlineStr">
        <is>
          <t xml:space="preserve">I-A         </t>
        </is>
      </c>
      <c r="U128" s="370" t="n">
        <v>398</v>
      </c>
      <c r="V128" s="674" t="n">
        <v>24533</v>
      </c>
      <c r="W128" s="674" t="n">
        <v>25000</v>
      </c>
      <c r="X128" s="676" t="inlineStr">
        <is>
          <t>1.8:1</t>
        </is>
      </c>
      <c r="Y128" s="674" t="n">
        <v>14000</v>
      </c>
      <c r="Z128" s="369" t="inlineStr">
        <is>
          <t xml:space="preserve">C </t>
        </is>
      </c>
      <c r="AA128" s="370" t="n"/>
      <c r="AB128" s="370" t="n"/>
      <c r="AC128" s="370" t="n"/>
      <c r="AD128" s="370" t="inlineStr">
        <is>
          <t xml:space="preserve">MW-GOSPEL CHURCH    </t>
        </is>
      </c>
      <c r="AE128" s="370" t="n"/>
      <c r="AF128" s="370" t="n"/>
      <c r="AG128" s="370" t="n"/>
      <c r="AH128" s="370" t="n"/>
      <c r="AI128" s="370" t="n"/>
      <c r="AK128" s="370" t="inlineStr">
        <is>
          <t xml:space="preserve">2010/2011 LEASES.                                                 </t>
        </is>
      </c>
      <c r="AL128" s="370" t="n"/>
      <c r="AM128" s="370" t="n"/>
      <c r="AN128" s="370" t="n"/>
      <c r="AO128" s="370" t="n"/>
      <c r="AP128" s="370" t="n"/>
      <c r="AQ128" s="370" t="n"/>
    </row>
    <row r="129">
      <c r="A129" s="383" t="n">
        <v>6</v>
      </c>
      <c r="B129" s="370" t="n">
        <v>124</v>
      </c>
      <c r="C129" s="370" t="inlineStr">
        <is>
          <t>2013Q</t>
        </is>
      </c>
      <c r="D129" s="370" t="inlineStr">
        <is>
          <t xml:space="preserve">02243-07-007-000 </t>
        </is>
      </c>
      <c r="E129" s="369" t="inlineStr">
        <is>
          <t>Actual</t>
        </is>
      </c>
      <c r="F129" s="370" t="inlineStr">
        <is>
          <t>4242   COLUMBINE            ST</t>
        </is>
      </c>
      <c r="G129" s="370" t="n">
        <v>44.2</v>
      </c>
      <c r="H129" s="370" t="n">
        <v>9201</v>
      </c>
      <c r="I129" s="369" t="n">
        <v>0</v>
      </c>
      <c r="J129" s="674" t="n">
        <v>7200</v>
      </c>
      <c r="K129" s="675" t="n">
        <v>2</v>
      </c>
      <c r="L129" s="385" t="n">
        <v>0</v>
      </c>
      <c r="M129" s="374" t="n">
        <v>0</v>
      </c>
      <c r="N129" s="370" t="n">
        <v>1953</v>
      </c>
      <c r="O129" s="370" t="n">
        <v>800</v>
      </c>
      <c r="P129" s="370" t="n">
        <v>0</v>
      </c>
      <c r="Q129" s="370" t="n">
        <v>16</v>
      </c>
      <c r="R129" s="370" t="n">
        <v>1</v>
      </c>
      <c r="S129" s="370" t="n">
        <v>1</v>
      </c>
      <c r="T129" s="369" t="inlineStr">
        <is>
          <t xml:space="preserve">I-A         </t>
        </is>
      </c>
      <c r="U129" s="370" t="n">
        <v>398</v>
      </c>
      <c r="V129" s="674" t="n">
        <v>13800</v>
      </c>
      <c r="W129" s="674" t="n">
        <v>14000</v>
      </c>
      <c r="X129" s="676" t="inlineStr">
        <is>
          <t>1.9:1</t>
        </is>
      </c>
      <c r="Y129" s="674" t="n">
        <v>7000</v>
      </c>
      <c r="Z129" s="369" t="inlineStr">
        <is>
          <t xml:space="preserve">C </t>
        </is>
      </c>
      <c r="AA129" s="370" t="n"/>
      <c r="AB129" s="370" t="n"/>
      <c r="AC129" s="370" t="n"/>
      <c r="AD129" s="370" t="inlineStr">
        <is>
          <t>SW-T&amp;G CATERING, INC</t>
        </is>
      </c>
      <c r="AE129" s="370" t="n"/>
      <c r="AF129" s="370" t="n"/>
      <c r="AG129" s="370" t="n"/>
      <c r="AH129" s="370" t="n"/>
      <c r="AI129" s="370" t="n"/>
      <c r="AK129" s="370" t="inlineStr">
        <is>
          <t xml:space="preserve">INADEQUATE BREAKDOWN OF EXPENSES = NOT ENTERED.                   </t>
        </is>
      </c>
      <c r="AL129" s="370" t="n"/>
      <c r="AM129" s="370" t="n"/>
      <c r="AN129" s="370" t="n"/>
      <c r="AO129" s="370" t="n"/>
      <c r="AP129" s="370" t="n"/>
      <c r="AQ129" s="370" t="n"/>
    </row>
    <row r="130">
      <c r="A130" s="383" t="n">
        <v>6</v>
      </c>
      <c r="B130" s="370" t="n">
        <v>125</v>
      </c>
      <c r="C130" s="370" t="inlineStr">
        <is>
          <t>2013Q</t>
        </is>
      </c>
      <c r="D130" s="370" t="inlineStr">
        <is>
          <t xml:space="preserve">02243-08-007-000 </t>
        </is>
      </c>
      <c r="E130" s="369" t="inlineStr">
        <is>
          <t>Actual</t>
        </is>
      </c>
      <c r="F130" s="370" t="inlineStr">
        <is>
          <t>4215   COLUMBINE            ST</t>
        </is>
      </c>
      <c r="G130" s="370" t="n">
        <v>44.1</v>
      </c>
      <c r="H130" s="370" t="n">
        <v>9201</v>
      </c>
      <c r="I130" s="369" t="n">
        <v>0</v>
      </c>
      <c r="J130" s="674" t="n">
        <v>3500</v>
      </c>
      <c r="K130" s="675" t="n">
        <v>10.13766666666667</v>
      </c>
      <c r="L130" s="385" t="n">
        <v>0</v>
      </c>
      <c r="M130" s="374" t="n">
        <v>0.1853812514385296</v>
      </c>
      <c r="N130" s="370" t="n">
        <v>1930</v>
      </c>
      <c r="O130" s="370" t="n">
        <v>0</v>
      </c>
      <c r="P130" s="370" t="n">
        <v>0</v>
      </c>
      <c r="Q130" s="370" t="n">
        <v>15</v>
      </c>
      <c r="R130" s="370" t="n">
        <v>7</v>
      </c>
      <c r="S130" s="370" t="n">
        <v>1</v>
      </c>
      <c r="T130" s="369" t="inlineStr">
        <is>
          <t xml:space="preserve">I-A         </t>
        </is>
      </c>
      <c r="U130" s="370" t="n">
        <v>399</v>
      </c>
      <c r="V130" s="674" t="n">
        <v>8100</v>
      </c>
      <c r="W130" s="674" t="n">
        <v>8000</v>
      </c>
      <c r="X130" s="676" t="inlineStr">
        <is>
          <t>2.3:1</t>
        </is>
      </c>
      <c r="Y130" s="674" t="n">
        <v>4000</v>
      </c>
      <c r="Z130" s="369" t="inlineStr">
        <is>
          <t xml:space="preserve">C </t>
        </is>
      </c>
      <c r="AA130" s="370" t="n"/>
      <c r="AB130" s="370" t="n"/>
      <c r="AC130" s="370" t="n"/>
      <c r="AD130" s="370" t="inlineStr">
        <is>
          <t>B &amp; D AUTO  RECYCLNG</t>
        </is>
      </c>
      <c r="AE130" s="370" t="n"/>
      <c r="AF130" s="370" t="n"/>
      <c r="AG130" s="370" t="n"/>
      <c r="AH130" s="370" t="n"/>
      <c r="AI130" s="370" t="n"/>
      <c r="AK130" s="370" t="inlineStr">
        <is>
          <t xml:space="preserve">2009-2010 LEASES.                                                 </t>
        </is>
      </c>
      <c r="AL130" s="370" t="n"/>
      <c r="AM130" s="370" t="n"/>
      <c r="AN130" s="370" t="n"/>
      <c r="AO130" s="370" t="n"/>
      <c r="AP130" s="370" t="n"/>
      <c r="AQ130" s="370" t="n"/>
    </row>
    <row r="131">
      <c r="A131" s="383" t="n">
        <v>6</v>
      </c>
      <c r="B131" s="370" t="n">
        <v>126</v>
      </c>
      <c r="C131" s="370" t="inlineStr">
        <is>
          <t>2013Q</t>
        </is>
      </c>
      <c r="D131" s="370" t="inlineStr">
        <is>
          <t xml:space="preserve">02243-09-019-019 </t>
        </is>
      </c>
      <c r="E131" s="369" t="inlineStr">
        <is>
          <t>Actual</t>
        </is>
      </c>
      <c r="F131" s="370" t="inlineStr">
        <is>
          <t>4228   YORK                 ST</t>
        </is>
      </c>
      <c r="G131" s="370" t="n">
        <v>44.8</v>
      </c>
      <c r="H131" s="370" t="n">
        <v>9201</v>
      </c>
      <c r="I131" s="369" t="n">
        <v>0</v>
      </c>
      <c r="J131" s="674" t="n">
        <v>4381</v>
      </c>
      <c r="K131" s="675" t="n">
        <v>5.478201323898653</v>
      </c>
      <c r="L131" s="385" t="n">
        <v>0</v>
      </c>
      <c r="M131" s="374" t="n">
        <v>0</v>
      </c>
      <c r="N131" s="370" t="n">
        <v>1946</v>
      </c>
      <c r="O131" s="370" t="n">
        <v>720</v>
      </c>
      <c r="P131" s="370" t="n">
        <v>0</v>
      </c>
      <c r="Q131" s="370" t="n">
        <v>14</v>
      </c>
      <c r="R131" s="370" t="n">
        <v>4</v>
      </c>
      <c r="S131" s="370" t="n">
        <v>1</v>
      </c>
      <c r="T131" s="369" t="inlineStr">
        <is>
          <t xml:space="preserve">I-A         </t>
        </is>
      </c>
      <c r="U131" s="370" t="n">
        <v>398</v>
      </c>
      <c r="V131" s="674" t="n">
        <v>8241</v>
      </c>
      <c r="W131" s="674" t="n">
        <v>8000</v>
      </c>
      <c r="X131" s="676" t="inlineStr">
        <is>
          <t>1.9:1</t>
        </is>
      </c>
      <c r="Y131" s="674" t="n">
        <v>4000</v>
      </c>
      <c r="Z131" s="369" t="inlineStr">
        <is>
          <t xml:space="preserve">C </t>
        </is>
      </c>
      <c r="AA131" s="370" t="n"/>
      <c r="AB131" s="370" t="n"/>
      <c r="AC131" s="370" t="n"/>
      <c r="AD131" s="370" t="inlineStr">
        <is>
          <t>YORK ST IND COND#101</t>
        </is>
      </c>
      <c r="AE131" s="370" t="n"/>
      <c r="AF131" s="370" t="n"/>
      <c r="AG131" s="370" t="n"/>
      <c r="AH131" s="370" t="n"/>
      <c r="AI131" s="370" t="n"/>
      <c r="AK131" s="370" t="inlineStr">
        <is>
          <t xml:space="preserve">2010 LEASE.                                                       </t>
        </is>
      </c>
      <c r="AL131" s="370" t="n"/>
      <c r="AM131" s="370" t="n"/>
      <c r="AN131" s="370" t="n"/>
      <c r="AO131" s="370" t="n"/>
      <c r="AP131" s="370" t="n"/>
      <c r="AQ131" s="370" t="n"/>
    </row>
    <row r="132">
      <c r="A132" s="383" t="n">
        <v>6</v>
      </c>
      <c r="B132" s="370" t="n">
        <v>127</v>
      </c>
      <c r="C132" s="370" t="inlineStr">
        <is>
          <t>2013Q</t>
        </is>
      </c>
      <c r="D132" s="370" t="inlineStr">
        <is>
          <t xml:space="preserve">02243-09-022-022 </t>
        </is>
      </c>
      <c r="E132" s="369" t="inlineStr">
        <is>
          <t>Actual</t>
        </is>
      </c>
      <c r="F132" s="370" t="inlineStr">
        <is>
          <t>4228   YORK                 ST</t>
        </is>
      </c>
      <c r="G132" s="370" t="n">
        <v>44.8</v>
      </c>
      <c r="H132" s="370" t="n">
        <v>9201</v>
      </c>
      <c r="I132" s="369" t="n">
        <v>0</v>
      </c>
      <c r="J132" s="674" t="n">
        <v>2071</v>
      </c>
      <c r="K132" s="675" t="n">
        <v>5.142443264123612</v>
      </c>
      <c r="L132" s="385" t="n">
        <v>0</v>
      </c>
      <c r="M132" s="374" t="n">
        <v>0.3267605633802817</v>
      </c>
      <c r="N132" s="370" t="n">
        <v>1946</v>
      </c>
      <c r="O132" s="370" t="n">
        <v>160</v>
      </c>
      <c r="P132" s="370" t="n">
        <v>0</v>
      </c>
      <c r="Q132" s="370" t="n">
        <v>14</v>
      </c>
      <c r="R132" s="370" t="n">
        <v>4</v>
      </c>
      <c r="S132" s="370" t="n">
        <v>1</v>
      </c>
      <c r="T132" s="369" t="inlineStr">
        <is>
          <t xml:space="preserve">I-A         </t>
        </is>
      </c>
      <c r="U132" s="370" t="n">
        <v>398</v>
      </c>
      <c r="V132" s="674" t="n">
        <v>3850</v>
      </c>
      <c r="W132" s="674" t="n">
        <v>4000</v>
      </c>
      <c r="X132" s="676" t="inlineStr">
        <is>
          <t>1.9:1</t>
        </is>
      </c>
      <c r="Y132" s="674" t="n">
        <v>2000</v>
      </c>
      <c r="Z132" s="369" t="inlineStr">
        <is>
          <t xml:space="preserve">C </t>
        </is>
      </c>
      <c r="AA132" s="370" t="n"/>
      <c r="AB132" s="370" t="n"/>
      <c r="AC132" s="370" t="n"/>
      <c r="AD132" s="370" t="inlineStr">
        <is>
          <t>YORK ST IND COND#104</t>
        </is>
      </c>
      <c r="AE132" s="370" t="n"/>
      <c r="AF132" s="370" t="n"/>
      <c r="AG132" s="370" t="n"/>
      <c r="AH132" s="370" t="n"/>
      <c r="AI132" s="370" t="n"/>
      <c r="AK132" s="370" t="inlineStr">
        <is>
          <t xml:space="preserve">OTHER IS P.O.A. DUES.                                             </t>
        </is>
      </c>
      <c r="AL132" s="370" t="n"/>
      <c r="AM132" s="370" t="n"/>
      <c r="AN132" s="370" t="n"/>
      <c r="AO132" s="370" t="n"/>
      <c r="AP132" s="370" t="n"/>
      <c r="AQ132" s="370" t="n"/>
    </row>
    <row r="133">
      <c r="A133" s="383" t="n">
        <v>6</v>
      </c>
      <c r="B133" s="370" t="n">
        <v>128</v>
      </c>
      <c r="C133" s="370" t="inlineStr">
        <is>
          <t>2013Q</t>
        </is>
      </c>
      <c r="D133" s="370" t="inlineStr">
        <is>
          <t xml:space="preserve">02244-00-053-000 </t>
        </is>
      </c>
      <c r="E133" s="369" t="inlineStr">
        <is>
          <t>Actual</t>
        </is>
      </c>
      <c r="F133" s="370" t="inlineStr">
        <is>
          <t>3660 E 40TH                 AV</t>
        </is>
      </c>
      <c r="G133" s="370" t="n">
        <v>44.1</v>
      </c>
      <c r="H133" s="370" t="n">
        <v>9201</v>
      </c>
      <c r="I133" s="369" t="n">
        <v>0</v>
      </c>
      <c r="J133" s="674" t="n">
        <v>18027</v>
      </c>
      <c r="K133" s="675" t="n">
        <v>4.659677150940256</v>
      </c>
      <c r="L133" s="385" t="n">
        <v>0</v>
      </c>
      <c r="M133" s="374" t="n">
        <v>0</v>
      </c>
      <c r="N133" s="370" t="n">
        <v>1951</v>
      </c>
      <c r="O133" s="370" t="n">
        <v>6393</v>
      </c>
      <c r="P133" s="370" t="n">
        <v>0</v>
      </c>
      <c r="Q133" s="370" t="n">
        <v>14</v>
      </c>
      <c r="R133" s="370" t="n">
        <v>1</v>
      </c>
      <c r="S133" s="370" t="n">
        <v>1</v>
      </c>
      <c r="T133" s="369" t="inlineStr">
        <is>
          <t xml:space="preserve">I-MX-3      </t>
        </is>
      </c>
      <c r="U133" s="370" t="n">
        <v>398</v>
      </c>
      <c r="V133" s="674" t="n">
        <v>62177</v>
      </c>
      <c r="W133" s="674" t="n">
        <v>62000</v>
      </c>
      <c r="X133" s="676" t="inlineStr">
        <is>
          <t>3.4:1</t>
        </is>
      </c>
      <c r="Y133" s="674" t="n">
        <v>18000</v>
      </c>
      <c r="Z133" s="369" t="inlineStr">
        <is>
          <t xml:space="preserve">C </t>
        </is>
      </c>
      <c r="AA133" s="370" t="n"/>
      <c r="AB133" s="370" t="n"/>
      <c r="AC133" s="370" t="n"/>
      <c r="AD133" s="370" t="inlineStr">
        <is>
          <t xml:space="preserve">S-W CLASSIC SPORT   </t>
        </is>
      </c>
      <c r="AE133" s="370" t="n"/>
      <c r="AF133" s="370" t="n"/>
      <c r="AG133" s="370" t="n"/>
      <c r="AH133" s="370" t="n"/>
      <c r="AI133" s="370" t="n"/>
      <c r="AK133" s="370" t="inlineStr">
        <is>
          <t>                                                                  </t>
        </is>
      </c>
      <c r="AL133" s="370" t="n"/>
      <c r="AM133" s="370" t="n"/>
      <c r="AN133" s="370" t="n"/>
      <c r="AO133" s="370" t="n"/>
      <c r="AP133" s="370" t="n"/>
      <c r="AQ133" s="370" t="n"/>
    </row>
    <row r="134">
      <c r="A134" s="383" t="n">
        <v>6</v>
      </c>
      <c r="B134" s="370" t="n">
        <v>129</v>
      </c>
      <c r="C134" s="370" t="inlineStr">
        <is>
          <t>2013Q</t>
        </is>
      </c>
      <c r="D134" s="370" t="inlineStr">
        <is>
          <t xml:space="preserve">02244-08-016-000 </t>
        </is>
      </c>
      <c r="E134" s="369" t="inlineStr">
        <is>
          <t>Actual</t>
        </is>
      </c>
      <c r="F134" s="370" t="inlineStr">
        <is>
          <t>3215 E 42ND                 AV</t>
        </is>
      </c>
      <c r="G134" s="370" t="n">
        <v>46.2</v>
      </c>
      <c r="H134" s="370" t="n">
        <v>9201</v>
      </c>
      <c r="I134" s="369" t="n">
        <v>0</v>
      </c>
      <c r="J134" s="674" t="n">
        <v>33194</v>
      </c>
      <c r="K134" s="675" t="n">
        <v>7.425172197871008</v>
      </c>
      <c r="L134" s="385" t="n">
        <v>0.04</v>
      </c>
      <c r="M134" s="374" t="n">
        <v>0</v>
      </c>
      <c r="N134" s="370" t="n">
        <v>1958</v>
      </c>
      <c r="O134" s="370" t="n">
        <v>2768</v>
      </c>
      <c r="P134" s="370" t="n">
        <v>0</v>
      </c>
      <c r="Q134" s="370" t="n">
        <v>17</v>
      </c>
      <c r="R134" s="370" t="n">
        <v>1</v>
      </c>
      <c r="S134" s="370" t="n">
        <v>1</v>
      </c>
      <c r="T134" s="369" t="inlineStr">
        <is>
          <t xml:space="preserve">I-A         </t>
        </is>
      </c>
      <c r="U134" s="370" t="n">
        <v>391</v>
      </c>
      <c r="V134" s="674" t="n">
        <v>47376</v>
      </c>
      <c r="W134" s="674" t="n">
        <v>47000</v>
      </c>
      <c r="X134" s="676" t="inlineStr">
        <is>
          <t>1.4:1</t>
        </is>
      </c>
      <c r="Y134" s="674" t="n">
        <v>33000</v>
      </c>
      <c r="Z134" s="369" t="inlineStr">
        <is>
          <t xml:space="preserve">C </t>
        </is>
      </c>
      <c r="AA134" s="370" t="n"/>
      <c r="AB134" s="370" t="n"/>
      <c r="AC134" s="370" t="n"/>
      <c r="AD134" s="370" t="inlineStr">
        <is>
          <t xml:space="preserve">SAFEWAY ICE CREAM   </t>
        </is>
      </c>
      <c r="AE134" s="370" t="n"/>
      <c r="AF134" s="370" t="n"/>
      <c r="AG134" s="370" t="n"/>
      <c r="AH134" s="370" t="n"/>
      <c r="AI134" s="370" t="n"/>
      <c r="AK134" s="370" t="inlineStr">
        <is>
          <t xml:space="preserve">2010/2011 LEASES; VAST MAJORITY OWNER-OCC=EXP NOT USEFUL.         </t>
        </is>
      </c>
      <c r="AL134" s="370" t="n"/>
      <c r="AM134" s="370" t="n"/>
      <c r="AN134" s="370" t="n"/>
      <c r="AO134" s="370" t="n"/>
      <c r="AP134" s="370" t="n"/>
      <c r="AQ134" s="370" t="n"/>
    </row>
    <row r="135">
      <c r="A135" s="383" t="n">
        <v>6</v>
      </c>
      <c r="B135" s="370" t="n">
        <v>130</v>
      </c>
      <c r="C135" s="370" t="inlineStr">
        <is>
          <t>2013Q</t>
        </is>
      </c>
      <c r="D135" s="370" t="inlineStr">
        <is>
          <t xml:space="preserve">02244-12-014-000 </t>
        </is>
      </c>
      <c r="E135" s="369" t="inlineStr">
        <is>
          <t>Actual</t>
        </is>
      </c>
      <c r="F135" s="370" t="inlineStr">
        <is>
          <t>4190   MADISON              ST</t>
        </is>
      </c>
      <c r="G135" s="370" t="n">
        <v>44.2</v>
      </c>
      <c r="H135" s="370" t="n">
        <v>9201</v>
      </c>
      <c r="I135" s="369" t="n">
        <v>0</v>
      </c>
      <c r="J135" s="674" t="n">
        <v>10591</v>
      </c>
      <c r="K135" s="675" t="n">
        <v>4.815409309791332</v>
      </c>
      <c r="L135" s="385" t="n">
        <v>0</v>
      </c>
      <c r="M135" s="374" t="n">
        <v>0</v>
      </c>
      <c r="N135" s="370" t="n">
        <v>1970</v>
      </c>
      <c r="O135" s="370" t="n">
        <v>760</v>
      </c>
      <c r="P135" s="370" t="n">
        <v>0</v>
      </c>
      <c r="Q135" s="370" t="n">
        <v>13</v>
      </c>
      <c r="R135" s="370" t="n">
        <v>3</v>
      </c>
      <c r="S135" s="370" t="n">
        <v>1</v>
      </c>
      <c r="T135" s="369" t="inlineStr">
        <is>
          <t xml:space="preserve">I-MX-3      </t>
        </is>
      </c>
      <c r="U135" s="370" t="n">
        <v>398</v>
      </c>
      <c r="V135" s="674" t="n">
        <v>19013</v>
      </c>
      <c r="W135" s="674" t="n">
        <v>19000</v>
      </c>
      <c r="X135" s="676" t="inlineStr">
        <is>
          <t>1.8:1</t>
        </is>
      </c>
      <c r="Y135" s="674" t="n">
        <v>11000</v>
      </c>
      <c r="Z135" s="369" t="inlineStr">
        <is>
          <t xml:space="preserve">C </t>
        </is>
      </c>
      <c r="AA135" s="370" t="n"/>
      <c r="AB135" s="370" t="n"/>
      <c r="AC135" s="370" t="n"/>
      <c r="AD135" s="370" t="inlineStr">
        <is>
          <t xml:space="preserve">SW-WODEN WOODS      </t>
        </is>
      </c>
      <c r="AE135" s="370" t="n"/>
      <c r="AF135" s="370" t="n"/>
      <c r="AG135" s="370" t="n"/>
      <c r="AH135" s="370" t="n"/>
      <c r="AI135" s="370" t="n"/>
      <c r="AK135" s="370" t="inlineStr">
        <is>
          <t xml:space="preserve">ORIGINATION OF MO-TO-MO ARRANGMENT UNKNOWN.                       </t>
        </is>
      </c>
      <c r="AL135" s="370" t="n"/>
      <c r="AM135" s="370" t="n"/>
      <c r="AN135" s="370" t="n"/>
      <c r="AO135" s="370" t="n"/>
      <c r="AP135" s="370" t="n"/>
      <c r="AQ135" s="370" t="n"/>
    </row>
    <row r="136">
      <c r="A136" s="383" t="n">
        <v>6</v>
      </c>
      <c r="B136" s="370" t="n">
        <v>131</v>
      </c>
      <c r="C136" s="370" t="inlineStr">
        <is>
          <t>2013Q</t>
        </is>
      </c>
      <c r="D136" s="370" t="inlineStr">
        <is>
          <t xml:space="preserve">02244-20-015-000 </t>
        </is>
      </c>
      <c r="E136" s="369" t="inlineStr">
        <is>
          <t>Actual</t>
        </is>
      </c>
      <c r="F136" s="370" t="inlineStr">
        <is>
          <t>3649 E 40TH                 AV</t>
        </is>
      </c>
      <c r="G136" s="370" t="n">
        <v>44.2</v>
      </c>
      <c r="H136" s="370" t="n">
        <v>9201</v>
      </c>
      <c r="I136" s="369" t="n">
        <v>0</v>
      </c>
      <c r="J136" s="674" t="n">
        <v>9177</v>
      </c>
      <c r="K136" s="675" t="n">
        <v>4.383131742399477</v>
      </c>
      <c r="L136" s="385" t="n">
        <v>0</v>
      </c>
      <c r="M136" s="374" t="n">
        <v>0</v>
      </c>
      <c r="N136" s="370" t="n">
        <v>1958</v>
      </c>
      <c r="O136" s="370" t="n">
        <v>598</v>
      </c>
      <c r="P136" s="370" t="n">
        <v>0</v>
      </c>
      <c r="Q136" s="370" t="n">
        <v>12</v>
      </c>
      <c r="R136" s="370" t="n">
        <v>3</v>
      </c>
      <c r="S136" s="370" t="n">
        <v>1</v>
      </c>
      <c r="T136" s="369" t="inlineStr">
        <is>
          <t xml:space="preserve">I-A         </t>
        </is>
      </c>
      <c r="U136" s="370" t="n">
        <v>398</v>
      </c>
      <c r="V136" s="674" t="n">
        <v>25653</v>
      </c>
      <c r="W136" s="674" t="n">
        <v>26000</v>
      </c>
      <c r="X136" s="676" t="inlineStr">
        <is>
          <t>2.8:1</t>
        </is>
      </c>
      <c r="Y136" s="674" t="n">
        <v>9000</v>
      </c>
      <c r="Z136" s="369" t="inlineStr">
        <is>
          <t xml:space="preserve">C </t>
        </is>
      </c>
      <c r="AA136" s="370" t="n"/>
      <c r="AB136" s="370" t="n"/>
      <c r="AC136" s="370" t="n"/>
      <c r="AD136" s="370" t="inlineStr">
        <is>
          <t>SPECTRUM GEN CONTCTR</t>
        </is>
      </c>
      <c r="AE136" s="370" t="n"/>
      <c r="AF136" s="370" t="n"/>
      <c r="AG136" s="370" t="n"/>
      <c r="AH136" s="370" t="n"/>
      <c r="AI136" s="370" t="n"/>
      <c r="AK136" s="370" t="inlineStr">
        <is>
          <t>                                                                  </t>
        </is>
      </c>
      <c r="AL136" s="370" t="n"/>
      <c r="AM136" s="370" t="n"/>
      <c r="AN136" s="370" t="n"/>
      <c r="AO136" s="370" t="n"/>
      <c r="AP136" s="370" t="n"/>
      <c r="AQ136" s="370" t="n"/>
    </row>
    <row r="137">
      <c r="A137" s="383" t="n">
        <v>6</v>
      </c>
      <c r="B137" s="370" t="n">
        <v>132</v>
      </c>
      <c r="C137" s="370" t="inlineStr">
        <is>
          <t>2013Q</t>
        </is>
      </c>
      <c r="D137" s="370" t="inlineStr">
        <is>
          <t xml:space="preserve">02244-28-013-000 </t>
        </is>
      </c>
      <c r="E137" s="369" t="inlineStr">
        <is>
          <t>Actual</t>
        </is>
      </c>
      <c r="F137" s="370" t="inlineStr">
        <is>
          <t>3601 E 39TH                 AV</t>
        </is>
      </c>
      <c r="G137" s="370" t="n">
        <v>44.1</v>
      </c>
      <c r="H137" s="370" t="n">
        <v>9201</v>
      </c>
      <c r="I137" s="369" t="n">
        <v>0</v>
      </c>
      <c r="J137" s="674" t="n">
        <v>20520</v>
      </c>
      <c r="K137" s="675" t="n">
        <v>5.570760233918128</v>
      </c>
      <c r="L137" s="385" t="n">
        <v>0</v>
      </c>
      <c r="M137" s="374" t="n">
        <v>0</v>
      </c>
      <c r="N137" s="370" t="n">
        <v>1967</v>
      </c>
      <c r="O137" s="370" t="n">
        <v>3980</v>
      </c>
      <c r="P137" s="370" t="n">
        <v>0</v>
      </c>
      <c r="Q137" s="370" t="n">
        <v>0</v>
      </c>
      <c r="R137" s="370" t="n">
        <v>4</v>
      </c>
      <c r="S137" s="370" t="n">
        <v>1</v>
      </c>
      <c r="T137" s="369" t="inlineStr">
        <is>
          <t xml:space="preserve">I-MX-3      </t>
        </is>
      </c>
      <c r="U137" s="370" t="n">
        <v>398</v>
      </c>
      <c r="V137" s="674" t="n">
        <v>93179</v>
      </c>
      <c r="W137" s="674" t="n">
        <v>93000</v>
      </c>
      <c r="X137" s="676" t="inlineStr">
        <is>
          <t>4.5:1</t>
        </is>
      </c>
      <c r="Y137" s="674" t="n">
        <v>21000</v>
      </c>
      <c r="Z137" s="369" t="inlineStr">
        <is>
          <t xml:space="preserve">C </t>
        </is>
      </c>
      <c r="AA137" s="370" t="n"/>
      <c r="AB137" s="370" t="n"/>
      <c r="AC137" s="370" t="n"/>
      <c r="AD137" s="370" t="inlineStr">
        <is>
          <t>EXPERT PIPING SUPPLY</t>
        </is>
      </c>
      <c r="AE137" s="370" t="n"/>
      <c r="AF137" s="370" t="n"/>
      <c r="AG137" s="370" t="n"/>
      <c r="AH137" s="370" t="n"/>
      <c r="AI137" s="370" t="n"/>
      <c r="AK137" s="370" t="inlineStr">
        <is>
          <t xml:space="preserve">ORIGINATION OF MO-TO-MO ARRANGEMENT UNKNOWN.                      </t>
        </is>
      </c>
      <c r="AL137" s="370" t="n"/>
      <c r="AM137" s="370" t="n"/>
      <c r="AN137" s="370" t="n"/>
      <c r="AO137" s="370" t="n"/>
      <c r="AP137" s="370" t="n"/>
      <c r="AQ137" s="370" t="n"/>
    </row>
    <row r="138">
      <c r="A138" s="383" t="n">
        <v>6</v>
      </c>
      <c r="B138" s="370" t="n">
        <v>133</v>
      </c>
      <c r="C138" s="370" t="inlineStr">
        <is>
          <t>2013Q</t>
        </is>
      </c>
      <c r="D138" s="370" t="inlineStr">
        <is>
          <t xml:space="preserve">02263-04-016-000 </t>
        </is>
      </c>
      <c r="E138" s="369" t="inlineStr">
        <is>
          <t>Actual</t>
        </is>
      </c>
      <c r="F138" s="370" t="inlineStr">
        <is>
          <t>3518   LARIMER              ST</t>
        </is>
      </c>
      <c r="G138" s="370" t="n">
        <v>44.1</v>
      </c>
      <c r="H138" s="370" t="n">
        <v>9210</v>
      </c>
      <c r="I138" s="369" t="n">
        <v>0</v>
      </c>
      <c r="J138" s="674" t="n">
        <v>8312</v>
      </c>
      <c r="K138" s="675" t="n">
        <v>4.451395572666025</v>
      </c>
      <c r="L138" s="385" t="n">
        <v>0</v>
      </c>
      <c r="M138" s="374" t="n">
        <v>0.02702702702702703</v>
      </c>
      <c r="N138" s="370" t="n">
        <v>1958</v>
      </c>
      <c r="O138" s="370" t="n">
        <v>1137</v>
      </c>
      <c r="P138" s="370" t="n">
        <v>0</v>
      </c>
      <c r="Q138" s="370" t="n">
        <v>14</v>
      </c>
      <c r="R138" s="370" t="n">
        <v>3</v>
      </c>
      <c r="S138" s="370" t="n">
        <v>1</v>
      </c>
      <c r="T138" s="369" t="inlineStr">
        <is>
          <t xml:space="preserve">I-MX-3      </t>
        </is>
      </c>
      <c r="U138" s="370" t="n">
        <v>398</v>
      </c>
      <c r="V138" s="674" t="n">
        <v>12488</v>
      </c>
      <c r="W138" s="674" t="n">
        <v>12000</v>
      </c>
      <c r="X138" s="676" t="inlineStr">
        <is>
          <t>1.5:1</t>
        </is>
      </c>
      <c r="Y138" s="674" t="n">
        <v>8000</v>
      </c>
      <c r="Z138" s="369" t="inlineStr">
        <is>
          <t xml:space="preserve">C </t>
        </is>
      </c>
      <c r="AA138" s="370" t="n"/>
      <c r="AB138" s="370" t="n"/>
      <c r="AC138" s="370" t="n"/>
      <c r="AD138" s="370" t="inlineStr">
        <is>
          <t xml:space="preserve">SCHERER METALS, INC </t>
        </is>
      </c>
      <c r="AE138" s="370" t="n"/>
      <c r="AF138" s="370" t="n"/>
      <c r="AG138" s="370" t="n"/>
      <c r="AH138" s="370" t="n"/>
      <c r="AI138" s="370" t="n"/>
      <c r="AK138" s="370" t="inlineStr">
        <is>
          <t>                                                                  </t>
        </is>
      </c>
      <c r="AL138" s="370" t="n"/>
      <c r="AM138" s="370" t="n"/>
      <c r="AN138" s="370" t="n"/>
      <c r="AO138" s="370" t="n"/>
      <c r="AP138" s="370" t="n"/>
      <c r="AQ138" s="370" t="n"/>
    </row>
    <row r="139">
      <c r="A139" s="383" t="n">
        <v>6</v>
      </c>
      <c r="B139" s="370" t="n">
        <v>134</v>
      </c>
      <c r="C139" s="370" t="inlineStr">
        <is>
          <t>2013Q</t>
        </is>
      </c>
      <c r="D139" s="370" t="inlineStr">
        <is>
          <t xml:space="preserve">02271-00-019-000 </t>
        </is>
      </c>
      <c r="E139" s="369" t="inlineStr">
        <is>
          <t>Actual</t>
        </is>
      </c>
      <c r="F139" s="370" t="inlineStr">
        <is>
          <t>3325   BRIGHTON             BV</t>
        </is>
      </c>
      <c r="G139" s="370" t="n">
        <v>44.1</v>
      </c>
      <c r="H139" s="370" t="n">
        <v>9210</v>
      </c>
      <c r="I139" s="369" t="n">
        <v>0</v>
      </c>
      <c r="J139" s="674" t="n">
        <v>7668</v>
      </c>
      <c r="K139" s="675" t="n">
        <v>12</v>
      </c>
      <c r="L139" s="385" t="n">
        <v>0</v>
      </c>
      <c r="M139" s="374" t="n">
        <v>0.2854</v>
      </c>
      <c r="N139" s="370" t="n">
        <v>1948</v>
      </c>
      <c r="O139" s="370" t="n">
        <v>1800</v>
      </c>
      <c r="P139" s="370" t="n">
        <v>0</v>
      </c>
      <c r="Q139" s="370" t="n">
        <v>20</v>
      </c>
      <c r="R139" s="370" t="n">
        <v>3</v>
      </c>
      <c r="S139" s="370" t="n">
        <v>1</v>
      </c>
      <c r="T139" s="369" t="inlineStr">
        <is>
          <t xml:space="preserve">C-MX-8      </t>
        </is>
      </c>
      <c r="U139" s="370" t="n">
        <v>398</v>
      </c>
      <c r="V139" s="674" t="n">
        <v>18830</v>
      </c>
      <c r="W139" s="674" t="n">
        <v>19000</v>
      </c>
      <c r="X139" s="676" t="inlineStr">
        <is>
          <t>2.5:1</t>
        </is>
      </c>
      <c r="Y139" s="674" t="n">
        <v>8000</v>
      </c>
      <c r="Z139" s="369" t="inlineStr">
        <is>
          <t xml:space="preserve">C </t>
        </is>
      </c>
      <c r="AA139" s="370" t="n"/>
      <c r="AB139" s="370" t="n"/>
      <c r="AC139" s="370" t="n"/>
      <c r="AD139" s="370" t="inlineStr">
        <is>
          <t>PYRAMID PRINT&amp;GRPHCS</t>
        </is>
      </c>
      <c r="AE139" s="370" t="n"/>
      <c r="AF139" s="370" t="n"/>
      <c r="AG139" s="370" t="n"/>
      <c r="AH139" s="370" t="n"/>
      <c r="AI139" s="370" t="n"/>
      <c r="AK139" s="370" t="inlineStr">
        <is>
          <t xml:space="preserve">2010 LEASE.                                                       </t>
        </is>
      </c>
      <c r="AL139" s="370" t="n"/>
      <c r="AM139" s="370" t="n"/>
      <c r="AN139" s="370" t="n"/>
      <c r="AO139" s="370" t="n"/>
      <c r="AP139" s="370" t="n"/>
      <c r="AQ139" s="370" t="n"/>
    </row>
    <row r="140">
      <c r="A140" s="383" t="n">
        <v>6</v>
      </c>
      <c r="B140" s="370" t="n">
        <v>135</v>
      </c>
      <c r="C140" s="370" t="inlineStr">
        <is>
          <t>2013Q</t>
        </is>
      </c>
      <c r="D140" s="370" t="inlineStr">
        <is>
          <t xml:space="preserve">02271-08-038-000 </t>
        </is>
      </c>
      <c r="E140" s="369" t="inlineStr">
        <is>
          <t>Actual</t>
        </is>
      </c>
      <c r="F140" s="370" t="inlineStr">
        <is>
          <t>3615   DELGANY              ST</t>
        </is>
      </c>
      <c r="G140" s="370" t="n">
        <v>44.1</v>
      </c>
      <c r="H140" s="370" t="n">
        <v>9210</v>
      </c>
      <c r="I140" s="369" t="n">
        <v>0</v>
      </c>
      <c r="J140" s="674" t="n">
        <v>4400</v>
      </c>
      <c r="K140" s="675" t="n">
        <v>7.090909090909091</v>
      </c>
      <c r="L140" s="385" t="n">
        <v>0</v>
      </c>
      <c r="M140" s="374" t="n">
        <v>0.02067307692307692</v>
      </c>
      <c r="N140" s="370" t="n">
        <v>1954</v>
      </c>
      <c r="O140" s="370" t="n">
        <v>247</v>
      </c>
      <c r="P140" s="370" t="n">
        <v>0</v>
      </c>
      <c r="Q140" s="370" t="n">
        <v>13</v>
      </c>
      <c r="R140" s="370" t="n">
        <v>3</v>
      </c>
      <c r="S140" s="370" t="n">
        <v>1</v>
      </c>
      <c r="T140" s="369" t="inlineStr">
        <is>
          <t xml:space="preserve">I-MX-5      </t>
        </is>
      </c>
      <c r="U140" s="370" t="n">
        <v>398</v>
      </c>
      <c r="V140" s="674" t="n">
        <v>17625</v>
      </c>
      <c r="W140" s="674" t="n">
        <v>18000</v>
      </c>
      <c r="X140" s="676" t="inlineStr">
        <is>
          <t>4:1</t>
        </is>
      </c>
      <c r="Y140" s="674" t="n">
        <v>4000</v>
      </c>
      <c r="Z140" s="369" t="inlineStr">
        <is>
          <t xml:space="preserve">C </t>
        </is>
      </c>
      <c r="AA140" s="370" t="n"/>
      <c r="AB140" s="370" t="n"/>
      <c r="AC140" s="370" t="n"/>
      <c r="AD140" s="370" t="inlineStr">
        <is>
          <t>S-W LIGHT BLUB SERVC</t>
        </is>
      </c>
      <c r="AE140" s="370" t="n"/>
      <c r="AF140" s="370" t="n"/>
      <c r="AG140" s="370" t="n"/>
      <c r="AH140" s="370" t="n"/>
      <c r="AI140" s="370" t="n"/>
      <c r="AK140" s="370" t="inlineStr">
        <is>
          <t xml:space="preserve">2009 LEASE.                                                       </t>
        </is>
      </c>
      <c r="AL140" s="370" t="n"/>
      <c r="AM140" s="370" t="n"/>
      <c r="AN140" s="370" t="n"/>
      <c r="AO140" s="370" t="n"/>
      <c r="AP140" s="370" t="n"/>
      <c r="AQ140" s="370" t="n"/>
    </row>
    <row r="141">
      <c r="A141" s="383" t="n">
        <v>6</v>
      </c>
      <c r="B141" s="370" t="n">
        <v>136</v>
      </c>
      <c r="C141" s="370" t="inlineStr">
        <is>
          <t>2013Q</t>
        </is>
      </c>
      <c r="D141" s="370" t="inlineStr">
        <is>
          <t xml:space="preserve">02271-12-020-000 </t>
        </is>
      </c>
      <c r="E141" s="369" t="inlineStr">
        <is>
          <t>Actual</t>
        </is>
      </c>
      <c r="F141" s="370" t="inlineStr">
        <is>
          <t>3551   BRIGHTON             BV</t>
        </is>
      </c>
      <c r="G141" s="370" t="n">
        <v>44.2</v>
      </c>
      <c r="H141" s="370" t="n">
        <v>9210</v>
      </c>
      <c r="I141" s="369" t="n">
        <v>0</v>
      </c>
      <c r="J141" s="674" t="n">
        <v>5340</v>
      </c>
      <c r="K141" s="675" t="n">
        <v>5.617977528089888</v>
      </c>
      <c r="L141" s="385" t="n">
        <v>0</v>
      </c>
      <c r="M141" s="374" t="n">
        <v>0</v>
      </c>
      <c r="N141" s="370" t="n">
        <v>1955</v>
      </c>
      <c r="O141" s="370" t="n">
        <v>2960</v>
      </c>
      <c r="P141" s="370" t="n">
        <v>0</v>
      </c>
      <c r="Q141" s="370" t="n">
        <v>16</v>
      </c>
      <c r="R141" s="370" t="n">
        <v>3</v>
      </c>
      <c r="S141" s="370" t="n">
        <v>1</v>
      </c>
      <c r="T141" s="369" t="inlineStr">
        <is>
          <t xml:space="preserve">I-MX-5      </t>
        </is>
      </c>
      <c r="U141" s="370" t="n">
        <v>398</v>
      </c>
      <c r="V141" s="674" t="n">
        <v>6250</v>
      </c>
      <c r="W141" s="674" t="n">
        <v>6000</v>
      </c>
      <c r="X141" s="676" t="inlineStr">
        <is>
          <t>1.2:1</t>
        </is>
      </c>
      <c r="Y141" s="674" t="n">
        <v>5000</v>
      </c>
      <c r="Z141" s="369" t="inlineStr">
        <is>
          <t xml:space="preserve">C </t>
        </is>
      </c>
      <c r="AA141" s="370" t="n"/>
      <c r="AB141" s="370" t="n"/>
      <c r="AC141" s="370" t="n"/>
      <c r="AD141" s="370" t="inlineStr">
        <is>
          <t>                    </t>
        </is>
      </c>
      <c r="AE141" s="370" t="n"/>
      <c r="AF141" s="370" t="n"/>
      <c r="AG141" s="370" t="n"/>
      <c r="AH141" s="370" t="n"/>
      <c r="AI141" s="370" t="n"/>
      <c r="AK141" s="370" t="inlineStr">
        <is>
          <t xml:space="preserve">2009-10 LEASES; EXPENSES UNREALISTIC = NOT POSTED.                </t>
        </is>
      </c>
      <c r="AL141" s="370" t="n"/>
      <c r="AM141" s="370" t="n"/>
      <c r="AN141" s="370" t="n"/>
      <c r="AO141" s="370" t="n"/>
      <c r="AP141" s="370" t="n"/>
      <c r="AQ141" s="370" t="n"/>
    </row>
    <row r="142">
      <c r="A142" s="383" t="n">
        <v>6</v>
      </c>
      <c r="B142" s="370" t="n">
        <v>137</v>
      </c>
      <c r="C142" s="370" t="inlineStr">
        <is>
          <t>2013Q</t>
        </is>
      </c>
      <c r="D142" s="370" t="inlineStr">
        <is>
          <t xml:space="preserve">02271-12-021-000 </t>
        </is>
      </c>
      <c r="E142" s="369" t="inlineStr">
        <is>
          <t>Actual</t>
        </is>
      </c>
      <c r="F142" s="370" t="inlineStr">
        <is>
          <t>3559   BRIGHTON             BV</t>
        </is>
      </c>
      <c r="G142" s="370" t="n">
        <v>44.2</v>
      </c>
      <c r="H142" s="370" t="n">
        <v>9210</v>
      </c>
      <c r="I142" s="369" t="n">
        <v>0</v>
      </c>
      <c r="J142" s="674" t="n">
        <v>5015</v>
      </c>
      <c r="K142" s="675" t="n">
        <v>5.931804586241276</v>
      </c>
      <c r="L142" s="385" t="n">
        <v>0</v>
      </c>
      <c r="M142" s="374" t="n">
        <v>0</v>
      </c>
      <c r="N142" s="370" t="n">
        <v>1950</v>
      </c>
      <c r="O142" s="370" t="n">
        <v>0</v>
      </c>
      <c r="P142" s="370" t="n">
        <v>0</v>
      </c>
      <c r="Q142" s="370" t="n">
        <v>14</v>
      </c>
      <c r="R142" s="370" t="n">
        <v>3</v>
      </c>
      <c r="S142" s="370" t="n">
        <v>2</v>
      </c>
      <c r="T142" s="369" t="inlineStr">
        <is>
          <t xml:space="preserve">I-MX-5      </t>
        </is>
      </c>
      <c r="U142" s="370" t="n">
        <v>398</v>
      </c>
      <c r="V142" s="674" t="n">
        <v>6250</v>
      </c>
      <c r="W142" s="674" t="n">
        <v>6000</v>
      </c>
      <c r="X142" s="676" t="inlineStr">
        <is>
          <t>1.2:1</t>
        </is>
      </c>
      <c r="Y142" s="674" t="n">
        <v>5000</v>
      </c>
      <c r="Z142" s="369" t="inlineStr">
        <is>
          <t xml:space="preserve">C </t>
        </is>
      </c>
      <c r="AA142" s="370" t="n"/>
      <c r="AB142" s="370" t="n"/>
      <c r="AC142" s="370" t="n"/>
      <c r="AD142" s="370" t="inlineStr">
        <is>
          <t xml:space="preserve">5280 DESIGNS        </t>
        </is>
      </c>
      <c r="AE142" s="370" t="n"/>
      <c r="AF142" s="370" t="n"/>
      <c r="AG142" s="370" t="n"/>
      <c r="AH142" s="370" t="n"/>
      <c r="AI142" s="370" t="n"/>
      <c r="AK142" s="370" t="inlineStr">
        <is>
          <t xml:space="preserve">2009 LEASE; EXPENSES UNREALISTIC = NOT POSTED.                    </t>
        </is>
      </c>
      <c r="AL142" s="370" t="n"/>
      <c r="AM142" s="370" t="n"/>
      <c r="AN142" s="370" t="n"/>
      <c r="AO142" s="370" t="n"/>
      <c r="AP142" s="370" t="n"/>
      <c r="AQ142" s="370" t="n"/>
    </row>
    <row r="143">
      <c r="A143" s="383" t="n">
        <v>6</v>
      </c>
      <c r="B143" s="370" t="n">
        <v>138</v>
      </c>
      <c r="C143" s="370" t="inlineStr">
        <is>
          <t>2013Q</t>
        </is>
      </c>
      <c r="D143" s="370" t="inlineStr">
        <is>
          <t xml:space="preserve">02271-12-031-000 </t>
        </is>
      </c>
      <c r="E143" s="369" t="inlineStr">
        <is>
          <t>Actual</t>
        </is>
      </c>
      <c r="F143" s="370" t="inlineStr">
        <is>
          <t>3535   BRIGHTON             BL</t>
        </is>
      </c>
      <c r="G143" s="370" t="n">
        <v>44.1</v>
      </c>
      <c r="H143" s="370" t="n">
        <v>9210</v>
      </c>
      <c r="I143" s="369" t="n">
        <v>0</v>
      </c>
      <c r="J143" s="674" t="n">
        <v>9880</v>
      </c>
      <c r="K143" s="675" t="n">
        <v>6.781376518218623</v>
      </c>
      <c r="L143" s="385" t="n">
        <v>0.35</v>
      </c>
      <c r="M143" s="374" t="n">
        <v>0</v>
      </c>
      <c r="N143" s="370" t="n">
        <v>1973</v>
      </c>
      <c r="O143" s="370" t="n">
        <v>384</v>
      </c>
      <c r="P143" s="370" t="n">
        <v>0</v>
      </c>
      <c r="Q143" s="370" t="n">
        <v>15</v>
      </c>
      <c r="R143" s="370" t="n">
        <v>3</v>
      </c>
      <c r="S143" s="370" t="n">
        <v>1</v>
      </c>
      <c r="T143" s="369" t="inlineStr">
        <is>
          <t xml:space="preserve">C-MX-12     </t>
        </is>
      </c>
      <c r="U143" s="370" t="n">
        <v>398</v>
      </c>
      <c r="V143" s="674" t="n">
        <v>12500</v>
      </c>
      <c r="W143" s="674" t="n">
        <v>13000</v>
      </c>
      <c r="X143" s="676" t="inlineStr">
        <is>
          <t>1.3:1</t>
        </is>
      </c>
      <c r="Y143" s="674" t="n">
        <v>10000</v>
      </c>
      <c r="Z143" s="369" t="inlineStr">
        <is>
          <t xml:space="preserve">C </t>
        </is>
      </c>
      <c r="AA143" s="370" t="n"/>
      <c r="AB143" s="370" t="n"/>
      <c r="AC143" s="370" t="n"/>
      <c r="AD143" s="370" t="inlineStr">
        <is>
          <t>                    </t>
        </is>
      </c>
      <c r="AE143" s="370" t="n"/>
      <c r="AF143" s="370" t="n"/>
      <c r="AG143" s="370" t="n"/>
      <c r="AH143" s="370" t="n"/>
      <c r="AI143" s="370" t="n"/>
      <c r="AK143" s="370" t="inlineStr">
        <is>
          <t xml:space="preserve">EXPENSES UNREALISTIC = NOT POSTED.                                </t>
        </is>
      </c>
      <c r="AL143" s="370" t="n"/>
      <c r="AM143" s="370" t="n"/>
      <c r="AN143" s="370" t="n"/>
      <c r="AO143" s="370" t="n"/>
      <c r="AP143" s="370" t="n"/>
      <c r="AQ143" s="370" t="n"/>
    </row>
    <row r="144">
      <c r="A144" s="383" t="n">
        <v>6</v>
      </c>
      <c r="B144" s="370" t="n">
        <v>139</v>
      </c>
      <c r="C144" s="370" t="inlineStr">
        <is>
          <t>2013Q</t>
        </is>
      </c>
      <c r="D144" s="370" t="inlineStr">
        <is>
          <t xml:space="preserve">02271-18-022-000 </t>
        </is>
      </c>
      <c r="E144" s="369" t="inlineStr">
        <is>
          <t>Actual</t>
        </is>
      </c>
      <c r="F144" s="370" t="inlineStr">
        <is>
          <t>3400   WALNUT               ST</t>
        </is>
      </c>
      <c r="G144" s="370" t="inlineStr">
        <is>
          <t>44.M</t>
        </is>
      </c>
      <c r="H144" s="370" t="n">
        <v>9210</v>
      </c>
      <c r="I144" s="369" t="n">
        <v>0</v>
      </c>
      <c r="J144" s="674" t="n">
        <v>21350</v>
      </c>
      <c r="K144" s="675" t="n">
        <v>8.980046838407494</v>
      </c>
      <c r="L144" s="385" t="n">
        <v>0</v>
      </c>
      <c r="M144" s="374" t="n">
        <v>0.3533673405520436</v>
      </c>
      <c r="N144" s="370" t="n">
        <v>1950</v>
      </c>
      <c r="O144" s="370" t="n">
        <v>0</v>
      </c>
      <c r="P144" s="370" t="n">
        <v>0</v>
      </c>
      <c r="Q144" s="370" t="n">
        <v>11</v>
      </c>
      <c r="R144" s="370" t="n">
        <v>1</v>
      </c>
      <c r="S144" s="370" t="n">
        <v>85</v>
      </c>
      <c r="T144" s="369" t="inlineStr">
        <is>
          <t xml:space="preserve">I-MX-3      </t>
        </is>
      </c>
      <c r="U144" s="370" t="n">
        <v>396</v>
      </c>
      <c r="V144" s="674" t="n">
        <v>31250</v>
      </c>
      <c r="W144" s="674" t="n">
        <v>31000</v>
      </c>
      <c r="X144" s="676" t="inlineStr">
        <is>
          <t>1.5:1</t>
        </is>
      </c>
      <c r="Y144" s="674" t="n">
        <v>21000</v>
      </c>
      <c r="Z144" s="369" t="inlineStr">
        <is>
          <t xml:space="preserve">C </t>
        </is>
      </c>
      <c r="AA144" s="370" t="n"/>
      <c r="AB144" s="370" t="n"/>
      <c r="AC144" s="370" t="n"/>
      <c r="AD144" s="370" t="inlineStr">
        <is>
          <t xml:space="preserve">DOWNTOWN SELF STRG  </t>
        </is>
      </c>
      <c r="AE144" s="370" t="n"/>
      <c r="AF144" s="370" t="n"/>
      <c r="AG144" s="370" t="n"/>
      <c r="AH144" s="370" t="n"/>
      <c r="AI144" s="370" t="n"/>
      <c r="AK144" s="370" t="inlineStr">
        <is>
          <t xml:space="preserve">SELF-STORAGE FACILITY,TENANTS ARE TEMPORARY                       </t>
        </is>
      </c>
      <c r="AL144" s="370" t="n"/>
      <c r="AM144" s="370" t="n"/>
      <c r="AN144" s="370" t="n"/>
      <c r="AO144" s="370" t="n"/>
      <c r="AP144" s="370" t="n"/>
      <c r="AQ144" s="370" t="n"/>
    </row>
    <row r="145">
      <c r="A145" s="383" t="n">
        <v>6</v>
      </c>
      <c r="B145" s="370" t="n">
        <v>140</v>
      </c>
      <c r="C145" s="370" t="inlineStr">
        <is>
          <t>2013Q</t>
        </is>
      </c>
      <c r="D145" s="370" t="inlineStr">
        <is>
          <t xml:space="preserve">02271-20-005-000 </t>
        </is>
      </c>
      <c r="E145" s="369" t="inlineStr">
        <is>
          <t>Actual</t>
        </is>
      </c>
      <c r="F145" s="370" t="inlineStr">
        <is>
          <t>3433   BLAKE                ST</t>
        </is>
      </c>
      <c r="G145" s="370" t="n">
        <v>44.1</v>
      </c>
      <c r="H145" s="370" t="n">
        <v>9210</v>
      </c>
      <c r="I145" s="369" t="n">
        <v>0</v>
      </c>
      <c r="J145" s="674" t="n">
        <v>2501</v>
      </c>
      <c r="K145" s="675" t="n">
        <v>18.40063974410236</v>
      </c>
      <c r="L145" s="385" t="n">
        <v>0</v>
      </c>
      <c r="M145" s="374" t="n">
        <v>0</v>
      </c>
      <c r="N145" s="370" t="n">
        <v>1932</v>
      </c>
      <c r="O145" s="370" t="n">
        <v>722</v>
      </c>
      <c r="P145" s="370" t="n">
        <v>0</v>
      </c>
      <c r="Q145" s="370" t="n">
        <v>12</v>
      </c>
      <c r="R145" s="370" t="n">
        <v>1</v>
      </c>
      <c r="S145" s="370" t="n">
        <v>1</v>
      </c>
      <c r="T145" s="369" t="inlineStr">
        <is>
          <t xml:space="preserve">C-MX-5      </t>
        </is>
      </c>
      <c r="U145" s="370" t="n">
        <v>398</v>
      </c>
      <c r="V145" s="674" t="n">
        <v>6250</v>
      </c>
      <c r="W145" s="674" t="n">
        <v>6000</v>
      </c>
      <c r="X145" s="676" t="inlineStr">
        <is>
          <t>2.5:1</t>
        </is>
      </c>
      <c r="Y145" s="674" t="n">
        <v>3000</v>
      </c>
      <c r="Z145" s="369" t="inlineStr">
        <is>
          <t xml:space="preserve">C </t>
        </is>
      </c>
      <c r="AA145" s="370" t="n"/>
      <c r="AB145" s="370" t="n"/>
      <c r="AC145" s="370" t="n"/>
      <c r="AD145" s="370" t="inlineStr">
        <is>
          <t xml:space="preserve">S-W BLAKE ST GLASS  </t>
        </is>
      </c>
      <c r="AE145" s="370" t="n"/>
      <c r="AF145" s="370" t="n"/>
      <c r="AG145" s="370" t="n"/>
      <c r="AH145" s="370" t="n"/>
      <c r="AI145" s="370" t="n"/>
      <c r="AK145" s="370" t="inlineStr">
        <is>
          <t xml:space="preserve">2009 LEASE.                                                       </t>
        </is>
      </c>
      <c r="AL145" s="370" t="n"/>
      <c r="AM145" s="370" t="n"/>
      <c r="AN145" s="370" t="n"/>
      <c r="AO145" s="370" t="n"/>
      <c r="AP145" s="370" t="n"/>
      <c r="AQ145" s="370" t="n"/>
    </row>
    <row r="146">
      <c r="A146" s="383" t="n">
        <v>6</v>
      </c>
      <c r="B146" s="370" t="n">
        <v>141</v>
      </c>
      <c r="C146" s="370" t="inlineStr">
        <is>
          <t>2013Q</t>
        </is>
      </c>
      <c r="D146" s="370" t="inlineStr">
        <is>
          <t xml:space="preserve">02271-22-005-000 </t>
        </is>
      </c>
      <c r="E146" s="369" t="inlineStr">
        <is>
          <t>Actual</t>
        </is>
      </c>
      <c r="F146" s="370" t="inlineStr">
        <is>
          <t>3430   BRIGHTON             BV</t>
        </is>
      </c>
      <c r="G146" s="370" t="n">
        <v>44.1</v>
      </c>
      <c r="H146" s="370" t="n">
        <v>9210</v>
      </c>
      <c r="I146" s="369" t="n">
        <v>0</v>
      </c>
      <c r="J146" s="674" t="n">
        <v>7464</v>
      </c>
      <c r="K146" s="675" t="n">
        <v>4.501607717041801</v>
      </c>
      <c r="L146" s="385" t="n">
        <v>0</v>
      </c>
      <c r="M146" s="374" t="n">
        <v>0</v>
      </c>
      <c r="N146" s="370" t="n">
        <v>1931</v>
      </c>
      <c r="O146" s="370" t="n">
        <v>180</v>
      </c>
      <c r="P146" s="370" t="n">
        <v>0</v>
      </c>
      <c r="Q146" s="370" t="n">
        <v>14</v>
      </c>
      <c r="R146" s="370" t="n">
        <v>7</v>
      </c>
      <c r="S146" s="370" t="n">
        <v>1</v>
      </c>
      <c r="T146" s="369" t="inlineStr">
        <is>
          <t xml:space="preserve">I-MX-8      </t>
        </is>
      </c>
      <c r="U146" s="370" t="n">
        <v>398</v>
      </c>
      <c r="V146" s="674" t="n">
        <v>12500</v>
      </c>
      <c r="W146" s="674" t="n">
        <v>13000</v>
      </c>
      <c r="X146" s="676" t="inlineStr">
        <is>
          <t>1.7:1</t>
        </is>
      </c>
      <c r="Y146" s="674" t="n">
        <v>7000</v>
      </c>
      <c r="Z146" s="369" t="inlineStr">
        <is>
          <t xml:space="preserve">C </t>
        </is>
      </c>
      <c r="AA146" s="370" t="n"/>
      <c r="AB146" s="370" t="n"/>
      <c r="AC146" s="370" t="n"/>
      <c r="AD146" s="370" t="inlineStr">
        <is>
          <t xml:space="preserve">SANTA FE HTG &amp; AC   </t>
        </is>
      </c>
      <c r="AE146" s="370" t="n"/>
      <c r="AF146" s="370" t="n"/>
      <c r="AG146" s="370" t="n"/>
      <c r="AH146" s="370" t="n"/>
      <c r="AI146" s="370" t="n"/>
      <c r="AK146" s="370" t="inlineStr">
        <is>
          <t xml:space="preserve">2010 LEASE; EXPENSES UNREALISTIC = NOT POSTED.                    </t>
        </is>
      </c>
      <c r="AL146" s="370" t="n"/>
      <c r="AM146" s="370" t="n"/>
      <c r="AN146" s="370" t="n"/>
      <c r="AO146" s="370" t="n"/>
      <c r="AP146" s="370" t="n"/>
      <c r="AQ146" s="370" t="n"/>
    </row>
    <row r="147">
      <c r="A147" s="383" t="n">
        <v>6</v>
      </c>
      <c r="B147" s="370" t="n">
        <v>142</v>
      </c>
      <c r="C147" s="370" t="inlineStr">
        <is>
          <t>2013Q</t>
        </is>
      </c>
      <c r="D147" s="370" t="inlineStr">
        <is>
          <t xml:space="preserve">02271-22-014-000 </t>
        </is>
      </c>
      <c r="E147" s="369" t="inlineStr">
        <is>
          <t>Actual</t>
        </is>
      </c>
      <c r="F147" s="370" t="inlineStr">
        <is>
          <t>3400   BRIGHTON             BV</t>
        </is>
      </c>
      <c r="G147" s="370" t="n">
        <v>47.1</v>
      </c>
      <c r="H147" s="370" t="n">
        <v>9210</v>
      </c>
      <c r="I147" s="369" t="n">
        <v>0</v>
      </c>
      <c r="J147" s="674" t="n">
        <v>6832</v>
      </c>
      <c r="K147" s="675" t="n">
        <v>6.706088992974239</v>
      </c>
      <c r="L147" s="385" t="n">
        <v>0</v>
      </c>
      <c r="M147" s="374" t="n">
        <v>0</v>
      </c>
      <c r="N147" s="370" t="n">
        <v>1957</v>
      </c>
      <c r="O147" s="370" t="n">
        <v>432</v>
      </c>
      <c r="P147" s="370" t="n">
        <v>0</v>
      </c>
      <c r="Q147" s="370" t="n">
        <v>22</v>
      </c>
      <c r="R147" s="370" t="n">
        <v>3</v>
      </c>
      <c r="S147" s="370" t="n">
        <v>1</v>
      </c>
      <c r="T147" s="369" t="inlineStr">
        <is>
          <t xml:space="preserve">I-MX-8      </t>
        </is>
      </c>
      <c r="U147" s="370" t="n">
        <v>401</v>
      </c>
      <c r="V147" s="674" t="n">
        <v>27680</v>
      </c>
      <c r="W147" s="674" t="n">
        <v>28000</v>
      </c>
      <c r="X147" s="676" t="inlineStr">
        <is>
          <t>4.1:1</t>
        </is>
      </c>
      <c r="Y147" s="674" t="n">
        <v>7000</v>
      </c>
      <c r="Z147" s="369" t="inlineStr">
        <is>
          <t xml:space="preserve">C </t>
        </is>
      </c>
      <c r="AA147" s="370" t="n"/>
      <c r="AB147" s="370" t="n"/>
      <c r="AC147" s="370" t="n"/>
      <c r="AD147" s="370" t="inlineStr">
        <is>
          <t>QUINN PROCESS EQPMNT</t>
        </is>
      </c>
      <c r="AE147" s="370" t="n"/>
      <c r="AF147" s="370" t="n"/>
      <c r="AG147" s="370" t="n"/>
      <c r="AH147" s="370" t="n"/>
      <c r="AI147" s="370" t="n"/>
      <c r="AK147" s="370" t="inlineStr">
        <is>
          <t xml:space="preserve">EXPENSES UNREALISTIC = NOT POSTED.                                </t>
        </is>
      </c>
      <c r="AL147" s="370" t="n"/>
      <c r="AM147" s="370" t="n"/>
      <c r="AN147" s="370" t="n"/>
      <c r="AO147" s="370" t="n"/>
      <c r="AP147" s="370" t="n"/>
      <c r="AQ147" s="370" t="n"/>
    </row>
    <row r="148">
      <c r="A148" s="383" t="n">
        <v>6</v>
      </c>
      <c r="B148" s="370" t="n">
        <v>143</v>
      </c>
      <c r="C148" s="370" t="inlineStr">
        <is>
          <t>2013Q</t>
        </is>
      </c>
      <c r="D148" s="370" t="inlineStr">
        <is>
          <t xml:space="preserve">02275-06-027-000 </t>
        </is>
      </c>
      <c r="E148" s="369" t="inlineStr">
        <is>
          <t>Actual</t>
        </is>
      </c>
      <c r="F148" s="370" t="inlineStr">
        <is>
          <t>3150   WALNUT               ST</t>
        </is>
      </c>
      <c r="G148" s="370" t="n">
        <v>47.1</v>
      </c>
      <c r="H148" s="370" t="n">
        <v>9210</v>
      </c>
      <c r="I148" s="369" t="n">
        <v>0</v>
      </c>
      <c r="J148" s="674" t="n">
        <v>3750</v>
      </c>
      <c r="K148" s="675" t="n">
        <v>8.739960238568589</v>
      </c>
      <c r="L148" s="385" t="n">
        <v>0</v>
      </c>
      <c r="M148" s="374" t="n">
        <v>0</v>
      </c>
      <c r="N148" s="370" t="n">
        <v>1886</v>
      </c>
      <c r="O148" s="370" t="n">
        <v>0</v>
      </c>
      <c r="P148" s="370" t="n">
        <v>0</v>
      </c>
      <c r="Q148" s="370" t="n">
        <v>13</v>
      </c>
      <c r="R148" s="370" t="n">
        <v>1</v>
      </c>
      <c r="S148" s="370" t="n">
        <v>1</v>
      </c>
      <c r="T148" s="369" t="inlineStr">
        <is>
          <t xml:space="preserve">R-MU-30     </t>
        </is>
      </c>
      <c r="U148" s="370" t="n">
        <v>401</v>
      </c>
      <c r="V148" s="674" t="n">
        <v>18720</v>
      </c>
      <c r="W148" s="674" t="n">
        <v>19000</v>
      </c>
      <c r="X148" s="676" t="inlineStr">
        <is>
          <t>5:1</t>
        </is>
      </c>
      <c r="Y148" s="674" t="n">
        <v>4000</v>
      </c>
      <c r="Z148" s="369" t="inlineStr">
        <is>
          <t xml:space="preserve">C </t>
        </is>
      </c>
      <c r="AA148" s="370" t="n"/>
      <c r="AB148" s="370" t="n"/>
      <c r="AC148" s="370" t="n"/>
      <c r="AD148" s="370" t="inlineStr">
        <is>
          <t>                    </t>
        </is>
      </c>
      <c r="AE148" s="370" t="n"/>
      <c r="AF148" s="370" t="n"/>
      <c r="AG148" s="370" t="n"/>
      <c r="AH148" s="370" t="n"/>
      <c r="AI148" s="370" t="n"/>
      <c r="AK148" s="370" t="inlineStr">
        <is>
          <t xml:space="preserve">NNN -- SIGNED 9.11 SOURCE: COSTAR                                 </t>
        </is>
      </c>
      <c r="AL148" s="370" t="n"/>
      <c r="AM148" s="370" t="n"/>
      <c r="AN148" s="370" t="n"/>
      <c r="AO148" s="370" t="n"/>
      <c r="AP148" s="370" t="n"/>
      <c r="AQ148" s="370" t="n"/>
    </row>
    <row r="149">
      <c r="A149" s="383" t="n">
        <v>6</v>
      </c>
      <c r="B149" s="370" t="n">
        <v>144</v>
      </c>
      <c r="C149" s="370" t="inlineStr">
        <is>
          <t>2013Q</t>
        </is>
      </c>
      <c r="D149" s="370" t="inlineStr">
        <is>
          <t xml:space="preserve">02275-12-015-000 </t>
        </is>
      </c>
      <c r="E149" s="369" t="inlineStr">
        <is>
          <t>Actual</t>
        </is>
      </c>
      <c r="F149" s="370" t="inlineStr">
        <is>
          <t>2975   WALNUT               ST</t>
        </is>
      </c>
      <c r="G149" s="370" t="n">
        <v>44.1</v>
      </c>
      <c r="H149" s="370" t="n">
        <v>9210</v>
      </c>
      <c r="I149" s="369" t="n">
        <v>0</v>
      </c>
      <c r="J149" s="674" t="n">
        <v>20196</v>
      </c>
      <c r="K149" s="675" t="n">
        <v>8.113685878391761</v>
      </c>
      <c r="L149" s="385" t="n">
        <v>0</v>
      </c>
      <c r="M149" s="374" t="n">
        <v>0.09606747058536347</v>
      </c>
      <c r="N149" s="370" t="n">
        <v>1973</v>
      </c>
      <c r="O149" s="370" t="n">
        <v>18501</v>
      </c>
      <c r="P149" s="370" t="n">
        <v>0</v>
      </c>
      <c r="Q149" s="370" t="n">
        <v>20</v>
      </c>
      <c r="R149" s="370" t="n">
        <v>3</v>
      </c>
      <c r="S149" s="370" t="n">
        <v>1</v>
      </c>
      <c r="T149" s="369" t="inlineStr">
        <is>
          <t xml:space="preserve">I-MX-5      </t>
        </is>
      </c>
      <c r="U149" s="370" t="n">
        <v>398</v>
      </c>
      <c r="V149" s="674" t="n">
        <v>31287</v>
      </c>
      <c r="W149" s="674" t="n">
        <v>31000</v>
      </c>
      <c r="X149" s="676" t="inlineStr">
        <is>
          <t>1.5:1</t>
        </is>
      </c>
      <c r="Y149" s="674" t="n">
        <v>20000</v>
      </c>
      <c r="Z149" s="369" t="inlineStr">
        <is>
          <t xml:space="preserve">C </t>
        </is>
      </c>
      <c r="AA149" s="370" t="n"/>
      <c r="AB149" s="370" t="n"/>
      <c r="AC149" s="370" t="n"/>
      <c r="AD149" s="370" t="inlineStr">
        <is>
          <t>                    </t>
        </is>
      </c>
      <c r="AE149" s="370" t="n"/>
      <c r="AF149" s="370" t="n"/>
      <c r="AG149" s="370" t="n"/>
      <c r="AH149" s="370" t="n"/>
      <c r="AI149" s="370" t="n"/>
      <c r="AK149" s="370" t="inlineStr">
        <is>
          <t>                                                                  </t>
        </is>
      </c>
      <c r="AL149" s="370" t="n"/>
      <c r="AM149" s="370" t="n"/>
      <c r="AN149" s="370" t="n"/>
      <c r="AO149" s="370" t="n"/>
      <c r="AP149" s="370" t="n"/>
      <c r="AQ149" s="370" t="n"/>
    </row>
    <row r="150">
      <c r="A150" s="383" t="n">
        <v>6</v>
      </c>
      <c r="B150" s="370" t="n">
        <v>145</v>
      </c>
      <c r="C150" s="370" t="inlineStr">
        <is>
          <t>2013Q</t>
        </is>
      </c>
      <c r="D150" s="370" t="inlineStr">
        <is>
          <t xml:space="preserve">02275-13-030-000 </t>
        </is>
      </c>
      <c r="E150" s="369" t="inlineStr">
        <is>
          <t>Actual</t>
        </is>
      </c>
      <c r="F150" s="370" t="inlineStr">
        <is>
          <t>2964   WALNUT               ST</t>
        </is>
      </c>
      <c r="G150" s="370" t="n">
        <v>44.1</v>
      </c>
      <c r="H150" s="370" t="n">
        <v>9210</v>
      </c>
      <c r="I150" s="369" t="n">
        <v>0</v>
      </c>
      <c r="J150" s="674" t="n">
        <v>3444</v>
      </c>
      <c r="K150" s="675" t="n">
        <v>2.271777003484321</v>
      </c>
      <c r="L150" s="385" t="n">
        <v>0</v>
      </c>
      <c r="M150" s="374" t="n">
        <v>0</v>
      </c>
      <c r="N150" s="370" t="n">
        <v>1958</v>
      </c>
      <c r="O150" s="370" t="n">
        <v>700</v>
      </c>
      <c r="P150" s="370" t="n">
        <v>0</v>
      </c>
      <c r="Q150" s="370" t="n">
        <v>13</v>
      </c>
      <c r="R150" s="370" t="n">
        <v>7</v>
      </c>
      <c r="S150" s="370" t="n">
        <v>1</v>
      </c>
      <c r="T150" s="369" t="inlineStr">
        <is>
          <t xml:space="preserve">I-MX-5      </t>
        </is>
      </c>
      <c r="U150" s="370" t="n">
        <v>398</v>
      </c>
      <c r="V150" s="674" t="n">
        <v>15644</v>
      </c>
      <c r="W150" s="674" t="n">
        <v>16000</v>
      </c>
      <c r="X150" s="676" t="inlineStr">
        <is>
          <t>4.5:1</t>
        </is>
      </c>
      <c r="Y150" s="674" t="n">
        <v>3000</v>
      </c>
      <c r="Z150" s="369" t="inlineStr">
        <is>
          <t xml:space="preserve">C </t>
        </is>
      </c>
      <c r="AA150" s="370" t="n"/>
      <c r="AB150" s="370" t="n"/>
      <c r="AC150" s="370" t="n"/>
      <c r="AD150" s="370" t="inlineStr">
        <is>
          <t xml:space="preserve">S-W                 </t>
        </is>
      </c>
      <c r="AE150" s="370" t="n"/>
      <c r="AF150" s="370" t="n"/>
      <c r="AG150" s="370" t="n"/>
      <c r="AH150" s="370" t="n"/>
      <c r="AI150" s="370" t="n"/>
      <c r="AK150" s="370" t="inlineStr">
        <is>
          <t>                                                                  </t>
        </is>
      </c>
      <c r="AL150" s="370" t="n"/>
      <c r="AM150" s="370" t="n"/>
      <c r="AN150" s="370" t="n"/>
      <c r="AO150" s="370" t="n"/>
      <c r="AP150" s="370" t="n"/>
      <c r="AQ150" s="370" t="n"/>
    </row>
    <row r="151">
      <c r="A151" s="383" t="n">
        <v>6</v>
      </c>
      <c r="B151" s="370" t="n">
        <v>146</v>
      </c>
      <c r="C151" s="370" t="inlineStr">
        <is>
          <t>2013Q</t>
        </is>
      </c>
      <c r="D151" s="370" t="inlineStr">
        <is>
          <t xml:space="preserve">02275-15-025-000 </t>
        </is>
      </c>
      <c r="E151" s="369" t="inlineStr">
        <is>
          <t>Actual</t>
        </is>
      </c>
      <c r="F151" s="370" t="inlineStr">
        <is>
          <t>2801   WALNUT               ST</t>
        </is>
      </c>
      <c r="G151" s="370" t="n">
        <v>44.2</v>
      </c>
      <c r="H151" s="370" t="n">
        <v>9210</v>
      </c>
      <c r="I151" s="369" t="n">
        <v>0</v>
      </c>
      <c r="J151" s="674" t="n">
        <v>18816</v>
      </c>
      <c r="K151" s="675" t="n">
        <v>5.739795918367347</v>
      </c>
      <c r="L151" s="385" t="n">
        <v>0.66</v>
      </c>
      <c r="M151" s="374" t="n">
        <v>0</v>
      </c>
      <c r="N151" s="370" t="n">
        <v>1934</v>
      </c>
      <c r="O151" s="370" t="n">
        <v>2358</v>
      </c>
      <c r="P151" s="370" t="n">
        <v>0</v>
      </c>
      <c r="Q151" s="370" t="n">
        <v>14</v>
      </c>
      <c r="R151" s="370" t="n">
        <v>1</v>
      </c>
      <c r="S151" s="370" t="n">
        <v>1</v>
      </c>
      <c r="T151" s="369" t="inlineStr">
        <is>
          <t xml:space="preserve">I-MX-5      </t>
        </is>
      </c>
      <c r="U151" s="370" t="n">
        <v>398</v>
      </c>
      <c r="V151" s="674" t="n">
        <v>31313</v>
      </c>
      <c r="W151" s="674" t="n">
        <v>31000</v>
      </c>
      <c r="X151" s="676" t="inlineStr">
        <is>
          <t>1.7:1</t>
        </is>
      </c>
      <c r="Y151" s="674" t="n">
        <v>19000</v>
      </c>
      <c r="Z151" s="369" t="inlineStr">
        <is>
          <t xml:space="preserve">C </t>
        </is>
      </c>
      <c r="AA151" s="370" t="n"/>
      <c r="AB151" s="370" t="n"/>
      <c r="AC151" s="370" t="n"/>
      <c r="AD151" s="370" t="inlineStr">
        <is>
          <t xml:space="preserve">M-W                 </t>
        </is>
      </c>
      <c r="AE151" s="370" t="n"/>
      <c r="AF151" s="370" t="n"/>
      <c r="AG151" s="370" t="n"/>
      <c r="AH151" s="370" t="n"/>
      <c r="AI151" s="370" t="n"/>
      <c r="AK151" s="370" t="inlineStr">
        <is>
          <t>                                                                  </t>
        </is>
      </c>
      <c r="AL151" s="370" t="n"/>
      <c r="AM151" s="370" t="n"/>
      <c r="AN151" s="370" t="n"/>
      <c r="AO151" s="370" t="n"/>
      <c r="AP151" s="370" t="n"/>
      <c r="AQ151" s="370" t="n"/>
    </row>
    <row r="152">
      <c r="A152" s="383" t="n">
        <v>6</v>
      </c>
      <c r="B152" s="370" t="n">
        <v>147</v>
      </c>
      <c r="C152" s="370" t="inlineStr">
        <is>
          <t>2013Q</t>
        </is>
      </c>
      <c r="D152" s="370" t="inlineStr">
        <is>
          <t xml:space="preserve">02275-15-025-000 </t>
        </is>
      </c>
      <c r="E152" s="369" t="inlineStr">
        <is>
          <t>Actual</t>
        </is>
      </c>
      <c r="F152" s="370" t="inlineStr">
        <is>
          <t>2801   WALNUT               ST</t>
        </is>
      </c>
      <c r="G152" s="370" t="n">
        <v>44.2</v>
      </c>
      <c r="H152" s="370" t="n">
        <v>9210</v>
      </c>
      <c r="I152" s="369" t="n">
        <v>0</v>
      </c>
      <c r="J152" s="674" t="n">
        <v>18816</v>
      </c>
      <c r="K152" s="675" t="n">
        <v>6.74</v>
      </c>
      <c r="L152" s="385" t="n">
        <v>0</v>
      </c>
      <c r="M152" s="374" t="n">
        <v>0</v>
      </c>
      <c r="N152" s="370" t="n">
        <v>1934</v>
      </c>
      <c r="O152" s="370" t="n">
        <v>2358</v>
      </c>
      <c r="P152" s="370" t="n">
        <v>0</v>
      </c>
      <c r="Q152" s="370" t="n">
        <v>14</v>
      </c>
      <c r="R152" s="370" t="n">
        <v>1</v>
      </c>
      <c r="S152" s="370" t="n">
        <v>1</v>
      </c>
      <c r="T152" s="369" t="inlineStr">
        <is>
          <t xml:space="preserve">I-MX-5      </t>
        </is>
      </c>
      <c r="U152" s="370" t="n">
        <v>398</v>
      </c>
      <c r="V152" s="674" t="n">
        <v>31313</v>
      </c>
      <c r="W152" s="674" t="n">
        <v>31000</v>
      </c>
      <c r="X152" s="676" t="inlineStr">
        <is>
          <t>1.7:1</t>
        </is>
      </c>
      <c r="Y152" s="674" t="n">
        <v>19000</v>
      </c>
      <c r="Z152" s="369" t="inlineStr">
        <is>
          <t xml:space="preserve">C </t>
        </is>
      </c>
      <c r="AA152" s="370" t="n"/>
      <c r="AB152" s="370" t="n"/>
      <c r="AC152" s="370" t="n"/>
      <c r="AD152" s="370" t="inlineStr">
        <is>
          <t xml:space="preserve">M-W                 </t>
        </is>
      </c>
      <c r="AE152" s="370" t="n"/>
      <c r="AF152" s="370" t="n"/>
      <c r="AG152" s="370" t="n"/>
      <c r="AH152" s="370" t="n"/>
      <c r="AI152" s="370" t="n"/>
      <c r="AK152" s="370" t="inlineStr">
        <is>
          <t xml:space="preserve">NNN LEASE SIGNED 7/2012 -- SOURCE: COSTAR                         </t>
        </is>
      </c>
      <c r="AL152" s="370" t="n"/>
      <c r="AM152" s="370" t="n"/>
      <c r="AN152" s="370" t="n"/>
      <c r="AO152" s="370" t="n"/>
      <c r="AP152" s="370" t="n"/>
      <c r="AQ152" s="370" t="n"/>
    </row>
    <row r="153">
      <c r="A153" s="383" t="n">
        <v>6</v>
      </c>
      <c r="B153" s="370" t="n">
        <v>148</v>
      </c>
      <c r="C153" s="370" t="inlineStr">
        <is>
          <t>2013Q</t>
        </is>
      </c>
      <c r="D153" s="370" t="inlineStr">
        <is>
          <t xml:space="preserve">02276-21-002-000 </t>
        </is>
      </c>
      <c r="E153" s="369" t="inlineStr">
        <is>
          <t>Actual</t>
        </is>
      </c>
      <c r="F153" s="370" t="inlineStr">
        <is>
          <t>2854   LARIMER              ST</t>
        </is>
      </c>
      <c r="G153" s="370" t="n">
        <v>44.1</v>
      </c>
      <c r="H153" s="370" t="n">
        <v>9210</v>
      </c>
      <c r="I153" s="369" t="n">
        <v>0</v>
      </c>
      <c r="J153" s="674" t="n">
        <v>3398</v>
      </c>
      <c r="K153" s="675" t="n">
        <v>7.062978222483814</v>
      </c>
      <c r="L153" s="385" t="n">
        <v>0</v>
      </c>
      <c r="M153" s="374" t="n">
        <v>0.1089583333333333</v>
      </c>
      <c r="N153" s="370" t="n">
        <v>1957</v>
      </c>
      <c r="O153" s="370" t="n">
        <v>598</v>
      </c>
      <c r="P153" s="370" t="n">
        <v>0</v>
      </c>
      <c r="Q153" s="370" t="n">
        <v>12</v>
      </c>
      <c r="R153" s="370" t="n">
        <v>3</v>
      </c>
      <c r="S153" s="370" t="n">
        <v>1</v>
      </c>
      <c r="T153" s="369" t="inlineStr">
        <is>
          <t xml:space="preserve">I-MX-3      </t>
        </is>
      </c>
      <c r="U153" s="370" t="n">
        <v>398</v>
      </c>
      <c r="V153" s="674" t="n">
        <v>6277</v>
      </c>
      <c r="W153" s="674" t="n">
        <v>6000</v>
      </c>
      <c r="X153" s="676" t="inlineStr">
        <is>
          <t>1.8:1</t>
        </is>
      </c>
      <c r="Y153" s="674" t="n">
        <v>3000</v>
      </c>
      <c r="Z153" s="369" t="inlineStr">
        <is>
          <t xml:space="preserve">C </t>
        </is>
      </c>
      <c r="AA153" s="370" t="n"/>
      <c r="AB153" s="370" t="n"/>
      <c r="AC153" s="370" t="n"/>
      <c r="AD153" s="370" t="inlineStr">
        <is>
          <t xml:space="preserve">S-W                 </t>
        </is>
      </c>
      <c r="AE153" s="370" t="n"/>
      <c r="AF153" s="370" t="n"/>
      <c r="AG153" s="370" t="n"/>
      <c r="AH153" s="370" t="n"/>
      <c r="AI153" s="370" t="n"/>
      <c r="AK153" s="370" t="inlineStr">
        <is>
          <t>                                                                  </t>
        </is>
      </c>
      <c r="AL153" s="370" t="n"/>
      <c r="AM153" s="370" t="n"/>
      <c r="AN153" s="370" t="n"/>
      <c r="AO153" s="370" t="n"/>
      <c r="AP153" s="370" t="n"/>
      <c r="AQ153" s="370" t="n"/>
    </row>
    <row r="154">
      <c r="A154" s="383" t="n">
        <v>6</v>
      </c>
      <c r="B154" s="370" t="n">
        <v>149</v>
      </c>
      <c r="C154" s="370" t="inlineStr">
        <is>
          <t>2013Q</t>
        </is>
      </c>
      <c r="D154" s="370" t="inlineStr">
        <is>
          <t xml:space="preserve">02277-07-017-000 </t>
        </is>
      </c>
      <c r="E154" s="369" t="inlineStr">
        <is>
          <t>Actual</t>
        </is>
      </c>
      <c r="F154" s="370" t="inlineStr">
        <is>
          <t>2590   WALNUT               ST</t>
        </is>
      </c>
      <c r="G154" s="370" t="n">
        <v>44.2</v>
      </c>
      <c r="H154" s="370" t="n">
        <v>9210</v>
      </c>
      <c r="I154" s="369" t="n">
        <v>0</v>
      </c>
      <c r="J154" s="674" t="n">
        <v>12500</v>
      </c>
      <c r="K154" s="675" t="n">
        <v>7.36</v>
      </c>
      <c r="L154" s="385" t="n">
        <v>0</v>
      </c>
      <c r="M154" s="374" t="n">
        <v>0</v>
      </c>
      <c r="N154" s="370" t="n">
        <v>1926</v>
      </c>
      <c r="O154" s="370" t="n">
        <v>1512</v>
      </c>
      <c r="P154" s="370" t="n">
        <v>0</v>
      </c>
      <c r="Q154" s="370" t="n">
        <v>16</v>
      </c>
      <c r="R154" s="370" t="n">
        <v>1</v>
      </c>
      <c r="S154" s="370" t="n">
        <v>3</v>
      </c>
      <c r="T154" s="369" t="inlineStr">
        <is>
          <t xml:space="preserve">C-MX-5      </t>
        </is>
      </c>
      <c r="U154" s="370" t="n">
        <v>398</v>
      </c>
      <c r="V154" s="674" t="n">
        <v>12525</v>
      </c>
      <c r="W154" s="674" t="n">
        <v>13000</v>
      </c>
      <c r="X154" s="676" t="inlineStr">
        <is>
          <t>1:1</t>
        </is>
      </c>
      <c r="Y154" s="674" t="n">
        <v>13000</v>
      </c>
      <c r="Z154" s="369" t="inlineStr">
        <is>
          <t xml:space="preserve">C </t>
        </is>
      </c>
      <c r="AA154" s="370" t="n"/>
      <c r="AB154" s="370" t="n"/>
      <c r="AC154" s="370" t="n"/>
      <c r="AD154" s="370" t="inlineStr">
        <is>
          <t xml:space="preserve">M-WHS/OFC/SHOWROOM  </t>
        </is>
      </c>
      <c r="AE154" s="370" t="n"/>
      <c r="AF154" s="370" t="n"/>
      <c r="AG154" s="370" t="n"/>
      <c r="AH154" s="370" t="n"/>
      <c r="AI154" s="370" t="n"/>
      <c r="AK154" s="370" t="inlineStr">
        <is>
          <t>                                                                  </t>
        </is>
      </c>
      <c r="AL154" s="370" t="n"/>
      <c r="AM154" s="370" t="n"/>
      <c r="AN154" s="370" t="n"/>
      <c r="AO154" s="370" t="n"/>
      <c r="AP154" s="370" t="n"/>
      <c r="AQ154" s="370" t="n"/>
    </row>
    <row r="155">
      <c r="A155" s="383" t="n">
        <v>6</v>
      </c>
      <c r="B155" s="370" t="n">
        <v>150</v>
      </c>
      <c r="C155" s="370" t="inlineStr">
        <is>
          <t>2013Q</t>
        </is>
      </c>
      <c r="D155" s="370" t="inlineStr">
        <is>
          <t xml:space="preserve">02281-03-008-000 </t>
        </is>
      </c>
      <c r="E155" s="369" t="inlineStr">
        <is>
          <t>Actual</t>
        </is>
      </c>
      <c r="F155" s="370" t="inlineStr">
        <is>
          <t>3725   JASON                ST</t>
        </is>
      </c>
      <c r="G155" s="370" t="n">
        <v>47.1</v>
      </c>
      <c r="H155" s="370" t="n">
        <v>9208</v>
      </c>
      <c r="I155" s="369" t="n">
        <v>0</v>
      </c>
      <c r="J155" s="674" t="n">
        <v>5760</v>
      </c>
      <c r="K155" s="675" t="n">
        <v>5.208333333333333</v>
      </c>
      <c r="L155" s="385" t="n">
        <v>0</v>
      </c>
      <c r="M155" s="374" t="n">
        <v>0</v>
      </c>
      <c r="N155" s="370" t="n">
        <v>1971</v>
      </c>
      <c r="O155" s="370" t="n">
        <v>992</v>
      </c>
      <c r="P155" s="370" t="n">
        <v>0</v>
      </c>
      <c r="Q155" s="370" t="n">
        <v>15</v>
      </c>
      <c r="R155" s="370" t="n">
        <v>7</v>
      </c>
      <c r="S155" s="370" t="n">
        <v>1</v>
      </c>
      <c r="T155" s="369" t="inlineStr">
        <is>
          <t xml:space="preserve">I-MX-3      </t>
        </is>
      </c>
      <c r="U155" s="370" t="n">
        <v>401</v>
      </c>
      <c r="V155" s="674" t="n">
        <v>18750</v>
      </c>
      <c r="W155" s="674" t="n">
        <v>19000</v>
      </c>
      <c r="X155" s="676" t="inlineStr">
        <is>
          <t>3.3:1</t>
        </is>
      </c>
      <c r="Y155" s="674" t="n">
        <v>6000</v>
      </c>
      <c r="Z155" s="369" t="inlineStr">
        <is>
          <t xml:space="preserve">C </t>
        </is>
      </c>
      <c r="AA155" s="370" t="n"/>
      <c r="AB155" s="370" t="n"/>
      <c r="AC155" s="370" t="n"/>
      <c r="AD155" s="370" t="inlineStr">
        <is>
          <t xml:space="preserve">SILVER STATE FOODS  </t>
        </is>
      </c>
      <c r="AE155" s="370" t="n"/>
      <c r="AF155" s="370" t="n"/>
      <c r="AG155" s="370" t="n"/>
      <c r="AH155" s="370" t="n"/>
      <c r="AI155" s="370" t="n"/>
      <c r="AK155" s="370" t="inlineStr">
        <is>
          <t>                                                                  </t>
        </is>
      </c>
      <c r="AL155" s="370" t="n"/>
      <c r="AM155" s="370" t="n"/>
      <c r="AN155" s="370" t="n"/>
      <c r="AO155" s="370" t="n"/>
      <c r="AP155" s="370" t="n"/>
      <c r="AQ155" s="370" t="n"/>
    </row>
    <row r="156">
      <c r="A156" s="383" t="n">
        <v>6</v>
      </c>
      <c r="B156" s="370" t="n">
        <v>151</v>
      </c>
      <c r="C156" s="370" t="inlineStr">
        <is>
          <t>2013Q</t>
        </is>
      </c>
      <c r="D156" s="370" t="inlineStr">
        <is>
          <t xml:space="preserve">02281-31-020-000 </t>
        </is>
      </c>
      <c r="E156" s="369" t="inlineStr">
        <is>
          <t>Actual</t>
        </is>
      </c>
      <c r="F156" s="370" t="inlineStr">
        <is>
          <t>1415 W 33RD                 AV</t>
        </is>
      </c>
      <c r="G156" s="370" t="n">
        <v>44.1</v>
      </c>
      <c r="H156" s="370" t="n">
        <v>9208</v>
      </c>
      <c r="I156" s="369" t="n">
        <v>0</v>
      </c>
      <c r="J156" s="674" t="n">
        <v>5652</v>
      </c>
      <c r="K156" s="675" t="n">
        <v>6.369426751592357</v>
      </c>
      <c r="L156" s="385" t="n">
        <v>0</v>
      </c>
      <c r="M156" s="374" t="n">
        <v>0</v>
      </c>
      <c r="N156" s="370" t="n">
        <v>1960</v>
      </c>
      <c r="O156" s="370" t="n">
        <v>1658</v>
      </c>
      <c r="P156" s="370" t="n">
        <v>0</v>
      </c>
      <c r="Q156" s="370" t="n">
        <v>15</v>
      </c>
      <c r="R156" s="370" t="n">
        <v>1</v>
      </c>
      <c r="S156" s="370" t="n">
        <v>1</v>
      </c>
      <c r="T156" s="369" t="inlineStr">
        <is>
          <t xml:space="preserve">C-MX-5      </t>
        </is>
      </c>
      <c r="U156" s="370" t="n">
        <v>398</v>
      </c>
      <c r="V156" s="674" t="n">
        <v>9588</v>
      </c>
      <c r="W156" s="674" t="n">
        <v>10000</v>
      </c>
      <c r="X156" s="676" t="inlineStr">
        <is>
          <t>1.7:1</t>
        </is>
      </c>
      <c r="Y156" s="674" t="n">
        <v>6000</v>
      </c>
      <c r="Z156" s="369" t="inlineStr">
        <is>
          <t xml:space="preserve">C </t>
        </is>
      </c>
      <c r="AA156" s="370" t="n"/>
      <c r="AB156" s="370" t="n"/>
      <c r="AC156" s="370" t="n"/>
      <c r="AD156" s="370" t="inlineStr">
        <is>
          <t xml:space="preserve">DENVER DISTRIBUTORS </t>
        </is>
      </c>
      <c r="AE156" s="370" t="n"/>
      <c r="AF156" s="370" t="n"/>
      <c r="AG156" s="370" t="n"/>
      <c r="AH156" s="370" t="n"/>
      <c r="AI156" s="370" t="n"/>
      <c r="AK156" s="370" t="inlineStr">
        <is>
          <t>                                                                  </t>
        </is>
      </c>
      <c r="AL156" s="370" t="n"/>
      <c r="AM156" s="370" t="n"/>
      <c r="AN156" s="370" t="n"/>
      <c r="AO156" s="370" t="n"/>
      <c r="AP156" s="370" t="n"/>
      <c r="AQ156" s="370" t="n"/>
    </row>
    <row r="157">
      <c r="A157" s="383" t="n">
        <v>6</v>
      </c>
      <c r="B157" s="370" t="n">
        <v>152</v>
      </c>
      <c r="C157" s="370" t="inlineStr">
        <is>
          <t>2013Q</t>
        </is>
      </c>
      <c r="D157" s="370" t="inlineStr">
        <is>
          <t xml:space="preserve">02281-31-034-000 </t>
        </is>
      </c>
      <c r="E157" s="369" t="inlineStr">
        <is>
          <t>Actual</t>
        </is>
      </c>
      <c r="F157" s="370" t="inlineStr">
        <is>
          <t>3323   MARIPOSA             ST</t>
        </is>
      </c>
      <c r="G157" s="370" t="n">
        <v>44.1</v>
      </c>
      <c r="H157" s="370" t="n">
        <v>9208</v>
      </c>
      <c r="I157" s="369" t="n">
        <v>0</v>
      </c>
      <c r="J157" s="674" t="n">
        <v>6545</v>
      </c>
      <c r="K157" s="675" t="n">
        <v>5.500381970970206</v>
      </c>
      <c r="L157" s="385" t="n">
        <v>0</v>
      </c>
      <c r="M157" s="374" t="n">
        <v>0</v>
      </c>
      <c r="N157" s="370" t="n">
        <v>1960</v>
      </c>
      <c r="O157" s="370" t="n">
        <v>800</v>
      </c>
      <c r="P157" s="370" t="n">
        <v>0</v>
      </c>
      <c r="Q157" s="370" t="n">
        <v>14</v>
      </c>
      <c r="R157" s="370" t="n">
        <v>3</v>
      </c>
      <c r="S157" s="370" t="n">
        <v>1</v>
      </c>
      <c r="T157" s="369" t="inlineStr">
        <is>
          <t xml:space="preserve">C-MX-5      </t>
        </is>
      </c>
      <c r="U157" s="370" t="n">
        <v>398</v>
      </c>
      <c r="V157" s="674" t="n">
        <v>10793</v>
      </c>
      <c r="W157" s="674" t="n">
        <v>11000</v>
      </c>
      <c r="X157" s="676" t="inlineStr">
        <is>
          <t>1.6:1</t>
        </is>
      </c>
      <c r="Y157" s="674" t="n">
        <v>7000</v>
      </c>
      <c r="Z157" s="369" t="inlineStr">
        <is>
          <t xml:space="preserve">C </t>
        </is>
      </c>
      <c r="AA157" s="370" t="n"/>
      <c r="AB157" s="370" t="n"/>
      <c r="AC157" s="370" t="n"/>
      <c r="AD157" s="370" t="inlineStr">
        <is>
          <t>                    </t>
        </is>
      </c>
      <c r="AE157" s="370" t="n"/>
      <c r="AF157" s="370" t="n"/>
      <c r="AG157" s="370" t="n"/>
      <c r="AH157" s="370" t="n"/>
      <c r="AI157" s="370" t="n"/>
      <c r="AK157" s="370" t="inlineStr">
        <is>
          <t>                                                                  </t>
        </is>
      </c>
      <c r="AL157" s="370" t="n"/>
      <c r="AM157" s="370" t="n"/>
      <c r="AN157" s="370" t="n"/>
      <c r="AO157" s="370" t="n"/>
      <c r="AP157" s="370" t="n"/>
      <c r="AQ157" s="370" t="n"/>
    </row>
    <row r="158">
      <c r="A158" s="383" t="n">
        <v>6</v>
      </c>
      <c r="B158" s="370" t="n">
        <v>153</v>
      </c>
      <c r="C158" s="370" t="inlineStr">
        <is>
          <t>2013Q</t>
        </is>
      </c>
      <c r="D158" s="370" t="inlineStr">
        <is>
          <t xml:space="preserve">02282-33-019-000 </t>
        </is>
      </c>
      <c r="E158" s="369" t="inlineStr">
        <is>
          <t>Actual</t>
        </is>
      </c>
      <c r="F158" s="370" t="inlineStr">
        <is>
          <t>2020 W 33RD                 AV</t>
        </is>
      </c>
      <c r="G158" s="370" t="n">
        <v>44.2</v>
      </c>
      <c r="H158" s="370" t="n">
        <v>9208</v>
      </c>
      <c r="I158" s="369" t="n">
        <v>0</v>
      </c>
      <c r="J158" s="674" t="n">
        <v>4080</v>
      </c>
      <c r="K158" s="675" t="n">
        <v>8.578431372549019</v>
      </c>
      <c r="L158" s="385" t="n">
        <v>0.2</v>
      </c>
      <c r="M158" s="374" t="n">
        <v>0</v>
      </c>
      <c r="N158" s="370" t="n">
        <v>1948</v>
      </c>
      <c r="O158" s="370" t="n">
        <v>144</v>
      </c>
      <c r="P158" s="370" t="n">
        <v>0</v>
      </c>
      <c r="Q158" s="370" t="n">
        <v>11</v>
      </c>
      <c r="R158" s="370" t="n">
        <v>3</v>
      </c>
      <c r="S158" s="370" t="n">
        <v>3</v>
      </c>
      <c r="T158" s="369" t="inlineStr">
        <is>
          <t xml:space="preserve">U-MX-3      </t>
        </is>
      </c>
      <c r="U158" s="370" t="n">
        <v>398</v>
      </c>
      <c r="V158" s="674" t="n">
        <v>16812</v>
      </c>
      <c r="W158" s="674" t="n">
        <v>17000</v>
      </c>
      <c r="X158" s="676" t="inlineStr">
        <is>
          <t>4.1:1</t>
        </is>
      </c>
      <c r="Y158" s="674" t="n">
        <v>4000</v>
      </c>
      <c r="Z158" s="369" t="inlineStr">
        <is>
          <t xml:space="preserve">C </t>
        </is>
      </c>
      <c r="AA158" s="370" t="n"/>
      <c r="AB158" s="370" t="n"/>
      <c r="AC158" s="370" t="n"/>
      <c r="AD158" s="370" t="inlineStr">
        <is>
          <t xml:space="preserve">M-T WAREHOUSE       </t>
        </is>
      </c>
      <c r="AE158" s="370" t="n"/>
      <c r="AF158" s="370" t="n"/>
      <c r="AG158" s="370" t="n"/>
      <c r="AH158" s="370" t="n"/>
      <c r="AI158" s="370" t="n"/>
      <c r="AK158" s="370" t="inlineStr">
        <is>
          <t>                                                                  </t>
        </is>
      </c>
      <c r="AL158" s="370" t="n"/>
      <c r="AM158" s="370" t="n"/>
      <c r="AN158" s="370" t="n"/>
      <c r="AO158" s="370" t="n"/>
      <c r="AP158" s="370" t="n"/>
      <c r="AQ158" s="370" t="n"/>
    </row>
    <row r="159">
      <c r="A159" s="383" t="n">
        <v>6</v>
      </c>
      <c r="B159" s="370" t="n">
        <v>154</v>
      </c>
      <c r="C159" s="370" t="inlineStr">
        <is>
          <t>2013Q</t>
        </is>
      </c>
      <c r="D159" s="370" t="inlineStr">
        <is>
          <t xml:space="preserve">02294-16-008-000 </t>
        </is>
      </c>
      <c r="E159" s="369" t="inlineStr">
        <is>
          <t>Actual</t>
        </is>
      </c>
      <c r="F159" s="370" t="inlineStr">
        <is>
          <t>2520 W 29TH                 AV</t>
        </is>
      </c>
      <c r="G159" s="370" t="n">
        <v>46.1</v>
      </c>
      <c r="H159" s="370" t="n">
        <v>9208</v>
      </c>
      <c r="I159" s="369" t="n">
        <v>0</v>
      </c>
      <c r="J159" s="674" t="n">
        <v>7240</v>
      </c>
      <c r="K159" s="675" t="n">
        <v>19.88950276243094</v>
      </c>
      <c r="L159" s="385" t="n">
        <v>0</v>
      </c>
      <c r="M159" s="374" t="n">
        <v>0.02483333333333333</v>
      </c>
      <c r="N159" s="370" t="n">
        <v>1952</v>
      </c>
      <c r="O159" s="370" t="n">
        <v>3462</v>
      </c>
      <c r="P159" s="370" t="n">
        <v>0</v>
      </c>
      <c r="Q159" s="370" t="n">
        <v>12</v>
      </c>
      <c r="R159" s="370" t="n">
        <v>3</v>
      </c>
      <c r="S159" s="370" t="n">
        <v>1</v>
      </c>
      <c r="T159" s="369" t="inlineStr">
        <is>
          <t xml:space="preserve">C-MX-5      </t>
        </is>
      </c>
      <c r="U159" s="370" t="n">
        <v>391</v>
      </c>
      <c r="V159" s="674" t="n">
        <v>12500</v>
      </c>
      <c r="W159" s="674" t="n">
        <v>13000</v>
      </c>
      <c r="X159" s="676" t="inlineStr">
        <is>
          <t>1.7:1</t>
        </is>
      </c>
      <c r="Y159" s="674" t="n">
        <v>7000</v>
      </c>
      <c r="Z159" s="369" t="inlineStr">
        <is>
          <t xml:space="preserve">C </t>
        </is>
      </c>
      <c r="AA159" s="370" t="n"/>
      <c r="AB159" s="370" t="n"/>
      <c r="AC159" s="370" t="n"/>
      <c r="AD159" s="370" t="inlineStr">
        <is>
          <t xml:space="preserve">CATERING            </t>
        </is>
      </c>
      <c r="AE159" s="370" t="n"/>
      <c r="AF159" s="370" t="n"/>
      <c r="AG159" s="370" t="n"/>
      <c r="AH159" s="370" t="n"/>
      <c r="AI159" s="370" t="n"/>
      <c r="AK159" s="370" t="inlineStr">
        <is>
          <t xml:space="preserve">COMMENCEMENT DATE OF LEASE UNKNOWN.                               </t>
        </is>
      </c>
      <c r="AL159" s="370" t="n"/>
      <c r="AM159" s="370" t="n"/>
      <c r="AN159" s="370" t="n"/>
      <c r="AO159" s="370" t="n"/>
      <c r="AP159" s="370" t="n"/>
      <c r="AQ159" s="370" t="n"/>
    </row>
    <row r="160">
      <c r="A160" s="383" t="n">
        <v>6</v>
      </c>
      <c r="B160" s="370" t="n">
        <v>155</v>
      </c>
      <c r="C160" s="370" t="inlineStr">
        <is>
          <t>2013Q</t>
        </is>
      </c>
      <c r="D160" s="370" t="inlineStr">
        <is>
          <t xml:space="preserve">02323-01-021-000 </t>
        </is>
      </c>
      <c r="E160" s="369" t="inlineStr">
        <is>
          <t>Actual</t>
        </is>
      </c>
      <c r="F160" s="370" t="inlineStr">
        <is>
          <t>1919   FEDERAL              BV</t>
        </is>
      </c>
      <c r="G160" s="370" t="n">
        <v>44.1</v>
      </c>
      <c r="H160" s="370" t="n">
        <v>9208</v>
      </c>
      <c r="I160" s="369" t="n">
        <v>6</v>
      </c>
      <c r="J160" s="674" t="n">
        <v>10620</v>
      </c>
      <c r="K160" s="675" t="n">
        <v>6.214689265536723</v>
      </c>
      <c r="L160" s="385" t="n">
        <v>0</v>
      </c>
      <c r="M160" s="374" t="n">
        <v>0</v>
      </c>
      <c r="N160" s="370" t="n">
        <v>1977</v>
      </c>
      <c r="O160" s="370" t="n">
        <v>2651</v>
      </c>
      <c r="P160" s="370" t="n">
        <v>0</v>
      </c>
      <c r="Q160" s="370" t="n">
        <v>15</v>
      </c>
      <c r="R160" s="370" t="n">
        <v>1</v>
      </c>
      <c r="S160" s="370" t="n">
        <v>1</v>
      </c>
      <c r="T160" s="369" t="inlineStr">
        <is>
          <t xml:space="preserve">C-MX-5      </t>
        </is>
      </c>
      <c r="U160" s="370" t="n">
        <v>398</v>
      </c>
      <c r="V160" s="674" t="n">
        <v>17569</v>
      </c>
      <c r="W160" s="674" t="n">
        <v>18000</v>
      </c>
      <c r="X160" s="676" t="inlineStr">
        <is>
          <t>1.7:1</t>
        </is>
      </c>
      <c r="Y160" s="674" t="n">
        <v>11000</v>
      </c>
      <c r="Z160" s="369" t="inlineStr">
        <is>
          <t xml:space="preserve">B </t>
        </is>
      </c>
      <c r="AA160" s="370" t="n"/>
      <c r="AB160" s="370" t="n"/>
      <c r="AC160" s="370" t="n"/>
      <c r="AD160" s="370" t="inlineStr">
        <is>
          <t xml:space="preserve">PERMAGRAPHICS       </t>
        </is>
      </c>
      <c r="AE160" s="370" t="n"/>
      <c r="AF160" s="370" t="n"/>
      <c r="AG160" s="370" t="n"/>
      <c r="AH160" s="370" t="n"/>
      <c r="AI160" s="370" t="n"/>
      <c r="AK160" s="370" t="inlineStr">
        <is>
          <t>                                                                  </t>
        </is>
      </c>
      <c r="AL160" s="370" t="n"/>
      <c r="AM160" s="370" t="n"/>
      <c r="AN160" s="370" t="n"/>
      <c r="AO160" s="370" t="n"/>
      <c r="AP160" s="370" t="n"/>
      <c r="AQ160" s="370" t="n"/>
    </row>
    <row r="161">
      <c r="A161" s="383" t="n">
        <v>6</v>
      </c>
      <c r="B161" s="370" t="n">
        <v>156</v>
      </c>
      <c r="C161" s="370" t="inlineStr">
        <is>
          <t>2013Q</t>
        </is>
      </c>
      <c r="D161" s="370" t="inlineStr">
        <is>
          <t xml:space="preserve">02323-13-015-000 </t>
        </is>
      </c>
      <c r="E161" s="369" t="inlineStr">
        <is>
          <t>Actual</t>
        </is>
      </c>
      <c r="F161" s="370" t="inlineStr">
        <is>
          <t>1729   FEDERAL              BV</t>
        </is>
      </c>
      <c r="G161" s="370" t="n">
        <v>44.2</v>
      </c>
      <c r="H161" s="370" t="n">
        <v>9208</v>
      </c>
      <c r="I161" s="369" t="n">
        <v>6</v>
      </c>
      <c r="J161" s="674" t="n">
        <v>6200</v>
      </c>
      <c r="K161" s="675" t="n">
        <v>6.387096774193548</v>
      </c>
      <c r="L161" s="385" t="n">
        <v>0</v>
      </c>
      <c r="M161" s="374" t="n">
        <v>0.1435606060606061</v>
      </c>
      <c r="N161" s="370" t="n">
        <v>1962</v>
      </c>
      <c r="O161" s="370" t="n">
        <v>780</v>
      </c>
      <c r="P161" s="370" t="n">
        <v>0</v>
      </c>
      <c r="Q161" s="370" t="n">
        <v>10</v>
      </c>
      <c r="R161" s="370" t="n">
        <v>1</v>
      </c>
      <c r="S161" s="370" t="n">
        <v>3</v>
      </c>
      <c r="T161" s="369" t="inlineStr">
        <is>
          <t xml:space="preserve">C-MX-5      </t>
        </is>
      </c>
      <c r="U161" s="370" t="n">
        <v>398</v>
      </c>
      <c r="V161" s="674" t="n">
        <v>14360</v>
      </c>
      <c r="W161" s="674" t="n">
        <v>14000</v>
      </c>
      <c r="X161" s="676" t="inlineStr">
        <is>
          <t>2.3:1</t>
        </is>
      </c>
      <c r="Y161" s="674" t="n">
        <v>6000</v>
      </c>
      <c r="Z161" s="369" t="inlineStr">
        <is>
          <t xml:space="preserve">C </t>
        </is>
      </c>
      <c r="AA161" s="370" t="n"/>
      <c r="AB161" s="370" t="n"/>
      <c r="AC161" s="370" t="n"/>
      <c r="AD161" s="370" t="inlineStr">
        <is>
          <t xml:space="preserve">FLOYD'Z             </t>
        </is>
      </c>
      <c r="AE161" s="370" t="n"/>
      <c r="AF161" s="370" t="n"/>
      <c r="AG161" s="370" t="n"/>
      <c r="AH161" s="370" t="n"/>
      <c r="AI161" s="370" t="n"/>
      <c r="AK161" s="370" t="inlineStr">
        <is>
          <t xml:space="preserve">PROBABLE 2009 LEASE PER COSTAR.                                   </t>
        </is>
      </c>
      <c r="AL161" s="370" t="n"/>
      <c r="AM161" s="370" t="n"/>
      <c r="AN161" s="370" t="n"/>
      <c r="AO161" s="370" t="n"/>
      <c r="AP161" s="370" t="n"/>
      <c r="AQ161" s="370" t="n"/>
    </row>
    <row r="162">
      <c r="A162" s="383" t="n">
        <v>6</v>
      </c>
      <c r="B162" s="370" t="n">
        <v>157</v>
      </c>
      <c r="C162" s="370" t="inlineStr">
        <is>
          <t>2013Q</t>
        </is>
      </c>
      <c r="D162" s="370" t="inlineStr">
        <is>
          <t xml:space="preserve">02342-23-012-000 </t>
        </is>
      </c>
      <c r="E162" s="369" t="inlineStr">
        <is>
          <t>Actual</t>
        </is>
      </c>
      <c r="F162" s="370" t="inlineStr">
        <is>
          <t>2201   ARAPAHOE             ST</t>
        </is>
      </c>
      <c r="G162" s="370" t="n">
        <v>44.2</v>
      </c>
      <c r="H162" s="370" t="n">
        <v>9202</v>
      </c>
      <c r="I162" s="369" t="n">
        <v>5</v>
      </c>
      <c r="J162" s="674" t="n">
        <v>18251</v>
      </c>
      <c r="K162" s="675" t="n">
        <v>9.310783055198973</v>
      </c>
      <c r="L162" s="385" t="n">
        <v>0</v>
      </c>
      <c r="M162" s="374" t="n">
        <v>0</v>
      </c>
      <c r="N162" s="370" t="n">
        <v>1941</v>
      </c>
      <c r="O162" s="370" t="n">
        <v>880</v>
      </c>
      <c r="P162" s="370" t="n">
        <v>880</v>
      </c>
      <c r="Q162" s="370" t="n">
        <v>15</v>
      </c>
      <c r="R162" s="370" t="n">
        <v>1</v>
      </c>
      <c r="S162" s="370" t="n">
        <v>1</v>
      </c>
      <c r="T162" s="369" t="inlineStr">
        <is>
          <t xml:space="preserve">PUD         </t>
        </is>
      </c>
      <c r="U162" s="370" t="n">
        <v>398</v>
      </c>
      <c r="V162" s="674" t="n">
        <v>18893</v>
      </c>
      <c r="W162" s="674" t="n">
        <v>19000</v>
      </c>
      <c r="X162" s="676" t="inlineStr">
        <is>
          <t>1:1</t>
        </is>
      </c>
      <c r="Y162" s="674" t="n">
        <v>18000</v>
      </c>
      <c r="Z162" s="369" t="inlineStr">
        <is>
          <t xml:space="preserve">C </t>
        </is>
      </c>
      <c r="AA162" s="370" t="n"/>
      <c r="AB162" s="370" t="n"/>
      <c r="AC162" s="370" t="n"/>
      <c r="AD162" s="370" t="inlineStr">
        <is>
          <t>GREAT DIVIDE BREWERY</t>
        </is>
      </c>
      <c r="AE162" s="370" t="n"/>
      <c r="AF162" s="370" t="n"/>
      <c r="AG162" s="370" t="n"/>
      <c r="AH162" s="370" t="n"/>
      <c r="AI162" s="370" t="n"/>
      <c r="AK162" s="370" t="inlineStr">
        <is>
          <t xml:space="preserve">NON-BASE LEASE BUT NEED DATA FOR THIS NBHD.                       </t>
        </is>
      </c>
      <c r="AL162" s="370" t="n"/>
      <c r="AM162" s="370" t="n"/>
      <c r="AN162" s="370" t="n"/>
      <c r="AO162" s="370" t="n"/>
      <c r="AP162" s="370" t="n"/>
      <c r="AQ162" s="370" t="n"/>
    </row>
    <row r="163">
      <c r="A163" s="383" t="n">
        <v>6</v>
      </c>
      <c r="B163" s="370" t="n">
        <v>158</v>
      </c>
      <c r="C163" s="370" t="inlineStr">
        <is>
          <t>2013Q</t>
        </is>
      </c>
      <c r="D163" s="370" t="inlineStr">
        <is>
          <t xml:space="preserve">02342-33-021-000 </t>
        </is>
      </c>
      <c r="E163" s="369" t="inlineStr">
        <is>
          <t>Actual</t>
        </is>
      </c>
      <c r="F163" s="370" t="inlineStr">
        <is>
          <t>2109   CURTIS               ST</t>
        </is>
      </c>
      <c r="G163" s="370" t="n">
        <v>44.1</v>
      </c>
      <c r="H163" s="370" t="n">
        <v>9202</v>
      </c>
      <c r="I163" s="369" t="n">
        <v>5</v>
      </c>
      <c r="J163" s="674" t="n">
        <v>10010</v>
      </c>
      <c r="K163" s="675" t="n">
        <v>10</v>
      </c>
      <c r="L163" s="385" t="n">
        <v>0</v>
      </c>
      <c r="M163" s="374" t="n">
        <v>0</v>
      </c>
      <c r="N163" s="370" t="n">
        <v>1955</v>
      </c>
      <c r="O163" s="370" t="n">
        <v>922</v>
      </c>
      <c r="P163" s="370" t="n">
        <v>0</v>
      </c>
      <c r="Q163" s="370" t="n">
        <v>14</v>
      </c>
      <c r="R163" s="370" t="n">
        <v>3</v>
      </c>
      <c r="S163" s="370" t="n">
        <v>1</v>
      </c>
      <c r="T163" s="369" t="inlineStr">
        <is>
          <t xml:space="preserve">D-AS        </t>
        </is>
      </c>
      <c r="U163" s="370" t="n">
        <v>398</v>
      </c>
      <c r="V163" s="674" t="n">
        <v>10968</v>
      </c>
      <c r="W163" s="674" t="n">
        <v>11000</v>
      </c>
      <c r="X163" s="676" t="inlineStr">
        <is>
          <t>1.1:1</t>
        </is>
      </c>
      <c r="Y163" s="674" t="n">
        <v>10000</v>
      </c>
      <c r="Z163" s="369" t="inlineStr">
        <is>
          <t xml:space="preserve">C </t>
        </is>
      </c>
      <c r="AA163" s="370" t="n"/>
      <c r="AB163" s="370" t="n"/>
      <c r="AC163" s="370" t="n"/>
      <c r="AD163" s="370" t="inlineStr">
        <is>
          <t xml:space="preserve">MILE HIGH FRAMING   </t>
        </is>
      </c>
      <c r="AE163" s="370" t="n"/>
      <c r="AF163" s="370" t="n"/>
      <c r="AG163" s="370" t="n"/>
      <c r="AH163" s="370" t="n"/>
      <c r="AI163" s="370" t="n"/>
      <c r="AK163" s="370" t="inlineStr">
        <is>
          <t xml:space="preserve">MO-TO-MO LEASES; CAN'T SEPARATE OWNER/TEN EXP = NOT POSTED.       </t>
        </is>
      </c>
      <c r="AL163" s="370" t="n"/>
      <c r="AM163" s="370" t="n"/>
      <c r="AN163" s="370" t="n"/>
      <c r="AO163" s="370" t="n"/>
      <c r="AP163" s="370" t="n"/>
      <c r="AQ163" s="370" t="n"/>
    </row>
    <row r="164">
      <c r="A164" s="383" t="n">
        <v>6</v>
      </c>
      <c r="B164" s="370" t="n">
        <v>159</v>
      </c>
      <c r="C164" s="370" t="inlineStr">
        <is>
          <t>2013Q</t>
        </is>
      </c>
      <c r="D164" s="370" t="inlineStr">
        <is>
          <t xml:space="preserve">02342-36-015-000 </t>
        </is>
      </c>
      <c r="E164" s="369" t="inlineStr">
        <is>
          <t>Actual</t>
        </is>
      </c>
      <c r="F164" s="370" t="inlineStr">
        <is>
          <t>2033   LAWRENCE             ST</t>
        </is>
      </c>
      <c r="G164" s="370" t="n">
        <v>46.1</v>
      </c>
      <c r="H164" s="370" t="n">
        <v>9202</v>
      </c>
      <c r="I164" s="369" t="n">
        <v>7</v>
      </c>
      <c r="J164" s="674" t="n">
        <v>10000</v>
      </c>
      <c r="K164" s="675" t="n">
        <v>7.8</v>
      </c>
      <c r="L164" s="385" t="n">
        <v>0</v>
      </c>
      <c r="M164" s="374" t="n">
        <v>0.1432692307692308</v>
      </c>
      <c r="N164" s="370" t="n">
        <v>1929</v>
      </c>
      <c r="O164" s="370" t="n">
        <v>0</v>
      </c>
      <c r="P164" s="370" t="n">
        <v>970</v>
      </c>
      <c r="Q164" s="370" t="n">
        <v>15</v>
      </c>
      <c r="R164" s="370" t="n">
        <v>1</v>
      </c>
      <c r="S164" s="370" t="n">
        <v>1</v>
      </c>
      <c r="T164" s="369" t="inlineStr">
        <is>
          <t xml:space="preserve">D-AS        </t>
        </is>
      </c>
      <c r="U164" s="370" t="n">
        <v>401</v>
      </c>
      <c r="V164" s="674" t="n">
        <v>5029</v>
      </c>
      <c r="W164" s="674" t="n">
        <v>5000</v>
      </c>
      <c r="X164" s="676" t="inlineStr">
        <is>
          <t>0.5:1</t>
        </is>
      </c>
      <c r="Y164" s="674" t="n">
        <v>10000</v>
      </c>
      <c r="Z164" s="369" t="inlineStr">
        <is>
          <t xml:space="preserve">C </t>
        </is>
      </c>
      <c r="AA164" s="370" t="n"/>
      <c r="AB164" s="370" t="n"/>
      <c r="AC164" s="370" t="n"/>
      <c r="AD164" s="370" t="inlineStr">
        <is>
          <t>S-F-LA POPULAR TORTI</t>
        </is>
      </c>
      <c r="AE164" s="370" t="n"/>
      <c r="AF164" s="370" t="n"/>
      <c r="AG164" s="370" t="n"/>
      <c r="AH164" s="370" t="n"/>
      <c r="AI164" s="370" t="n"/>
      <c r="AK164" s="370" t="inlineStr">
        <is>
          <t>                                                                  </t>
        </is>
      </c>
      <c r="AL164" s="370" t="n"/>
      <c r="AM164" s="370" t="n"/>
      <c r="AN164" s="370" t="n"/>
      <c r="AO164" s="370" t="n"/>
      <c r="AP164" s="370" t="n"/>
      <c r="AQ164" s="370" t="n"/>
    </row>
    <row r="165">
      <c r="A165" s="383" t="n">
        <v>6</v>
      </c>
      <c r="B165" s="370" t="n">
        <v>160</v>
      </c>
      <c r="C165" s="370" t="inlineStr">
        <is>
          <t>2013Q</t>
        </is>
      </c>
      <c r="D165" s="370" t="inlineStr">
        <is>
          <t xml:space="preserve">02342-37-010-000 </t>
        </is>
      </c>
      <c r="E165" s="369" t="inlineStr">
        <is>
          <t>Actual</t>
        </is>
      </c>
      <c r="F165" s="370" t="inlineStr">
        <is>
          <t>2006   LAWRENCE             ST</t>
        </is>
      </c>
      <c r="G165" s="370" t="n">
        <v>44.2</v>
      </c>
      <c r="H165" s="370" t="n">
        <v>9202</v>
      </c>
      <c r="I165" s="369" t="n">
        <v>7</v>
      </c>
      <c r="J165" s="674" t="n">
        <v>11788</v>
      </c>
      <c r="K165" s="675" t="n">
        <v>4.761904761904762</v>
      </c>
      <c r="L165" s="385" t="n">
        <v>0.16</v>
      </c>
      <c r="M165" s="374" t="n">
        <v>0.037</v>
      </c>
      <c r="N165" s="370" t="n">
        <v>1930</v>
      </c>
      <c r="O165" s="370" t="n">
        <v>0</v>
      </c>
      <c r="P165" s="370" t="n">
        <v>0</v>
      </c>
      <c r="Q165" s="370" t="n">
        <v>12</v>
      </c>
      <c r="R165" s="370" t="n">
        <v>1</v>
      </c>
      <c r="S165" s="370" t="n">
        <v>4</v>
      </c>
      <c r="T165" s="369" t="inlineStr">
        <is>
          <t xml:space="preserve">D-AS        </t>
        </is>
      </c>
      <c r="U165" s="370" t="n">
        <v>398</v>
      </c>
      <c r="V165" s="674" t="n">
        <v>6251</v>
      </c>
      <c r="W165" s="674" t="n">
        <v>6000</v>
      </c>
      <c r="X165" s="676" t="inlineStr">
        <is>
          <t>0.5:1</t>
        </is>
      </c>
      <c r="Y165" s="674" t="n">
        <v>12000</v>
      </c>
      <c r="Z165" s="369" t="inlineStr">
        <is>
          <t xml:space="preserve">C </t>
        </is>
      </c>
      <c r="AA165" s="370" t="n"/>
      <c r="AB165" s="370" t="n"/>
      <c r="AC165" s="370" t="n"/>
      <c r="AD165" s="370" t="inlineStr">
        <is>
          <t>                    </t>
        </is>
      </c>
      <c r="AE165" s="370" t="n"/>
      <c r="AF165" s="370" t="n"/>
      <c r="AG165" s="370" t="n"/>
      <c r="AH165" s="370" t="n"/>
      <c r="AI165" s="370" t="n"/>
      <c r="AK165" s="370" t="inlineStr">
        <is>
          <t>                                                                  </t>
        </is>
      </c>
      <c r="AL165" s="370" t="n"/>
      <c r="AM165" s="370" t="n"/>
      <c r="AN165" s="370" t="n"/>
      <c r="AO165" s="370" t="n"/>
      <c r="AP165" s="370" t="n"/>
      <c r="AQ165" s="370" t="n"/>
    </row>
    <row r="166">
      <c r="A166" s="383" t="n">
        <v>6</v>
      </c>
      <c r="B166" s="370" t="n">
        <v>161</v>
      </c>
      <c r="C166" s="370" t="inlineStr">
        <is>
          <t>2013Q</t>
        </is>
      </c>
      <c r="D166" s="370" t="inlineStr">
        <is>
          <t xml:space="preserve">05035-04-035-000 </t>
        </is>
      </c>
      <c r="E166" s="369" t="inlineStr">
        <is>
          <t>Actual</t>
        </is>
      </c>
      <c r="F166" s="370" t="inlineStr">
        <is>
          <t>1240   SANTA FE             DR</t>
        </is>
      </c>
      <c r="G166" s="370" t="n">
        <v>44.1</v>
      </c>
      <c r="H166" s="370" t="n">
        <v>9505</v>
      </c>
      <c r="I166" s="369" t="n">
        <v>3</v>
      </c>
      <c r="J166" s="674" t="n">
        <v>10400</v>
      </c>
      <c r="K166" s="675" t="n">
        <v>8.653846153846153</v>
      </c>
      <c r="L166" s="385" t="n">
        <v>0</v>
      </c>
      <c r="M166" s="374" t="n">
        <v>0</v>
      </c>
      <c r="N166" s="370" t="n">
        <v>1964</v>
      </c>
      <c r="O166" s="370" t="n">
        <v>5148</v>
      </c>
      <c r="P166" s="370" t="n">
        <v>0</v>
      </c>
      <c r="Q166" s="370" t="n">
        <v>14</v>
      </c>
      <c r="R166" s="370" t="n">
        <v>1</v>
      </c>
      <c r="S166" s="370" t="n">
        <v>1</v>
      </c>
      <c r="T166" s="369" t="inlineStr">
        <is>
          <t xml:space="preserve">C-MS-8      </t>
        </is>
      </c>
      <c r="U166" s="370" t="n">
        <v>398</v>
      </c>
      <c r="V166" s="674" t="n">
        <v>19156</v>
      </c>
      <c r="W166" s="674" t="n">
        <v>19000</v>
      </c>
      <c r="X166" s="676" t="inlineStr">
        <is>
          <t>1.8:1</t>
        </is>
      </c>
      <c r="Y166" s="674" t="n">
        <v>10000</v>
      </c>
      <c r="Z166" s="369" t="inlineStr">
        <is>
          <t xml:space="preserve">C </t>
        </is>
      </c>
      <c r="AA166" s="370" t="n"/>
      <c r="AB166" s="370" t="n"/>
      <c r="AC166" s="370" t="n"/>
      <c r="AD166" s="370" t="inlineStr">
        <is>
          <t xml:space="preserve">S-W TATTERDEMALION  </t>
        </is>
      </c>
      <c r="AE166" s="370" t="n"/>
      <c r="AF166" s="370" t="n"/>
      <c r="AG166" s="370" t="n"/>
      <c r="AH166" s="370" t="n"/>
      <c r="AI166" s="370" t="n"/>
      <c r="AK166" s="370" t="inlineStr">
        <is>
          <t xml:space="preserve">NON-BASE LEASE BUT NEED DATA FOR THIS NBHD.                       </t>
        </is>
      </c>
      <c r="AL166" s="370" t="n"/>
      <c r="AM166" s="370" t="n"/>
      <c r="AN166" s="370" t="n"/>
      <c r="AO166" s="370" t="n"/>
      <c r="AP166" s="370" t="n"/>
      <c r="AQ166" s="370" t="n"/>
    </row>
    <row r="167">
      <c r="A167" s="383" t="n">
        <v>6</v>
      </c>
      <c r="B167" s="370" t="n">
        <v>162</v>
      </c>
      <c r="C167" s="370" t="inlineStr">
        <is>
          <t>2013Q</t>
        </is>
      </c>
      <c r="D167" s="370" t="inlineStr">
        <is>
          <t xml:space="preserve">05041-07-020-000 </t>
        </is>
      </c>
      <c r="E167" s="369" t="inlineStr">
        <is>
          <t>Actual</t>
        </is>
      </c>
      <c r="F167" s="370" t="inlineStr">
        <is>
          <t>1305   OSAGE                ST</t>
        </is>
      </c>
      <c r="G167" s="370" t="n">
        <v>44.1</v>
      </c>
      <c r="H167" s="370" t="n">
        <v>9505</v>
      </c>
      <c r="I167" s="369" t="n">
        <v>0</v>
      </c>
      <c r="J167" s="674" t="n">
        <v>10600</v>
      </c>
      <c r="K167" s="675" t="n">
        <v>8.490566037735849</v>
      </c>
      <c r="L167" s="385" t="n">
        <v>0</v>
      </c>
      <c r="M167" s="374" t="n">
        <v>0</v>
      </c>
      <c r="N167" s="370" t="n">
        <v>1966</v>
      </c>
      <c r="O167" s="370" t="n">
        <v>3480</v>
      </c>
      <c r="P167" s="370" t="n">
        <v>0</v>
      </c>
      <c r="Q167" s="370" t="n">
        <v>13</v>
      </c>
      <c r="R167" s="370" t="n">
        <v>8</v>
      </c>
      <c r="S167" s="370" t="n">
        <v>1</v>
      </c>
      <c r="T167" s="369" t="inlineStr">
        <is>
          <t xml:space="preserve">G-MX-3      </t>
        </is>
      </c>
      <c r="U167" s="370" t="n">
        <v>397</v>
      </c>
      <c r="V167" s="674" t="n">
        <v>25019</v>
      </c>
      <c r="W167" s="674" t="n">
        <v>25000</v>
      </c>
      <c r="X167" s="676" t="inlineStr">
        <is>
          <t>2.4:1</t>
        </is>
      </c>
      <c r="Y167" s="674" t="n">
        <v>11000</v>
      </c>
      <c r="Z167" s="369" t="inlineStr">
        <is>
          <t xml:space="preserve">C </t>
        </is>
      </c>
      <c r="AA167" s="370" t="n"/>
      <c r="AB167" s="370" t="n"/>
      <c r="AC167" s="370" t="n"/>
      <c r="AD167" s="370" t="inlineStr">
        <is>
          <t xml:space="preserve">DIST-J-8 EQUIPMENT  </t>
        </is>
      </c>
      <c r="AE167" s="370" t="n"/>
      <c r="AF167" s="370" t="n"/>
      <c r="AG167" s="370" t="n"/>
      <c r="AH167" s="370" t="n"/>
      <c r="AI167" s="370" t="n"/>
      <c r="AK167" s="370" t="inlineStr">
        <is>
          <t>                                                                  </t>
        </is>
      </c>
      <c r="AL167" s="370" t="n"/>
      <c r="AM167" s="370" t="n"/>
      <c r="AN167" s="370" t="n"/>
      <c r="AO167" s="370" t="n"/>
      <c r="AP167" s="370" t="n"/>
      <c r="AQ167" s="370" t="n"/>
    </row>
    <row r="168">
      <c r="A168" s="383" t="n">
        <v>6</v>
      </c>
      <c r="B168" s="370" t="n">
        <v>163</v>
      </c>
      <c r="C168" s="370" t="inlineStr">
        <is>
          <t>2013Q</t>
        </is>
      </c>
      <c r="D168" s="370" t="inlineStr">
        <is>
          <t xml:space="preserve">05042-01-047-000 </t>
        </is>
      </c>
      <c r="E168" s="369" t="inlineStr">
        <is>
          <t>Actual</t>
        </is>
      </c>
      <c r="F168" s="370" t="inlineStr">
        <is>
          <t>1801 W COLFAX               AV</t>
        </is>
      </c>
      <c r="G168" s="370" t="n">
        <v>44.1</v>
      </c>
      <c r="H168" s="370" t="n">
        <v>9505</v>
      </c>
      <c r="I168" s="369" t="n">
        <v>0</v>
      </c>
      <c r="J168" s="674" t="n">
        <v>5038</v>
      </c>
      <c r="K168" s="675" t="n">
        <v>4.327113934100834</v>
      </c>
      <c r="L168" s="385" t="n">
        <v>0</v>
      </c>
      <c r="M168" s="374" t="n">
        <v>0.261605504587156</v>
      </c>
      <c r="N168" s="370" t="n">
        <v>1953</v>
      </c>
      <c r="O168" s="370" t="n">
        <v>325</v>
      </c>
      <c r="P168" s="370" t="n">
        <v>0</v>
      </c>
      <c r="Q168" s="370" t="n">
        <v>13</v>
      </c>
      <c r="R168" s="370" t="n">
        <v>6</v>
      </c>
      <c r="S168" s="370" t="n">
        <v>1</v>
      </c>
      <c r="T168" s="369" t="inlineStr">
        <is>
          <t xml:space="preserve">I-B         </t>
        </is>
      </c>
      <c r="U168" s="370" t="n">
        <v>398</v>
      </c>
      <c r="V168" s="674" t="n">
        <v>25929</v>
      </c>
      <c r="W168" s="674" t="n">
        <v>26000</v>
      </c>
      <c r="X168" s="676" t="inlineStr">
        <is>
          <t>5.1:1</t>
        </is>
      </c>
      <c r="Y168" s="674" t="n">
        <v>5000</v>
      </c>
      <c r="Z168" s="369" t="inlineStr">
        <is>
          <t xml:space="preserve">C </t>
        </is>
      </c>
      <c r="AA168" s="370" t="n"/>
      <c r="AB168" s="370" t="n"/>
      <c r="AC168" s="370" t="n"/>
      <c r="AD168" s="370" t="inlineStr">
        <is>
          <t>                    </t>
        </is>
      </c>
      <c r="AE168" s="370" t="n"/>
      <c r="AF168" s="370" t="n"/>
      <c r="AG168" s="370" t="n"/>
      <c r="AH168" s="370" t="n"/>
      <c r="AI168" s="370" t="n"/>
      <c r="AK168" s="370" t="inlineStr">
        <is>
          <t xml:space="preserve">2010 LEASE.                                                       </t>
        </is>
      </c>
      <c r="AL168" s="370" t="n"/>
      <c r="AM168" s="370" t="n"/>
      <c r="AN168" s="370" t="n"/>
      <c r="AO168" s="370" t="n"/>
      <c r="AP168" s="370" t="n"/>
      <c r="AQ168" s="370" t="n"/>
    </row>
    <row r="169">
      <c r="A169" s="383" t="n">
        <v>6</v>
      </c>
      <c r="B169" s="370" t="n">
        <v>164</v>
      </c>
      <c r="C169" s="370" t="inlineStr">
        <is>
          <t>2013Q</t>
        </is>
      </c>
      <c r="D169" s="370" t="inlineStr">
        <is>
          <t xml:space="preserve">05042-01-049-000 </t>
        </is>
      </c>
      <c r="E169" s="369" t="inlineStr">
        <is>
          <t>Actual</t>
        </is>
      </c>
      <c r="F169" s="370" t="inlineStr">
        <is>
          <t>1835 W COLFAX               AV</t>
        </is>
      </c>
      <c r="G169" s="370" t="n">
        <v>44.1</v>
      </c>
      <c r="H169" s="370" t="n">
        <v>9505</v>
      </c>
      <c r="I169" s="369" t="n">
        <v>0</v>
      </c>
      <c r="J169" s="674" t="n">
        <v>6022</v>
      </c>
      <c r="K169" s="675" t="n">
        <v>6.57588840916639</v>
      </c>
      <c r="L169" s="385" t="n">
        <v>0</v>
      </c>
      <c r="M169" s="374" t="n">
        <v>0.2259848484848485</v>
      </c>
      <c r="N169" s="370" t="n">
        <v>1981</v>
      </c>
      <c r="O169" s="370" t="n">
        <v>1470</v>
      </c>
      <c r="P169" s="370" t="n">
        <v>0</v>
      </c>
      <c r="Q169" s="370" t="n">
        <v>15</v>
      </c>
      <c r="R169" s="370" t="n">
        <v>3</v>
      </c>
      <c r="S169" s="370" t="n">
        <v>1</v>
      </c>
      <c r="T169" s="369" t="inlineStr">
        <is>
          <t xml:space="preserve">I-B         </t>
        </is>
      </c>
      <c r="U169" s="370" t="n">
        <v>398</v>
      </c>
      <c r="V169" s="674" t="n">
        <v>13115</v>
      </c>
      <c r="W169" s="674" t="n">
        <v>13000</v>
      </c>
      <c r="X169" s="676" t="inlineStr">
        <is>
          <t>2.2:1</t>
        </is>
      </c>
      <c r="Y169" s="674" t="n">
        <v>6000</v>
      </c>
      <c r="Z169" s="369" t="inlineStr">
        <is>
          <t xml:space="preserve">C </t>
        </is>
      </c>
      <c r="AA169" s="370" t="n"/>
      <c r="AB169" s="370" t="n"/>
      <c r="AC169" s="370" t="n"/>
      <c r="AD169" s="370" t="inlineStr">
        <is>
          <t>                    </t>
        </is>
      </c>
      <c r="AE169" s="370" t="n"/>
      <c r="AF169" s="370" t="n"/>
      <c r="AG169" s="370" t="n"/>
      <c r="AH169" s="370" t="n"/>
      <c r="AI169" s="370" t="n"/>
      <c r="AK169" s="370" t="inlineStr">
        <is>
          <t xml:space="preserve">2010 LEASE.                                                       </t>
        </is>
      </c>
      <c r="AL169" s="370" t="n"/>
      <c r="AM169" s="370" t="n"/>
      <c r="AN169" s="370" t="n"/>
      <c r="AO169" s="370" t="n"/>
      <c r="AP169" s="370" t="n"/>
      <c r="AQ169" s="370" t="n"/>
    </row>
    <row r="170">
      <c r="A170" s="383" t="n">
        <v>6</v>
      </c>
      <c r="B170" s="370" t="n">
        <v>165</v>
      </c>
      <c r="C170" s="370" t="inlineStr">
        <is>
          <t>2013Q</t>
        </is>
      </c>
      <c r="D170" s="370" t="inlineStr">
        <is>
          <t xml:space="preserve">05042-14-011-000 </t>
        </is>
      </c>
      <c r="E170" s="369" t="inlineStr">
        <is>
          <t>Actual</t>
        </is>
      </c>
      <c r="F170" s="370" t="inlineStr">
        <is>
          <t>1945 W 13TH                 AV</t>
        </is>
      </c>
      <c r="G170" s="370" t="n">
        <v>44.2</v>
      </c>
      <c r="H170" s="370" t="n">
        <v>9505</v>
      </c>
      <c r="I170" s="369" t="n">
        <v>0</v>
      </c>
      <c r="J170" s="674" t="n">
        <v>32231</v>
      </c>
      <c r="K170" s="675" t="n">
        <v>4.950761689057119</v>
      </c>
      <c r="L170" s="385" t="n">
        <v>0</v>
      </c>
      <c r="M170" s="374" t="n">
        <v>0.06517597513285872</v>
      </c>
      <c r="N170" s="370" t="n">
        <v>1972</v>
      </c>
      <c r="O170" s="370" t="n">
        <v>5413</v>
      </c>
      <c r="P170" s="370" t="n">
        <v>0</v>
      </c>
      <c r="Q170" s="370" t="n">
        <v>24</v>
      </c>
      <c r="R170" s="370" t="n">
        <v>14</v>
      </c>
      <c r="S170" s="370" t="n">
        <v>3</v>
      </c>
      <c r="T170" s="369" t="inlineStr">
        <is>
          <t xml:space="preserve">I-MX-5      </t>
        </is>
      </c>
      <c r="U170" s="370" t="n">
        <v>398</v>
      </c>
      <c r="V170" s="674" t="n">
        <v>53550</v>
      </c>
      <c r="W170" s="674" t="n">
        <v>54000</v>
      </c>
      <c r="X170" s="676" t="inlineStr">
        <is>
          <t>1.7:1</t>
        </is>
      </c>
      <c r="Y170" s="674" t="n">
        <v>32000</v>
      </c>
      <c r="Z170" s="369" t="inlineStr">
        <is>
          <t xml:space="preserve">C </t>
        </is>
      </c>
      <c r="AA170" s="370" t="n"/>
      <c r="AB170" s="370" t="n"/>
      <c r="AC170" s="370" t="n"/>
      <c r="AD170" s="370" t="inlineStr">
        <is>
          <t>                    </t>
        </is>
      </c>
      <c r="AE170" s="370" t="n"/>
      <c r="AF170" s="370" t="n"/>
      <c r="AG170" s="370" t="n"/>
      <c r="AH170" s="370" t="n"/>
      <c r="AI170" s="370" t="n"/>
      <c r="AK170" s="370" t="inlineStr">
        <is>
          <t xml:space="preserve">LEASE COMMENCEMENT UNKNOWN.                                       </t>
        </is>
      </c>
      <c r="AL170" s="370" t="n"/>
      <c r="AM170" s="370" t="n"/>
      <c r="AN170" s="370" t="n"/>
      <c r="AO170" s="370" t="n"/>
      <c r="AP170" s="370" t="n"/>
      <c r="AQ170" s="370" t="n"/>
    </row>
    <row r="171">
      <c r="A171" s="383" t="n">
        <v>6</v>
      </c>
      <c r="B171" s="370" t="n">
        <v>166</v>
      </c>
      <c r="C171" s="370" t="inlineStr">
        <is>
          <t>2013Q</t>
        </is>
      </c>
      <c r="D171" s="370" t="inlineStr">
        <is>
          <t xml:space="preserve">05042-15-002-000 </t>
        </is>
      </c>
      <c r="E171" s="369" t="inlineStr">
        <is>
          <t>Actual</t>
        </is>
      </c>
      <c r="F171" s="370" t="inlineStr">
        <is>
          <t>1881 W 13TH                 AV</t>
        </is>
      </c>
      <c r="G171" s="370" t="n">
        <v>44.1</v>
      </c>
      <c r="H171" s="370" t="n">
        <v>9505</v>
      </c>
      <c r="I171" s="369" t="n">
        <v>0</v>
      </c>
      <c r="J171" s="674" t="n">
        <v>8944</v>
      </c>
      <c r="K171" s="675" t="n">
        <v>4.659660107334526</v>
      </c>
      <c r="L171" s="385" t="n">
        <v>0</v>
      </c>
      <c r="M171" s="374" t="n">
        <v>0</v>
      </c>
      <c r="N171" s="370" t="n">
        <v>1985</v>
      </c>
      <c r="O171" s="370" t="n">
        <v>5199</v>
      </c>
      <c r="P171" s="370" t="n">
        <v>0</v>
      </c>
      <c r="Q171" s="370" t="n">
        <v>20</v>
      </c>
      <c r="R171" s="370" t="n">
        <v>3</v>
      </c>
      <c r="S171" s="370" t="n">
        <v>1</v>
      </c>
      <c r="T171" s="369" t="inlineStr">
        <is>
          <t xml:space="preserve">I-MX-5      </t>
        </is>
      </c>
      <c r="U171" s="370" t="n">
        <v>398</v>
      </c>
      <c r="V171" s="674" t="n">
        <v>53100</v>
      </c>
      <c r="W171" s="674" t="n">
        <v>53000</v>
      </c>
      <c r="X171" s="676" t="inlineStr">
        <is>
          <t>5.9:1</t>
        </is>
      </c>
      <c r="Y171" s="674" t="n">
        <v>9000</v>
      </c>
      <c r="Z171" s="369" t="inlineStr">
        <is>
          <t xml:space="preserve">C </t>
        </is>
      </c>
      <c r="AA171" s="370" t="n"/>
      <c r="AB171" s="370" t="n"/>
      <c r="AC171" s="370" t="n"/>
      <c r="AD171" s="370" t="inlineStr">
        <is>
          <t xml:space="preserve">CFI WEST            </t>
        </is>
      </c>
      <c r="AE171" s="370" t="n"/>
      <c r="AF171" s="370" t="n"/>
      <c r="AG171" s="370" t="n"/>
      <c r="AH171" s="370" t="n"/>
      <c r="AI171" s="370" t="n"/>
      <c r="AK171" s="370" t="inlineStr">
        <is>
          <t>                                                                  </t>
        </is>
      </c>
      <c r="AL171" s="370" t="n"/>
      <c r="AM171" s="370" t="n"/>
      <c r="AN171" s="370" t="n"/>
      <c r="AO171" s="370" t="n"/>
      <c r="AP171" s="370" t="n"/>
      <c r="AQ171" s="370" t="n"/>
    </row>
    <row r="172">
      <c r="A172" s="383" t="n">
        <v>6</v>
      </c>
      <c r="B172" s="370" t="n">
        <v>167</v>
      </c>
      <c r="C172" s="370" t="inlineStr">
        <is>
          <t>2013Q</t>
        </is>
      </c>
      <c r="D172" s="370" t="inlineStr">
        <is>
          <t xml:space="preserve">05042-18-014-000 </t>
        </is>
      </c>
      <c r="E172" s="369" t="inlineStr">
        <is>
          <t>Actual</t>
        </is>
      </c>
      <c r="F172" s="370" t="inlineStr">
        <is>
          <t>1201   PECOS                ST</t>
        </is>
      </c>
      <c r="G172" s="370" t="n">
        <v>47.1</v>
      </c>
      <c r="H172" s="370" t="n">
        <v>9505</v>
      </c>
      <c r="I172" s="369" t="n">
        <v>0</v>
      </c>
      <c r="J172" s="674" t="n">
        <v>5328</v>
      </c>
      <c r="K172" s="675" t="n">
        <v>3.378378378378379</v>
      </c>
      <c r="L172" s="385" t="n">
        <v>0</v>
      </c>
      <c r="M172" s="374" t="n">
        <v>0</v>
      </c>
      <c r="N172" s="370" t="n">
        <v>1952</v>
      </c>
      <c r="O172" s="370" t="n">
        <v>0</v>
      </c>
      <c r="P172" s="370" t="n">
        <v>0</v>
      </c>
      <c r="Q172" s="370" t="n">
        <v>12</v>
      </c>
      <c r="R172" s="370" t="n">
        <v>1</v>
      </c>
      <c r="S172" s="370" t="n">
        <v>1</v>
      </c>
      <c r="T172" s="369" t="inlineStr">
        <is>
          <t xml:space="preserve">I-MX-5      </t>
        </is>
      </c>
      <c r="U172" s="370" t="n">
        <v>401</v>
      </c>
      <c r="V172" s="674" t="n">
        <v>10845</v>
      </c>
      <c r="W172" s="674" t="n">
        <v>11000</v>
      </c>
      <c r="X172" s="676" t="inlineStr">
        <is>
          <t>2:1</t>
        </is>
      </c>
      <c r="Y172" s="674" t="n">
        <v>5000</v>
      </c>
      <c r="Z172" s="369" t="inlineStr">
        <is>
          <t xml:space="preserve">C </t>
        </is>
      </c>
      <c r="AA172" s="370" t="n"/>
      <c r="AB172" s="370" t="n"/>
      <c r="AC172" s="370" t="n"/>
      <c r="AD172" s="370" t="inlineStr">
        <is>
          <t>                    </t>
        </is>
      </c>
      <c r="AE172" s="370" t="n"/>
      <c r="AF172" s="370" t="n"/>
      <c r="AG172" s="370" t="n"/>
      <c r="AH172" s="370" t="n"/>
      <c r="AI172" s="370" t="n"/>
      <c r="AK172" s="370" t="inlineStr">
        <is>
          <t xml:space="preserve">LEASE COMMENCEMENT UNKNOWN.                                       </t>
        </is>
      </c>
      <c r="AL172" s="370" t="n"/>
      <c r="AM172" s="370" t="n"/>
      <c r="AN172" s="370" t="n"/>
      <c r="AO172" s="370" t="n"/>
      <c r="AP172" s="370" t="n"/>
      <c r="AQ172" s="370" t="n"/>
    </row>
    <row r="173">
      <c r="A173" s="383" t="n">
        <v>6</v>
      </c>
      <c r="B173" s="370" t="n">
        <v>168</v>
      </c>
      <c r="C173" s="370" t="inlineStr">
        <is>
          <t>2013Q</t>
        </is>
      </c>
      <c r="D173" s="370" t="inlineStr">
        <is>
          <t xml:space="preserve">05042-22-025-000 </t>
        </is>
      </c>
      <c r="E173" s="369" t="inlineStr">
        <is>
          <t>Actual</t>
        </is>
      </c>
      <c r="F173" s="370" t="inlineStr">
        <is>
          <t>1965 W 12TH                 PL</t>
        </is>
      </c>
      <c r="G173" s="370" t="n">
        <v>44.1</v>
      </c>
      <c r="H173" s="370" t="n">
        <v>9505</v>
      </c>
      <c r="I173" s="369" t="n">
        <v>0</v>
      </c>
      <c r="J173" s="674" t="n">
        <v>6504</v>
      </c>
      <c r="K173" s="675" t="n">
        <v>7.564575645756458</v>
      </c>
      <c r="L173" s="385" t="n">
        <v>0</v>
      </c>
      <c r="M173" s="374" t="n">
        <v>0.03863821138211382</v>
      </c>
      <c r="N173" s="370" t="n">
        <v>1974</v>
      </c>
      <c r="O173" s="370" t="n">
        <v>720</v>
      </c>
      <c r="P173" s="370" t="n">
        <v>0</v>
      </c>
      <c r="Q173" s="370" t="n">
        <v>12</v>
      </c>
      <c r="R173" s="370" t="n">
        <v>1</v>
      </c>
      <c r="S173" s="370" t="n">
        <v>1</v>
      </c>
      <c r="T173" s="369" t="inlineStr">
        <is>
          <t xml:space="preserve">I-MX-5      </t>
        </is>
      </c>
      <c r="U173" s="370" t="n">
        <v>398</v>
      </c>
      <c r="V173" s="674" t="n">
        <v>15845</v>
      </c>
      <c r="W173" s="674" t="n">
        <v>16000</v>
      </c>
      <c r="X173" s="676" t="inlineStr">
        <is>
          <t>2.4:1</t>
        </is>
      </c>
      <c r="Y173" s="674" t="n">
        <v>7000</v>
      </c>
      <c r="Z173" s="369" t="inlineStr">
        <is>
          <t xml:space="preserve">C </t>
        </is>
      </c>
      <c r="AA173" s="370" t="n"/>
      <c r="AB173" s="370" t="n"/>
      <c r="AC173" s="370" t="n"/>
      <c r="AD173" s="370" t="inlineStr">
        <is>
          <t>                    </t>
        </is>
      </c>
      <c r="AE173" s="370" t="n"/>
      <c r="AF173" s="370" t="n"/>
      <c r="AG173" s="370" t="n"/>
      <c r="AH173" s="370" t="n"/>
      <c r="AI173" s="370" t="n"/>
      <c r="AK173" s="370" t="inlineStr">
        <is>
          <t>                                                                  </t>
        </is>
      </c>
      <c r="AL173" s="370" t="n"/>
      <c r="AM173" s="370" t="n"/>
      <c r="AN173" s="370" t="n"/>
      <c r="AO173" s="370" t="n"/>
      <c r="AP173" s="370" t="n"/>
      <c r="AQ173" s="370" t="n"/>
    </row>
    <row r="174">
      <c r="A174" s="383" t="n">
        <v>6</v>
      </c>
      <c r="B174" s="370" t="n">
        <v>169</v>
      </c>
      <c r="C174" s="370" t="inlineStr">
        <is>
          <t>2013Q</t>
        </is>
      </c>
      <c r="D174" s="370" t="inlineStr">
        <is>
          <t xml:space="preserve">05043-28-044-000 </t>
        </is>
      </c>
      <c r="E174" s="369" t="inlineStr">
        <is>
          <t>Actual</t>
        </is>
      </c>
      <c r="F174" s="370" t="inlineStr">
        <is>
          <t>900   WYANDOT              ST</t>
        </is>
      </c>
      <c r="G174" s="370" t="n">
        <v>44.2</v>
      </c>
      <c r="H174" s="370" t="n">
        <v>9505</v>
      </c>
      <c r="I174" s="369" t="n">
        <v>0</v>
      </c>
      <c r="J174" s="674" t="n">
        <v>38324</v>
      </c>
      <c r="K174" s="675" t="n">
        <v>5.636833315937793</v>
      </c>
      <c r="L174" s="385" t="n">
        <v>0</v>
      </c>
      <c r="M174" s="374" t="n">
        <v>0</v>
      </c>
      <c r="N174" s="370" t="n">
        <v>1979</v>
      </c>
      <c r="O174" s="370" t="n">
        <v>3210</v>
      </c>
      <c r="P174" s="370" t="n">
        <v>4222</v>
      </c>
      <c r="Q174" s="370" t="n">
        <v>20</v>
      </c>
      <c r="R174" s="370" t="n">
        <v>14</v>
      </c>
      <c r="S174" s="370" t="n">
        <v>2</v>
      </c>
      <c r="T174" s="369" t="inlineStr">
        <is>
          <t xml:space="preserve">I-B         </t>
        </is>
      </c>
      <c r="U174" s="370" t="n">
        <v>398</v>
      </c>
      <c r="V174" s="674" t="n">
        <v>58979</v>
      </c>
      <c r="W174" s="674" t="n">
        <v>59000</v>
      </c>
      <c r="X174" s="676" t="inlineStr">
        <is>
          <t>1.5:1</t>
        </is>
      </c>
      <c r="Y174" s="674" t="n">
        <v>38000</v>
      </c>
      <c r="Z174" s="369" t="inlineStr">
        <is>
          <t xml:space="preserve">C </t>
        </is>
      </c>
      <c r="AA174" s="370" t="n"/>
      <c r="AB174" s="370" t="n"/>
      <c r="AC174" s="370" t="n"/>
      <c r="AD174" s="370" t="inlineStr">
        <is>
          <t xml:space="preserve">M-WHSE              </t>
        </is>
      </c>
      <c r="AE174" s="370" t="n"/>
      <c r="AF174" s="370" t="n"/>
      <c r="AG174" s="370" t="n"/>
      <c r="AH174" s="370" t="n"/>
      <c r="AI174" s="370" t="n"/>
      <c r="AK174" s="370" t="inlineStr">
        <is>
          <t>                                                                  </t>
        </is>
      </c>
      <c r="AL174" s="370" t="n"/>
      <c r="AM174" s="370" t="n"/>
      <c r="AN174" s="370" t="n"/>
      <c r="AO174" s="370" t="n"/>
      <c r="AP174" s="370" t="n"/>
      <c r="AQ174" s="370" t="n"/>
    </row>
    <row r="175">
      <c r="A175" s="383" t="n">
        <v>6</v>
      </c>
      <c r="B175" s="370" t="n">
        <v>170</v>
      </c>
      <c r="C175" s="370" t="inlineStr">
        <is>
          <t>2013Q</t>
        </is>
      </c>
      <c r="D175" s="370" t="inlineStr">
        <is>
          <t xml:space="preserve">05043-38-001-000 </t>
        </is>
      </c>
      <c r="E175" s="369" t="inlineStr">
        <is>
          <t>Actual</t>
        </is>
      </c>
      <c r="F175" s="370" t="inlineStr">
        <is>
          <t>951   VALLEJO              ST</t>
        </is>
      </c>
      <c r="G175" s="370" t="n">
        <v>44.1</v>
      </c>
      <c r="H175" s="370" t="n">
        <v>9505</v>
      </c>
      <c r="I175" s="369" t="n">
        <v>0</v>
      </c>
      <c r="J175" s="674" t="n">
        <v>6035</v>
      </c>
      <c r="K175" s="675" t="n">
        <v>10.93620546810273</v>
      </c>
      <c r="L175" s="385" t="n">
        <v>0</v>
      </c>
      <c r="M175" s="374" t="n">
        <v>0.0556969696969697</v>
      </c>
      <c r="N175" s="370" t="n">
        <v>1963</v>
      </c>
      <c r="O175" s="370" t="n">
        <v>3240</v>
      </c>
      <c r="P175" s="370" t="n">
        <v>0</v>
      </c>
      <c r="Q175" s="370" t="n">
        <v>14</v>
      </c>
      <c r="R175" s="370" t="n">
        <v>1</v>
      </c>
      <c r="S175" s="370" t="n">
        <v>2</v>
      </c>
      <c r="T175" s="369" t="inlineStr">
        <is>
          <t xml:space="preserve">I-B         </t>
        </is>
      </c>
      <c r="U175" s="370" t="n">
        <v>398</v>
      </c>
      <c r="V175" s="674" t="n">
        <v>13219</v>
      </c>
      <c r="W175" s="674" t="n">
        <v>13000</v>
      </c>
      <c r="X175" s="676" t="inlineStr">
        <is>
          <t>2.2:1</t>
        </is>
      </c>
      <c r="Y175" s="674" t="n">
        <v>6000</v>
      </c>
      <c r="Z175" s="369" t="inlineStr">
        <is>
          <t xml:space="preserve">C </t>
        </is>
      </c>
      <c r="AA175" s="370" t="n"/>
      <c r="AB175" s="370" t="n"/>
      <c r="AC175" s="370" t="n"/>
      <c r="AD175" s="370" t="inlineStr">
        <is>
          <t>                    </t>
        </is>
      </c>
      <c r="AE175" s="370" t="n"/>
      <c r="AF175" s="370" t="n"/>
      <c r="AG175" s="370" t="n"/>
      <c r="AH175" s="370" t="n"/>
      <c r="AI175" s="370" t="n"/>
      <c r="AK175" s="370" t="inlineStr">
        <is>
          <t>                                                                  </t>
        </is>
      </c>
      <c r="AL175" s="370" t="n"/>
      <c r="AM175" s="370" t="n"/>
      <c r="AN175" s="370" t="n"/>
      <c r="AO175" s="370" t="n"/>
      <c r="AP175" s="370" t="n"/>
      <c r="AQ175" s="370" t="n"/>
    </row>
    <row r="176">
      <c r="A176" s="383" t="n">
        <v>6</v>
      </c>
      <c r="B176" s="370" t="n">
        <v>171</v>
      </c>
      <c r="C176" s="370" t="inlineStr">
        <is>
          <t>2013Q</t>
        </is>
      </c>
      <c r="D176" s="370" t="inlineStr">
        <is>
          <t xml:space="preserve">05044-17-007-000 </t>
        </is>
      </c>
      <c r="E176" s="369" t="inlineStr">
        <is>
          <t>Actual</t>
        </is>
      </c>
      <c r="F176" s="370" t="inlineStr">
        <is>
          <t>845   NAVAJO               ST</t>
        </is>
      </c>
      <c r="G176" s="370" t="n">
        <v>44.1</v>
      </c>
      <c r="H176" s="370" t="n">
        <v>9505</v>
      </c>
      <c r="I176" s="369" t="n">
        <v>0</v>
      </c>
      <c r="J176" s="674" t="n">
        <v>5580</v>
      </c>
      <c r="K176" s="675" t="n">
        <v>11.82795698924731</v>
      </c>
      <c r="L176" s="385" t="n">
        <v>0</v>
      </c>
      <c r="M176" s="374" t="n">
        <v>0</v>
      </c>
      <c r="N176" s="370" t="n">
        <v>1965</v>
      </c>
      <c r="O176" s="370" t="n">
        <v>1571</v>
      </c>
      <c r="P176" s="370" t="n">
        <v>0</v>
      </c>
      <c r="Q176" s="370" t="n">
        <v>15</v>
      </c>
      <c r="R176" s="370" t="n">
        <v>3</v>
      </c>
      <c r="S176" s="370" t="n">
        <v>1</v>
      </c>
      <c r="T176" s="369" t="inlineStr">
        <is>
          <t xml:space="preserve">I-A         </t>
        </is>
      </c>
      <c r="U176" s="370" t="n">
        <v>398</v>
      </c>
      <c r="V176" s="674" t="n">
        <v>8800</v>
      </c>
      <c r="W176" s="674" t="n">
        <v>9000</v>
      </c>
      <c r="X176" s="676" t="inlineStr">
        <is>
          <t>1.6:1</t>
        </is>
      </c>
      <c r="Y176" s="674" t="n">
        <v>6000</v>
      </c>
      <c r="Z176" s="369" t="inlineStr">
        <is>
          <t xml:space="preserve">C </t>
        </is>
      </c>
      <c r="AA176" s="370" t="n"/>
      <c r="AB176" s="370" t="n"/>
      <c r="AC176" s="370" t="n"/>
      <c r="AD176" s="370" t="inlineStr">
        <is>
          <t>                    </t>
        </is>
      </c>
      <c r="AE176" s="370" t="n"/>
      <c r="AF176" s="370" t="n"/>
      <c r="AG176" s="370" t="n"/>
      <c r="AH176" s="370" t="n"/>
      <c r="AI176" s="370" t="n"/>
      <c r="AK176" s="370" t="inlineStr">
        <is>
          <t xml:space="preserve">2009 LEASE.                                                       </t>
        </is>
      </c>
      <c r="AL176" s="370" t="n"/>
      <c r="AM176" s="370" t="n"/>
      <c r="AN176" s="370" t="n"/>
      <c r="AO176" s="370" t="n"/>
      <c r="AP176" s="370" t="n"/>
      <c r="AQ176" s="370" t="n"/>
    </row>
    <row r="177">
      <c r="A177" s="383" t="n">
        <v>6</v>
      </c>
      <c r="B177" s="370" t="n">
        <v>171.2</v>
      </c>
      <c r="C177" s="370" t="inlineStr">
        <is>
          <t>2013Q</t>
        </is>
      </c>
      <c r="D177" s="370" t="inlineStr">
        <is>
          <t>05044-23-035-000</t>
        </is>
      </c>
      <c r="E177" s="369" t="inlineStr">
        <is>
          <t>Actual</t>
        </is>
      </c>
      <c r="F177" s="370" t="inlineStr">
        <is>
          <t>680 Lipan St</t>
        </is>
      </c>
      <c r="G177" s="370" t="n">
        <v>44.2</v>
      </c>
      <c r="H177" s="370" t="n">
        <v>9505</v>
      </c>
      <c r="I177" s="369" t="n">
        <v>0</v>
      </c>
      <c r="J177" s="674" t="n">
        <v>14906</v>
      </c>
      <c r="K177" s="675" t="n">
        <v>4.75</v>
      </c>
      <c r="L177" s="385" t="n">
        <v>0</v>
      </c>
      <c r="M177" s="374" t="n">
        <v>0.05</v>
      </c>
      <c r="N177" s="370" t="n">
        <v>1963</v>
      </c>
      <c r="O177" s="370" t="n">
        <v>5000</v>
      </c>
      <c r="P177" s="370" t="n">
        <v>0</v>
      </c>
      <c r="Q177" s="370" t="n">
        <v>19</v>
      </c>
      <c r="R177" s="370" t="n">
        <v>3</v>
      </c>
      <c r="S177" s="370" t="n">
        <v>1</v>
      </c>
      <c r="T177" s="369" t="inlineStr">
        <is>
          <t xml:space="preserve">I-A         </t>
        </is>
      </c>
      <c r="U177" s="370" t="n">
        <v>398</v>
      </c>
      <c r="V177" s="674" t="n">
        <v>31899</v>
      </c>
      <c r="W177" s="674" t="n">
        <v>32000</v>
      </c>
      <c r="X177" s="676" t="inlineStr">
        <is>
          <t>2.1:1</t>
        </is>
      </c>
      <c r="Y177" s="674" t="n">
        <v>15000</v>
      </c>
      <c r="Z177" s="369" t="inlineStr">
        <is>
          <t xml:space="preserve">C </t>
        </is>
      </c>
      <c r="AA177" s="370" t="n"/>
      <c r="AB177" s="370" t="n"/>
      <c r="AC177" s="370" t="n"/>
      <c r="AD177" s="370" t="n"/>
      <c r="AE177" s="370" t="n"/>
      <c r="AF177" s="370" t="n"/>
      <c r="AG177" s="370" t="n"/>
      <c r="AH177" s="370" t="n"/>
      <c r="AI177" s="370" t="n"/>
      <c r="AK177" s="370" t="n"/>
      <c r="AL177" s="370" t="n"/>
      <c r="AM177" s="370" t="n"/>
      <c r="AN177" s="370" t="n"/>
      <c r="AO177" s="370" t="n"/>
      <c r="AP177" s="370" t="n"/>
      <c r="AQ177" s="370" t="n"/>
    </row>
    <row r="178">
      <c r="A178" s="383" t="n">
        <v>6</v>
      </c>
      <c r="B178" s="370" t="n">
        <v>172</v>
      </c>
      <c r="C178" s="370" t="inlineStr">
        <is>
          <t>2013Q</t>
        </is>
      </c>
      <c r="D178" s="370" t="inlineStr">
        <is>
          <t xml:space="preserve">05052-19-002-000 </t>
        </is>
      </c>
      <c r="E178" s="369" t="inlineStr">
        <is>
          <t>Actual</t>
        </is>
      </c>
      <c r="F178" s="370" t="inlineStr">
        <is>
          <t>3101 W 14TH                 AV</t>
        </is>
      </c>
      <c r="G178" s="370" t="n">
        <v>44.1</v>
      </c>
      <c r="H178" s="370" t="n">
        <v>9508</v>
      </c>
      <c r="I178" s="369" t="n">
        <v>0</v>
      </c>
      <c r="J178" s="674" t="n">
        <v>5000</v>
      </c>
      <c r="K178" s="675" t="n">
        <v>6</v>
      </c>
      <c r="L178" s="385" t="n">
        <v>0</v>
      </c>
      <c r="M178" s="374" t="n">
        <v>0.06423333333333334</v>
      </c>
      <c r="N178" s="370" t="n">
        <v>1972</v>
      </c>
      <c r="O178" s="370" t="n">
        <v>1600</v>
      </c>
      <c r="P178" s="370" t="n">
        <v>0</v>
      </c>
      <c r="Q178" s="370" t="n">
        <v>11</v>
      </c>
      <c r="R178" s="370" t="n">
        <v>8</v>
      </c>
      <c r="S178" s="370" t="n">
        <v>1</v>
      </c>
      <c r="T178" s="369" t="inlineStr">
        <is>
          <t xml:space="preserve">C-MX-5      </t>
        </is>
      </c>
      <c r="U178" s="370" t="n">
        <v>398</v>
      </c>
      <c r="V178" s="674" t="n">
        <v>17464</v>
      </c>
      <c r="W178" s="674" t="n">
        <v>17000</v>
      </c>
      <c r="X178" s="676" t="inlineStr">
        <is>
          <t>3.5:1</t>
        </is>
      </c>
      <c r="Y178" s="674" t="n">
        <v>5000</v>
      </c>
      <c r="Z178" s="369" t="inlineStr">
        <is>
          <t xml:space="preserve">C </t>
        </is>
      </c>
      <c r="AA178" s="370" t="n"/>
      <c r="AB178" s="370" t="n"/>
      <c r="AC178" s="370" t="n"/>
      <c r="AD178" s="370" t="inlineStr">
        <is>
          <t xml:space="preserve">MENTAL HEALTH SERV  </t>
        </is>
      </c>
      <c r="AE178" s="370" t="n"/>
      <c r="AF178" s="370" t="n"/>
      <c r="AG178" s="370" t="n"/>
      <c r="AH178" s="370" t="n"/>
      <c r="AI178" s="370" t="n"/>
      <c r="AK178" s="370" t="inlineStr">
        <is>
          <t xml:space="preserve">2010 LEASE PER COSTAR.                                            </t>
        </is>
      </c>
      <c r="AL178" s="370" t="n"/>
      <c r="AM178" s="370" t="n"/>
      <c r="AN178" s="370" t="n"/>
      <c r="AO178" s="370" t="n"/>
      <c r="AP178" s="370" t="n"/>
      <c r="AQ178" s="370" t="n"/>
    </row>
    <row r="179">
      <c r="A179" s="383" t="n">
        <v>6</v>
      </c>
      <c r="B179" s="370" t="n">
        <v>173</v>
      </c>
      <c r="C179" s="370" t="inlineStr">
        <is>
          <t>2013Q</t>
        </is>
      </c>
      <c r="D179" s="370" t="inlineStr">
        <is>
          <t xml:space="preserve">05054-25-003-000 </t>
        </is>
      </c>
      <c r="E179" s="369" t="inlineStr">
        <is>
          <t>Actual</t>
        </is>
      </c>
      <c r="F179" s="370" t="inlineStr">
        <is>
          <t>2506 W BARBERRY             PL</t>
        </is>
      </c>
      <c r="G179" s="370" t="n">
        <v>44.2</v>
      </c>
      <c r="H179" s="370" t="n">
        <v>9508</v>
      </c>
      <c r="I179" s="369" t="n">
        <v>0</v>
      </c>
      <c r="J179" s="674" t="n">
        <v>45304</v>
      </c>
      <c r="K179" s="675" t="n">
        <v>5.734460533286244</v>
      </c>
      <c r="L179" s="385" t="n">
        <v>0</v>
      </c>
      <c r="M179" s="374" t="n">
        <v>0.1716167424959776</v>
      </c>
      <c r="N179" s="370" t="n">
        <v>1961</v>
      </c>
      <c r="O179" s="370" t="n">
        <v>9060</v>
      </c>
      <c r="P179" s="370" t="n">
        <v>0</v>
      </c>
      <c r="Q179" s="370" t="n">
        <v>17</v>
      </c>
      <c r="R179" s="370" t="n">
        <v>1</v>
      </c>
      <c r="S179" s="370" t="n">
        <v>1</v>
      </c>
      <c r="T179" s="369" t="inlineStr">
        <is>
          <t xml:space="preserve">I-A         </t>
        </is>
      </c>
      <c r="U179" s="370" t="n">
        <v>398</v>
      </c>
      <c r="V179" s="674" t="n">
        <v>77700</v>
      </c>
      <c r="W179" s="674" t="n">
        <v>78000</v>
      </c>
      <c r="X179" s="676" t="inlineStr">
        <is>
          <t>1.7:1</t>
        </is>
      </c>
      <c r="Y179" s="674" t="n">
        <v>45000</v>
      </c>
      <c r="Z179" s="369" t="inlineStr">
        <is>
          <t xml:space="preserve">C </t>
        </is>
      </c>
      <c r="AA179" s="370" t="n"/>
      <c r="AB179" s="370" t="n"/>
      <c r="AC179" s="370" t="n"/>
      <c r="AD179" s="370" t="inlineStr">
        <is>
          <t>                    </t>
        </is>
      </c>
      <c r="AE179" s="370" t="n"/>
      <c r="AF179" s="370" t="n"/>
      <c r="AG179" s="370" t="n"/>
      <c r="AH179" s="370" t="n"/>
      <c r="AI179" s="370" t="n"/>
      <c r="AK179" s="370" t="inlineStr">
        <is>
          <t xml:space="preserve">AGE OF LEASES UNKNOWN.                                            </t>
        </is>
      </c>
      <c r="AL179" s="370" t="n"/>
      <c r="AM179" s="370" t="n"/>
      <c r="AN179" s="370" t="n"/>
      <c r="AO179" s="370" t="n"/>
      <c r="AP179" s="370" t="n"/>
      <c r="AQ179" s="370" t="n"/>
    </row>
    <row r="180">
      <c r="A180" s="383" t="n">
        <v>6</v>
      </c>
      <c r="B180" s="370" t="n">
        <v>174</v>
      </c>
      <c r="C180" s="370" t="inlineStr">
        <is>
          <t>2013Q</t>
        </is>
      </c>
      <c r="D180" s="370" t="inlineStr">
        <is>
          <t xml:space="preserve">05062-04-018-000 </t>
        </is>
      </c>
      <c r="E180" s="369" t="inlineStr">
        <is>
          <t>Actual</t>
        </is>
      </c>
      <c r="F180" s="370" t="inlineStr">
        <is>
          <t>4700 W COLFAX               AV</t>
        </is>
      </c>
      <c r="G180" s="677" t="n">
        <v>46</v>
      </c>
      <c r="H180" s="370" t="n">
        <v>9508</v>
      </c>
      <c r="I180" s="369" t="n">
        <v>4</v>
      </c>
      <c r="J180" s="674" t="n">
        <v>7221</v>
      </c>
      <c r="K180" s="675" t="n">
        <v>6.857142857142857</v>
      </c>
      <c r="L180" s="385" t="n">
        <v>0</v>
      </c>
      <c r="M180" s="374" t="n">
        <v>0</v>
      </c>
      <c r="N180" s="370" t="n">
        <v>1948</v>
      </c>
      <c r="O180" s="370" t="n">
        <v>0</v>
      </c>
      <c r="P180" s="370" t="n">
        <v>0</v>
      </c>
      <c r="Q180" s="370" t="n">
        <v>12</v>
      </c>
      <c r="R180" s="370" t="n">
        <v>1</v>
      </c>
      <c r="S180" s="370" t="n">
        <v>1</v>
      </c>
      <c r="T180" s="369" t="inlineStr">
        <is>
          <t xml:space="preserve">U-MS-5      </t>
        </is>
      </c>
      <c r="U180" s="370" t="n">
        <v>401</v>
      </c>
      <c r="V180" s="674" t="n">
        <v>12500</v>
      </c>
      <c r="W180" s="674" t="n">
        <v>13000</v>
      </c>
      <c r="X180" s="676" t="inlineStr">
        <is>
          <t>1.7:1</t>
        </is>
      </c>
      <c r="Y180" s="674" t="n">
        <v>7000</v>
      </c>
      <c r="Z180" s="369" t="inlineStr">
        <is>
          <t xml:space="preserve">C </t>
        </is>
      </c>
      <c r="AA180" s="370" t="n"/>
      <c r="AB180" s="370" t="n"/>
      <c r="AC180" s="370" t="n"/>
      <c r="AD180" s="370" t="inlineStr">
        <is>
          <t>FRANK'S BBQ CATERING</t>
        </is>
      </c>
      <c r="AE180" s="370" t="n"/>
      <c r="AF180" s="370" t="n"/>
      <c r="AG180" s="370" t="n"/>
      <c r="AH180" s="370" t="n"/>
      <c r="AI180" s="370" t="n"/>
      <c r="AK180" s="370" t="inlineStr">
        <is>
          <t>                                                                  </t>
        </is>
      </c>
      <c r="AL180" s="370" t="n"/>
      <c r="AM180" s="370" t="n"/>
      <c r="AN180" s="370" t="n"/>
      <c r="AO180" s="370" t="n"/>
      <c r="AP180" s="370" t="n"/>
      <c r="AQ180" s="370" t="n"/>
    </row>
    <row r="181">
      <c r="A181" s="383" t="n">
        <v>6</v>
      </c>
      <c r="B181" s="370" t="n">
        <v>175</v>
      </c>
      <c r="C181" s="370" t="inlineStr">
        <is>
          <t>2013Q</t>
        </is>
      </c>
      <c r="D181" s="370" t="inlineStr">
        <is>
          <t xml:space="preserve">05081-04-016-000 </t>
        </is>
      </c>
      <c r="E181" s="369" t="inlineStr">
        <is>
          <t>Actual</t>
        </is>
      </c>
      <c r="F181" s="370" t="inlineStr">
        <is>
          <t>695   CANOSA               CT</t>
        </is>
      </c>
      <c r="G181" s="370" t="n">
        <v>44.2</v>
      </c>
      <c r="H181" s="370" t="n">
        <v>9508</v>
      </c>
      <c r="I181" s="369" t="n">
        <v>0</v>
      </c>
      <c r="J181" s="674" t="n">
        <v>18000</v>
      </c>
      <c r="K181" s="675" t="n">
        <v>6.366666666666666</v>
      </c>
      <c r="L181" s="385" t="n">
        <v>0</v>
      </c>
      <c r="M181" s="374" t="n">
        <v>0.04040139616055846</v>
      </c>
      <c r="N181" s="370" t="n">
        <v>1954</v>
      </c>
      <c r="O181" s="370" t="n">
        <v>4000</v>
      </c>
      <c r="P181" s="370" t="n">
        <v>0</v>
      </c>
      <c r="Q181" s="370" t="n">
        <v>14</v>
      </c>
      <c r="R181" s="370" t="n">
        <v>1</v>
      </c>
      <c r="S181" s="370" t="n">
        <v>2</v>
      </c>
      <c r="T181" s="369" t="inlineStr">
        <is>
          <t xml:space="preserve">I-A         </t>
        </is>
      </c>
      <c r="U181" s="370" t="n">
        <v>398</v>
      </c>
      <c r="V181" s="674" t="n">
        <v>34375</v>
      </c>
      <c r="W181" s="674" t="n">
        <v>34000</v>
      </c>
      <c r="X181" s="676" t="inlineStr">
        <is>
          <t>1.9:1</t>
        </is>
      </c>
      <c r="Y181" s="674" t="n">
        <v>18000</v>
      </c>
      <c r="Z181" s="369" t="inlineStr">
        <is>
          <t xml:space="preserve">C </t>
        </is>
      </c>
      <c r="AA181" s="370" t="n"/>
      <c r="AB181" s="370" t="n"/>
      <c r="AC181" s="370" t="n"/>
      <c r="AD181" s="370" t="inlineStr">
        <is>
          <t xml:space="preserve">M-W GREAT INDOORS   </t>
        </is>
      </c>
      <c r="AE181" s="370" t="n"/>
      <c r="AF181" s="370" t="n"/>
      <c r="AG181" s="370" t="n"/>
      <c r="AH181" s="370" t="n"/>
      <c r="AI181" s="370" t="n"/>
      <c r="AK181" s="370" t="inlineStr">
        <is>
          <t>                                                                  </t>
        </is>
      </c>
      <c r="AL181" s="370" t="n"/>
      <c r="AM181" s="370" t="n"/>
      <c r="AN181" s="370" t="n"/>
      <c r="AO181" s="370" t="n"/>
      <c r="AP181" s="370" t="n"/>
      <c r="AQ181" s="370" t="n"/>
    </row>
    <row r="182">
      <c r="A182" s="383" t="n">
        <v>6</v>
      </c>
      <c r="B182" s="370" t="n">
        <v>176</v>
      </c>
      <c r="C182" s="370" t="inlineStr">
        <is>
          <t>2013Q</t>
        </is>
      </c>
      <c r="D182" s="370" t="inlineStr">
        <is>
          <t xml:space="preserve">05081-06-019-000 </t>
        </is>
      </c>
      <c r="E182" s="369" t="inlineStr">
        <is>
          <t>Actual</t>
        </is>
      </c>
      <c r="F182" s="370" t="inlineStr">
        <is>
          <t>670   BRYANT               ST</t>
        </is>
      </c>
      <c r="G182" s="370" t="n">
        <v>44.1</v>
      </c>
      <c r="H182" s="370" t="n">
        <v>9508</v>
      </c>
      <c r="I182" s="369" t="n">
        <v>0</v>
      </c>
      <c r="J182" s="674" t="n">
        <v>3704</v>
      </c>
      <c r="K182" s="675" t="n">
        <v>7.775377969762419</v>
      </c>
      <c r="L182" s="385" t="n">
        <v>0</v>
      </c>
      <c r="M182" s="374" t="n">
        <v>0.08263888888888889</v>
      </c>
      <c r="N182" s="370" t="n">
        <v>1963</v>
      </c>
      <c r="O182" s="370" t="n">
        <v>644</v>
      </c>
      <c r="P182" s="370" t="n">
        <v>0</v>
      </c>
      <c r="Q182" s="370" t="n">
        <v>11</v>
      </c>
      <c r="R182" s="370" t="n">
        <v>1</v>
      </c>
      <c r="S182" s="370" t="n">
        <v>1</v>
      </c>
      <c r="T182" s="369" t="inlineStr">
        <is>
          <t xml:space="preserve">I-A         </t>
        </is>
      </c>
      <c r="U182" s="370" t="n">
        <v>398</v>
      </c>
      <c r="V182" s="674" t="n">
        <v>6000</v>
      </c>
      <c r="W182" s="674" t="n">
        <v>6000</v>
      </c>
      <c r="X182" s="676" t="inlineStr">
        <is>
          <t>1.6:1</t>
        </is>
      </c>
      <c r="Y182" s="674" t="n">
        <v>4000</v>
      </c>
      <c r="Z182" s="369" t="inlineStr">
        <is>
          <t xml:space="preserve">C </t>
        </is>
      </c>
      <c r="AA182" s="370" t="n"/>
      <c r="AB182" s="370" t="n"/>
      <c r="AC182" s="370" t="n"/>
      <c r="AD182" s="370" t="inlineStr">
        <is>
          <t xml:space="preserve">S-W LIQUID COFFEE   </t>
        </is>
      </c>
      <c r="AE182" s="370" t="n"/>
      <c r="AF182" s="370" t="n"/>
      <c r="AG182" s="370" t="n"/>
      <c r="AH182" s="370" t="n"/>
      <c r="AI182" s="370" t="n"/>
      <c r="AK182" s="370" t="inlineStr">
        <is>
          <t xml:space="preserve">2009 LEASE.                                                       </t>
        </is>
      </c>
      <c r="AL182" s="370" t="n"/>
      <c r="AM182" s="370" t="n"/>
      <c r="AN182" s="370" t="n"/>
      <c r="AO182" s="370" t="n"/>
      <c r="AP182" s="370" t="n"/>
      <c r="AQ182" s="370" t="n"/>
    </row>
    <row r="183">
      <c r="A183" s="383" t="n">
        <v>6</v>
      </c>
      <c r="B183" s="370" t="n">
        <v>177</v>
      </c>
      <c r="C183" s="370" t="inlineStr">
        <is>
          <t>2013Q</t>
        </is>
      </c>
      <c r="D183" s="370" t="inlineStr">
        <is>
          <t xml:space="preserve">05081-13-009-000 </t>
        </is>
      </c>
      <c r="E183" s="369" t="inlineStr">
        <is>
          <t>Actual</t>
        </is>
      </c>
      <c r="F183" s="370" t="inlineStr">
        <is>
          <t>2700 W 6TH                  AV</t>
        </is>
      </c>
      <c r="G183" s="370" t="n">
        <v>44.1</v>
      </c>
      <c r="H183" s="370" t="n">
        <v>9508</v>
      </c>
      <c r="I183" s="369" t="n">
        <v>0</v>
      </c>
      <c r="J183" s="674" t="n">
        <v>16096</v>
      </c>
      <c r="K183" s="675" t="n">
        <v>6.49875745526839</v>
      </c>
      <c r="L183" s="385" t="n">
        <v>0</v>
      </c>
      <c r="M183" s="374" t="n">
        <v>0.002867959160261558</v>
      </c>
      <c r="N183" s="370" t="n">
        <v>1960</v>
      </c>
      <c r="O183" s="370" t="n">
        <v>4848</v>
      </c>
      <c r="P183" s="370" t="n">
        <v>0</v>
      </c>
      <c r="Q183" s="370" t="n">
        <v>15</v>
      </c>
      <c r="R183" s="370" t="n">
        <v>3</v>
      </c>
      <c r="S183" s="370" t="n">
        <v>1</v>
      </c>
      <c r="T183" s="369" t="inlineStr">
        <is>
          <t xml:space="preserve">I-A         </t>
        </is>
      </c>
      <c r="U183" s="370" t="n">
        <v>398</v>
      </c>
      <c r="V183" s="674" t="n">
        <v>30000</v>
      </c>
      <c r="W183" s="674" t="n">
        <v>30000</v>
      </c>
      <c r="X183" s="676" t="inlineStr">
        <is>
          <t>1.9:1</t>
        </is>
      </c>
      <c r="Y183" s="674" t="n">
        <v>16000</v>
      </c>
      <c r="Z183" s="369" t="inlineStr">
        <is>
          <t xml:space="preserve">C </t>
        </is>
      </c>
      <c r="AA183" s="370" t="n"/>
      <c r="AB183" s="370" t="n"/>
      <c r="AC183" s="370" t="n"/>
      <c r="AD183" s="370" t="inlineStr">
        <is>
          <t xml:space="preserve">S-W SID HARVEY'S    </t>
        </is>
      </c>
      <c r="AE183" s="370" t="n"/>
      <c r="AF183" s="370" t="n"/>
      <c r="AG183" s="370" t="n"/>
      <c r="AH183" s="370" t="n"/>
      <c r="AI183" s="370" t="n"/>
      <c r="AK183" s="370" t="inlineStr">
        <is>
          <t xml:space="preserve">COMMENCEMENT OF MO-TO-MO LEASE UNKNOWN.                           </t>
        </is>
      </c>
      <c r="AL183" s="370" t="n"/>
      <c r="AM183" s="370" t="n"/>
      <c r="AN183" s="370" t="n"/>
      <c r="AO183" s="370" t="n"/>
      <c r="AP183" s="370" t="n"/>
      <c r="AQ183" s="370" t="n"/>
    </row>
    <row r="184">
      <c r="A184" s="383" t="n">
        <v>6</v>
      </c>
      <c r="B184" s="370" t="n">
        <v>178</v>
      </c>
      <c r="C184" s="370" t="inlineStr">
        <is>
          <t>2013Q</t>
        </is>
      </c>
      <c r="D184" s="370" t="inlineStr">
        <is>
          <t xml:space="preserve">05081-18-011-000 </t>
        </is>
      </c>
      <c r="E184" s="369" t="inlineStr">
        <is>
          <t>Actual</t>
        </is>
      </c>
      <c r="F184" s="370" t="inlineStr">
        <is>
          <t>2750 W 5TH                  AV</t>
        </is>
      </c>
      <c r="G184" s="370" t="n">
        <v>44.1</v>
      </c>
      <c r="H184" s="370" t="n">
        <v>9508</v>
      </c>
      <c r="I184" s="369" t="n">
        <v>0</v>
      </c>
      <c r="J184" s="674" t="n">
        <v>14000</v>
      </c>
      <c r="K184" s="675" t="n">
        <v>8.625</v>
      </c>
      <c r="L184" s="385" t="n">
        <v>0</v>
      </c>
      <c r="M184" s="374" t="n">
        <v>0.0007701863354037267</v>
      </c>
      <c r="N184" s="370" t="n">
        <v>1972</v>
      </c>
      <c r="O184" s="370" t="n">
        <v>6213</v>
      </c>
      <c r="P184" s="370" t="n">
        <v>0</v>
      </c>
      <c r="Q184" s="370" t="n">
        <v>18</v>
      </c>
      <c r="R184" s="370" t="n">
        <v>3</v>
      </c>
      <c r="S184" s="370" t="n">
        <v>1</v>
      </c>
      <c r="T184" s="369" t="inlineStr">
        <is>
          <t xml:space="preserve">I-MX-3      </t>
        </is>
      </c>
      <c r="U184" s="370" t="n">
        <v>398</v>
      </c>
      <c r="V184" s="674" t="n">
        <v>27787</v>
      </c>
      <c r="W184" s="674" t="n">
        <v>28000</v>
      </c>
      <c r="X184" s="676" t="inlineStr">
        <is>
          <t>2:1</t>
        </is>
      </c>
      <c r="Y184" s="674" t="n">
        <v>14000</v>
      </c>
      <c r="Z184" s="369" t="inlineStr">
        <is>
          <t xml:space="preserve">C </t>
        </is>
      </c>
      <c r="AA184" s="370" t="n"/>
      <c r="AB184" s="370" t="n"/>
      <c r="AC184" s="370" t="n"/>
      <c r="AD184" s="370" t="inlineStr">
        <is>
          <t xml:space="preserve">PEAK RESOURCES      </t>
        </is>
      </c>
      <c r="AE184" s="370" t="n"/>
      <c r="AF184" s="370" t="n"/>
      <c r="AG184" s="370" t="n"/>
      <c r="AH184" s="370" t="n"/>
      <c r="AI184" s="370" t="n"/>
      <c r="AK184" s="370" t="inlineStr">
        <is>
          <t>                                                                  </t>
        </is>
      </c>
      <c r="AL184" s="370" t="n"/>
      <c r="AM184" s="370" t="n"/>
      <c r="AN184" s="370" t="n"/>
      <c r="AO184" s="370" t="n"/>
      <c r="AP184" s="370" t="n"/>
      <c r="AQ184" s="370" t="n"/>
    </row>
    <row r="185">
      <c r="A185" s="383" t="n">
        <v>6</v>
      </c>
      <c r="B185" s="370" t="n">
        <v>179</v>
      </c>
      <c r="C185" s="370" t="inlineStr">
        <is>
          <t>2013Q</t>
        </is>
      </c>
      <c r="D185" s="370" t="inlineStr">
        <is>
          <t xml:space="preserve">05081-25-023-000 </t>
        </is>
      </c>
      <c r="E185" s="369" t="inlineStr">
        <is>
          <t>Actual</t>
        </is>
      </c>
      <c r="F185" s="370" t="inlineStr">
        <is>
          <t>2727 W 4TH                  AV</t>
        </is>
      </c>
      <c r="G185" s="370" t="n">
        <v>44.1</v>
      </c>
      <c r="H185" s="370" t="n">
        <v>9508</v>
      </c>
      <c r="I185" s="369" t="n">
        <v>0</v>
      </c>
      <c r="J185" s="674" t="n">
        <v>7040</v>
      </c>
      <c r="K185" s="675" t="n">
        <v>5.113636363636363</v>
      </c>
      <c r="L185" s="385" t="n">
        <v>0</v>
      </c>
      <c r="M185" s="374" t="n">
        <v>0</v>
      </c>
      <c r="N185" s="370" t="n">
        <v>1972</v>
      </c>
      <c r="O185" s="370" t="n">
        <v>914</v>
      </c>
      <c r="P185" s="370" t="n">
        <v>0</v>
      </c>
      <c r="Q185" s="370" t="n">
        <v>24</v>
      </c>
      <c r="R185" s="370" t="n">
        <v>14</v>
      </c>
      <c r="S185" s="370" t="n">
        <v>1</v>
      </c>
      <c r="T185" s="369" t="inlineStr">
        <is>
          <t xml:space="preserve">I-MX-3      </t>
        </is>
      </c>
      <c r="U185" s="370" t="n">
        <v>398</v>
      </c>
      <c r="V185" s="674" t="n">
        <v>32000</v>
      </c>
      <c r="W185" s="674" t="n">
        <v>32000</v>
      </c>
      <c r="X185" s="676" t="inlineStr">
        <is>
          <t>4.5:1</t>
        </is>
      </c>
      <c r="Y185" s="674" t="n">
        <v>7000</v>
      </c>
      <c r="Z185" s="369" t="inlineStr">
        <is>
          <t xml:space="preserve">C </t>
        </is>
      </c>
      <c r="AA185" s="370" t="n"/>
      <c r="AB185" s="370" t="n"/>
      <c r="AC185" s="370" t="n"/>
      <c r="AD185" s="370" t="inlineStr">
        <is>
          <t>                    </t>
        </is>
      </c>
      <c r="AE185" s="370" t="n"/>
      <c r="AF185" s="370" t="n"/>
      <c r="AG185" s="370" t="n"/>
      <c r="AH185" s="370" t="n"/>
      <c r="AI185" s="370" t="n"/>
      <c r="AK185" s="370" t="inlineStr">
        <is>
          <t>                                                                  </t>
        </is>
      </c>
      <c r="AL185" s="370" t="n"/>
      <c r="AM185" s="370" t="n"/>
      <c r="AN185" s="370" t="n"/>
      <c r="AO185" s="370" t="n"/>
      <c r="AP185" s="370" t="n"/>
      <c r="AQ185" s="370" t="n"/>
    </row>
    <row r="186">
      <c r="A186" s="383" t="n">
        <v>6</v>
      </c>
      <c r="B186" s="370" t="n">
        <v>180</v>
      </c>
      <c r="C186" s="370" t="inlineStr">
        <is>
          <t>2013Q</t>
        </is>
      </c>
      <c r="D186" s="370" t="inlineStr">
        <is>
          <t xml:space="preserve">05084-01-008-000 </t>
        </is>
      </c>
      <c r="E186" s="369" t="inlineStr">
        <is>
          <t>Actual</t>
        </is>
      </c>
      <c r="F186" s="370" t="inlineStr">
        <is>
          <t>2744 W 4TH                  AV</t>
        </is>
      </c>
      <c r="G186" s="370" t="n">
        <v>44.1</v>
      </c>
      <c r="H186" s="370" t="n">
        <v>9508</v>
      </c>
      <c r="I186" s="369" t="n">
        <v>0</v>
      </c>
      <c r="J186" s="674" t="n">
        <v>7692</v>
      </c>
      <c r="K186" s="675" t="n">
        <v>10.36596463858554</v>
      </c>
      <c r="L186" s="385" t="n">
        <v>0</v>
      </c>
      <c r="M186" s="374" t="n">
        <v>0.005468113124725654</v>
      </c>
      <c r="N186" s="370" t="n">
        <v>1974</v>
      </c>
      <c r="O186" s="370" t="n">
        <v>0</v>
      </c>
      <c r="P186" s="370" t="n">
        <v>3161</v>
      </c>
      <c r="Q186" s="370" t="n">
        <v>18</v>
      </c>
      <c r="R186" s="370" t="n">
        <v>14</v>
      </c>
      <c r="S186" s="370" t="n">
        <v>1</v>
      </c>
      <c r="T186" s="369" t="inlineStr">
        <is>
          <t xml:space="preserve">I-MX-3      </t>
        </is>
      </c>
      <c r="U186" s="370" t="n">
        <v>398</v>
      </c>
      <c r="V186" s="674" t="n">
        <v>16250</v>
      </c>
      <c r="W186" s="674" t="n">
        <v>16000</v>
      </c>
      <c r="X186" s="676" t="inlineStr">
        <is>
          <t>2.1:1</t>
        </is>
      </c>
      <c r="Y186" s="674" t="n">
        <v>8000</v>
      </c>
      <c r="Z186" s="369" t="inlineStr">
        <is>
          <t xml:space="preserve">C </t>
        </is>
      </c>
      <c r="AA186" s="370" t="n"/>
      <c r="AB186" s="370" t="n"/>
      <c r="AC186" s="370" t="n"/>
      <c r="AD186" s="370" t="inlineStr">
        <is>
          <t>                    </t>
        </is>
      </c>
      <c r="AE186" s="370" t="n"/>
      <c r="AF186" s="370" t="n"/>
      <c r="AG186" s="370" t="n"/>
      <c r="AH186" s="370" t="n"/>
      <c r="AI186" s="370" t="n"/>
      <c r="AK186" s="370" t="inlineStr">
        <is>
          <t xml:space="preserve">2010 LEASES.                                                      </t>
        </is>
      </c>
      <c r="AL186" s="370" t="n"/>
      <c r="AM186" s="370" t="n"/>
      <c r="AN186" s="370" t="n"/>
      <c r="AO186" s="370" t="n"/>
      <c r="AP186" s="370" t="n"/>
      <c r="AQ186" s="370" t="n"/>
    </row>
    <row r="187">
      <c r="A187" s="383" t="n">
        <v>6</v>
      </c>
      <c r="B187" s="370" t="n">
        <v>181</v>
      </c>
      <c r="C187" s="370" t="inlineStr">
        <is>
          <t>2013Q</t>
        </is>
      </c>
      <c r="D187" s="370" t="inlineStr">
        <is>
          <t xml:space="preserve">05084-09-040-040 </t>
        </is>
      </c>
      <c r="E187" s="369" t="inlineStr">
        <is>
          <t>Actual</t>
        </is>
      </c>
      <c r="F187" s="370" t="inlineStr">
        <is>
          <t>2550 W 2ND                  AV</t>
        </is>
      </c>
      <c r="G187" s="370" t="n">
        <v>44.8</v>
      </c>
      <c r="H187" s="370" t="n">
        <v>9508</v>
      </c>
      <c r="I187" s="369" t="n">
        <v>0</v>
      </c>
      <c r="J187" s="674" t="n">
        <v>12922</v>
      </c>
      <c r="K187" s="675" t="n">
        <v>5.249961306299334</v>
      </c>
      <c r="L187" s="385" t="n">
        <v>0</v>
      </c>
      <c r="M187" s="374" t="n">
        <v>0</v>
      </c>
      <c r="N187" s="370" t="n">
        <v>1968</v>
      </c>
      <c r="O187" s="370" t="n">
        <v>0</v>
      </c>
      <c r="P187" s="370" t="n">
        <v>0</v>
      </c>
      <c r="Q187" s="370" t="n">
        <v>20</v>
      </c>
      <c r="R187" s="370" t="n">
        <v>14</v>
      </c>
      <c r="S187" s="370" t="n">
        <v>1</v>
      </c>
      <c r="T187" s="369" t="inlineStr">
        <is>
          <t xml:space="preserve">I-A         </t>
        </is>
      </c>
      <c r="U187" s="370" t="n">
        <v>398</v>
      </c>
      <c r="V187" s="674" t="n">
        <v>14086</v>
      </c>
      <c r="W187" s="674" t="n">
        <v>14000</v>
      </c>
      <c r="X187" s="676" t="inlineStr">
        <is>
          <t>1.1:1</t>
        </is>
      </c>
      <c r="Y187" s="674" t="n">
        <v>13000</v>
      </c>
      <c r="Z187" s="369" t="inlineStr">
        <is>
          <t xml:space="preserve">C </t>
        </is>
      </c>
      <c r="AA187" s="370" t="n"/>
      <c r="AB187" s="370" t="n"/>
      <c r="AC187" s="370" t="n"/>
      <c r="AD187" s="370" t="inlineStr">
        <is>
          <t>                    </t>
        </is>
      </c>
      <c r="AE187" s="370" t="n"/>
      <c r="AF187" s="370" t="n"/>
      <c r="AG187" s="370" t="n"/>
      <c r="AH187" s="370" t="n"/>
      <c r="AI187" s="370" t="n"/>
      <c r="AK187" s="370" t="inlineStr">
        <is>
          <t xml:space="preserve">2009 LEASE; INCLUDES PARCEL -036-036.                             </t>
        </is>
      </c>
      <c r="AL187" s="370" t="n"/>
      <c r="AM187" s="370" t="n"/>
      <c r="AN187" s="370" t="n"/>
      <c r="AO187" s="370" t="n"/>
      <c r="AP187" s="370" t="n"/>
      <c r="AQ187" s="370" t="n"/>
    </row>
    <row r="188">
      <c r="A188" s="383" t="n">
        <v>6</v>
      </c>
      <c r="B188" s="370" t="n">
        <v>182</v>
      </c>
      <c r="C188" s="370" t="inlineStr">
        <is>
          <t>2013Q</t>
        </is>
      </c>
      <c r="D188" s="370" t="inlineStr">
        <is>
          <t xml:space="preserve">05091-00-029-000 </t>
        </is>
      </c>
      <c r="E188" s="369" t="inlineStr">
        <is>
          <t>Actual</t>
        </is>
      </c>
      <c r="F188" s="370" t="inlineStr">
        <is>
          <t>1400 W 3RD                  AV</t>
        </is>
      </c>
      <c r="G188" s="370" t="n">
        <v>44.3</v>
      </c>
      <c r="H188" s="370" t="n">
        <v>9505</v>
      </c>
      <c r="I188" s="369" t="n">
        <v>0</v>
      </c>
      <c r="J188" s="674" t="n">
        <v>114480</v>
      </c>
      <c r="K188" s="675" t="n">
        <v>3.582446014528809</v>
      </c>
      <c r="L188" s="385" t="n">
        <v>0.17</v>
      </c>
      <c r="M188" s="374" t="n">
        <v>0</v>
      </c>
      <c r="N188" s="370" t="n">
        <v>1951</v>
      </c>
      <c r="O188" s="370" t="n">
        <v>16231</v>
      </c>
      <c r="P188" s="370" t="n">
        <v>0</v>
      </c>
      <c r="Q188" s="370" t="n">
        <v>18</v>
      </c>
      <c r="R188" s="370" t="n">
        <v>1</v>
      </c>
      <c r="S188" s="370" t="n">
        <v>2</v>
      </c>
      <c r="T188" s="369" t="inlineStr">
        <is>
          <t xml:space="preserve">I-A         </t>
        </is>
      </c>
      <c r="U188" s="370" t="n">
        <v>398</v>
      </c>
      <c r="V188" s="674" t="n">
        <v>120008</v>
      </c>
      <c r="W188" s="674" t="n">
        <v>120000</v>
      </c>
      <c r="X188" s="676" t="inlineStr">
        <is>
          <t>1:1</t>
        </is>
      </c>
      <c r="Y188" s="674" t="n">
        <v>114000</v>
      </c>
      <c r="Z188" s="369" t="inlineStr">
        <is>
          <t xml:space="preserve">C </t>
        </is>
      </c>
      <c r="AA188" s="370" t="n"/>
      <c r="AB188" s="370" t="n"/>
      <c r="AC188" s="370" t="n"/>
      <c r="AD188" s="370" t="inlineStr">
        <is>
          <t xml:space="preserve">S-W KIMBALL ELECT.  </t>
        </is>
      </c>
      <c r="AE188" s="370" t="n"/>
      <c r="AF188" s="370" t="n"/>
      <c r="AG188" s="370" t="n"/>
      <c r="AH188" s="370" t="n"/>
      <c r="AI188" s="370" t="n"/>
      <c r="AK188" s="370" t="inlineStr">
        <is>
          <t xml:space="preserve">UNABLE TO ALLOCATE EXPENSES BETWEEN OWNER&amp;TENANT OCCUPANCIES.     </t>
        </is>
      </c>
      <c r="AL188" s="370" t="n"/>
      <c r="AM188" s="370" t="n"/>
      <c r="AN188" s="370" t="n"/>
      <c r="AO188" s="370" t="n"/>
      <c r="AP188" s="370" t="n"/>
      <c r="AQ188" s="370" t="n"/>
    </row>
    <row r="189">
      <c r="A189" s="383" t="n">
        <v>6</v>
      </c>
      <c r="B189" s="370" t="n">
        <v>183</v>
      </c>
      <c r="C189" s="370" t="inlineStr">
        <is>
          <t>2013Q</t>
        </is>
      </c>
      <c r="D189" s="370" t="inlineStr">
        <is>
          <t xml:space="preserve">05091-00-049-000 </t>
        </is>
      </c>
      <c r="E189" s="369" t="inlineStr">
        <is>
          <t>Actual</t>
        </is>
      </c>
      <c r="F189" s="370" t="inlineStr">
        <is>
          <t>123   RIO GRANDE           BV</t>
        </is>
      </c>
      <c r="G189" s="370" t="n">
        <v>44.2</v>
      </c>
      <c r="H189" s="370" t="n">
        <v>9505</v>
      </c>
      <c r="I189" s="369" t="n">
        <v>0</v>
      </c>
      <c r="J189" s="674" t="n">
        <v>12994</v>
      </c>
      <c r="K189" s="675" t="n">
        <v>5.419354838709677</v>
      </c>
      <c r="L189" s="385" t="n">
        <v>0</v>
      </c>
      <c r="M189" s="374" t="n">
        <v>0</v>
      </c>
      <c r="N189" s="370" t="n">
        <v>1959</v>
      </c>
      <c r="O189" s="370" t="n">
        <v>2548</v>
      </c>
      <c r="P189" s="370" t="n">
        <v>0</v>
      </c>
      <c r="Q189" s="370" t="n">
        <v>16</v>
      </c>
      <c r="R189" s="370" t="n">
        <v>1</v>
      </c>
      <c r="S189" s="370" t="n">
        <v>1</v>
      </c>
      <c r="T189" s="369" t="inlineStr">
        <is>
          <t xml:space="preserve">I-A         </t>
        </is>
      </c>
      <c r="U189" s="370" t="n">
        <v>398</v>
      </c>
      <c r="V189" s="674" t="n">
        <v>20500</v>
      </c>
      <c r="W189" s="674" t="n">
        <v>21000</v>
      </c>
      <c r="X189" s="676" t="inlineStr">
        <is>
          <t>1.6:1</t>
        </is>
      </c>
      <c r="Y189" s="674" t="n">
        <v>13000</v>
      </c>
      <c r="Z189" s="369" t="inlineStr">
        <is>
          <t xml:space="preserve">C </t>
        </is>
      </c>
      <c r="AA189" s="370" t="n"/>
      <c r="AB189" s="370" t="n"/>
      <c r="AC189" s="370" t="n"/>
      <c r="AD189" s="370" t="inlineStr">
        <is>
          <t xml:space="preserve">DIST                </t>
        </is>
      </c>
      <c r="AE189" s="370" t="n"/>
      <c r="AF189" s="370" t="n"/>
      <c r="AG189" s="370" t="n"/>
      <c r="AH189" s="370" t="n"/>
      <c r="AI189" s="370" t="n"/>
      <c r="AK189" s="370" t="inlineStr">
        <is>
          <t xml:space="preserve">2009 LEASE; EXP RATIO TOO HIGH = NOT POSTED.                      </t>
        </is>
      </c>
      <c r="AL189" s="370" t="n"/>
      <c r="AM189" s="370" t="n"/>
      <c r="AN189" s="370" t="n"/>
      <c r="AO189" s="370" t="n"/>
      <c r="AP189" s="370" t="n"/>
      <c r="AQ189" s="370" t="n"/>
    </row>
    <row r="190">
      <c r="A190" s="383" t="n">
        <v>6</v>
      </c>
      <c r="B190" s="370" t="n">
        <v>184</v>
      </c>
      <c r="C190" s="370" t="inlineStr">
        <is>
          <t>2013Q</t>
        </is>
      </c>
      <c r="D190" s="370" t="inlineStr">
        <is>
          <t xml:space="preserve">05091-00-050-000 </t>
        </is>
      </c>
      <c r="E190" s="369" t="inlineStr">
        <is>
          <t>Actual</t>
        </is>
      </c>
      <c r="F190" s="370" t="inlineStr">
        <is>
          <t>1490 W 3RD                  AV</t>
        </is>
      </c>
      <c r="G190" s="370" t="n">
        <v>44.2</v>
      </c>
      <c r="H190" s="370" t="n">
        <v>9505</v>
      </c>
      <c r="I190" s="369" t="n">
        <v>0</v>
      </c>
      <c r="J190" s="674" t="n">
        <v>8502</v>
      </c>
      <c r="K190" s="675" t="n">
        <v>7.057163020465773</v>
      </c>
      <c r="L190" s="385" t="n">
        <v>0</v>
      </c>
      <c r="M190" s="374" t="n">
        <v>0</v>
      </c>
      <c r="N190" s="370" t="n">
        <v>1968</v>
      </c>
      <c r="O190" s="370" t="n">
        <v>7467</v>
      </c>
      <c r="P190" s="370" t="n">
        <v>0</v>
      </c>
      <c r="Q190" s="370" t="n">
        <v>16</v>
      </c>
      <c r="R190" s="370" t="n">
        <v>1</v>
      </c>
      <c r="S190" s="370" t="n">
        <v>1</v>
      </c>
      <c r="T190" s="369" t="inlineStr">
        <is>
          <t xml:space="preserve">I-A         </t>
        </is>
      </c>
      <c r="U190" s="370" t="n">
        <v>398</v>
      </c>
      <c r="V190" s="674" t="n">
        <v>12400</v>
      </c>
      <c r="W190" s="674" t="n">
        <v>12000</v>
      </c>
      <c r="X190" s="676" t="inlineStr">
        <is>
          <t>1.5:1</t>
        </is>
      </c>
      <c r="Y190" s="674" t="n">
        <v>9000</v>
      </c>
      <c r="Z190" s="369" t="inlineStr">
        <is>
          <t xml:space="preserve">C </t>
        </is>
      </c>
      <c r="AA190" s="370" t="n"/>
      <c r="AB190" s="370" t="n"/>
      <c r="AC190" s="370" t="n"/>
      <c r="AD190" s="370" t="inlineStr">
        <is>
          <t>                    </t>
        </is>
      </c>
      <c r="AE190" s="370" t="n"/>
      <c r="AF190" s="370" t="n"/>
      <c r="AG190" s="370" t="n"/>
      <c r="AH190" s="370" t="n"/>
      <c r="AI190" s="370" t="n"/>
      <c r="AK190" s="370" t="inlineStr">
        <is>
          <t xml:space="preserve">2009 LEASE.                                                       </t>
        </is>
      </c>
      <c r="AL190" s="370" t="n"/>
      <c r="AM190" s="370" t="n"/>
      <c r="AN190" s="370" t="n"/>
      <c r="AO190" s="370" t="n"/>
      <c r="AP190" s="370" t="n"/>
      <c r="AQ190" s="370" t="n"/>
    </row>
    <row r="191">
      <c r="A191" s="383" t="n">
        <v>6</v>
      </c>
      <c r="B191" s="370" t="n">
        <v>185</v>
      </c>
      <c r="C191" s="370" t="inlineStr">
        <is>
          <t>2013Q</t>
        </is>
      </c>
      <c r="D191" s="370" t="inlineStr">
        <is>
          <t xml:space="preserve">05091-02-008-000 </t>
        </is>
      </c>
      <c r="E191" s="369" t="inlineStr">
        <is>
          <t>Actual</t>
        </is>
      </c>
      <c r="F191" s="370" t="inlineStr">
        <is>
          <t>530   SANTA FE             DR</t>
        </is>
      </c>
      <c r="G191" s="370" t="n">
        <v>43.1</v>
      </c>
      <c r="H191" s="370" t="n">
        <v>9505</v>
      </c>
      <c r="I191" s="369" t="n">
        <v>3</v>
      </c>
      <c r="J191" s="674" t="n">
        <v>2380</v>
      </c>
      <c r="K191" s="675" t="n">
        <v>7.563025210084033</v>
      </c>
      <c r="L191" s="385" t="n">
        <v>0</v>
      </c>
      <c r="M191" s="374" t="n">
        <v>0</v>
      </c>
      <c r="N191" s="370" t="n">
        <v>1942</v>
      </c>
      <c r="O191" s="370" t="n">
        <v>0</v>
      </c>
      <c r="P191" s="370" t="n">
        <v>0</v>
      </c>
      <c r="Q191" s="370" t="n">
        <v>10</v>
      </c>
      <c r="R191" s="370" t="n">
        <v>3</v>
      </c>
      <c r="S191" s="370" t="n">
        <v>1</v>
      </c>
      <c r="T191" s="369" t="inlineStr">
        <is>
          <t xml:space="preserve">U-MS-3      </t>
        </is>
      </c>
      <c r="U191" s="370" t="n">
        <v>401</v>
      </c>
      <c r="V191" s="674" t="n">
        <v>2624</v>
      </c>
      <c r="W191" s="674" t="n">
        <v>3000</v>
      </c>
      <c r="X191" s="676" t="inlineStr">
        <is>
          <t>1.1:1</t>
        </is>
      </c>
      <c r="Y191" s="674" t="n">
        <v>2000</v>
      </c>
      <c r="Z191" s="369" t="inlineStr">
        <is>
          <t xml:space="preserve">C </t>
        </is>
      </c>
      <c r="AA191" s="370" t="n"/>
      <c r="AB191" s="370" t="n"/>
      <c r="AC191" s="370" t="n"/>
      <c r="AD191" s="370" t="inlineStr">
        <is>
          <t>S-F TOM MEYER SHEETM</t>
        </is>
      </c>
      <c r="AE191" s="370" t="n"/>
      <c r="AF191" s="370" t="n"/>
      <c r="AG191" s="370" t="n"/>
      <c r="AH191" s="370" t="n"/>
      <c r="AI191" s="370" t="n"/>
      <c r="AK191" s="370" t="inlineStr">
        <is>
          <t>                                                                  </t>
        </is>
      </c>
      <c r="AL191" s="370" t="n"/>
      <c r="AM191" s="370" t="n"/>
      <c r="AN191" s="370" t="n"/>
      <c r="AO191" s="370" t="n"/>
      <c r="AP191" s="370" t="n"/>
      <c r="AQ191" s="370" t="n"/>
    </row>
    <row r="192">
      <c r="A192" s="383" t="n">
        <v>6</v>
      </c>
      <c r="B192" s="370" t="n">
        <v>186</v>
      </c>
      <c r="C192" s="370" t="inlineStr">
        <is>
          <t>2013Q</t>
        </is>
      </c>
      <c r="D192" s="370" t="inlineStr">
        <is>
          <t xml:space="preserve">05091-04-018-000 </t>
        </is>
      </c>
      <c r="E192" s="369" t="inlineStr">
        <is>
          <t>Actual</t>
        </is>
      </c>
      <c r="F192" s="370" t="inlineStr">
        <is>
          <t>527   KALAMATH             ST</t>
        </is>
      </c>
      <c r="G192" s="370" t="n">
        <v>44.1</v>
      </c>
      <c r="H192" s="370" t="n">
        <v>9505</v>
      </c>
      <c r="I192" s="369" t="n">
        <v>0</v>
      </c>
      <c r="J192" s="674" t="n">
        <v>2500</v>
      </c>
      <c r="K192" s="675" t="n">
        <v>6</v>
      </c>
      <c r="L192" s="385" t="n">
        <v>0</v>
      </c>
      <c r="M192" s="374" t="n">
        <v>0.08346666666666666</v>
      </c>
      <c r="N192" s="370" t="n">
        <v>1973</v>
      </c>
      <c r="O192" s="370" t="n">
        <v>336</v>
      </c>
      <c r="P192" s="370" t="n">
        <v>0</v>
      </c>
      <c r="Q192" s="370" t="n">
        <v>13</v>
      </c>
      <c r="R192" s="370" t="n">
        <v>1</v>
      </c>
      <c r="S192" s="370" t="n">
        <v>1</v>
      </c>
      <c r="T192" s="369" t="inlineStr">
        <is>
          <t xml:space="preserve">I-MX-5      </t>
        </is>
      </c>
      <c r="U192" s="370" t="n">
        <v>398</v>
      </c>
      <c r="V192" s="674" t="n">
        <v>3900</v>
      </c>
      <c r="W192" s="674" t="n">
        <v>4000</v>
      </c>
      <c r="X192" s="676" t="inlineStr">
        <is>
          <t>1.6:1</t>
        </is>
      </c>
      <c r="Y192" s="674" t="n">
        <v>3000</v>
      </c>
      <c r="Z192" s="369" t="inlineStr">
        <is>
          <t xml:space="preserve">C </t>
        </is>
      </c>
      <c r="AA192" s="370" t="n"/>
      <c r="AB192" s="370" t="n"/>
      <c r="AC192" s="370" t="n"/>
      <c r="AD192" s="370" t="inlineStr">
        <is>
          <t>S-W COLO MOLD SUPPLY</t>
        </is>
      </c>
      <c r="AE192" s="370" t="n"/>
      <c r="AF192" s="370" t="n"/>
      <c r="AG192" s="370" t="n"/>
      <c r="AH192" s="370" t="n"/>
      <c r="AI192" s="370" t="n"/>
      <c r="AK192" s="370" t="inlineStr">
        <is>
          <t xml:space="preserve">DATE OF LEASE ORIGINATION UNKNOWN.                                </t>
        </is>
      </c>
      <c r="AL192" s="370" t="n"/>
      <c r="AM192" s="370" t="n"/>
      <c r="AN192" s="370" t="n"/>
      <c r="AO192" s="370" t="n"/>
      <c r="AP192" s="370" t="n"/>
      <c r="AQ192" s="370" t="n"/>
    </row>
    <row r="193">
      <c r="A193" s="383" t="n">
        <v>6</v>
      </c>
      <c r="B193" s="370" t="n">
        <v>187</v>
      </c>
      <c r="C193" s="370" t="inlineStr">
        <is>
          <t>2013Q</t>
        </is>
      </c>
      <c r="D193" s="370" t="inlineStr">
        <is>
          <t xml:space="preserve">05091-20-016-000 </t>
        </is>
      </c>
      <c r="E193" s="369" t="inlineStr">
        <is>
          <t>Actual</t>
        </is>
      </c>
      <c r="F193" s="370" t="inlineStr">
        <is>
          <t>275   KALAMATH             ST</t>
        </is>
      </c>
      <c r="G193" s="370" t="n">
        <v>44.2</v>
      </c>
      <c r="H193" s="370" t="n">
        <v>9505</v>
      </c>
      <c r="I193" s="369" t="n">
        <v>0</v>
      </c>
      <c r="J193" s="674" t="n">
        <v>17286</v>
      </c>
      <c r="K193" s="675" t="n">
        <v>5.66180724285549</v>
      </c>
      <c r="L193" s="385" t="n">
        <v>0</v>
      </c>
      <c r="M193" s="374" t="n">
        <v>0.03308470419944825</v>
      </c>
      <c r="N193" s="370" t="n">
        <v>1959</v>
      </c>
      <c r="O193" s="370" t="n">
        <v>2902</v>
      </c>
      <c r="P193" s="370" t="n">
        <v>0</v>
      </c>
      <c r="Q193" s="370" t="n">
        <v>15</v>
      </c>
      <c r="R193" s="370" t="n">
        <v>3</v>
      </c>
      <c r="S193" s="370" t="n">
        <v>1</v>
      </c>
      <c r="T193" s="369" t="inlineStr">
        <is>
          <t xml:space="preserve">I-MX-3      </t>
        </is>
      </c>
      <c r="U193" s="370" t="n">
        <v>398</v>
      </c>
      <c r="V193" s="674" t="n">
        <v>36500</v>
      </c>
      <c r="W193" s="674" t="n">
        <v>37000</v>
      </c>
      <c r="X193" s="676" t="inlineStr">
        <is>
          <t>2.1:1</t>
        </is>
      </c>
      <c r="Y193" s="674" t="n">
        <v>17000</v>
      </c>
      <c r="Z193" s="369" t="inlineStr">
        <is>
          <t xml:space="preserve">C </t>
        </is>
      </c>
      <c r="AA193" s="370" t="n"/>
      <c r="AB193" s="370" t="n"/>
      <c r="AC193" s="370" t="n"/>
      <c r="AD193" s="370" t="inlineStr">
        <is>
          <t xml:space="preserve">WHSE DIST.          </t>
        </is>
      </c>
      <c r="AE193" s="370" t="n"/>
      <c r="AF193" s="370" t="n"/>
      <c r="AG193" s="370" t="n"/>
      <c r="AH193" s="370" t="n"/>
      <c r="AI193" s="370" t="n"/>
      <c r="AK193" s="370" t="inlineStr">
        <is>
          <t>                                                                  </t>
        </is>
      </c>
      <c r="AL193" s="370" t="n"/>
      <c r="AM193" s="370" t="n"/>
      <c r="AN193" s="370" t="n"/>
      <c r="AO193" s="370" t="n"/>
      <c r="AP193" s="370" t="n"/>
      <c r="AQ193" s="370" t="n"/>
    </row>
    <row r="194">
      <c r="A194" s="383" t="n">
        <v>6</v>
      </c>
      <c r="B194" s="370" t="n">
        <v>188</v>
      </c>
      <c r="C194" s="370" t="inlineStr">
        <is>
          <t>2013Q</t>
        </is>
      </c>
      <c r="D194" s="370" t="inlineStr">
        <is>
          <t xml:space="preserve">05091-26-009-000 </t>
        </is>
      </c>
      <c r="E194" s="369" t="inlineStr">
        <is>
          <t>Actual</t>
        </is>
      </c>
      <c r="F194" s="370" t="inlineStr">
        <is>
          <t>100   LIPAN                ST</t>
        </is>
      </c>
      <c r="G194" s="370" t="n">
        <v>44.2</v>
      </c>
      <c r="H194" s="370" t="n">
        <v>9505</v>
      </c>
      <c r="I194" s="369" t="n">
        <v>0</v>
      </c>
      <c r="J194" s="674" t="n">
        <v>11626</v>
      </c>
      <c r="K194" s="675" t="n">
        <v>3.571305694133838</v>
      </c>
      <c r="L194" s="385" t="n">
        <v>0</v>
      </c>
      <c r="M194" s="374" t="n">
        <v>0.1233622350674374</v>
      </c>
      <c r="N194" s="370" t="n">
        <v>1957</v>
      </c>
      <c r="O194" s="370" t="n">
        <v>3018</v>
      </c>
      <c r="P194" s="370" t="n">
        <v>0</v>
      </c>
      <c r="Q194" s="370" t="n">
        <v>14</v>
      </c>
      <c r="R194" s="370" t="n">
        <v>1</v>
      </c>
      <c r="S194" s="370" t="n">
        <v>1</v>
      </c>
      <c r="T194" s="369" t="inlineStr">
        <is>
          <t xml:space="preserve">I-A         </t>
        </is>
      </c>
      <c r="U194" s="370" t="n">
        <v>398</v>
      </c>
      <c r="V194" s="674" t="n">
        <v>17625</v>
      </c>
      <c r="W194" s="674" t="n">
        <v>18000</v>
      </c>
      <c r="X194" s="676" t="inlineStr">
        <is>
          <t>1.5:1</t>
        </is>
      </c>
      <c r="Y194" s="674" t="n">
        <v>12000</v>
      </c>
      <c r="Z194" s="369" t="inlineStr">
        <is>
          <t xml:space="preserve">C </t>
        </is>
      </c>
      <c r="AA194" s="370" t="n"/>
      <c r="AB194" s="370" t="n"/>
      <c r="AC194" s="370" t="n"/>
      <c r="AD194" s="370" t="inlineStr">
        <is>
          <t xml:space="preserve">TURBO PRESS         </t>
        </is>
      </c>
      <c r="AE194" s="370" t="n"/>
      <c r="AF194" s="370" t="n"/>
      <c r="AG194" s="370" t="n"/>
      <c r="AH194" s="370" t="n"/>
      <c r="AI194" s="370" t="n"/>
      <c r="AK194" s="370" t="inlineStr">
        <is>
          <t xml:space="preserve">ORIGINATION OF MO-TO-MO LEASE UNKNOWN.                            </t>
        </is>
      </c>
      <c r="AL194" s="370" t="n"/>
      <c r="AM194" s="370" t="n"/>
      <c r="AN194" s="370" t="n"/>
      <c r="AO194" s="370" t="n"/>
      <c r="AP194" s="370" t="n"/>
      <c r="AQ194" s="370" t="n"/>
    </row>
    <row r="195">
      <c r="A195" s="383" t="n">
        <v>6</v>
      </c>
      <c r="B195" s="370" t="n">
        <v>189</v>
      </c>
      <c r="C195" s="370" t="inlineStr">
        <is>
          <t>2013Q</t>
        </is>
      </c>
      <c r="D195" s="370" t="inlineStr">
        <is>
          <t xml:space="preserve">05092-00-076-000 </t>
        </is>
      </c>
      <c r="E195" s="369" t="inlineStr">
        <is>
          <t>Actual</t>
        </is>
      </c>
      <c r="F195" s="370" t="inlineStr">
        <is>
          <t>657   OSAGE                ST</t>
        </is>
      </c>
      <c r="G195" s="370" t="n">
        <v>44.1</v>
      </c>
      <c r="H195" s="370" t="n">
        <v>9505</v>
      </c>
      <c r="I195" s="369" t="n">
        <v>0</v>
      </c>
      <c r="J195" s="674" t="n">
        <v>9361</v>
      </c>
      <c r="K195" s="675" t="n">
        <v>4.422604422604422</v>
      </c>
      <c r="L195" s="385" t="n">
        <v>0</v>
      </c>
      <c r="M195" s="374" t="n">
        <v>0.005797101449275362</v>
      </c>
      <c r="N195" s="370" t="n">
        <v>1965</v>
      </c>
      <c r="O195" s="370" t="n">
        <v>1260</v>
      </c>
      <c r="P195" s="370" t="n">
        <v>0</v>
      </c>
      <c r="Q195" s="370" t="n">
        <v>14</v>
      </c>
      <c r="R195" s="370" t="n">
        <v>1</v>
      </c>
      <c r="S195" s="370" t="n">
        <v>1</v>
      </c>
      <c r="T195" s="369" t="inlineStr">
        <is>
          <t xml:space="preserve">I-B         </t>
        </is>
      </c>
      <c r="U195" s="370" t="n">
        <v>398</v>
      </c>
      <c r="V195" s="674" t="n">
        <v>17908</v>
      </c>
      <c r="W195" s="674" t="n">
        <v>18000</v>
      </c>
      <c r="X195" s="676" t="inlineStr">
        <is>
          <t>1.9:1</t>
        </is>
      </c>
      <c r="Y195" s="674" t="n">
        <v>9000</v>
      </c>
      <c r="Z195" s="369" t="inlineStr">
        <is>
          <t xml:space="preserve">C </t>
        </is>
      </c>
      <c r="AA195" s="370" t="n"/>
      <c r="AB195" s="370" t="n"/>
      <c r="AC195" s="370" t="n"/>
      <c r="AD195" s="370" t="inlineStr">
        <is>
          <t>                    </t>
        </is>
      </c>
      <c r="AE195" s="370" t="n"/>
      <c r="AF195" s="370" t="n"/>
      <c r="AG195" s="370" t="n"/>
      <c r="AH195" s="370" t="n"/>
      <c r="AI195" s="370" t="n"/>
      <c r="AK195" s="370" t="inlineStr">
        <is>
          <t xml:space="preserve">2010 LEASE.                                                       </t>
        </is>
      </c>
      <c r="AL195" s="370" t="n"/>
      <c r="AM195" s="370" t="n"/>
      <c r="AN195" s="370" t="n"/>
      <c r="AO195" s="370" t="n"/>
      <c r="AP195" s="370" t="n"/>
      <c r="AQ195" s="370" t="n"/>
    </row>
    <row r="196">
      <c r="A196" s="383" t="n">
        <v>6</v>
      </c>
      <c r="B196" s="370" t="n">
        <v>190</v>
      </c>
      <c r="C196" s="370" t="inlineStr">
        <is>
          <t>2013Q</t>
        </is>
      </c>
      <c r="D196" s="370" t="inlineStr">
        <is>
          <t xml:space="preserve">05092-00-078-000 </t>
        </is>
      </c>
      <c r="E196" s="369" t="inlineStr">
        <is>
          <t>Actual</t>
        </is>
      </c>
      <c r="F196" s="370" t="inlineStr">
        <is>
          <t>501   RARITAN              WY</t>
        </is>
      </c>
      <c r="G196" s="370" t="n">
        <v>44.4</v>
      </c>
      <c r="H196" s="370" t="n">
        <v>9505</v>
      </c>
      <c r="I196" s="369" t="n">
        <v>0</v>
      </c>
      <c r="J196" s="674" t="n">
        <v>112984</v>
      </c>
      <c r="K196" s="675" t="n">
        <v>4.493195183422011</v>
      </c>
      <c r="L196" s="385" t="n">
        <v>0</v>
      </c>
      <c r="M196" s="374" t="n">
        <v>0</v>
      </c>
      <c r="N196" s="370" t="n">
        <v>1959</v>
      </c>
      <c r="O196" s="370" t="n">
        <v>4641</v>
      </c>
      <c r="P196" s="370" t="n">
        <v>0</v>
      </c>
      <c r="Q196" s="370" t="n">
        <v>20</v>
      </c>
      <c r="R196" s="370" t="n">
        <v>3</v>
      </c>
      <c r="S196" s="370" t="n">
        <v>1</v>
      </c>
      <c r="T196" s="369" t="inlineStr">
        <is>
          <t xml:space="preserve">I-A         </t>
        </is>
      </c>
      <c r="U196" s="370" t="n">
        <v>398</v>
      </c>
      <c r="V196" s="674" t="n">
        <v>162000</v>
      </c>
      <c r="W196" s="674" t="n">
        <v>162000</v>
      </c>
      <c r="X196" s="676" t="inlineStr">
        <is>
          <t>1.4:1</t>
        </is>
      </c>
      <c r="Y196" s="674" t="n">
        <v>113000</v>
      </c>
      <c r="Z196" s="369" t="inlineStr">
        <is>
          <t xml:space="preserve">C </t>
        </is>
      </c>
      <c r="AA196" s="370" t="n"/>
      <c r="AB196" s="370" t="n"/>
      <c r="AC196" s="370" t="n"/>
      <c r="AD196" s="370" t="inlineStr">
        <is>
          <t xml:space="preserve">S-W PROCTOR PROD.   </t>
        </is>
      </c>
      <c r="AE196" s="370" t="n"/>
      <c r="AF196" s="370" t="n"/>
      <c r="AG196" s="370" t="n"/>
      <c r="AH196" s="370" t="n"/>
      <c r="AI196" s="370" t="n"/>
      <c r="AK196" s="370" t="inlineStr">
        <is>
          <t xml:space="preserve">LEASES RANGE FROM 2010 TO 2012; NO OP. EXPENSES GIVEN.            </t>
        </is>
      </c>
      <c r="AL196" s="370" t="n"/>
      <c r="AM196" s="370" t="n"/>
      <c r="AN196" s="370" t="n"/>
      <c r="AO196" s="370" t="n"/>
      <c r="AP196" s="370" t="n"/>
      <c r="AQ196" s="370" t="n"/>
    </row>
    <row r="197">
      <c r="A197" s="383" t="n">
        <v>6</v>
      </c>
      <c r="B197" s="370" t="n">
        <v>191</v>
      </c>
      <c r="C197" s="370" t="inlineStr">
        <is>
          <t>2013Q</t>
        </is>
      </c>
      <c r="D197" s="370" t="inlineStr">
        <is>
          <t xml:space="preserve">05092-07-013-000 </t>
        </is>
      </c>
      <c r="E197" s="369" t="inlineStr">
        <is>
          <t>Actual</t>
        </is>
      </c>
      <c r="F197" s="370" t="inlineStr">
        <is>
          <t>745   VALLEJO              ST</t>
        </is>
      </c>
      <c r="G197" s="370" t="n">
        <v>44.1</v>
      </c>
      <c r="H197" s="370" t="n">
        <v>9505</v>
      </c>
      <c r="I197" s="369" t="n">
        <v>0</v>
      </c>
      <c r="J197" s="674" t="n">
        <v>2800</v>
      </c>
      <c r="K197" s="675" t="n">
        <v>9.953214285714285</v>
      </c>
      <c r="L197" s="385" t="n">
        <v>0</v>
      </c>
      <c r="M197" s="374" t="n">
        <v>0.1132082241917543</v>
      </c>
      <c r="N197" s="370" t="n">
        <v>1964</v>
      </c>
      <c r="O197" s="370" t="n">
        <v>198</v>
      </c>
      <c r="P197" s="370" t="n">
        <v>0</v>
      </c>
      <c r="Q197" s="370" t="n">
        <v>14</v>
      </c>
      <c r="R197" s="370" t="n">
        <v>3</v>
      </c>
      <c r="S197" s="370" t="n">
        <v>1</v>
      </c>
      <c r="T197" s="369" t="inlineStr">
        <is>
          <t xml:space="preserve">I-A         </t>
        </is>
      </c>
      <c r="U197" s="370" t="n">
        <v>398</v>
      </c>
      <c r="V197" s="674" t="n">
        <v>6000</v>
      </c>
      <c r="W197" s="674" t="n">
        <v>6000</v>
      </c>
      <c r="X197" s="676" t="inlineStr">
        <is>
          <t>2.1:1</t>
        </is>
      </c>
      <c r="Y197" s="674" t="n">
        <v>3000</v>
      </c>
      <c r="Z197" s="369" t="inlineStr">
        <is>
          <t xml:space="preserve">C </t>
        </is>
      </c>
      <c r="AA197" s="370" t="n"/>
      <c r="AB197" s="370" t="n"/>
      <c r="AC197" s="370" t="n"/>
      <c r="AD197" s="370" t="inlineStr">
        <is>
          <t>S-W DENVER WIRE WORK</t>
        </is>
      </c>
      <c r="AE197" s="370" t="n"/>
      <c r="AF197" s="370" t="n"/>
      <c r="AG197" s="370" t="n"/>
      <c r="AH197" s="370" t="n"/>
      <c r="AI197" s="370" t="n"/>
      <c r="AK197" s="370" t="inlineStr">
        <is>
          <t>                                                                  </t>
        </is>
      </c>
      <c r="AL197" s="370" t="n"/>
      <c r="AM197" s="370" t="n"/>
      <c r="AN197" s="370" t="n"/>
      <c r="AO197" s="370" t="n"/>
      <c r="AP197" s="370" t="n"/>
      <c r="AQ197" s="370" t="n"/>
    </row>
    <row r="198">
      <c r="A198" s="383" t="n">
        <v>6</v>
      </c>
      <c r="B198" s="370" t="n">
        <v>192</v>
      </c>
      <c r="C198" s="370" t="inlineStr">
        <is>
          <t>2013Q</t>
        </is>
      </c>
      <c r="D198" s="370" t="inlineStr">
        <is>
          <t xml:space="preserve">05092-07-016-000 </t>
        </is>
      </c>
      <c r="E198" s="369" t="inlineStr">
        <is>
          <t>Actual</t>
        </is>
      </c>
      <c r="F198" s="370" t="inlineStr">
        <is>
          <t>781   VALLEJO              ST</t>
        </is>
      </c>
      <c r="G198" s="370" t="n">
        <v>44.2</v>
      </c>
      <c r="H198" s="370" t="n">
        <v>9505</v>
      </c>
      <c r="I198" s="369" t="n">
        <v>0</v>
      </c>
      <c r="J198" s="674" t="n">
        <v>10800</v>
      </c>
      <c r="K198" s="675" t="n">
        <v>6.111111111111111</v>
      </c>
      <c r="L198" s="385" t="n">
        <v>0.55</v>
      </c>
      <c r="M198" s="374" t="n">
        <v>0</v>
      </c>
      <c r="N198" s="370" t="n">
        <v>1961</v>
      </c>
      <c r="O198" s="370" t="n">
        <v>3655</v>
      </c>
      <c r="P198" s="370" t="n">
        <v>0</v>
      </c>
      <c r="Q198" s="370" t="n">
        <v>12</v>
      </c>
      <c r="R198" s="370" t="n">
        <v>1</v>
      </c>
      <c r="S198" s="370" t="n">
        <v>3</v>
      </c>
      <c r="T198" s="369" t="inlineStr">
        <is>
          <t xml:space="preserve">I-A         </t>
        </is>
      </c>
      <c r="U198" s="370" t="n">
        <v>398</v>
      </c>
      <c r="V198" s="674" t="n">
        <v>17400</v>
      </c>
      <c r="W198" s="674" t="n">
        <v>17000</v>
      </c>
      <c r="X198" s="676" t="inlineStr">
        <is>
          <t>1.6:1</t>
        </is>
      </c>
      <c r="Y198" s="674" t="n">
        <v>11000</v>
      </c>
      <c r="Z198" s="369" t="inlineStr">
        <is>
          <t xml:space="preserve">C </t>
        </is>
      </c>
      <c r="AA198" s="370" t="n"/>
      <c r="AB198" s="370" t="n"/>
      <c r="AC198" s="370" t="n"/>
      <c r="AD198" s="370" t="inlineStr">
        <is>
          <t>                    </t>
        </is>
      </c>
      <c r="AE198" s="370" t="n"/>
      <c r="AF198" s="370" t="n"/>
      <c r="AG198" s="370" t="n"/>
      <c r="AH198" s="370" t="n"/>
      <c r="AI198" s="370" t="n"/>
      <c r="AK198" s="370" t="inlineStr">
        <is>
          <t xml:space="preserve">2010 LEASES.                                                      </t>
        </is>
      </c>
      <c r="AL198" s="370" t="n"/>
      <c r="AM198" s="370" t="n"/>
      <c r="AN198" s="370" t="n"/>
      <c r="AO198" s="370" t="n"/>
      <c r="AP198" s="370" t="n"/>
      <c r="AQ198" s="370" t="n"/>
    </row>
    <row r="199">
      <c r="A199" s="383" t="n">
        <v>6</v>
      </c>
      <c r="B199" s="370" t="n">
        <v>193</v>
      </c>
      <c r="C199" s="370" t="inlineStr">
        <is>
          <t>2013Q</t>
        </is>
      </c>
      <c r="D199" s="370" t="inlineStr">
        <is>
          <t xml:space="preserve">05092-07-032-000 </t>
        </is>
      </c>
      <c r="E199" s="369" t="inlineStr">
        <is>
          <t>Actual</t>
        </is>
      </c>
      <c r="F199" s="370" t="inlineStr">
        <is>
          <t>755   VALLEJO              ST</t>
        </is>
      </c>
      <c r="G199" s="370" t="n">
        <v>44.2</v>
      </c>
      <c r="H199" s="370" t="n">
        <v>9505</v>
      </c>
      <c r="I199" s="369" t="n">
        <v>0</v>
      </c>
      <c r="J199" s="674" t="n">
        <v>11867</v>
      </c>
      <c r="K199" s="675" t="n">
        <v>5.933681638156232</v>
      </c>
      <c r="L199" s="385" t="n">
        <v>0</v>
      </c>
      <c r="M199" s="374" t="n">
        <v>0.08366115174323653</v>
      </c>
      <c r="N199" s="370" t="n">
        <v>1970</v>
      </c>
      <c r="O199" s="370" t="n">
        <v>5575</v>
      </c>
      <c r="P199" s="370" t="n">
        <v>0</v>
      </c>
      <c r="Q199" s="370" t="n">
        <v>18</v>
      </c>
      <c r="R199" s="370" t="n">
        <v>1</v>
      </c>
      <c r="S199" s="370" t="n">
        <v>1</v>
      </c>
      <c r="T199" s="369" t="inlineStr">
        <is>
          <t xml:space="preserve">I-A         </t>
        </is>
      </c>
      <c r="U199" s="370" t="n">
        <v>398</v>
      </c>
      <c r="V199" s="674" t="n">
        <v>18000</v>
      </c>
      <c r="W199" s="674" t="n">
        <v>18000</v>
      </c>
      <c r="X199" s="676" t="inlineStr">
        <is>
          <t>1.5:1</t>
        </is>
      </c>
      <c r="Y199" s="674" t="n">
        <v>12000</v>
      </c>
      <c r="Z199" s="369" t="inlineStr">
        <is>
          <t xml:space="preserve">C </t>
        </is>
      </c>
      <c r="AA199" s="370" t="n"/>
      <c r="AB199" s="370" t="n"/>
      <c r="AC199" s="370" t="n"/>
      <c r="AD199" s="370" t="inlineStr">
        <is>
          <t xml:space="preserve">M-W                 </t>
        </is>
      </c>
      <c r="AE199" s="370" t="n"/>
      <c r="AF199" s="370" t="n"/>
      <c r="AG199" s="370" t="n"/>
      <c r="AH199" s="370" t="n"/>
      <c r="AI199" s="370" t="n"/>
      <c r="AK199" s="370" t="inlineStr">
        <is>
          <t xml:space="preserve">2009 LEASE.                                                       </t>
        </is>
      </c>
      <c r="AL199" s="370" t="n"/>
      <c r="AM199" s="370" t="n"/>
      <c r="AN199" s="370" t="n"/>
      <c r="AO199" s="370" t="n"/>
      <c r="AP199" s="370" t="n"/>
      <c r="AQ199" s="370" t="n"/>
    </row>
    <row r="200">
      <c r="A200" s="383" t="n">
        <v>6</v>
      </c>
      <c r="B200" s="370" t="n">
        <v>194</v>
      </c>
      <c r="C200" s="370" t="inlineStr">
        <is>
          <t>2013Q</t>
        </is>
      </c>
      <c r="D200" s="370" t="inlineStr">
        <is>
          <t xml:space="preserve">05093-00-052-000 </t>
        </is>
      </c>
      <c r="E200" s="369" t="inlineStr">
        <is>
          <t>Actual</t>
        </is>
      </c>
      <c r="F200" s="370" t="inlineStr">
        <is>
          <t>163   VALLEJO              ST</t>
        </is>
      </c>
      <c r="G200" s="370" t="n">
        <v>44.1</v>
      </c>
      <c r="H200" s="370" t="n">
        <v>9508</v>
      </c>
      <c r="I200" s="369" t="n">
        <v>0</v>
      </c>
      <c r="J200" s="674" t="n">
        <v>4681</v>
      </c>
      <c r="K200" s="675" t="n">
        <v>11.95219123505976</v>
      </c>
      <c r="L200" s="385" t="n">
        <v>0</v>
      </c>
      <c r="M200" s="374" t="n">
        <v>0</v>
      </c>
      <c r="N200" s="370" t="n">
        <v>1937</v>
      </c>
      <c r="O200" s="370" t="n">
        <v>1100</v>
      </c>
      <c r="P200" s="370" t="n">
        <v>0</v>
      </c>
      <c r="Q200" s="370" t="n">
        <v>18</v>
      </c>
      <c r="R200" s="370" t="n">
        <v>3</v>
      </c>
      <c r="S200" s="370" t="n">
        <v>1</v>
      </c>
      <c r="T200" s="369" t="inlineStr">
        <is>
          <t xml:space="preserve">I-A         </t>
        </is>
      </c>
      <c r="U200" s="370" t="n">
        <v>398</v>
      </c>
      <c r="V200" s="674" t="n">
        <v>14136</v>
      </c>
      <c r="W200" s="674" t="n">
        <v>14000</v>
      </c>
      <c r="X200" s="676" t="inlineStr">
        <is>
          <t>3:1</t>
        </is>
      </c>
      <c r="Y200" s="674" t="n">
        <v>5000</v>
      </c>
      <c r="Z200" s="369" t="inlineStr">
        <is>
          <t xml:space="preserve">C </t>
        </is>
      </c>
      <c r="AA200" s="370" t="n"/>
      <c r="AB200" s="370" t="n"/>
      <c r="AC200" s="370" t="n"/>
      <c r="AD200" s="370" t="inlineStr">
        <is>
          <t>IAI CONSTRUCTION CO.</t>
        </is>
      </c>
      <c r="AE200" s="370" t="n"/>
      <c r="AF200" s="370" t="n"/>
      <c r="AG200" s="370" t="n"/>
      <c r="AH200" s="370" t="n"/>
      <c r="AI200" s="370" t="n"/>
      <c r="AK200" s="370" t="inlineStr">
        <is>
          <t xml:space="preserve">UNABLE TO ALLOCATE EXPENSES BETWEEN OWNER &amp; TENANT.               </t>
        </is>
      </c>
      <c r="AL200" s="370" t="n"/>
      <c r="AM200" s="370" t="n"/>
      <c r="AN200" s="370" t="n"/>
      <c r="AO200" s="370" t="n"/>
      <c r="AP200" s="370" t="n"/>
      <c r="AQ200" s="370" t="n"/>
    </row>
    <row r="201">
      <c r="A201" s="383" t="n">
        <v>6</v>
      </c>
      <c r="B201" s="370" t="n">
        <v>195</v>
      </c>
      <c r="C201" s="370" t="inlineStr">
        <is>
          <t>2013Q</t>
        </is>
      </c>
      <c r="D201" s="370" t="inlineStr">
        <is>
          <t xml:space="preserve">05093-11-008-000 </t>
        </is>
      </c>
      <c r="E201" s="369" t="inlineStr">
        <is>
          <t>Actual</t>
        </is>
      </c>
      <c r="F201" s="370" t="inlineStr">
        <is>
          <t>145   YUMA                 ST</t>
        </is>
      </c>
      <c r="G201" s="370" t="n">
        <v>44.1</v>
      </c>
      <c r="H201" s="370" t="n">
        <v>9508</v>
      </c>
      <c r="I201" s="369" t="n">
        <v>0</v>
      </c>
      <c r="J201" s="674" t="n">
        <v>6930</v>
      </c>
      <c r="K201" s="675" t="n">
        <v>6.279365079365079</v>
      </c>
      <c r="L201" s="385" t="n">
        <v>0</v>
      </c>
      <c r="M201" s="374" t="n">
        <v>0.07383491129699421</v>
      </c>
      <c r="N201" s="370" t="n">
        <v>1965</v>
      </c>
      <c r="O201" s="370" t="n">
        <v>1260</v>
      </c>
      <c r="P201" s="370" t="n">
        <v>0</v>
      </c>
      <c r="Q201" s="370" t="n">
        <v>13</v>
      </c>
      <c r="R201" s="370" t="n">
        <v>1</v>
      </c>
      <c r="S201" s="370" t="n">
        <v>1</v>
      </c>
      <c r="T201" s="369" t="inlineStr">
        <is>
          <t xml:space="preserve">I-A         </t>
        </is>
      </c>
      <c r="U201" s="370" t="n">
        <v>398</v>
      </c>
      <c r="V201" s="674" t="n">
        <v>18900</v>
      </c>
      <c r="W201" s="674" t="n">
        <v>19000</v>
      </c>
      <c r="X201" s="676" t="inlineStr">
        <is>
          <t>2.7:1</t>
        </is>
      </c>
      <c r="Y201" s="674" t="n">
        <v>7000</v>
      </c>
      <c r="Z201" s="369" t="inlineStr">
        <is>
          <t xml:space="preserve">C </t>
        </is>
      </c>
      <c r="AA201" s="370" t="n"/>
      <c r="AB201" s="370" t="n"/>
      <c r="AC201" s="370" t="n"/>
      <c r="AD201" s="370" t="inlineStr">
        <is>
          <t>                    </t>
        </is>
      </c>
      <c r="AE201" s="370" t="n"/>
      <c r="AF201" s="370" t="n"/>
      <c r="AG201" s="370" t="n"/>
      <c r="AH201" s="370" t="n"/>
      <c r="AI201" s="370" t="n"/>
      <c r="AK201" s="370" t="inlineStr">
        <is>
          <t xml:space="preserve">2009 LEASE.                                                       </t>
        </is>
      </c>
      <c r="AL201" s="370" t="n"/>
      <c r="AM201" s="370" t="n"/>
      <c r="AN201" s="370" t="n"/>
      <c r="AO201" s="370" t="n"/>
      <c r="AP201" s="370" t="n"/>
      <c r="AQ201" s="370" t="n"/>
    </row>
    <row r="202">
      <c r="A202" s="383" t="n">
        <v>6</v>
      </c>
      <c r="B202" s="370" t="n">
        <v>196</v>
      </c>
      <c r="C202" s="370" t="inlineStr">
        <is>
          <t>2013Q</t>
        </is>
      </c>
      <c r="D202" s="370" t="inlineStr">
        <is>
          <t xml:space="preserve">05094-04-024-000 </t>
        </is>
      </c>
      <c r="E202" s="369" t="inlineStr">
        <is>
          <t>Actual</t>
        </is>
      </c>
      <c r="F202" s="370" t="inlineStr">
        <is>
          <t>175 S PECOS                ST</t>
        </is>
      </c>
      <c r="G202" s="370" t="n">
        <v>44.2</v>
      </c>
      <c r="H202" s="370" t="n">
        <v>9508</v>
      </c>
      <c r="I202" s="369" t="n">
        <v>0</v>
      </c>
      <c r="J202" s="674" t="n">
        <v>2550</v>
      </c>
      <c r="K202" s="675" t="n">
        <v>6.588235294117647</v>
      </c>
      <c r="L202" s="385" t="n">
        <v>0</v>
      </c>
      <c r="M202" s="374" t="n">
        <v>0.025</v>
      </c>
      <c r="N202" s="370" t="n">
        <v>1977</v>
      </c>
      <c r="O202" s="370" t="n">
        <v>648</v>
      </c>
      <c r="P202" s="370" t="n">
        <v>0</v>
      </c>
      <c r="Q202" s="370" t="n">
        <v>14</v>
      </c>
      <c r="R202" s="370" t="n">
        <v>1</v>
      </c>
      <c r="S202" s="370" t="n">
        <v>2</v>
      </c>
      <c r="T202" s="369" t="inlineStr">
        <is>
          <t xml:space="preserve">I-MX-3      </t>
        </is>
      </c>
      <c r="U202" s="370" t="n">
        <v>398</v>
      </c>
      <c r="V202" s="674" t="n">
        <v>6250</v>
      </c>
      <c r="W202" s="674" t="n">
        <v>6000</v>
      </c>
      <c r="X202" s="676" t="inlineStr">
        <is>
          <t>2.5:1</t>
        </is>
      </c>
      <c r="Y202" s="674" t="n">
        <v>3000</v>
      </c>
      <c r="Z202" s="369" t="inlineStr">
        <is>
          <t xml:space="preserve">C </t>
        </is>
      </c>
      <c r="AA202" s="370" t="n"/>
      <c r="AB202" s="370" t="n"/>
      <c r="AC202" s="370" t="n"/>
      <c r="AD202" s="370" t="inlineStr">
        <is>
          <t xml:space="preserve">M-W                 </t>
        </is>
      </c>
      <c r="AE202" s="370" t="n"/>
      <c r="AF202" s="370" t="n"/>
      <c r="AG202" s="370" t="n"/>
      <c r="AH202" s="370" t="n"/>
      <c r="AI202" s="370" t="n"/>
      <c r="AK202" s="370" t="inlineStr">
        <is>
          <t xml:space="preserve">DATE OF LEASE COMMENCEMENT UNKNOWN                                </t>
        </is>
      </c>
      <c r="AL202" s="370" t="n"/>
      <c r="AM202" s="370" t="n"/>
      <c r="AN202" s="370" t="n"/>
      <c r="AO202" s="370" t="n"/>
      <c r="AP202" s="370" t="n"/>
      <c r="AQ202" s="370" t="n"/>
    </row>
    <row r="203">
      <c r="A203" s="383" t="n">
        <v>6</v>
      </c>
      <c r="B203" s="370" t="n">
        <v>197</v>
      </c>
      <c r="C203" s="370" t="inlineStr">
        <is>
          <t>2013Q</t>
        </is>
      </c>
      <c r="D203" s="370" t="inlineStr">
        <is>
          <t xml:space="preserve">05094-05-033-000 </t>
        </is>
      </c>
      <c r="E203" s="369" t="inlineStr">
        <is>
          <t>Actual</t>
        </is>
      </c>
      <c r="F203" s="370" t="inlineStr">
        <is>
          <t>200 S RARITAN              ST</t>
        </is>
      </c>
      <c r="G203" s="370" t="n">
        <v>44.1</v>
      </c>
      <c r="H203" s="370" t="n">
        <v>9508</v>
      </c>
      <c r="I203" s="369" t="n">
        <v>0</v>
      </c>
      <c r="J203" s="674" t="n">
        <v>7362</v>
      </c>
      <c r="K203" s="675" t="n">
        <v>7.334963325183374</v>
      </c>
      <c r="L203" s="385" t="n">
        <v>0</v>
      </c>
      <c r="M203" s="374" t="n">
        <v>0.1040185185185185</v>
      </c>
      <c r="N203" s="370" t="n">
        <v>1979</v>
      </c>
      <c r="O203" s="370" t="n">
        <v>1320</v>
      </c>
      <c r="P203" s="370" t="n">
        <v>0</v>
      </c>
      <c r="Q203" s="370" t="n">
        <v>20</v>
      </c>
      <c r="R203" s="370" t="n">
        <v>1</v>
      </c>
      <c r="S203" s="370" t="n">
        <v>1</v>
      </c>
      <c r="T203" s="369" t="inlineStr">
        <is>
          <t xml:space="preserve">I-MX-3      </t>
        </is>
      </c>
      <c r="U203" s="370" t="n">
        <v>398</v>
      </c>
      <c r="V203" s="674" t="n">
        <v>35000</v>
      </c>
      <c r="W203" s="674" t="n">
        <v>35000</v>
      </c>
      <c r="X203" s="676" t="inlineStr">
        <is>
          <t>4.8:1</t>
        </is>
      </c>
      <c r="Y203" s="674" t="n">
        <v>7000</v>
      </c>
      <c r="Z203" s="369" t="inlineStr">
        <is>
          <t xml:space="preserve">C </t>
        </is>
      </c>
      <c r="AA203" s="370" t="n"/>
      <c r="AB203" s="370" t="n"/>
      <c r="AC203" s="370" t="n"/>
      <c r="AD203" s="370" t="inlineStr">
        <is>
          <t>LITTLE JOHN'S EQUIPT</t>
        </is>
      </c>
      <c r="AE203" s="370" t="n"/>
      <c r="AF203" s="370" t="n"/>
      <c r="AG203" s="370" t="n"/>
      <c r="AH203" s="370" t="n"/>
      <c r="AI203" s="370" t="n"/>
      <c r="AK203" s="370" t="inlineStr">
        <is>
          <t xml:space="preserve">2010 LEASE.                                                       </t>
        </is>
      </c>
      <c r="AL203" s="370" t="n"/>
      <c r="AM203" s="370" t="n"/>
      <c r="AN203" s="370" t="n"/>
      <c r="AO203" s="370" t="n"/>
      <c r="AP203" s="370" t="n"/>
      <c r="AQ203" s="370" t="n"/>
    </row>
    <row r="204">
      <c r="A204" s="383" t="n">
        <v>6</v>
      </c>
      <c r="B204" s="370" t="n">
        <v>198</v>
      </c>
      <c r="C204" s="370" t="inlineStr">
        <is>
          <t>2013Q</t>
        </is>
      </c>
      <c r="D204" s="370" t="inlineStr">
        <is>
          <t xml:space="preserve">05094-05-034-000 </t>
        </is>
      </c>
      <c r="E204" s="369" t="inlineStr">
        <is>
          <t>Actual</t>
        </is>
      </c>
      <c r="F204" s="370" t="inlineStr">
        <is>
          <t>215 S PECOS                ST</t>
        </is>
      </c>
      <c r="G204" s="370" t="n">
        <v>44.1</v>
      </c>
      <c r="H204" s="370" t="n">
        <v>9508</v>
      </c>
      <c r="I204" s="369" t="n">
        <v>0</v>
      </c>
      <c r="J204" s="674" t="n">
        <v>6000</v>
      </c>
      <c r="K204" s="675" t="n">
        <v>15</v>
      </c>
      <c r="L204" s="385" t="n">
        <v>0</v>
      </c>
      <c r="M204" s="374" t="n">
        <v>0</v>
      </c>
      <c r="N204" s="370" t="n">
        <v>1976</v>
      </c>
      <c r="O204" s="370" t="n">
        <v>1179</v>
      </c>
      <c r="P204" s="370" t="n">
        <v>744</v>
      </c>
      <c r="Q204" s="370" t="n">
        <v>18</v>
      </c>
      <c r="R204" s="370" t="n">
        <v>14</v>
      </c>
      <c r="S204" s="370" t="n">
        <v>1</v>
      </c>
      <c r="T204" s="369" t="inlineStr">
        <is>
          <t xml:space="preserve">I-MX-3      </t>
        </is>
      </c>
      <c r="U204" s="370" t="n">
        <v>398</v>
      </c>
      <c r="V204" s="674" t="n">
        <v>17185</v>
      </c>
      <c r="W204" s="674" t="n">
        <v>17000</v>
      </c>
      <c r="X204" s="676" t="inlineStr">
        <is>
          <t>2.9:1</t>
        </is>
      </c>
      <c r="Y204" s="674" t="n">
        <v>6000</v>
      </c>
      <c r="Z204" s="369" t="inlineStr">
        <is>
          <t xml:space="preserve">C </t>
        </is>
      </c>
      <c r="AA204" s="370" t="n"/>
      <c r="AB204" s="370" t="n"/>
      <c r="AC204" s="370" t="n"/>
      <c r="AD204" s="370" t="inlineStr">
        <is>
          <t>S-W NEW MEXICO DISTR</t>
        </is>
      </c>
      <c r="AE204" s="370" t="n"/>
      <c r="AF204" s="370" t="n"/>
      <c r="AG204" s="370" t="n"/>
      <c r="AH204" s="370" t="n"/>
      <c r="AI204" s="370" t="n"/>
      <c r="AK204" s="370" t="inlineStr">
        <is>
          <t>                                                                  </t>
        </is>
      </c>
      <c r="AL204" s="370" t="n"/>
      <c r="AM204" s="370" t="n"/>
      <c r="AN204" s="370" t="n"/>
      <c r="AO204" s="370" t="n"/>
      <c r="AP204" s="370" t="n"/>
      <c r="AQ204" s="370" t="n"/>
    </row>
    <row r="205">
      <c r="A205" s="383" t="n">
        <v>6</v>
      </c>
      <c r="B205" s="370" t="n">
        <v>199</v>
      </c>
      <c r="C205" s="370" t="inlineStr">
        <is>
          <t>2013Q</t>
        </is>
      </c>
      <c r="D205" s="370" t="inlineStr">
        <is>
          <t xml:space="preserve">05094-08-034-000 </t>
        </is>
      </c>
      <c r="E205" s="369" t="inlineStr">
        <is>
          <t>Actual</t>
        </is>
      </c>
      <c r="F205" s="370" t="inlineStr">
        <is>
          <t>260 S RARITAN              ST</t>
        </is>
      </c>
      <c r="G205" s="370" t="n">
        <v>44.2</v>
      </c>
      <c r="H205" s="370" t="n">
        <v>9508</v>
      </c>
      <c r="I205" s="369" t="n">
        <v>0</v>
      </c>
      <c r="J205" s="674" t="n">
        <v>4492</v>
      </c>
      <c r="K205" s="675" t="n">
        <v>8.800000000000001</v>
      </c>
      <c r="L205" s="385" t="n">
        <v>0</v>
      </c>
      <c r="M205" s="374" t="n">
        <v>0</v>
      </c>
      <c r="N205" s="370" t="n">
        <v>1980</v>
      </c>
      <c r="O205" s="370" t="n">
        <v>2124</v>
      </c>
      <c r="P205" s="370" t="n">
        <v>0</v>
      </c>
      <c r="Q205" s="370" t="n">
        <v>20</v>
      </c>
      <c r="R205" s="370" t="n">
        <v>1</v>
      </c>
      <c r="S205" s="370" t="n">
        <v>1</v>
      </c>
      <c r="T205" s="369" t="inlineStr">
        <is>
          <t xml:space="preserve">PUD         </t>
        </is>
      </c>
      <c r="U205" s="370" t="n">
        <v>398</v>
      </c>
      <c r="V205" s="674" t="n">
        <v>10000</v>
      </c>
      <c r="W205" s="674" t="n">
        <v>10000</v>
      </c>
      <c r="X205" s="676" t="inlineStr">
        <is>
          <t>2.2:1</t>
        </is>
      </c>
      <c r="Y205" s="674" t="n">
        <v>4000</v>
      </c>
      <c r="Z205" s="369" t="inlineStr">
        <is>
          <t xml:space="preserve">C </t>
        </is>
      </c>
      <c r="AA205" s="370" t="n"/>
      <c r="AB205" s="370" t="n"/>
      <c r="AC205" s="370" t="n"/>
      <c r="AD205" s="370" t="inlineStr">
        <is>
          <t>S-W MCBRIDE LIGHTING</t>
        </is>
      </c>
      <c r="AE205" s="370" t="n"/>
      <c r="AF205" s="370" t="n"/>
      <c r="AG205" s="370" t="n"/>
      <c r="AH205" s="370" t="n"/>
      <c r="AI205" s="370" t="n"/>
      <c r="AK205" s="370" t="inlineStr">
        <is>
          <t>                                                                  </t>
        </is>
      </c>
      <c r="AL205" s="370" t="n"/>
      <c r="AM205" s="370" t="n"/>
      <c r="AN205" s="370" t="n"/>
      <c r="AO205" s="370" t="n"/>
      <c r="AP205" s="370" t="n"/>
      <c r="AQ205" s="370" t="n"/>
    </row>
    <row r="206">
      <c r="A206" s="383" t="n">
        <v>6</v>
      </c>
      <c r="B206" s="370" t="n">
        <v>200</v>
      </c>
      <c r="C206" s="370" t="inlineStr">
        <is>
          <t>2013Q</t>
        </is>
      </c>
      <c r="D206" s="370" t="inlineStr">
        <is>
          <t xml:space="preserve">05095-07-029-000 </t>
        </is>
      </c>
      <c r="E206" s="369" t="inlineStr">
        <is>
          <t>Actual</t>
        </is>
      </c>
      <c r="F206" s="370" t="inlineStr">
        <is>
          <t>1531 W BAYAUD               AV</t>
        </is>
      </c>
      <c r="G206" s="370" t="n">
        <v>44.2</v>
      </c>
      <c r="H206" s="370" t="n">
        <v>9508</v>
      </c>
      <c r="I206" s="369" t="n">
        <v>0</v>
      </c>
      <c r="J206" s="674" t="n">
        <v>11688</v>
      </c>
      <c r="K206" s="675" t="n">
        <v>5.809414466130884</v>
      </c>
      <c r="L206" s="385" t="n">
        <v>0</v>
      </c>
      <c r="M206" s="374" t="n">
        <v>0</v>
      </c>
      <c r="N206" s="370" t="n">
        <v>1985</v>
      </c>
      <c r="O206" s="370" t="n">
        <v>1322</v>
      </c>
      <c r="P206" s="370" t="n">
        <v>0</v>
      </c>
      <c r="Q206" s="370" t="n">
        <v>14</v>
      </c>
      <c r="R206" s="370" t="n">
        <v>3</v>
      </c>
      <c r="S206" s="370" t="n">
        <v>3</v>
      </c>
      <c r="T206" s="369" t="inlineStr">
        <is>
          <t xml:space="preserve">I-MX-3      </t>
        </is>
      </c>
      <c r="U206" s="370" t="n">
        <v>398</v>
      </c>
      <c r="V206" s="674" t="n">
        <v>19950</v>
      </c>
      <c r="W206" s="674" t="n">
        <v>20000</v>
      </c>
      <c r="X206" s="676" t="inlineStr">
        <is>
          <t>1.7:1</t>
        </is>
      </c>
      <c r="Y206" s="674" t="n">
        <v>12000</v>
      </c>
      <c r="Z206" s="369" t="inlineStr">
        <is>
          <t xml:space="preserve">C </t>
        </is>
      </c>
      <c r="AA206" s="370" t="n"/>
      <c r="AB206" s="370" t="n"/>
      <c r="AC206" s="370" t="n"/>
      <c r="AD206" s="370" t="inlineStr">
        <is>
          <t xml:space="preserve">WAREHOUSE           </t>
        </is>
      </c>
      <c r="AE206" s="370" t="n"/>
      <c r="AF206" s="370" t="n"/>
      <c r="AG206" s="370" t="n"/>
      <c r="AH206" s="370" t="n"/>
      <c r="AI206" s="370" t="n"/>
      <c r="AK206" s="370" t="inlineStr">
        <is>
          <t xml:space="preserve">CAN'T SEPARATE OWNER &amp; TENANT EXPENSES.                           </t>
        </is>
      </c>
      <c r="AL206" s="370" t="n"/>
      <c r="AM206" s="370" t="n"/>
      <c r="AN206" s="370" t="n"/>
      <c r="AO206" s="370" t="n"/>
      <c r="AP206" s="370" t="n"/>
      <c r="AQ206" s="370" t="n"/>
    </row>
    <row r="207">
      <c r="A207" s="383" t="n">
        <v>6</v>
      </c>
      <c r="B207" s="370" t="n">
        <v>201</v>
      </c>
      <c r="C207" s="370" t="inlineStr">
        <is>
          <t>2013Q</t>
        </is>
      </c>
      <c r="D207" s="370" t="inlineStr">
        <is>
          <t xml:space="preserve">05095-12-028-000 </t>
        </is>
      </c>
      <c r="E207" s="369" t="inlineStr">
        <is>
          <t>Actual</t>
        </is>
      </c>
      <c r="F207" s="370" t="inlineStr">
        <is>
          <t>1369 W BYERS                PL</t>
        </is>
      </c>
      <c r="G207" s="370" t="n">
        <v>44.2</v>
      </c>
      <c r="H207" s="370" t="n">
        <v>9508</v>
      </c>
      <c r="I207" s="369" t="n">
        <v>0</v>
      </c>
      <c r="J207" s="674" t="n">
        <v>8000</v>
      </c>
      <c r="K207" s="675" t="n">
        <v>6.6675</v>
      </c>
      <c r="L207" s="385" t="n">
        <v>0</v>
      </c>
      <c r="M207" s="374" t="n">
        <v>0.1059617547806524</v>
      </c>
      <c r="N207" s="370" t="n">
        <v>1977</v>
      </c>
      <c r="O207" s="370" t="n">
        <v>1376</v>
      </c>
      <c r="P207" s="370" t="n">
        <v>0</v>
      </c>
      <c r="Q207" s="370" t="n">
        <v>14</v>
      </c>
      <c r="R207" s="370" t="n">
        <v>3</v>
      </c>
      <c r="S207" s="370" t="n">
        <v>1</v>
      </c>
      <c r="T207" s="369" t="inlineStr">
        <is>
          <t xml:space="preserve">I-MX-3      </t>
        </is>
      </c>
      <c r="U207" s="370" t="n">
        <v>398</v>
      </c>
      <c r="V207" s="674" t="n">
        <v>17187</v>
      </c>
      <c r="W207" s="674" t="n">
        <v>17000</v>
      </c>
      <c r="X207" s="676" t="inlineStr">
        <is>
          <t>2.1:1</t>
        </is>
      </c>
      <c r="Y207" s="674" t="n">
        <v>8000</v>
      </c>
      <c r="Z207" s="369" t="inlineStr">
        <is>
          <t xml:space="preserve">C </t>
        </is>
      </c>
      <c r="AA207" s="370" t="n"/>
      <c r="AB207" s="370" t="n"/>
      <c r="AC207" s="370" t="n"/>
      <c r="AD207" s="370" t="inlineStr">
        <is>
          <t>WESCO LASER MACHINRY</t>
        </is>
      </c>
      <c r="AE207" s="370" t="n"/>
      <c r="AF207" s="370" t="n"/>
      <c r="AG207" s="370" t="n"/>
      <c r="AH207" s="370" t="n"/>
      <c r="AI207" s="370" t="n"/>
      <c r="AK207" s="370" t="inlineStr">
        <is>
          <t xml:space="preserve">2010 LEASES.                                                      </t>
        </is>
      </c>
      <c r="AL207" s="370" t="n"/>
      <c r="AM207" s="370" t="n"/>
      <c r="AN207" s="370" t="n"/>
      <c r="AO207" s="370" t="n"/>
      <c r="AP207" s="370" t="n"/>
      <c r="AQ207" s="370" t="n"/>
    </row>
    <row r="208">
      <c r="A208" s="383" t="n">
        <v>6</v>
      </c>
      <c r="B208" s="370" t="n">
        <v>202</v>
      </c>
      <c r="C208" s="370" t="inlineStr">
        <is>
          <t>2013Q</t>
        </is>
      </c>
      <c r="D208" s="370" t="inlineStr">
        <is>
          <t xml:space="preserve">05095-13-008-000 </t>
        </is>
      </c>
      <c r="E208" s="369" t="inlineStr">
        <is>
          <t>Actual</t>
        </is>
      </c>
      <c r="F208" s="370" t="inlineStr">
        <is>
          <t>1254 W CEDAR                AV</t>
        </is>
      </c>
      <c r="G208" s="370" t="n">
        <v>44.2</v>
      </c>
      <c r="H208" s="370" t="n">
        <v>9508</v>
      </c>
      <c r="I208" s="369" t="n">
        <v>0</v>
      </c>
      <c r="J208" s="674" t="n">
        <v>4842</v>
      </c>
      <c r="K208" s="675" t="n">
        <v>7.2</v>
      </c>
      <c r="L208" s="385" t="n">
        <v>0</v>
      </c>
      <c r="M208" s="374" t="n">
        <v>0</v>
      </c>
      <c r="N208" s="370" t="n">
        <v>1979</v>
      </c>
      <c r="O208" s="370" t="n">
        <v>2242</v>
      </c>
      <c r="P208" s="370" t="n">
        <v>521</v>
      </c>
      <c r="Q208" s="370" t="n">
        <v>16</v>
      </c>
      <c r="R208" s="370" t="n">
        <v>3</v>
      </c>
      <c r="S208" s="370" t="n">
        <v>1</v>
      </c>
      <c r="T208" s="369" t="inlineStr">
        <is>
          <t xml:space="preserve">I-MX-3      </t>
        </is>
      </c>
      <c r="U208" s="370" t="n">
        <v>398</v>
      </c>
      <c r="V208" s="674" t="n">
        <v>10000</v>
      </c>
      <c r="W208" s="674" t="n">
        <v>10000</v>
      </c>
      <c r="X208" s="676" t="inlineStr">
        <is>
          <t>2.1:1</t>
        </is>
      </c>
      <c r="Y208" s="674" t="n">
        <v>5000</v>
      </c>
      <c r="Z208" s="369" t="inlineStr">
        <is>
          <t xml:space="preserve">C </t>
        </is>
      </c>
      <c r="AA208" s="370" t="n"/>
      <c r="AB208" s="370" t="n"/>
      <c r="AC208" s="370" t="n"/>
      <c r="AD208" s="370" t="inlineStr">
        <is>
          <t xml:space="preserve">PREMIER  PRINTING   </t>
        </is>
      </c>
      <c r="AE208" s="370" t="n"/>
      <c r="AF208" s="370" t="n"/>
      <c r="AG208" s="370" t="n"/>
      <c r="AH208" s="370" t="n"/>
      <c r="AI208" s="370" t="n"/>
      <c r="AK208" s="370" t="inlineStr">
        <is>
          <t xml:space="preserve">CAN'T SEPARATE OWNER VS. TENANT EXPENSES.                         </t>
        </is>
      </c>
      <c r="AL208" s="370" t="n"/>
      <c r="AM208" s="370" t="n"/>
      <c r="AN208" s="370" t="n"/>
      <c r="AO208" s="370" t="n"/>
      <c r="AP208" s="370" t="n"/>
      <c r="AQ208" s="370" t="n"/>
    </row>
    <row r="209">
      <c r="A209" s="383" t="n">
        <v>6</v>
      </c>
      <c r="B209" s="370" t="n">
        <v>203</v>
      </c>
      <c r="C209" s="370" t="inlineStr">
        <is>
          <t>2013Q</t>
        </is>
      </c>
      <c r="D209" s="370" t="inlineStr">
        <is>
          <t xml:space="preserve">05095-13-032-000 </t>
        </is>
      </c>
      <c r="E209" s="369" t="inlineStr">
        <is>
          <t>Actual</t>
        </is>
      </c>
      <c r="F209" s="370" t="inlineStr">
        <is>
          <t>1270 W CEDAR                AV</t>
        </is>
      </c>
      <c r="G209" s="370" t="n">
        <v>44.1</v>
      </c>
      <c r="H209" s="370" t="n">
        <v>9508</v>
      </c>
      <c r="I209" s="369" t="n">
        <v>0</v>
      </c>
      <c r="J209" s="674" t="n">
        <v>8868</v>
      </c>
      <c r="K209" s="675" t="n">
        <v>7.611637347767253</v>
      </c>
      <c r="L209" s="385" t="n">
        <v>0</v>
      </c>
      <c r="M209" s="374" t="n">
        <v>0</v>
      </c>
      <c r="N209" s="370" t="n">
        <v>1980</v>
      </c>
      <c r="O209" s="370" t="n">
        <v>2248</v>
      </c>
      <c r="P209" s="370" t="n">
        <v>0</v>
      </c>
      <c r="Q209" s="370" t="n">
        <v>15</v>
      </c>
      <c r="R209" s="370" t="n">
        <v>3</v>
      </c>
      <c r="S209" s="370" t="n">
        <v>3</v>
      </c>
      <c r="T209" s="369" t="inlineStr">
        <is>
          <t xml:space="preserve">I-MX-3      </t>
        </is>
      </c>
      <c r="U209" s="370" t="n">
        <v>398</v>
      </c>
      <c r="V209" s="674" t="n">
        <v>18125</v>
      </c>
      <c r="W209" s="674" t="n">
        <v>18000</v>
      </c>
      <c r="X209" s="676" t="inlineStr">
        <is>
          <t>2:1</t>
        </is>
      </c>
      <c r="Y209" s="674" t="n">
        <v>9000</v>
      </c>
      <c r="Z209" s="369" t="inlineStr">
        <is>
          <t xml:space="preserve">C </t>
        </is>
      </c>
      <c r="AA209" s="370" t="n"/>
      <c r="AB209" s="370" t="n"/>
      <c r="AC209" s="370" t="n"/>
      <c r="AD209" s="370" t="inlineStr">
        <is>
          <t>                    </t>
        </is>
      </c>
      <c r="AE209" s="370" t="n"/>
      <c r="AF209" s="370" t="n"/>
      <c r="AG209" s="370" t="n"/>
      <c r="AH209" s="370" t="n"/>
      <c r="AI209" s="370" t="n"/>
      <c r="AK209" s="370" t="inlineStr">
        <is>
          <t xml:space="preserve">PARTIALLY OWNER-OCCUPIED.                                         </t>
        </is>
      </c>
      <c r="AL209" s="370" t="n"/>
      <c r="AM209" s="370" t="n"/>
      <c r="AN209" s="370" t="n"/>
      <c r="AO209" s="370" t="n"/>
      <c r="AP209" s="370" t="n"/>
      <c r="AQ209" s="370" t="n"/>
    </row>
    <row r="210">
      <c r="A210" s="383" t="n">
        <v>6</v>
      </c>
      <c r="B210" s="370" t="n">
        <v>204</v>
      </c>
      <c r="C210" s="370" t="inlineStr">
        <is>
          <t>2013Q</t>
        </is>
      </c>
      <c r="D210" s="370" t="inlineStr">
        <is>
          <t xml:space="preserve">05095-15-045-000 </t>
        </is>
      </c>
      <c r="E210" s="369" t="inlineStr">
        <is>
          <t>Actual</t>
        </is>
      </c>
      <c r="F210" s="370" t="inlineStr">
        <is>
          <t>1340 W BYERS                PL</t>
        </is>
      </c>
      <c r="G210" s="370" t="n">
        <v>44.2</v>
      </c>
      <c r="H210" s="370" t="n">
        <v>9508</v>
      </c>
      <c r="I210" s="369" t="n">
        <v>0</v>
      </c>
      <c r="J210" s="674" t="n">
        <v>8142</v>
      </c>
      <c r="K210" s="675" t="n">
        <v>7.363636363636363</v>
      </c>
      <c r="L210" s="385" t="n">
        <v>0</v>
      </c>
      <c r="M210" s="374" t="n">
        <v>0</v>
      </c>
      <c r="N210" s="370" t="n">
        <v>1984</v>
      </c>
      <c r="O210" s="370" t="n">
        <v>2738</v>
      </c>
      <c r="P210" s="370" t="n">
        <v>0</v>
      </c>
      <c r="Q210" s="370" t="n">
        <v>14</v>
      </c>
      <c r="R210" s="370" t="n">
        <v>3</v>
      </c>
      <c r="S210" s="370" t="n">
        <v>2</v>
      </c>
      <c r="T210" s="369" t="inlineStr">
        <is>
          <t xml:space="preserve">I-MX-3      </t>
        </is>
      </c>
      <c r="U210" s="370" t="n">
        <v>398</v>
      </c>
      <c r="V210" s="674" t="n">
        <v>12500</v>
      </c>
      <c r="W210" s="674" t="n">
        <v>13000</v>
      </c>
      <c r="X210" s="676" t="inlineStr">
        <is>
          <t>1.5:1</t>
        </is>
      </c>
      <c r="Y210" s="674" t="n">
        <v>8000</v>
      </c>
      <c r="Z210" s="369" t="inlineStr">
        <is>
          <t xml:space="preserve">C </t>
        </is>
      </c>
      <c r="AA210" s="370" t="n"/>
      <c r="AB210" s="370" t="n"/>
      <c r="AC210" s="370" t="n"/>
      <c r="AD210" s="370" t="inlineStr">
        <is>
          <t>                    </t>
        </is>
      </c>
      <c r="AE210" s="370" t="n"/>
      <c r="AF210" s="370" t="n"/>
      <c r="AG210" s="370" t="n"/>
      <c r="AH210" s="370" t="n"/>
      <c r="AI210" s="370" t="n"/>
      <c r="AK210" s="370" t="inlineStr">
        <is>
          <t xml:space="preserve">2010 LEASE; PARTIALLY OWNER-OCC = NO ALLOCATION OF EXPENSES.      </t>
        </is>
      </c>
      <c r="AL210" s="370" t="n"/>
      <c r="AM210" s="370" t="n"/>
      <c r="AN210" s="370" t="n"/>
      <c r="AO210" s="370" t="n"/>
      <c r="AP210" s="370" t="n"/>
      <c r="AQ210" s="370" t="n"/>
    </row>
    <row r="211">
      <c r="A211" s="383" t="n">
        <v>6</v>
      </c>
      <c r="B211" s="370" t="n">
        <v>205</v>
      </c>
      <c r="C211" s="370" t="inlineStr">
        <is>
          <t>2013Q</t>
        </is>
      </c>
      <c r="D211" s="370" t="inlineStr">
        <is>
          <t xml:space="preserve">05096-04-057-000 </t>
        </is>
      </c>
      <c r="E211" s="369" t="inlineStr">
        <is>
          <t>Actual</t>
        </is>
      </c>
      <c r="F211" s="370" t="inlineStr">
        <is>
          <t>22   LIPAN                ST</t>
        </is>
      </c>
      <c r="G211" s="370" t="n">
        <v>47.2</v>
      </c>
      <c r="H211" s="370" t="n">
        <v>9505</v>
      </c>
      <c r="I211" s="369" t="n">
        <v>0</v>
      </c>
      <c r="J211" s="674" t="n">
        <v>7585</v>
      </c>
      <c r="K211" s="675" t="n">
        <v>7.119314436387607</v>
      </c>
      <c r="L211" s="385" t="n">
        <v>0</v>
      </c>
      <c r="M211" s="374" t="n">
        <v>0</v>
      </c>
      <c r="N211" s="370" t="n">
        <v>1957</v>
      </c>
      <c r="O211" s="370" t="n">
        <v>0</v>
      </c>
      <c r="P211" s="370" t="n">
        <v>0</v>
      </c>
      <c r="Q211" s="370" t="n">
        <v>12</v>
      </c>
      <c r="R211" s="370" t="n">
        <v>3</v>
      </c>
      <c r="S211" s="370" t="n">
        <v>1</v>
      </c>
      <c r="T211" s="369" t="inlineStr">
        <is>
          <t xml:space="preserve">I-A         </t>
        </is>
      </c>
      <c r="U211" s="370" t="n">
        <v>401</v>
      </c>
      <c r="V211" s="674" t="n">
        <v>19000</v>
      </c>
      <c r="W211" s="674" t="n">
        <v>19000</v>
      </c>
      <c r="X211" s="676" t="inlineStr">
        <is>
          <t>2.5:1</t>
        </is>
      </c>
      <c r="Y211" s="674" t="n">
        <v>8000</v>
      </c>
      <c r="Z211" s="369" t="inlineStr">
        <is>
          <t xml:space="preserve">C </t>
        </is>
      </c>
      <c r="AA211" s="370" t="n"/>
      <c r="AB211" s="370" t="n"/>
      <c r="AC211" s="370" t="n"/>
      <c r="AD211" s="370" t="inlineStr">
        <is>
          <t>                    </t>
        </is>
      </c>
      <c r="AE211" s="370" t="n"/>
      <c r="AF211" s="370" t="n"/>
      <c r="AG211" s="370" t="n"/>
      <c r="AH211" s="370" t="n"/>
      <c r="AI211" s="370" t="n"/>
      <c r="AK211" s="370" t="inlineStr">
        <is>
          <t>                                                                  </t>
        </is>
      </c>
      <c r="AL211" s="370" t="n"/>
      <c r="AM211" s="370" t="n"/>
      <c r="AN211" s="370" t="n"/>
      <c r="AO211" s="370" t="n"/>
      <c r="AP211" s="370" t="n"/>
      <c r="AQ211" s="370" t="n"/>
    </row>
    <row r="212">
      <c r="A212" s="383" t="n">
        <v>6</v>
      </c>
      <c r="B212" s="370" t="n">
        <v>206</v>
      </c>
      <c r="C212" s="370" t="inlineStr">
        <is>
          <t>2013Q</t>
        </is>
      </c>
      <c r="D212" s="370" t="inlineStr">
        <is>
          <t xml:space="preserve">05096-18-016-000 </t>
        </is>
      </c>
      <c r="E212" s="369" t="inlineStr">
        <is>
          <t>Actual</t>
        </is>
      </c>
      <c r="F212" s="370" t="inlineStr">
        <is>
          <t>285 S SANTA FE             DR</t>
        </is>
      </c>
      <c r="G212" s="370" t="n">
        <v>44.1</v>
      </c>
      <c r="H212" s="370" t="n">
        <v>9505</v>
      </c>
      <c r="I212" s="369" t="n">
        <v>3</v>
      </c>
      <c r="J212" s="674" t="n">
        <v>6802</v>
      </c>
      <c r="K212" s="675" t="n">
        <v>8.919729491326081</v>
      </c>
      <c r="L212" s="385" t="n">
        <v>0</v>
      </c>
      <c r="M212" s="374" t="n">
        <v>0</v>
      </c>
      <c r="N212" s="370" t="n">
        <v>1971</v>
      </c>
      <c r="O212" s="370" t="n">
        <v>1338</v>
      </c>
      <c r="P212" s="370" t="n">
        <v>0</v>
      </c>
      <c r="Q212" s="370" t="n">
        <v>20</v>
      </c>
      <c r="R212" s="370" t="n">
        <v>7</v>
      </c>
      <c r="S212" s="370" t="n">
        <v>1</v>
      </c>
      <c r="T212" s="369" t="inlineStr">
        <is>
          <t xml:space="preserve">I-A         </t>
        </is>
      </c>
      <c r="U212" s="370" t="n">
        <v>398</v>
      </c>
      <c r="V212" s="674" t="n">
        <v>13864</v>
      </c>
      <c r="W212" s="674" t="n">
        <v>14000</v>
      </c>
      <c r="X212" s="676" t="inlineStr">
        <is>
          <t>2:1</t>
        </is>
      </c>
      <c r="Y212" s="674" t="n">
        <v>7000</v>
      </c>
      <c r="Z212" s="369" t="inlineStr">
        <is>
          <t xml:space="preserve">C </t>
        </is>
      </c>
      <c r="AA212" s="370" t="n"/>
      <c r="AB212" s="370" t="n"/>
      <c r="AC212" s="370" t="n"/>
      <c r="AD212" s="370" t="inlineStr">
        <is>
          <t xml:space="preserve">WHSE/DIST PLUMBING  </t>
        </is>
      </c>
      <c r="AE212" s="370" t="n"/>
      <c r="AF212" s="370" t="n"/>
      <c r="AG212" s="370" t="n"/>
      <c r="AH212" s="370" t="n"/>
      <c r="AI212" s="370" t="n"/>
      <c r="AK212" s="370" t="inlineStr">
        <is>
          <t xml:space="preserve">2009 LEASE.                                                       </t>
        </is>
      </c>
      <c r="AL212" s="370" t="n"/>
      <c r="AM212" s="370" t="n"/>
      <c r="AN212" s="370" t="n"/>
      <c r="AO212" s="370" t="n"/>
      <c r="AP212" s="370" t="n"/>
      <c r="AQ212" s="370" t="n"/>
    </row>
    <row r="213">
      <c r="A213" s="383" t="n">
        <v>6</v>
      </c>
      <c r="B213" s="370" t="n">
        <v>207</v>
      </c>
      <c r="C213" s="370" t="inlineStr">
        <is>
          <t>2013Q</t>
        </is>
      </c>
      <c r="D213" s="370" t="inlineStr">
        <is>
          <t xml:space="preserve">05103-23-018-000 </t>
        </is>
      </c>
      <c r="E213" s="369" t="inlineStr">
        <is>
          <t>Actual</t>
        </is>
      </c>
      <c r="F213" s="370" t="inlineStr">
        <is>
          <t>495 W CEDAR                AV</t>
        </is>
      </c>
      <c r="G213" s="370" t="n">
        <v>47.2</v>
      </c>
      <c r="H213" s="370" t="n">
        <v>9505</v>
      </c>
      <c r="I213" s="369" t="n">
        <v>0</v>
      </c>
      <c r="J213" s="674" t="n">
        <v>6624</v>
      </c>
      <c r="K213" s="675" t="n">
        <v>8.312801932367149</v>
      </c>
      <c r="L213" s="385" t="n">
        <v>0</v>
      </c>
      <c r="M213" s="374" t="n">
        <v>0</v>
      </c>
      <c r="N213" s="370" t="n">
        <v>1976</v>
      </c>
      <c r="O213" s="370" t="n">
        <v>4224</v>
      </c>
      <c r="P213" s="370" t="n">
        <v>0</v>
      </c>
      <c r="Q213" s="370" t="n">
        <v>12</v>
      </c>
      <c r="R213" s="370" t="n">
        <v>3</v>
      </c>
      <c r="S213" s="370" t="n">
        <v>1</v>
      </c>
      <c r="T213" s="369" t="inlineStr">
        <is>
          <t xml:space="preserve">I-MX-5      </t>
        </is>
      </c>
      <c r="U213" s="370" t="n">
        <v>401</v>
      </c>
      <c r="V213" s="674" t="n">
        <v>18200</v>
      </c>
      <c r="W213" s="674" t="n">
        <v>18000</v>
      </c>
      <c r="X213" s="676" t="inlineStr">
        <is>
          <t>2.7:1</t>
        </is>
      </c>
      <c r="Y213" s="674" t="n">
        <v>7000</v>
      </c>
      <c r="Z213" s="369" t="inlineStr">
        <is>
          <t xml:space="preserve">C </t>
        </is>
      </c>
      <c r="AA213" s="370" t="n"/>
      <c r="AB213" s="370" t="n"/>
      <c r="AC213" s="370" t="n"/>
      <c r="AD213" s="370" t="inlineStr">
        <is>
          <t xml:space="preserve">WALMAN OPTICAL      </t>
        </is>
      </c>
      <c r="AE213" s="370" t="n"/>
      <c r="AF213" s="370" t="n"/>
      <c r="AG213" s="370" t="n"/>
      <c r="AH213" s="370" t="n"/>
      <c r="AI213" s="370" t="n"/>
      <c r="AK213" s="370" t="inlineStr">
        <is>
          <t xml:space="preserve">2009 LEASE.                                                       </t>
        </is>
      </c>
      <c r="AL213" s="370" t="n"/>
      <c r="AM213" s="370" t="n"/>
      <c r="AN213" s="370" t="n"/>
      <c r="AO213" s="370" t="n"/>
      <c r="AP213" s="370" t="n"/>
      <c r="AQ213" s="370" t="n"/>
    </row>
    <row r="214">
      <c r="A214" s="383" t="n">
        <v>6</v>
      </c>
      <c r="B214" s="370" t="n">
        <v>208</v>
      </c>
      <c r="C214" s="370" t="inlineStr">
        <is>
          <t>2013Q</t>
        </is>
      </c>
      <c r="D214" s="370" t="inlineStr">
        <is>
          <t xml:space="preserve">05113-05-001-000 </t>
        </is>
      </c>
      <c r="E214" s="369" t="inlineStr">
        <is>
          <t>Actual</t>
        </is>
      </c>
      <c r="F214" s="370" t="inlineStr">
        <is>
          <t>560   PEARL                ST</t>
        </is>
      </c>
      <c r="G214" s="370" t="n">
        <v>42.1</v>
      </c>
      <c r="H214" s="370" t="n">
        <v>9502</v>
      </c>
      <c r="I214" s="369" t="n">
        <v>0</v>
      </c>
      <c r="J214" s="674" t="n">
        <v>9147</v>
      </c>
      <c r="K214" s="675" t="n">
        <v>11.16158303268831</v>
      </c>
      <c r="L214" s="385" t="n">
        <v>0</v>
      </c>
      <c r="M214" s="374" t="n">
        <v>0.05551692051520642</v>
      </c>
      <c r="N214" s="370" t="n">
        <v>1935</v>
      </c>
      <c r="O214" s="370" t="n">
        <v>1469</v>
      </c>
      <c r="P214" s="370" t="n">
        <v>0</v>
      </c>
      <c r="Q214" s="370" t="n">
        <v>14</v>
      </c>
      <c r="R214" s="370" t="n">
        <v>1</v>
      </c>
      <c r="S214" s="370" t="n">
        <v>2</v>
      </c>
      <c r="T214" s="369" t="inlineStr">
        <is>
          <t xml:space="preserve">U-MS-2      </t>
        </is>
      </c>
      <c r="U214" s="370" t="n">
        <v>401</v>
      </c>
      <c r="V214" s="674" t="n">
        <v>12500</v>
      </c>
      <c r="W214" s="674" t="n">
        <v>13000</v>
      </c>
      <c r="X214" s="676" t="inlineStr">
        <is>
          <t>1.4:1</t>
        </is>
      </c>
      <c r="Y214" s="674" t="n">
        <v>9000</v>
      </c>
      <c r="Z214" s="369" t="inlineStr">
        <is>
          <t xml:space="preserve">C </t>
        </is>
      </c>
      <c r="AA214" s="370" t="n"/>
      <c r="AB214" s="370" t="n"/>
      <c r="AC214" s="370" t="n"/>
      <c r="AD214" s="370" t="inlineStr">
        <is>
          <t>HANNECK DRY CLEANERS</t>
        </is>
      </c>
      <c r="AE214" s="370" t="n"/>
      <c r="AF214" s="370" t="n"/>
      <c r="AG214" s="370" t="n"/>
      <c r="AH214" s="370" t="n"/>
      <c r="AI214" s="370" t="n"/>
      <c r="AK214" s="370" t="inlineStr">
        <is>
          <t xml:space="preserve">2009 LEASES.                                                      </t>
        </is>
      </c>
      <c r="AL214" s="370" t="n"/>
      <c r="AM214" s="370" t="inlineStr">
        <is>
          <t> </t>
        </is>
      </c>
      <c r="AN214" s="370" t="n"/>
      <c r="AO214" s="370" t="n"/>
      <c r="AP214" s="370" t="n"/>
      <c r="AQ214" s="370" t="n"/>
    </row>
    <row r="215">
      <c r="A215" s="383" t="n">
        <v>6</v>
      </c>
      <c r="B215" s="370" t="n">
        <v>209</v>
      </c>
      <c r="C215" s="370" t="inlineStr">
        <is>
          <t>2013Q</t>
        </is>
      </c>
      <c r="D215" s="370" t="inlineStr">
        <is>
          <t xml:space="preserve">05154-02-018-000 </t>
        </is>
      </c>
      <c r="E215" s="369" t="inlineStr">
        <is>
          <t>Actual</t>
        </is>
      </c>
      <c r="F215" s="370" t="inlineStr">
        <is>
          <t>515 W MISSISSIPPI          AV</t>
        </is>
      </c>
      <c r="G215" s="370" t="n">
        <v>44.2</v>
      </c>
      <c r="H215" s="370" t="n">
        <v>9506</v>
      </c>
      <c r="I215" s="369" t="n">
        <v>0</v>
      </c>
      <c r="J215" s="674" t="n">
        <v>38526</v>
      </c>
      <c r="K215" s="675" t="n">
        <v>4.818512173597052</v>
      </c>
      <c r="L215" s="385" t="n">
        <v>0</v>
      </c>
      <c r="M215" s="374" t="n">
        <v>0</v>
      </c>
      <c r="N215" s="370" t="n">
        <v>1969</v>
      </c>
      <c r="O215" s="370" t="n">
        <v>4748</v>
      </c>
      <c r="P215" s="370" t="n">
        <v>0</v>
      </c>
      <c r="Q215" s="370" t="n">
        <v>22</v>
      </c>
      <c r="R215" s="370" t="n">
        <v>1</v>
      </c>
      <c r="S215" s="370" t="n">
        <v>1</v>
      </c>
      <c r="T215" s="369" t="inlineStr">
        <is>
          <t xml:space="preserve">I-A         </t>
        </is>
      </c>
      <c r="U215" s="370" t="n">
        <v>398</v>
      </c>
      <c r="V215" s="674" t="n">
        <v>62533</v>
      </c>
      <c r="W215" s="674" t="n">
        <v>63000</v>
      </c>
      <c r="X215" s="676" t="inlineStr">
        <is>
          <t>1.6:1</t>
        </is>
      </c>
      <c r="Y215" s="674" t="n">
        <v>39000</v>
      </c>
      <c r="Z215" s="369" t="inlineStr">
        <is>
          <t xml:space="preserve">C </t>
        </is>
      </c>
      <c r="AA215" s="370" t="n"/>
      <c r="AB215" s="370" t="n"/>
      <c r="AC215" s="370" t="n"/>
      <c r="AD215" s="370" t="inlineStr">
        <is>
          <t xml:space="preserve">DIST                </t>
        </is>
      </c>
      <c r="AE215" s="370" t="n"/>
      <c r="AF215" s="370" t="n"/>
      <c r="AG215" s="370" t="n"/>
      <c r="AH215" s="370" t="n"/>
      <c r="AI215" s="370" t="n"/>
      <c r="AK215" s="370" t="inlineStr">
        <is>
          <t>                                                                  </t>
        </is>
      </c>
      <c r="AL215" s="370" t="n"/>
      <c r="AM215" s="370" t="n"/>
      <c r="AN215" s="370" t="n"/>
      <c r="AO215" s="370" t="n"/>
      <c r="AP215" s="370" t="n"/>
      <c r="AQ215" s="370" t="n"/>
    </row>
    <row r="216">
      <c r="A216" s="383" t="n">
        <v>6</v>
      </c>
      <c r="B216" s="370" t="n">
        <v>210</v>
      </c>
      <c r="C216" s="370" t="inlineStr">
        <is>
          <t>2013Q</t>
        </is>
      </c>
      <c r="D216" s="370" t="inlineStr">
        <is>
          <t xml:space="preserve">05154-02-019-000 </t>
        </is>
      </c>
      <c r="E216" s="369" t="inlineStr">
        <is>
          <t>Actual</t>
        </is>
      </c>
      <c r="F216" s="370" t="inlineStr">
        <is>
          <t>1050 S FOX                  ST</t>
        </is>
      </c>
      <c r="G216" s="370" t="n">
        <v>44.1</v>
      </c>
      <c r="H216" s="370" t="n">
        <v>9506</v>
      </c>
      <c r="I216" s="369" t="n">
        <v>0</v>
      </c>
      <c r="J216" s="674" t="n">
        <v>9104</v>
      </c>
      <c r="K216" s="675" t="n">
        <v>6.590509666080844</v>
      </c>
      <c r="L216" s="385" t="n">
        <v>0</v>
      </c>
      <c r="M216" s="374" t="n">
        <v>0</v>
      </c>
      <c r="N216" s="370" t="n">
        <v>1980</v>
      </c>
      <c r="O216" s="370" t="n">
        <v>4079</v>
      </c>
      <c r="P216" s="370" t="n">
        <v>0</v>
      </c>
      <c r="Q216" s="370" t="n">
        <v>16</v>
      </c>
      <c r="R216" s="370" t="n">
        <v>1</v>
      </c>
      <c r="S216" s="370" t="n">
        <v>1</v>
      </c>
      <c r="T216" s="369" t="inlineStr">
        <is>
          <t xml:space="preserve">I-A         </t>
        </is>
      </c>
      <c r="U216" s="370" t="n">
        <v>398</v>
      </c>
      <c r="V216" s="674" t="n">
        <v>25695</v>
      </c>
      <c r="W216" s="674" t="n">
        <v>26000</v>
      </c>
      <c r="X216" s="676" t="inlineStr">
        <is>
          <t>2.8:1</t>
        </is>
      </c>
      <c r="Y216" s="674" t="n">
        <v>9000</v>
      </c>
      <c r="Z216" s="369" t="inlineStr">
        <is>
          <t xml:space="preserve">C </t>
        </is>
      </c>
      <c r="AA216" s="370" t="n"/>
      <c r="AB216" s="370" t="n"/>
      <c r="AC216" s="370" t="n"/>
      <c r="AD216" s="370" t="inlineStr">
        <is>
          <t xml:space="preserve">XCEL ENERGY         </t>
        </is>
      </c>
      <c r="AE216" s="370" t="n"/>
      <c r="AF216" s="370" t="n"/>
      <c r="AG216" s="370" t="n"/>
      <c r="AH216" s="370" t="n"/>
      <c r="AI216" s="370" t="n"/>
      <c r="AK216" s="370" t="inlineStr">
        <is>
          <t>                                                                  </t>
        </is>
      </c>
      <c r="AL216" s="370" t="n"/>
      <c r="AM216" s="370" t="n"/>
      <c r="AN216" s="370" t="n"/>
      <c r="AO216" s="370" t="n"/>
      <c r="AP216" s="370" t="n"/>
      <c r="AQ216" s="370" t="n"/>
    </row>
    <row r="217">
      <c r="A217" s="383" t="n">
        <v>6</v>
      </c>
      <c r="B217" s="370" t="n">
        <v>211</v>
      </c>
      <c r="C217" s="370" t="inlineStr">
        <is>
          <t>2013Q</t>
        </is>
      </c>
      <c r="D217" s="370" t="inlineStr">
        <is>
          <t xml:space="preserve">05156-22-037-000 </t>
        </is>
      </c>
      <c r="E217" s="369" t="inlineStr">
        <is>
          <t>Actual</t>
        </is>
      </c>
      <c r="F217" s="370" t="inlineStr">
        <is>
          <t>525 E MISSISSIPPI          AV</t>
        </is>
      </c>
      <c r="G217" s="370" t="n">
        <v>44.1</v>
      </c>
      <c r="H217" s="370" t="n">
        <v>9507</v>
      </c>
      <c r="I217" s="369" t="n">
        <v>0</v>
      </c>
      <c r="J217" s="674" t="n">
        <v>6583</v>
      </c>
      <c r="K217" s="675" t="n">
        <v>10.55172413793103</v>
      </c>
      <c r="L217" s="385" t="n">
        <v>0</v>
      </c>
      <c r="M217" s="374" t="n">
        <v>0</v>
      </c>
      <c r="N217" s="370" t="n">
        <v>1949</v>
      </c>
      <c r="O217" s="370" t="n">
        <v>2226</v>
      </c>
      <c r="P217" s="370" t="n">
        <v>0</v>
      </c>
      <c r="Q217" s="370" t="n">
        <v>15</v>
      </c>
      <c r="R217" s="370" t="n">
        <v>3</v>
      </c>
      <c r="S217" s="370" t="n">
        <v>1</v>
      </c>
      <c r="T217" s="369" t="inlineStr">
        <is>
          <t xml:space="preserve">U-MS-2      </t>
        </is>
      </c>
      <c r="U217" s="370" t="n">
        <v>398</v>
      </c>
      <c r="V217" s="674" t="n">
        <v>11913</v>
      </c>
      <c r="W217" s="674" t="n">
        <v>12000</v>
      </c>
      <c r="X217" s="676" t="inlineStr">
        <is>
          <t>1.8:1</t>
        </is>
      </c>
      <c r="Y217" s="674" t="n">
        <v>7000</v>
      </c>
      <c r="Z217" s="369" t="inlineStr">
        <is>
          <t xml:space="preserve">C </t>
        </is>
      </c>
      <c r="AA217" s="370" t="n"/>
      <c r="AB217" s="370" t="n"/>
      <c r="AC217" s="370" t="n"/>
      <c r="AD217" s="370" t="inlineStr">
        <is>
          <t>                    </t>
        </is>
      </c>
      <c r="AE217" s="370" t="n"/>
      <c r="AF217" s="370" t="n"/>
      <c r="AG217" s="370" t="n"/>
      <c r="AH217" s="370" t="n"/>
      <c r="AI217" s="370" t="n"/>
      <c r="AK217" s="370" t="inlineStr">
        <is>
          <t xml:space="preserve">NO BASIS TO ALLOCATE EXP BETWEEN OWNER AND TENANT OCCUPANCIES.    </t>
        </is>
      </c>
      <c r="AL217" s="370" t="n"/>
      <c r="AM217" s="370" t="n"/>
      <c r="AN217" s="370" t="n"/>
      <c r="AO217" s="370" t="n"/>
      <c r="AP217" s="370" t="n"/>
      <c r="AQ217" s="370" t="n"/>
    </row>
    <row r="218">
      <c r="A218" s="383" t="n">
        <v>6</v>
      </c>
      <c r="B218" s="370" t="n">
        <v>212</v>
      </c>
      <c r="C218" s="370" t="inlineStr">
        <is>
          <t>2013Q</t>
        </is>
      </c>
      <c r="D218" s="370" t="inlineStr">
        <is>
          <t xml:space="preserve">05161-01-028-000 </t>
        </is>
      </c>
      <c r="E218" s="369" t="inlineStr">
        <is>
          <t>Actual</t>
        </is>
      </c>
      <c r="F218" s="370" t="inlineStr">
        <is>
          <t>1298 W ALAMEDA              AV</t>
        </is>
      </c>
      <c r="G218" s="370" t="n">
        <v>44.1</v>
      </c>
      <c r="H218" s="370" t="n">
        <v>9506</v>
      </c>
      <c r="I218" s="369" t="n">
        <v>9</v>
      </c>
      <c r="J218" s="674" t="n">
        <v>12148</v>
      </c>
      <c r="K218" s="675" t="n">
        <v>8.772061244649326</v>
      </c>
      <c r="L218" s="385" t="n">
        <v>0</v>
      </c>
      <c r="M218" s="374" t="n">
        <v>0</v>
      </c>
      <c r="N218" s="370" t="n">
        <v>1977</v>
      </c>
      <c r="O218" s="370" t="n">
        <v>0</v>
      </c>
      <c r="P218" s="370" t="n">
        <v>6808</v>
      </c>
      <c r="Q218" s="370" t="n">
        <v>16</v>
      </c>
      <c r="R218" s="370" t="n">
        <v>7</v>
      </c>
      <c r="S218" s="370" t="n">
        <v>1</v>
      </c>
      <c r="T218" s="369" t="inlineStr">
        <is>
          <t xml:space="preserve">I-MX-3      </t>
        </is>
      </c>
      <c r="U218" s="370" t="n">
        <v>398</v>
      </c>
      <c r="V218" s="674" t="n">
        <v>32824</v>
      </c>
      <c r="W218" s="674" t="n">
        <v>33000</v>
      </c>
      <c r="X218" s="676" t="inlineStr">
        <is>
          <t>2.7:1</t>
        </is>
      </c>
      <c r="Y218" s="674" t="n">
        <v>12000</v>
      </c>
      <c r="Z218" s="369" t="inlineStr">
        <is>
          <t xml:space="preserve">C </t>
        </is>
      </c>
      <c r="AA218" s="370" t="n"/>
      <c r="AB218" s="370" t="n"/>
      <c r="AC218" s="370" t="n"/>
      <c r="AD218" s="370" t="inlineStr">
        <is>
          <t>                    </t>
        </is>
      </c>
      <c r="AE218" s="370" t="n"/>
      <c r="AF218" s="370" t="n"/>
      <c r="AG218" s="370" t="n"/>
      <c r="AH218" s="370" t="n"/>
      <c r="AI218" s="370" t="n"/>
      <c r="AK218" s="370" t="inlineStr">
        <is>
          <t xml:space="preserve">NNN--SIGNED 7.12--SOURCE:COSTAR                                   </t>
        </is>
      </c>
      <c r="AL218" s="370" t="n"/>
      <c r="AM218" s="370" t="n"/>
      <c r="AN218" s="370" t="n"/>
      <c r="AO218" s="370" t="n"/>
      <c r="AP218" s="370" t="n"/>
      <c r="AQ218" s="370" t="n"/>
    </row>
    <row r="219">
      <c r="A219" s="383" t="n">
        <v>6</v>
      </c>
      <c r="B219" s="370" t="n">
        <v>213</v>
      </c>
      <c r="C219" s="370" t="inlineStr">
        <is>
          <t>2013Q</t>
        </is>
      </c>
      <c r="D219" s="370" t="inlineStr">
        <is>
          <t xml:space="preserve">05161-10-002-000 </t>
        </is>
      </c>
      <c r="E219" s="369" t="inlineStr">
        <is>
          <t>Actual</t>
        </is>
      </c>
      <c r="F219" s="370" t="inlineStr">
        <is>
          <t>1216 W VIRGINIA             AV</t>
        </is>
      </c>
      <c r="G219" s="370" t="n">
        <v>44.5</v>
      </c>
      <c r="H219" s="370" t="n">
        <v>9506</v>
      </c>
      <c r="I219" s="369" t="n">
        <v>0</v>
      </c>
      <c r="J219" s="674" t="n">
        <v>3485</v>
      </c>
      <c r="K219" s="675" t="n">
        <v>3.13142037302726</v>
      </c>
      <c r="L219" s="385" t="n">
        <v>0</v>
      </c>
      <c r="M219" s="374" t="n">
        <v>0.2113992486025841</v>
      </c>
      <c r="N219" s="370" t="n">
        <v>1973</v>
      </c>
      <c r="O219" s="370" t="n">
        <v>0</v>
      </c>
      <c r="P219" s="370" t="n">
        <v>0</v>
      </c>
      <c r="Q219" s="370" t="n">
        <v>12</v>
      </c>
      <c r="R219" s="370" t="n">
        <v>7</v>
      </c>
      <c r="S219" s="370" t="n">
        <v>20</v>
      </c>
      <c r="T219" s="369" t="inlineStr">
        <is>
          <t xml:space="preserve">I-MX-3      </t>
        </is>
      </c>
      <c r="U219" s="370" t="n">
        <v>396</v>
      </c>
      <c r="V219" s="674" t="n">
        <v>9375</v>
      </c>
      <c r="W219" s="674" t="n">
        <v>9000</v>
      </c>
      <c r="X219" s="676" t="inlineStr">
        <is>
          <t>2.7:1</t>
        </is>
      </c>
      <c r="Y219" s="674" t="n">
        <v>3000</v>
      </c>
      <c r="Z219" s="369" t="inlineStr">
        <is>
          <t xml:space="preserve">C </t>
        </is>
      </c>
      <c r="AA219" s="370" t="n"/>
      <c r="AB219" s="370" t="n"/>
      <c r="AC219" s="370" t="n"/>
      <c r="AD219" s="370" t="inlineStr">
        <is>
          <t xml:space="preserve">MINI STORAGE        </t>
        </is>
      </c>
      <c r="AE219" s="370" t="n"/>
      <c r="AF219" s="370" t="n"/>
      <c r="AG219" s="370" t="n"/>
      <c r="AH219" s="370" t="n"/>
      <c r="AI219" s="370" t="n"/>
      <c r="AK219" s="370" t="inlineStr">
        <is>
          <t>                                                                  </t>
        </is>
      </c>
      <c r="AL219" s="370" t="n"/>
      <c r="AM219" s="370" t="n"/>
      <c r="AN219" s="370" t="n"/>
      <c r="AO219" s="370" t="n"/>
      <c r="AP219" s="370" t="n"/>
      <c r="AQ219" s="370" t="n"/>
    </row>
    <row r="220">
      <c r="A220" s="383" t="n">
        <v>6</v>
      </c>
      <c r="B220" s="370" t="n">
        <v>214</v>
      </c>
      <c r="C220" s="370" t="inlineStr">
        <is>
          <t>2013Q</t>
        </is>
      </c>
      <c r="D220" s="370" t="inlineStr">
        <is>
          <t xml:space="preserve">05161-13-026-000 </t>
        </is>
      </c>
      <c r="E220" s="369" t="inlineStr">
        <is>
          <t>Actual</t>
        </is>
      </c>
      <c r="F220" s="370" t="inlineStr">
        <is>
          <t>1210 W CUSTER               PL</t>
        </is>
      </c>
      <c r="G220" s="370" t="n">
        <v>44.2</v>
      </c>
      <c r="H220" s="370" t="n">
        <v>9506</v>
      </c>
      <c r="I220" s="369" t="n">
        <v>0</v>
      </c>
      <c r="J220" s="674" t="n">
        <v>6000</v>
      </c>
      <c r="K220" s="675" t="n">
        <v>6.7</v>
      </c>
      <c r="L220" s="385" t="n">
        <v>0</v>
      </c>
      <c r="M220" s="374" t="n">
        <v>0.06664179104477612</v>
      </c>
      <c r="N220" s="370" t="n">
        <v>1971</v>
      </c>
      <c r="O220" s="370" t="n">
        <v>630</v>
      </c>
      <c r="P220" s="370" t="n">
        <v>0</v>
      </c>
      <c r="Q220" s="370" t="n">
        <v>13</v>
      </c>
      <c r="R220" s="370" t="n">
        <v>3</v>
      </c>
      <c r="S220" s="370" t="n">
        <v>1</v>
      </c>
      <c r="T220" s="369" t="inlineStr">
        <is>
          <t xml:space="preserve">I-MX-3      </t>
        </is>
      </c>
      <c r="U220" s="370" t="n">
        <v>398</v>
      </c>
      <c r="V220" s="674" t="n">
        <v>12500</v>
      </c>
      <c r="W220" s="674" t="n">
        <v>13000</v>
      </c>
      <c r="X220" s="676" t="inlineStr">
        <is>
          <t>2.1:1</t>
        </is>
      </c>
      <c r="Y220" s="674" t="n">
        <v>6000</v>
      </c>
      <c r="Z220" s="369" t="inlineStr">
        <is>
          <t xml:space="preserve">C </t>
        </is>
      </c>
      <c r="AA220" s="370" t="n"/>
      <c r="AB220" s="370" t="n"/>
      <c r="AC220" s="370" t="n"/>
      <c r="AD220" s="370" t="inlineStr">
        <is>
          <t>                    </t>
        </is>
      </c>
      <c r="AE220" s="370" t="n"/>
      <c r="AF220" s="370" t="n"/>
      <c r="AG220" s="370" t="n"/>
      <c r="AH220" s="370" t="n"/>
      <c r="AI220" s="370" t="n"/>
      <c r="AK220" s="370" t="inlineStr">
        <is>
          <t>                                                                  </t>
        </is>
      </c>
      <c r="AL220" s="370" t="n"/>
      <c r="AM220" s="370" t="n"/>
      <c r="AN220" s="370" t="n"/>
      <c r="AO220" s="370" t="n"/>
      <c r="AP220" s="370" t="n"/>
      <c r="AQ220" s="370" t="n"/>
    </row>
    <row r="221">
      <c r="A221" s="383" t="n">
        <v>6</v>
      </c>
      <c r="B221" s="370" t="n">
        <v>215</v>
      </c>
      <c r="C221" s="370" t="inlineStr">
        <is>
          <t>2013Q</t>
        </is>
      </c>
      <c r="D221" s="370" t="inlineStr">
        <is>
          <t xml:space="preserve">05161-15-016-000 </t>
        </is>
      </c>
      <c r="E221" s="369" t="inlineStr">
        <is>
          <t>Actual</t>
        </is>
      </c>
      <c r="F221" s="370" t="inlineStr">
        <is>
          <t>630 S LIPAN                ST</t>
        </is>
      </c>
      <c r="G221" s="370" t="n">
        <v>44.1</v>
      </c>
      <c r="H221" s="370" t="n">
        <v>9506</v>
      </c>
      <c r="I221" s="369" t="n">
        <v>0</v>
      </c>
      <c r="J221" s="674" t="n">
        <v>7840</v>
      </c>
      <c r="K221" s="675" t="n">
        <v>6.122448979591836</v>
      </c>
      <c r="L221" s="385" t="n">
        <v>0</v>
      </c>
      <c r="M221" s="374" t="n">
        <v>0</v>
      </c>
      <c r="N221" s="370" t="n">
        <v>1982</v>
      </c>
      <c r="O221" s="370" t="n">
        <v>1482</v>
      </c>
      <c r="P221" s="370" t="n">
        <v>0</v>
      </c>
      <c r="Q221" s="370" t="n">
        <v>17</v>
      </c>
      <c r="R221" s="370" t="n">
        <v>3</v>
      </c>
      <c r="S221" s="370" t="n">
        <v>1</v>
      </c>
      <c r="T221" s="369" t="inlineStr">
        <is>
          <t xml:space="preserve">I-MX-3      </t>
        </is>
      </c>
      <c r="U221" s="370" t="n">
        <v>398</v>
      </c>
      <c r="V221" s="674" t="n">
        <v>43765</v>
      </c>
      <c r="W221" s="674" t="n">
        <v>44000</v>
      </c>
      <c r="X221" s="676" t="inlineStr">
        <is>
          <t>5.6:1</t>
        </is>
      </c>
      <c r="Y221" s="674" t="n">
        <v>8000</v>
      </c>
      <c r="Z221" s="369" t="inlineStr">
        <is>
          <t xml:space="preserve">C </t>
        </is>
      </c>
      <c r="AA221" s="370" t="n"/>
      <c r="AB221" s="370" t="n"/>
      <c r="AC221" s="370" t="n"/>
      <c r="AD221" s="370" t="inlineStr">
        <is>
          <t xml:space="preserve">KUBAT EQUIP. CO.    </t>
        </is>
      </c>
      <c r="AE221" s="370" t="n"/>
      <c r="AF221" s="370" t="n"/>
      <c r="AG221" s="370" t="n"/>
      <c r="AH221" s="370" t="n"/>
      <c r="AI221" s="370" t="n"/>
      <c r="AK221" s="370" t="inlineStr">
        <is>
          <t>                                                                  </t>
        </is>
      </c>
      <c r="AL221" s="370" t="n"/>
      <c r="AM221" s="370" t="n"/>
      <c r="AN221" s="370" t="n"/>
      <c r="AO221" s="370" t="n"/>
      <c r="AP221" s="370" t="n"/>
      <c r="AQ221" s="370" t="n"/>
    </row>
    <row r="222">
      <c r="A222" s="383" t="n">
        <v>6</v>
      </c>
      <c r="B222" s="370" t="n">
        <v>216</v>
      </c>
      <c r="C222" s="370" t="inlineStr">
        <is>
          <t>2013Q</t>
        </is>
      </c>
      <c r="D222" s="370" t="inlineStr">
        <is>
          <t xml:space="preserve">05161-20-022-000 </t>
        </is>
      </c>
      <c r="E222" s="369" t="inlineStr">
        <is>
          <t>Actual</t>
        </is>
      </c>
      <c r="F222" s="370" t="inlineStr">
        <is>
          <t>687 S JASON                ST</t>
        </is>
      </c>
      <c r="G222" s="370" t="n">
        <v>44.1</v>
      </c>
      <c r="H222" s="370" t="n">
        <v>9506</v>
      </c>
      <c r="I222" s="369" t="n">
        <v>0</v>
      </c>
      <c r="J222" s="674" t="n">
        <v>6585</v>
      </c>
      <c r="K222" s="675" t="n">
        <v>7.35656836461126</v>
      </c>
      <c r="L222" s="385" t="n">
        <v>0</v>
      </c>
      <c r="M222" s="374" t="n">
        <v>0</v>
      </c>
      <c r="N222" s="370" t="n">
        <v>1963</v>
      </c>
      <c r="O222" s="370" t="n">
        <v>1057</v>
      </c>
      <c r="P222" s="370" t="n">
        <v>0</v>
      </c>
      <c r="Q222" s="370" t="n">
        <v>13</v>
      </c>
      <c r="R222" s="370" t="n">
        <v>1</v>
      </c>
      <c r="S222" s="370" t="n">
        <v>2</v>
      </c>
      <c r="T222" s="369" t="inlineStr">
        <is>
          <t xml:space="preserve">I-A         </t>
        </is>
      </c>
      <c r="U222" s="370" t="n">
        <v>398</v>
      </c>
      <c r="V222" s="674" t="n">
        <v>10027</v>
      </c>
      <c r="W222" s="674" t="n">
        <v>10000</v>
      </c>
      <c r="X222" s="676" t="inlineStr">
        <is>
          <t>1.5:1</t>
        </is>
      </c>
      <c r="Y222" s="674" t="n">
        <v>7000</v>
      </c>
      <c r="Z222" s="369" t="inlineStr">
        <is>
          <t xml:space="preserve">C </t>
        </is>
      </c>
      <c r="AA222" s="370" t="n"/>
      <c r="AB222" s="370" t="n"/>
      <c r="AC222" s="370" t="n"/>
      <c r="AD222" s="370" t="inlineStr">
        <is>
          <t xml:space="preserve">MOTHER TRUCKERS     </t>
        </is>
      </c>
      <c r="AE222" s="370" t="n"/>
      <c r="AF222" s="370" t="n"/>
      <c r="AG222" s="370" t="n"/>
      <c r="AH222" s="370" t="n"/>
      <c r="AI222" s="370" t="n"/>
      <c r="AK222" s="370" t="inlineStr">
        <is>
          <t xml:space="preserve">NO BASIS TO ALLOCATE EXP BETWEEN OWNER &amp; TENANT OCCUPIED SPACE.   </t>
        </is>
      </c>
      <c r="AL222" s="370" t="n"/>
      <c r="AM222" s="370" t="n"/>
      <c r="AN222" s="370" t="n"/>
      <c r="AO222" s="370" t="n"/>
      <c r="AP222" s="370" t="n"/>
      <c r="AQ222" s="370" t="n"/>
    </row>
    <row r="223">
      <c r="A223" s="383" t="n">
        <v>6</v>
      </c>
      <c r="B223" s="370" t="n">
        <v>217</v>
      </c>
      <c r="C223" s="370" t="inlineStr">
        <is>
          <t>2013Q</t>
        </is>
      </c>
      <c r="D223" s="370" t="inlineStr">
        <is>
          <t xml:space="preserve">05164-00-329-329 </t>
        </is>
      </c>
      <c r="E223" s="369" t="inlineStr">
        <is>
          <t>Actual</t>
        </is>
      </c>
      <c r="F223" s="370" t="inlineStr">
        <is>
          <t>765 S JASON                ST</t>
        </is>
      </c>
      <c r="G223" s="370" t="n">
        <v>44.8</v>
      </c>
      <c r="H223" s="370" t="n">
        <v>9506</v>
      </c>
      <c r="I223" s="369" t="n">
        <v>0</v>
      </c>
      <c r="J223" s="674" t="n">
        <v>5814</v>
      </c>
      <c r="K223" s="675" t="n">
        <v>9.952012383900929</v>
      </c>
      <c r="L223" s="385" t="n">
        <v>0</v>
      </c>
      <c r="M223" s="374" t="n">
        <v>0.02160349803840238</v>
      </c>
      <c r="N223" s="370" t="n">
        <v>1962</v>
      </c>
      <c r="O223" s="370" t="n">
        <v>640</v>
      </c>
      <c r="P223" s="370" t="n">
        <v>0</v>
      </c>
      <c r="Q223" s="370" t="n">
        <v>13</v>
      </c>
      <c r="R223" s="370" t="n">
        <v>1</v>
      </c>
      <c r="S223" s="370" t="n">
        <v>1</v>
      </c>
      <c r="T223" s="369" t="inlineStr">
        <is>
          <t xml:space="preserve">I-A         </t>
        </is>
      </c>
      <c r="U223" s="370" t="n">
        <v>398</v>
      </c>
      <c r="V223" s="674" t="n">
        <v>8565</v>
      </c>
      <c r="W223" s="674" t="n">
        <v>9000</v>
      </c>
      <c r="X223" s="676" t="inlineStr">
        <is>
          <t>1.5:1</t>
        </is>
      </c>
      <c r="Y223" s="674" t="n">
        <v>6000</v>
      </c>
      <c r="Z223" s="369" t="inlineStr">
        <is>
          <t xml:space="preserve">C </t>
        </is>
      </c>
      <c r="AA223" s="370" t="n"/>
      <c r="AB223" s="370" t="n"/>
      <c r="AC223" s="370" t="n"/>
      <c r="AD223" s="370" t="inlineStr">
        <is>
          <t xml:space="preserve">JJ&amp;S LIGHTIING #765 </t>
        </is>
      </c>
      <c r="AE223" s="370" t="n"/>
      <c r="AF223" s="370" t="n"/>
      <c r="AG223" s="370" t="n"/>
      <c r="AH223" s="370" t="n"/>
      <c r="AI223" s="370" t="n"/>
      <c r="AK223" s="370" t="inlineStr">
        <is>
          <t xml:space="preserve">2009 LEASE.                                                       </t>
        </is>
      </c>
      <c r="AL223" s="370" t="n"/>
      <c r="AM223" s="370" t="n"/>
      <c r="AN223" s="370" t="n"/>
      <c r="AO223" s="370" t="n"/>
      <c r="AP223" s="370" t="n"/>
      <c r="AQ223" s="370" t="n"/>
    </row>
    <row r="224">
      <c r="A224" s="383" t="n">
        <v>6</v>
      </c>
      <c r="B224" s="370" t="n">
        <v>218</v>
      </c>
      <c r="C224" s="370" t="inlineStr">
        <is>
          <t>2013Q</t>
        </is>
      </c>
      <c r="D224" s="370" t="inlineStr">
        <is>
          <t xml:space="preserve">05164-00-330-330 </t>
        </is>
      </c>
      <c r="E224" s="369" t="inlineStr">
        <is>
          <t>Actual</t>
        </is>
      </c>
      <c r="F224" s="370" t="inlineStr">
        <is>
          <t>775 S JASON                ST</t>
        </is>
      </c>
      <c r="G224" s="370" t="n">
        <v>44.8</v>
      </c>
      <c r="H224" s="370" t="n">
        <v>9506</v>
      </c>
      <c r="I224" s="369" t="n">
        <v>0</v>
      </c>
      <c r="J224" s="674" t="n">
        <v>5907</v>
      </c>
      <c r="K224" s="675" t="n">
        <v>3.991874047739969</v>
      </c>
      <c r="L224" s="385" t="n">
        <v>0</v>
      </c>
      <c r="M224" s="374" t="n">
        <v>0</v>
      </c>
      <c r="N224" s="370" t="n">
        <v>1962</v>
      </c>
      <c r="O224" s="370" t="n">
        <v>1906</v>
      </c>
      <c r="P224" s="370" t="n">
        <v>0</v>
      </c>
      <c r="Q224" s="370" t="n">
        <v>13</v>
      </c>
      <c r="R224" s="370" t="n">
        <v>1</v>
      </c>
      <c r="S224" s="370" t="n">
        <v>1</v>
      </c>
      <c r="T224" s="369" t="inlineStr">
        <is>
          <t xml:space="preserve">I-A         </t>
        </is>
      </c>
      <c r="U224" s="370" t="n">
        <v>398</v>
      </c>
      <c r="V224" s="674" t="n">
        <v>8565</v>
      </c>
      <c r="W224" s="674" t="n">
        <v>9000</v>
      </c>
      <c r="X224" s="676" t="inlineStr">
        <is>
          <t>1.4:1</t>
        </is>
      </c>
      <c r="Y224" s="674" t="n">
        <v>6000</v>
      </c>
      <c r="Z224" s="369" t="inlineStr">
        <is>
          <t xml:space="preserve">C </t>
        </is>
      </c>
      <c r="AA224" s="370" t="n"/>
      <c r="AB224" s="370" t="n"/>
      <c r="AC224" s="370" t="n"/>
      <c r="AD224" s="370" t="inlineStr">
        <is>
          <t>JASON ST CONDOS #775</t>
        </is>
      </c>
      <c r="AE224" s="370" t="n"/>
      <c r="AF224" s="370" t="n"/>
      <c r="AG224" s="370" t="n"/>
      <c r="AH224" s="370" t="n"/>
      <c r="AI224" s="370" t="n"/>
      <c r="AK224" s="370" t="inlineStr">
        <is>
          <t>                                                                  </t>
        </is>
      </c>
      <c r="AL224" s="370" t="n"/>
      <c r="AM224" s="370" t="n"/>
      <c r="AN224" s="370" t="n"/>
      <c r="AO224" s="370" t="n"/>
      <c r="AP224" s="370" t="n"/>
      <c r="AQ224" s="370" t="n"/>
    </row>
    <row r="225">
      <c r="A225" s="383" t="n">
        <v>6</v>
      </c>
      <c r="B225" s="370" t="n">
        <v>219</v>
      </c>
      <c r="C225" s="370" t="inlineStr">
        <is>
          <t>2013Q</t>
        </is>
      </c>
      <c r="D225" s="370" t="inlineStr">
        <is>
          <t xml:space="preserve">05164-00-331-331 </t>
        </is>
      </c>
      <c r="E225" s="369" t="inlineStr">
        <is>
          <t>Actual</t>
        </is>
      </c>
      <c r="F225" s="370" t="inlineStr">
        <is>
          <t>785 S JASON                ST</t>
        </is>
      </c>
      <c r="G225" s="370" t="n">
        <v>44.8</v>
      </c>
      <c r="H225" s="370" t="n">
        <v>9506</v>
      </c>
      <c r="I225" s="369" t="n">
        <v>0</v>
      </c>
      <c r="J225" s="674" t="n">
        <v>5844</v>
      </c>
      <c r="K225" s="675" t="n">
        <v>4.034907597535934</v>
      </c>
      <c r="L225" s="385" t="n">
        <v>0</v>
      </c>
      <c r="M225" s="374" t="n">
        <v>0</v>
      </c>
      <c r="N225" s="370" t="n">
        <v>1962</v>
      </c>
      <c r="O225" s="370" t="n">
        <v>978</v>
      </c>
      <c r="P225" s="370" t="n">
        <v>0</v>
      </c>
      <c r="Q225" s="370" t="n">
        <v>13</v>
      </c>
      <c r="R225" s="370" t="n">
        <v>1</v>
      </c>
      <c r="S225" s="370" t="n">
        <v>1</v>
      </c>
      <c r="T225" s="369" t="inlineStr">
        <is>
          <t xml:space="preserve">I-A         </t>
        </is>
      </c>
      <c r="U225" s="370" t="n">
        <v>398</v>
      </c>
      <c r="V225" s="674" t="n">
        <v>8565</v>
      </c>
      <c r="W225" s="674" t="n">
        <v>9000</v>
      </c>
      <c r="X225" s="676" t="inlineStr">
        <is>
          <t>1.5:1</t>
        </is>
      </c>
      <c r="Y225" s="674" t="n">
        <v>6000</v>
      </c>
      <c r="Z225" s="369" t="inlineStr">
        <is>
          <t xml:space="preserve">C </t>
        </is>
      </c>
      <c r="AA225" s="370" t="n"/>
      <c r="AB225" s="370" t="n"/>
      <c r="AC225" s="370" t="n"/>
      <c r="AD225" s="370" t="inlineStr">
        <is>
          <t>JASON ST CONDOS #765</t>
        </is>
      </c>
      <c r="AE225" s="370" t="n"/>
      <c r="AF225" s="370" t="n"/>
      <c r="AG225" s="370" t="n"/>
      <c r="AH225" s="370" t="n"/>
      <c r="AI225" s="370" t="n"/>
      <c r="AK225" s="370" t="inlineStr">
        <is>
          <t>                                                                  </t>
        </is>
      </c>
      <c r="AL225" s="370" t="n"/>
      <c r="AM225" s="370" t="n"/>
      <c r="AN225" s="370" t="n"/>
      <c r="AO225" s="370" t="n"/>
      <c r="AP225" s="370" t="n"/>
      <c r="AQ225" s="370" t="n"/>
    </row>
    <row r="226">
      <c r="A226" s="383" t="n">
        <v>6</v>
      </c>
      <c r="B226" s="370" t="n">
        <v>220</v>
      </c>
      <c r="C226" s="370" t="inlineStr">
        <is>
          <t>2013Q</t>
        </is>
      </c>
      <c r="D226" s="370" t="inlineStr">
        <is>
          <t xml:space="preserve">05164-00-332-332 </t>
        </is>
      </c>
      <c r="E226" s="369" t="inlineStr">
        <is>
          <t>Actual</t>
        </is>
      </c>
      <c r="F226" s="370" t="inlineStr">
        <is>
          <t>795 S JASON                ST</t>
        </is>
      </c>
      <c r="G226" s="370" t="n">
        <v>44.8</v>
      </c>
      <c r="H226" s="370" t="n">
        <v>9506</v>
      </c>
      <c r="I226" s="369" t="n">
        <v>0</v>
      </c>
      <c r="J226" s="674" t="n">
        <v>5803</v>
      </c>
      <c r="K226" s="675" t="n">
        <v>4.063415474754438</v>
      </c>
      <c r="L226" s="385" t="n">
        <v>0</v>
      </c>
      <c r="M226" s="374" t="n">
        <v>0</v>
      </c>
      <c r="N226" s="370" t="n">
        <v>1962</v>
      </c>
      <c r="O226" s="370" t="n">
        <v>0</v>
      </c>
      <c r="P226" s="370" t="n">
        <v>0</v>
      </c>
      <c r="Q226" s="370" t="n">
        <v>13</v>
      </c>
      <c r="R226" s="370" t="n">
        <v>1</v>
      </c>
      <c r="S226" s="370" t="n">
        <v>1</v>
      </c>
      <c r="T226" s="369" t="inlineStr">
        <is>
          <t xml:space="preserve">I-A         </t>
        </is>
      </c>
      <c r="U226" s="370" t="n">
        <v>398</v>
      </c>
      <c r="V226" s="674" t="n">
        <v>8565</v>
      </c>
      <c r="W226" s="674" t="n">
        <v>9000</v>
      </c>
      <c r="X226" s="676" t="inlineStr">
        <is>
          <t>1.5:1</t>
        </is>
      </c>
      <c r="Y226" s="674" t="n">
        <v>6000</v>
      </c>
      <c r="Z226" s="369" t="inlineStr">
        <is>
          <t xml:space="preserve">C </t>
        </is>
      </c>
      <c r="AA226" s="370" t="n"/>
      <c r="AB226" s="370" t="n"/>
      <c r="AC226" s="370" t="n"/>
      <c r="AD226" s="370" t="inlineStr">
        <is>
          <t>JASON ST CONDOS #795</t>
        </is>
      </c>
      <c r="AE226" s="370" t="n"/>
      <c r="AF226" s="370" t="n"/>
      <c r="AG226" s="370" t="n"/>
      <c r="AH226" s="370" t="n"/>
      <c r="AI226" s="370" t="n"/>
      <c r="AK226" s="370" t="inlineStr">
        <is>
          <t>                                                                  </t>
        </is>
      </c>
      <c r="AL226" s="370" t="n"/>
      <c r="AM226" s="370" t="n"/>
      <c r="AN226" s="370" t="n"/>
      <c r="AO226" s="370" t="n"/>
      <c r="AP226" s="370" t="n"/>
      <c r="AQ226" s="370" t="n"/>
    </row>
    <row r="227">
      <c r="A227" s="383" t="n">
        <v>6</v>
      </c>
      <c r="B227" s="370" t="n">
        <v>221</v>
      </c>
      <c r="C227" s="370" t="inlineStr">
        <is>
          <t>2013Q</t>
        </is>
      </c>
      <c r="D227" s="370" t="inlineStr">
        <is>
          <t xml:space="preserve">05184-29-007-000 </t>
        </is>
      </c>
      <c r="E227" s="369" t="inlineStr">
        <is>
          <t>Actual</t>
        </is>
      </c>
      <c r="F227" s="370" t="inlineStr">
        <is>
          <t>1050 S QUITMAN              ST</t>
        </is>
      </c>
      <c r="G227" s="370" t="n">
        <v>44.1</v>
      </c>
      <c r="H227" s="370" t="n">
        <v>9506</v>
      </c>
      <c r="I227" s="369" t="n">
        <v>0</v>
      </c>
      <c r="J227" s="674" t="n">
        <v>2873</v>
      </c>
      <c r="K227" s="675" t="n">
        <v>6.682909850330665</v>
      </c>
      <c r="L227" s="385" t="n">
        <v>0</v>
      </c>
      <c r="M227" s="374" t="n">
        <v>0.261875</v>
      </c>
      <c r="N227" s="370" t="n">
        <v>1946</v>
      </c>
      <c r="O227" s="370" t="n">
        <v>595</v>
      </c>
      <c r="P227" s="370" t="n">
        <v>0</v>
      </c>
      <c r="Q227" s="370" t="n">
        <v>11</v>
      </c>
      <c r="R227" s="370" t="n">
        <v>3</v>
      </c>
      <c r="S227" s="370" t="n">
        <v>1</v>
      </c>
      <c r="T227" s="369" t="inlineStr">
        <is>
          <t xml:space="preserve">E-SU-D1X    </t>
        </is>
      </c>
      <c r="U227" s="370" t="n">
        <v>398</v>
      </c>
      <c r="V227" s="674" t="n">
        <v>6350</v>
      </c>
      <c r="W227" s="674" t="n">
        <v>6000</v>
      </c>
      <c r="X227" s="676" t="inlineStr">
        <is>
          <t>2.2:1</t>
        </is>
      </c>
      <c r="Y227" s="674" t="n">
        <v>3000</v>
      </c>
      <c r="Z227" s="369" t="inlineStr">
        <is>
          <t xml:space="preserve">C </t>
        </is>
      </c>
      <c r="AA227" s="370" t="n"/>
      <c r="AB227" s="370" t="n"/>
      <c r="AC227" s="370" t="n"/>
      <c r="AD227" s="370" t="inlineStr">
        <is>
          <t>S-WNEW ERA CONSTRUCT</t>
        </is>
      </c>
      <c r="AE227" s="370" t="n"/>
      <c r="AF227" s="370" t="n"/>
      <c r="AG227" s="370" t="n"/>
      <c r="AH227" s="370" t="n"/>
      <c r="AI227" s="370" t="n"/>
      <c r="AK227" s="370" t="inlineStr">
        <is>
          <t>                                                                  </t>
        </is>
      </c>
      <c r="AL227" s="370" t="n"/>
      <c r="AM227" s="370" t="n"/>
      <c r="AN227" s="370" t="n"/>
      <c r="AO227" s="370" t="n"/>
      <c r="AP227" s="370" t="n"/>
      <c r="AQ227" s="370" t="n"/>
    </row>
    <row r="228">
      <c r="A228" s="383" t="n">
        <v>6</v>
      </c>
      <c r="B228" s="370" t="n">
        <v>222</v>
      </c>
      <c r="C228" s="370" t="inlineStr">
        <is>
          <t>2013Q</t>
        </is>
      </c>
      <c r="D228" s="370" t="inlineStr">
        <is>
          <t xml:space="preserve">05211-02-015-000 </t>
        </is>
      </c>
      <c r="E228" s="369" t="inlineStr">
        <is>
          <t>Actual</t>
        </is>
      </c>
      <c r="F228" s="370" t="inlineStr">
        <is>
          <t>1125 S INCA                 ST</t>
        </is>
      </c>
      <c r="G228" s="370" t="n">
        <v>44.1</v>
      </c>
      <c r="H228" s="370" t="n">
        <v>9506</v>
      </c>
      <c r="I228" s="369" t="n">
        <v>0</v>
      </c>
      <c r="J228" s="674" t="n">
        <v>11852</v>
      </c>
      <c r="K228" s="675" t="n">
        <v>5.325683428957138</v>
      </c>
      <c r="L228" s="385" t="n">
        <v>0</v>
      </c>
      <c r="M228" s="374" t="n">
        <v>0</v>
      </c>
      <c r="N228" s="370" t="n">
        <v>1960</v>
      </c>
      <c r="O228" s="370" t="n">
        <v>1710</v>
      </c>
      <c r="P228" s="370" t="n">
        <v>0</v>
      </c>
      <c r="Q228" s="370" t="n">
        <v>14</v>
      </c>
      <c r="R228" s="370" t="n">
        <v>1</v>
      </c>
      <c r="S228" s="370" t="n">
        <v>1</v>
      </c>
      <c r="T228" s="369" t="inlineStr">
        <is>
          <t xml:space="preserve">I-A         </t>
        </is>
      </c>
      <c r="U228" s="370" t="n">
        <v>398</v>
      </c>
      <c r="V228" s="674" t="n">
        <v>17685</v>
      </c>
      <c r="W228" s="674" t="n">
        <v>18000</v>
      </c>
      <c r="X228" s="676" t="inlineStr">
        <is>
          <t>1.5:1</t>
        </is>
      </c>
      <c r="Y228" s="674" t="n">
        <v>12000</v>
      </c>
      <c r="Z228" s="369" t="inlineStr">
        <is>
          <t xml:space="preserve">C </t>
        </is>
      </c>
      <c r="AA228" s="370" t="n"/>
      <c r="AB228" s="370" t="n"/>
      <c r="AC228" s="370" t="n"/>
      <c r="AD228" s="370" t="inlineStr">
        <is>
          <t xml:space="preserve">AMGS-AUTO PRODUCTS  </t>
        </is>
      </c>
      <c r="AE228" s="370" t="n"/>
      <c r="AF228" s="370" t="n"/>
      <c r="AG228" s="370" t="n"/>
      <c r="AH228" s="370" t="n"/>
      <c r="AI228" s="370" t="n"/>
      <c r="AK228" s="370" t="inlineStr">
        <is>
          <t>                                                                  </t>
        </is>
      </c>
      <c r="AL228" s="370" t="n"/>
      <c r="AM228" s="370" t="n"/>
      <c r="AN228" s="370" t="n"/>
      <c r="AO228" s="370" t="n"/>
      <c r="AP228" s="370" t="n"/>
      <c r="AQ228" s="370" t="n"/>
    </row>
    <row r="229">
      <c r="A229" s="383" t="n">
        <v>6</v>
      </c>
      <c r="B229" s="370" t="n">
        <v>223</v>
      </c>
      <c r="C229" s="370" t="inlineStr">
        <is>
          <t>2013Q</t>
        </is>
      </c>
      <c r="D229" s="370" t="inlineStr">
        <is>
          <t xml:space="preserve">05211-03-004-000 </t>
        </is>
      </c>
      <c r="E229" s="369" t="inlineStr">
        <is>
          <t>Actual</t>
        </is>
      </c>
      <c r="F229" s="370" t="inlineStr">
        <is>
          <t>1165 S JASON                ST</t>
        </is>
      </c>
      <c r="G229" s="370" t="n">
        <v>44.2</v>
      </c>
      <c r="H229" s="370" t="n">
        <v>9506</v>
      </c>
      <c r="I229" s="369" t="n">
        <v>0</v>
      </c>
      <c r="J229" s="674" t="n">
        <v>9067</v>
      </c>
      <c r="K229" s="675" t="n">
        <v>4.771148119554428</v>
      </c>
      <c r="L229" s="385" t="n">
        <v>0</v>
      </c>
      <c r="M229" s="374" t="n">
        <v>0</v>
      </c>
      <c r="N229" s="370" t="n">
        <v>1961</v>
      </c>
      <c r="O229" s="370" t="n">
        <v>2804</v>
      </c>
      <c r="P229" s="370" t="n">
        <v>0</v>
      </c>
      <c r="Q229" s="370" t="n">
        <v>13</v>
      </c>
      <c r="R229" s="370" t="n">
        <v>1</v>
      </c>
      <c r="S229" s="370" t="n">
        <v>1</v>
      </c>
      <c r="T229" s="369" t="inlineStr">
        <is>
          <t xml:space="preserve">I-A         </t>
        </is>
      </c>
      <c r="U229" s="370" t="n">
        <v>398</v>
      </c>
      <c r="V229" s="674" t="n">
        <v>19050</v>
      </c>
      <c r="W229" s="674" t="n">
        <v>19000</v>
      </c>
      <c r="X229" s="676" t="inlineStr">
        <is>
          <t>2.1:1</t>
        </is>
      </c>
      <c r="Y229" s="674" t="n">
        <v>9000</v>
      </c>
      <c r="Z229" s="369" t="inlineStr">
        <is>
          <t xml:space="preserve">C </t>
        </is>
      </c>
      <c r="AA229" s="370" t="n"/>
      <c r="AB229" s="370" t="n"/>
      <c r="AC229" s="370" t="n"/>
      <c r="AD229" s="370" t="inlineStr">
        <is>
          <t>LEHRER'S PRNTNG SUPL</t>
        </is>
      </c>
      <c r="AE229" s="370" t="n"/>
      <c r="AF229" s="370" t="n"/>
      <c r="AG229" s="370" t="n"/>
      <c r="AH229" s="370" t="n"/>
      <c r="AI229" s="370" t="n"/>
      <c r="AK229" s="370" t="inlineStr">
        <is>
          <t>                                                                  </t>
        </is>
      </c>
      <c r="AL229" s="370" t="n"/>
      <c r="AM229" s="370" t="n"/>
      <c r="AN229" s="370" t="n"/>
      <c r="AO229" s="370" t="n"/>
      <c r="AP229" s="370" t="n"/>
      <c r="AQ229" s="370" t="n"/>
    </row>
    <row r="230">
      <c r="A230" s="383" t="n">
        <v>6</v>
      </c>
      <c r="B230" s="370" t="n">
        <v>224</v>
      </c>
      <c r="C230" s="370" t="inlineStr">
        <is>
          <t>2013Q</t>
        </is>
      </c>
      <c r="D230" s="370" t="inlineStr">
        <is>
          <t xml:space="preserve">05211-03-005-000 </t>
        </is>
      </c>
      <c r="E230" s="369" t="inlineStr">
        <is>
          <t>Actual</t>
        </is>
      </c>
      <c r="F230" s="370" t="inlineStr">
        <is>
          <t>1001 W ARIZONA              AV</t>
        </is>
      </c>
      <c r="G230" s="370" t="n">
        <v>44.2</v>
      </c>
      <c r="H230" s="370" t="n">
        <v>9506</v>
      </c>
      <c r="I230" s="369" t="n">
        <v>0</v>
      </c>
      <c r="J230" s="674" t="n">
        <v>6919</v>
      </c>
      <c r="K230" s="675" t="n">
        <v>5.723370429252782</v>
      </c>
      <c r="L230" s="385" t="n">
        <v>0</v>
      </c>
      <c r="M230" s="374" t="n">
        <v>0</v>
      </c>
      <c r="N230" s="370" t="n">
        <v>1961</v>
      </c>
      <c r="O230" s="370" t="n">
        <v>1014</v>
      </c>
      <c r="P230" s="370" t="n">
        <v>0</v>
      </c>
      <c r="Q230" s="370" t="n">
        <v>14</v>
      </c>
      <c r="R230" s="370" t="n">
        <v>1</v>
      </c>
      <c r="S230" s="370" t="n">
        <v>1</v>
      </c>
      <c r="T230" s="369" t="inlineStr">
        <is>
          <t xml:space="preserve">I-A         </t>
        </is>
      </c>
      <c r="U230" s="370" t="n">
        <v>398</v>
      </c>
      <c r="V230" s="674" t="n">
        <v>19113</v>
      </c>
      <c r="W230" s="674" t="n">
        <v>19000</v>
      </c>
      <c r="X230" s="676" t="inlineStr">
        <is>
          <t>2.8:1</t>
        </is>
      </c>
      <c r="Y230" s="674" t="n">
        <v>7000</v>
      </c>
      <c r="Z230" s="369" t="inlineStr">
        <is>
          <t xml:space="preserve">C </t>
        </is>
      </c>
      <c r="AA230" s="370" t="n"/>
      <c r="AB230" s="370" t="n"/>
      <c r="AC230" s="370" t="n"/>
      <c r="AD230" s="370" t="inlineStr">
        <is>
          <t xml:space="preserve">TODAYS FITNESS      </t>
        </is>
      </c>
      <c r="AE230" s="370" t="n"/>
      <c r="AF230" s="370" t="n"/>
      <c r="AG230" s="370" t="n"/>
      <c r="AH230" s="370" t="n"/>
      <c r="AI230" s="370" t="n"/>
      <c r="AK230" s="370" t="inlineStr">
        <is>
          <t xml:space="preserve">EXPENSES INDETERMINATE FOR 11/11 LEASE DATE.                      </t>
        </is>
      </c>
      <c r="AL230" s="370" t="n"/>
      <c r="AM230" s="370" t="n"/>
      <c r="AN230" s="370" t="n"/>
      <c r="AO230" s="370" t="n"/>
      <c r="AP230" s="370" t="n"/>
      <c r="AQ230" s="370" t="n"/>
    </row>
    <row r="231">
      <c r="A231" s="383" t="n">
        <v>6</v>
      </c>
      <c r="B231" s="370" t="n">
        <v>225</v>
      </c>
      <c r="C231" s="370" t="inlineStr">
        <is>
          <t>2013Q</t>
        </is>
      </c>
      <c r="D231" s="370" t="inlineStr">
        <is>
          <t xml:space="preserve">05211-03-033-000 </t>
        </is>
      </c>
      <c r="E231" s="369" t="inlineStr">
        <is>
          <t>Actual</t>
        </is>
      </c>
      <c r="F231" s="370" t="inlineStr">
        <is>
          <t>1178 S KALAMATH             ST</t>
        </is>
      </c>
      <c r="G231" s="370" t="n">
        <v>44.2</v>
      </c>
      <c r="H231" s="370" t="n">
        <v>9506</v>
      </c>
      <c r="I231" s="369" t="n">
        <v>0</v>
      </c>
      <c r="J231" s="674" t="n">
        <v>8000</v>
      </c>
      <c r="K231" s="675" t="n">
        <v>4.672875</v>
      </c>
      <c r="L231" s="385" t="n">
        <v>0</v>
      </c>
      <c r="M231" s="374" t="n">
        <v>0</v>
      </c>
      <c r="N231" s="370" t="n">
        <v>1975</v>
      </c>
      <c r="O231" s="370" t="n">
        <v>1000</v>
      </c>
      <c r="P231" s="370" t="n">
        <v>2000</v>
      </c>
      <c r="Q231" s="370" t="n">
        <v>13</v>
      </c>
      <c r="R231" s="370" t="n">
        <v>1</v>
      </c>
      <c r="S231" s="370" t="n">
        <v>1</v>
      </c>
      <c r="T231" s="369" t="inlineStr">
        <is>
          <t xml:space="preserve">I-A         </t>
        </is>
      </c>
      <c r="U231" s="370" t="n">
        <v>398</v>
      </c>
      <c r="V231" s="674" t="n">
        <v>6477</v>
      </c>
      <c r="W231" s="674" t="n">
        <v>6000</v>
      </c>
      <c r="X231" s="676" t="inlineStr">
        <is>
          <t>0.8:1</t>
        </is>
      </c>
      <c r="Y231" s="674" t="n">
        <v>8000</v>
      </c>
      <c r="Z231" s="369" t="inlineStr">
        <is>
          <t xml:space="preserve">C </t>
        </is>
      </c>
      <c r="AA231" s="370" t="n"/>
      <c r="AB231" s="370" t="n"/>
      <c r="AC231" s="370" t="n"/>
      <c r="AD231" s="370" t="inlineStr">
        <is>
          <t>                    </t>
        </is>
      </c>
      <c r="AE231" s="370" t="n"/>
      <c r="AF231" s="370" t="n"/>
      <c r="AG231" s="370" t="n"/>
      <c r="AH231" s="370" t="n"/>
      <c r="AI231" s="370" t="n"/>
      <c r="AK231" s="370" t="inlineStr">
        <is>
          <t>                                                                  </t>
        </is>
      </c>
      <c r="AL231" s="370" t="n"/>
      <c r="AM231" s="370" t="n"/>
      <c r="AN231" s="370" t="n"/>
      <c r="AO231" s="370" t="n"/>
      <c r="AP231" s="370" t="n"/>
      <c r="AQ231" s="370" t="n"/>
    </row>
    <row r="232">
      <c r="A232" s="383" t="n">
        <v>6</v>
      </c>
      <c r="B232" s="370" t="n">
        <v>226</v>
      </c>
      <c r="C232" s="370" t="inlineStr">
        <is>
          <t>2013Q</t>
        </is>
      </c>
      <c r="D232" s="370" t="inlineStr">
        <is>
          <t xml:space="preserve">05211-13-025-000 </t>
        </is>
      </c>
      <c r="E232" s="369" t="inlineStr">
        <is>
          <t>Actual</t>
        </is>
      </c>
      <c r="F232" s="370" t="inlineStr">
        <is>
          <t>1190 S LIPAN                ST</t>
        </is>
      </c>
      <c r="G232" s="370" t="n">
        <v>47.2</v>
      </c>
      <c r="H232" s="370" t="n">
        <v>9506</v>
      </c>
      <c r="I232" s="369" t="n">
        <v>0</v>
      </c>
      <c r="J232" s="674" t="n">
        <v>11052</v>
      </c>
      <c r="K232" s="675" t="n">
        <v>4.88599348534202</v>
      </c>
      <c r="L232" s="385" t="n">
        <v>0</v>
      </c>
      <c r="M232" s="374" t="n">
        <v>0</v>
      </c>
      <c r="N232" s="370" t="n">
        <v>1962</v>
      </c>
      <c r="O232" s="370" t="n">
        <v>1131</v>
      </c>
      <c r="P232" s="370" t="n">
        <v>0</v>
      </c>
      <c r="Q232" s="370" t="n">
        <v>12</v>
      </c>
      <c r="R232" s="370" t="n">
        <v>8</v>
      </c>
      <c r="S232" s="370" t="n">
        <v>1</v>
      </c>
      <c r="T232" s="369" t="inlineStr">
        <is>
          <t xml:space="preserve">I-MX-3      </t>
        </is>
      </c>
      <c r="U232" s="370" t="n">
        <v>401</v>
      </c>
      <c r="V232" s="674" t="n">
        <v>28630</v>
      </c>
      <c r="W232" s="674" t="n">
        <v>29000</v>
      </c>
      <c r="X232" s="676" t="inlineStr">
        <is>
          <t>2.6:1</t>
        </is>
      </c>
      <c r="Y232" s="674" t="n">
        <v>11000</v>
      </c>
      <c r="Z232" s="369" t="inlineStr">
        <is>
          <t xml:space="preserve">C </t>
        </is>
      </c>
      <c r="AA232" s="370" t="n"/>
      <c r="AB232" s="370" t="n"/>
      <c r="AC232" s="370" t="n"/>
      <c r="AD232" s="370" t="inlineStr">
        <is>
          <t xml:space="preserve">MANU/SINGLE-TENANT  </t>
        </is>
      </c>
      <c r="AE232" s="370" t="n"/>
      <c r="AF232" s="370" t="n"/>
      <c r="AG232" s="370" t="n"/>
      <c r="AH232" s="370" t="n"/>
      <c r="AI232" s="370" t="n"/>
      <c r="AK232" s="370" t="inlineStr">
        <is>
          <t xml:space="preserve">COMMENCEMENT DATE OF LEASE UNKNOWN.                               </t>
        </is>
      </c>
      <c r="AL232" s="370" t="n"/>
      <c r="AM232" s="370" t="n"/>
      <c r="AN232" s="370" t="n"/>
      <c r="AO232" s="370" t="n"/>
      <c r="AP232" s="370" t="n"/>
      <c r="AQ232" s="370" t="n"/>
    </row>
    <row r="233">
      <c r="A233" s="383" t="n">
        <v>6</v>
      </c>
      <c r="B233" s="370" t="n">
        <v>227</v>
      </c>
      <c r="C233" s="370" t="inlineStr">
        <is>
          <t>2013Q</t>
        </is>
      </c>
      <c r="D233" s="370" t="inlineStr">
        <is>
          <t xml:space="preserve">05211-14-002-000 </t>
        </is>
      </c>
      <c r="E233" s="369" t="inlineStr">
        <is>
          <t>Actual</t>
        </is>
      </c>
      <c r="F233" s="370" t="inlineStr">
        <is>
          <t>1225 S JASON                ST</t>
        </is>
      </c>
      <c r="G233" s="370" t="n">
        <v>44.2</v>
      </c>
      <c r="H233" s="370" t="n">
        <v>9506</v>
      </c>
      <c r="I233" s="369" t="n">
        <v>0</v>
      </c>
      <c r="J233" s="674" t="n">
        <v>1345</v>
      </c>
      <c r="K233" s="675" t="n">
        <v>10.70631970260223</v>
      </c>
      <c r="L233" s="385" t="n">
        <v>0</v>
      </c>
      <c r="M233" s="374" t="n">
        <v>0.1392361111111111</v>
      </c>
      <c r="N233" s="370" t="n">
        <v>1959</v>
      </c>
      <c r="O233" s="370" t="n">
        <v>0</v>
      </c>
      <c r="P233" s="370" t="n">
        <v>0</v>
      </c>
      <c r="Q233" s="370" t="n">
        <v>14</v>
      </c>
      <c r="R233" s="370" t="n">
        <v>8</v>
      </c>
      <c r="S233" s="370" t="n">
        <v>1</v>
      </c>
      <c r="T233" s="369" t="inlineStr">
        <is>
          <t xml:space="preserve">I-MX-3      </t>
        </is>
      </c>
      <c r="U233" s="370" t="n">
        <v>398</v>
      </c>
      <c r="V233" s="674" t="n">
        <v>12700</v>
      </c>
      <c r="W233" s="674" t="n">
        <v>13000</v>
      </c>
      <c r="X233" s="676" t="inlineStr">
        <is>
          <t>9.4:1</t>
        </is>
      </c>
      <c r="Y233" s="674" t="n">
        <v>1000</v>
      </c>
      <c r="Z233" s="369" t="inlineStr">
        <is>
          <t xml:space="preserve">C </t>
        </is>
      </c>
      <c r="AA233" s="370" t="n"/>
      <c r="AB233" s="370" t="n"/>
      <c r="AC233" s="370" t="n"/>
      <c r="AD233" s="370" t="inlineStr">
        <is>
          <t xml:space="preserve">S-W BOUNDARY FENCE  </t>
        </is>
      </c>
      <c r="AE233" s="370" t="n"/>
      <c r="AF233" s="370" t="n"/>
      <c r="AG233" s="370" t="n"/>
      <c r="AH233" s="370" t="n"/>
      <c r="AI233" s="370" t="n"/>
      <c r="AK233" s="370" t="inlineStr">
        <is>
          <t>                                                                  </t>
        </is>
      </c>
      <c r="AL233" s="370" t="n"/>
      <c r="AM233" s="370" t="n"/>
      <c r="AN233" s="370" t="n"/>
      <c r="AO233" s="370" t="n"/>
      <c r="AP233" s="370" t="n"/>
      <c r="AQ233" s="370" t="n"/>
    </row>
    <row r="234">
      <c r="A234" s="383" t="n">
        <v>6</v>
      </c>
      <c r="B234" s="370" t="n">
        <v>228</v>
      </c>
      <c r="C234" s="370" t="inlineStr">
        <is>
          <t>2013Q</t>
        </is>
      </c>
      <c r="D234" s="370" t="inlineStr">
        <is>
          <t xml:space="preserve">05211-15-012-000 </t>
        </is>
      </c>
      <c r="E234" s="369" t="inlineStr">
        <is>
          <t>Actual</t>
        </is>
      </c>
      <c r="F234" s="370" t="inlineStr">
        <is>
          <t>1220 S JASON                ST</t>
        </is>
      </c>
      <c r="G234" s="370" t="n">
        <v>44.2</v>
      </c>
      <c r="H234" s="370" t="n">
        <v>9506</v>
      </c>
      <c r="I234" s="369" t="n">
        <v>0</v>
      </c>
      <c r="J234" s="674" t="n">
        <v>2610</v>
      </c>
      <c r="K234" s="675" t="n">
        <v>8.735632183908047</v>
      </c>
      <c r="L234" s="385" t="n">
        <v>0</v>
      </c>
      <c r="M234" s="374" t="n">
        <v>0.1399122807017544</v>
      </c>
      <c r="N234" s="370" t="n">
        <v>1962</v>
      </c>
      <c r="O234" s="370" t="n">
        <v>750</v>
      </c>
      <c r="P234" s="370" t="n">
        <v>0</v>
      </c>
      <c r="Q234" s="370" t="n">
        <v>12</v>
      </c>
      <c r="R234" s="370" t="n">
        <v>1</v>
      </c>
      <c r="S234" s="370" t="n">
        <v>1</v>
      </c>
      <c r="T234" s="369" t="inlineStr">
        <is>
          <t xml:space="preserve">I-A         </t>
        </is>
      </c>
      <c r="U234" s="370" t="n">
        <v>398</v>
      </c>
      <c r="V234" s="674" t="n">
        <v>6350</v>
      </c>
      <c r="W234" s="674" t="n">
        <v>6000</v>
      </c>
      <c r="X234" s="676" t="inlineStr">
        <is>
          <t>2.4:1</t>
        </is>
      </c>
      <c r="Y234" s="674" t="n">
        <v>3000</v>
      </c>
      <c r="Z234" s="369" t="inlineStr">
        <is>
          <t xml:space="preserve">C </t>
        </is>
      </c>
      <c r="AA234" s="370" t="n"/>
      <c r="AB234" s="370" t="n"/>
      <c r="AC234" s="370" t="n"/>
      <c r="AD234" s="370" t="inlineStr">
        <is>
          <t xml:space="preserve">THOMAS-STUART INC.  </t>
        </is>
      </c>
      <c r="AE234" s="370" t="n"/>
      <c r="AF234" s="370" t="n"/>
      <c r="AG234" s="370" t="n"/>
      <c r="AH234" s="370" t="n"/>
      <c r="AI234" s="370" t="n"/>
      <c r="AK234" s="370" t="inlineStr">
        <is>
          <t xml:space="preserve">2009 LEASE.                                                       </t>
        </is>
      </c>
      <c r="AL234" s="370" t="n"/>
      <c r="AM234" s="370" t="n"/>
      <c r="AN234" s="370" t="n"/>
      <c r="AO234" s="370" t="n"/>
      <c r="AP234" s="370" t="n"/>
      <c r="AQ234" s="370" t="n"/>
    </row>
    <row r="235">
      <c r="A235" s="383" t="n">
        <v>6</v>
      </c>
      <c r="B235" s="370" t="n">
        <v>229</v>
      </c>
      <c r="C235" s="370" t="inlineStr">
        <is>
          <t>2013Q</t>
        </is>
      </c>
      <c r="D235" s="370" t="inlineStr">
        <is>
          <t xml:space="preserve">05211-16-022-000 </t>
        </is>
      </c>
      <c r="E235" s="369" t="inlineStr">
        <is>
          <t>Actual</t>
        </is>
      </c>
      <c r="F235" s="370" t="inlineStr">
        <is>
          <t>1220 S INCA                 ST</t>
        </is>
      </c>
      <c r="G235" s="370" t="n">
        <v>44.2</v>
      </c>
      <c r="H235" s="370" t="n">
        <v>9506</v>
      </c>
      <c r="I235" s="369" t="n">
        <v>0</v>
      </c>
      <c r="J235" s="674" t="n">
        <v>2500</v>
      </c>
      <c r="K235" s="675" t="n">
        <v>10.56</v>
      </c>
      <c r="L235" s="385" t="n">
        <v>0</v>
      </c>
      <c r="M235" s="374" t="n">
        <v>0.002272727272727273</v>
      </c>
      <c r="N235" s="370" t="n">
        <v>1962</v>
      </c>
      <c r="O235" s="370" t="n">
        <v>0</v>
      </c>
      <c r="P235" s="370" t="n">
        <v>0</v>
      </c>
      <c r="Q235" s="370" t="n">
        <v>12</v>
      </c>
      <c r="R235" s="370" t="n">
        <v>3</v>
      </c>
      <c r="S235" s="370" t="n">
        <v>1</v>
      </c>
      <c r="T235" s="369" t="inlineStr">
        <is>
          <t xml:space="preserve">I-A         </t>
        </is>
      </c>
      <c r="U235" s="370" t="n">
        <v>398</v>
      </c>
      <c r="V235" s="674" t="n">
        <v>19050</v>
      </c>
      <c r="W235" s="674" t="n">
        <v>19000</v>
      </c>
      <c r="X235" s="676" t="inlineStr">
        <is>
          <t>7.6:1</t>
        </is>
      </c>
      <c r="Y235" s="674" t="n">
        <v>3000</v>
      </c>
      <c r="Z235" s="369" t="inlineStr">
        <is>
          <t xml:space="preserve">C </t>
        </is>
      </c>
      <c r="AA235" s="370" t="n"/>
      <c r="AB235" s="370" t="n"/>
      <c r="AC235" s="370" t="n"/>
      <c r="AD235" s="370" t="inlineStr">
        <is>
          <t xml:space="preserve">S-W MTN STATE FIRE  </t>
        </is>
      </c>
      <c r="AE235" s="370" t="n"/>
      <c r="AF235" s="370" t="n"/>
      <c r="AG235" s="370" t="n"/>
      <c r="AH235" s="370" t="n"/>
      <c r="AI235" s="370" t="n"/>
      <c r="AK235" s="370" t="inlineStr">
        <is>
          <t>                                                                  </t>
        </is>
      </c>
      <c r="AL235" s="370" t="n"/>
      <c r="AM235" s="370" t="n"/>
      <c r="AN235" s="370" t="n"/>
      <c r="AO235" s="370" t="n"/>
      <c r="AP235" s="370" t="n"/>
      <c r="AQ235" s="370" t="n"/>
    </row>
    <row r="236">
      <c r="A236" s="383" t="n">
        <v>6</v>
      </c>
      <c r="B236" s="370" t="n">
        <v>230</v>
      </c>
      <c r="C236" s="370" t="inlineStr">
        <is>
          <t>2013Q</t>
        </is>
      </c>
      <c r="D236" s="370" t="inlineStr">
        <is>
          <t xml:space="preserve">05211-30-014-000 </t>
        </is>
      </c>
      <c r="E236" s="369" t="inlineStr">
        <is>
          <t>Actual</t>
        </is>
      </c>
      <c r="F236" s="370" t="inlineStr">
        <is>
          <t>1495 S PLATTE RIVER         DR</t>
        </is>
      </c>
      <c r="G236" s="370" t="n">
        <v>44.1</v>
      </c>
      <c r="H236" s="370" t="n">
        <v>9506</v>
      </c>
      <c r="I236" s="369" t="n">
        <v>0</v>
      </c>
      <c r="J236" s="674" t="n">
        <v>10120</v>
      </c>
      <c r="K236" s="675" t="n">
        <v>9.514624505928854</v>
      </c>
      <c r="L236" s="385" t="n">
        <v>0</v>
      </c>
      <c r="M236" s="374" t="n">
        <v>0</v>
      </c>
      <c r="N236" s="370" t="n">
        <v>1985</v>
      </c>
      <c r="O236" s="370" t="n">
        <v>2300</v>
      </c>
      <c r="P236" s="370" t="n">
        <v>0</v>
      </c>
      <c r="Q236" s="370" t="n">
        <v>16</v>
      </c>
      <c r="R236" s="370" t="n">
        <v>3</v>
      </c>
      <c r="S236" s="370" t="n">
        <v>1</v>
      </c>
      <c r="T236" s="369" t="inlineStr">
        <is>
          <t xml:space="preserve">I-MX-3      </t>
        </is>
      </c>
      <c r="U236" s="370" t="n">
        <v>397</v>
      </c>
      <c r="V236" s="674" t="n">
        <v>22600</v>
      </c>
      <c r="W236" s="674" t="n">
        <v>23000</v>
      </c>
      <c r="X236" s="676" t="inlineStr">
        <is>
          <t>2.2:1</t>
        </is>
      </c>
      <c r="Y236" s="674" t="n">
        <v>10000</v>
      </c>
      <c r="Z236" s="369" t="inlineStr">
        <is>
          <t xml:space="preserve">C </t>
        </is>
      </c>
      <c r="AA236" s="370" t="n"/>
      <c r="AB236" s="370" t="n"/>
      <c r="AC236" s="370" t="n"/>
      <c r="AD236" s="370" t="inlineStr">
        <is>
          <t>                    </t>
        </is>
      </c>
      <c r="AE236" s="370" t="n"/>
      <c r="AF236" s="370" t="n"/>
      <c r="AG236" s="370" t="n"/>
      <c r="AH236" s="370" t="n"/>
      <c r="AI236" s="370" t="n"/>
      <c r="AK236" s="370" t="inlineStr">
        <is>
          <t xml:space="preserve">2009 LEASE.                                                       </t>
        </is>
      </c>
      <c r="AL236" s="370" t="n"/>
      <c r="AM236" s="370" t="n"/>
      <c r="AN236" s="370" t="n"/>
      <c r="AO236" s="370" t="n"/>
      <c r="AP236" s="370" t="n"/>
      <c r="AQ236" s="370" t="n"/>
    </row>
    <row r="237">
      <c r="A237" s="383" t="n">
        <v>6</v>
      </c>
      <c r="B237" s="370" t="n">
        <v>231</v>
      </c>
      <c r="C237" s="370" t="inlineStr">
        <is>
          <t>2013Q</t>
        </is>
      </c>
      <c r="D237" s="370" t="inlineStr">
        <is>
          <t xml:space="preserve">05221-14-033-000 </t>
        </is>
      </c>
      <c r="E237" s="369" t="inlineStr">
        <is>
          <t>Actual</t>
        </is>
      </c>
      <c r="F237" s="370" t="inlineStr">
        <is>
          <t>1215 S PEARL                ST</t>
        </is>
      </c>
      <c r="G237" s="370" t="n">
        <v>44.2</v>
      </c>
      <c r="H237" s="370" t="n">
        <v>9509</v>
      </c>
      <c r="I237" s="369" t="n">
        <v>0</v>
      </c>
      <c r="J237" s="674" t="n">
        <v>5974</v>
      </c>
      <c r="K237" s="675" t="n">
        <v>5.93593441627448</v>
      </c>
      <c r="L237" s="385" t="n">
        <v>0</v>
      </c>
      <c r="M237" s="374" t="n">
        <v>0.1842455242966752</v>
      </c>
      <c r="N237" s="370" t="n">
        <v>1919</v>
      </c>
      <c r="O237" s="370" t="n">
        <v>1720</v>
      </c>
      <c r="P237" s="370" t="n">
        <v>0</v>
      </c>
      <c r="Q237" s="370" t="n">
        <v>13</v>
      </c>
      <c r="R237" s="370" t="n">
        <v>1</v>
      </c>
      <c r="S237" s="370" t="n">
        <v>1</v>
      </c>
      <c r="T237" s="369" t="inlineStr">
        <is>
          <t xml:space="preserve">U-MS-3      </t>
        </is>
      </c>
      <c r="U237" s="370" t="n">
        <v>398</v>
      </c>
      <c r="V237" s="674" t="n">
        <v>10300</v>
      </c>
      <c r="W237" s="674" t="n">
        <v>10000</v>
      </c>
      <c r="X237" s="676" t="inlineStr">
        <is>
          <t>1.7:1</t>
        </is>
      </c>
      <c r="Y237" s="674" t="n">
        <v>6000</v>
      </c>
      <c r="Z237" s="369" t="inlineStr">
        <is>
          <t xml:space="preserve">C </t>
        </is>
      </c>
      <c r="AA237" s="370" t="n"/>
      <c r="AB237" s="370" t="n"/>
      <c r="AC237" s="370" t="n"/>
      <c r="AD237" s="370" t="inlineStr">
        <is>
          <t>SYNERGY COMMUNICATIN</t>
        </is>
      </c>
      <c r="AE237" s="370" t="n"/>
      <c r="AF237" s="370" t="n"/>
      <c r="AG237" s="370" t="n"/>
      <c r="AH237" s="370" t="n"/>
      <c r="AI237" s="370" t="n"/>
      <c r="AK237" s="370" t="inlineStr">
        <is>
          <t>                                                                  </t>
        </is>
      </c>
      <c r="AL237" s="370" t="n"/>
      <c r="AM237" s="370" t="n"/>
      <c r="AN237" s="370" t="n"/>
      <c r="AO237" s="370" t="n"/>
      <c r="AP237" s="370" t="n"/>
      <c r="AQ237" s="370" t="n"/>
    </row>
    <row r="238">
      <c r="A238" s="383" t="n">
        <v>6</v>
      </c>
      <c r="B238" s="370" t="n">
        <v>232</v>
      </c>
      <c r="C238" s="370" t="inlineStr">
        <is>
          <t>2013Q</t>
        </is>
      </c>
      <c r="D238" s="370" t="inlineStr">
        <is>
          <t xml:space="preserve">05221-15-013-000 </t>
        </is>
      </c>
      <c r="E238" s="369" t="inlineStr">
        <is>
          <t>Actual</t>
        </is>
      </c>
      <c r="F238" s="370" t="inlineStr">
        <is>
          <t>666   BUCHTEL              BV</t>
        </is>
      </c>
      <c r="G238" s="370" t="n">
        <v>44.2</v>
      </c>
      <c r="H238" s="370" t="n">
        <v>9509</v>
      </c>
      <c r="I238" s="369" t="n">
        <v>0</v>
      </c>
      <c r="J238" s="674" t="n">
        <v>8845</v>
      </c>
      <c r="K238" s="675" t="n">
        <v>5.8840022611645</v>
      </c>
      <c r="L238" s="385" t="n">
        <v>0</v>
      </c>
      <c r="M238" s="374" t="n">
        <v>0</v>
      </c>
      <c r="N238" s="370" t="n">
        <v>1957</v>
      </c>
      <c r="O238" s="370" t="n">
        <v>576</v>
      </c>
      <c r="P238" s="370" t="n">
        <v>0</v>
      </c>
      <c r="Q238" s="370" t="n">
        <v>20</v>
      </c>
      <c r="R238" s="370" t="n">
        <v>3</v>
      </c>
      <c r="S238" s="370" t="n">
        <v>1</v>
      </c>
      <c r="T238" s="369" t="inlineStr">
        <is>
          <t xml:space="preserve">U-MS-5      </t>
        </is>
      </c>
      <c r="U238" s="370" t="n">
        <v>398</v>
      </c>
      <c r="V238" s="674" t="n">
        <v>14300</v>
      </c>
      <c r="W238" s="674" t="n">
        <v>14000</v>
      </c>
      <c r="X238" s="676" t="inlineStr">
        <is>
          <t>1.6:1</t>
        </is>
      </c>
      <c r="Y238" s="674" t="n">
        <v>9000</v>
      </c>
      <c r="Z238" s="369" t="inlineStr">
        <is>
          <t xml:space="preserve">C </t>
        </is>
      </c>
      <c r="AA238" s="370" t="n"/>
      <c r="AB238" s="370" t="n"/>
      <c r="AC238" s="370" t="n"/>
      <c r="AD238" s="370" t="inlineStr">
        <is>
          <t>ARTISANS STAIN GLASS</t>
        </is>
      </c>
      <c r="AE238" s="370" t="n"/>
      <c r="AF238" s="370" t="n"/>
      <c r="AG238" s="370" t="n"/>
      <c r="AH238" s="370" t="n"/>
      <c r="AI238" s="370" t="n"/>
      <c r="AK238" s="370" t="inlineStr">
        <is>
          <t xml:space="preserve">2010 LEASE.                                                       </t>
        </is>
      </c>
      <c r="AL238" s="370" t="n"/>
      <c r="AM238" s="370" t="n"/>
      <c r="AN238" s="370" t="n"/>
      <c r="AO238" s="370" t="n"/>
      <c r="AP238" s="370" t="n"/>
      <c r="AQ238" s="370" t="n"/>
    </row>
    <row r="239">
      <c r="A239" s="383" t="n">
        <v>6</v>
      </c>
      <c r="B239" s="370" t="n">
        <v>233</v>
      </c>
      <c r="C239" s="370" t="inlineStr">
        <is>
          <t>2013Q</t>
        </is>
      </c>
      <c r="D239" s="370" t="inlineStr">
        <is>
          <t xml:space="preserve">05222-05-001-000 </t>
        </is>
      </c>
      <c r="E239" s="369" t="inlineStr">
        <is>
          <t>Actual</t>
        </is>
      </c>
      <c r="F239" s="370" t="inlineStr">
        <is>
          <t>1395 S ACOMA                ST</t>
        </is>
      </c>
      <c r="G239" s="370" t="n">
        <v>44.1</v>
      </c>
      <c r="H239" s="370" t="n">
        <v>9506</v>
      </c>
      <c r="I239" s="369" t="n">
        <v>0</v>
      </c>
      <c r="J239" s="674" t="n">
        <v>10932</v>
      </c>
      <c r="K239" s="675" t="n">
        <v>6.860592755214051</v>
      </c>
      <c r="L239" s="385" t="n">
        <v>0</v>
      </c>
      <c r="M239" s="374" t="n">
        <v>0.08599999999999999</v>
      </c>
      <c r="N239" s="370" t="n">
        <v>1963</v>
      </c>
      <c r="O239" s="370" t="n">
        <v>1262</v>
      </c>
      <c r="P239" s="370" t="n">
        <v>0</v>
      </c>
      <c r="Q239" s="370" t="n">
        <v>12</v>
      </c>
      <c r="R239" s="370" t="n">
        <v>3</v>
      </c>
      <c r="S239" s="370" t="n">
        <v>1</v>
      </c>
      <c r="T239" s="369" t="inlineStr">
        <is>
          <t xml:space="preserve">I-A         </t>
        </is>
      </c>
      <c r="U239" s="370" t="n">
        <v>398</v>
      </c>
      <c r="V239" s="674" t="n">
        <v>12229</v>
      </c>
      <c r="W239" s="674" t="n">
        <v>12000</v>
      </c>
      <c r="X239" s="676" t="inlineStr">
        <is>
          <t>1.1:1</t>
        </is>
      </c>
      <c r="Y239" s="674" t="n">
        <v>11000</v>
      </c>
      <c r="Z239" s="369" t="inlineStr">
        <is>
          <t xml:space="preserve">B </t>
        </is>
      </c>
      <c r="AA239" s="370" t="n"/>
      <c r="AB239" s="370" t="n"/>
      <c r="AC239" s="370" t="n"/>
      <c r="AD239" s="370" t="inlineStr">
        <is>
          <t>DRS. ORDERS MEDMARIJ</t>
        </is>
      </c>
      <c r="AE239" s="370" t="n"/>
      <c r="AF239" s="370" t="n"/>
      <c r="AG239" s="370" t="n"/>
      <c r="AH239" s="370" t="n"/>
      <c r="AI239" s="370" t="n"/>
      <c r="AK239" s="370" t="inlineStr">
        <is>
          <t xml:space="preserve">2010 LEASE.                                                       </t>
        </is>
      </c>
      <c r="AL239" s="370" t="n"/>
      <c r="AM239" s="370" t="n"/>
      <c r="AN239" s="370" t="n"/>
      <c r="AO239" s="370" t="n"/>
      <c r="AP239" s="370" t="n"/>
      <c r="AQ239" s="370" t="n"/>
    </row>
    <row r="240">
      <c r="A240" s="383" t="n">
        <v>6</v>
      </c>
      <c r="B240" s="370" t="n">
        <v>234</v>
      </c>
      <c r="C240" s="370" t="inlineStr">
        <is>
          <t>2013Q</t>
        </is>
      </c>
      <c r="D240" s="370" t="inlineStr">
        <is>
          <t xml:space="preserve">05222-07-005-000 </t>
        </is>
      </c>
      <c r="E240" s="369" t="inlineStr">
        <is>
          <t>Actual</t>
        </is>
      </c>
      <c r="F240" s="370" t="inlineStr">
        <is>
          <t>1432 S ACOMA                ST</t>
        </is>
      </c>
      <c r="G240" s="370" t="n">
        <v>44.2</v>
      </c>
      <c r="H240" s="370" t="n">
        <v>9506</v>
      </c>
      <c r="I240" s="369" t="n">
        <v>0</v>
      </c>
      <c r="J240" s="674" t="n">
        <v>4313</v>
      </c>
      <c r="K240" s="675" t="n">
        <v>9.645258520751216</v>
      </c>
      <c r="L240" s="385" t="n">
        <v>0</v>
      </c>
      <c r="M240" s="374" t="n">
        <v>0.04389423076923077</v>
      </c>
      <c r="N240" s="370" t="n">
        <v>2002</v>
      </c>
      <c r="O240" s="370" t="n">
        <v>0</v>
      </c>
      <c r="P240" s="370" t="n">
        <v>0</v>
      </c>
      <c r="Q240" s="370" t="n">
        <v>24</v>
      </c>
      <c r="R240" s="370" t="n">
        <v>3</v>
      </c>
      <c r="S240" s="370" t="n">
        <v>1</v>
      </c>
      <c r="T240" s="369" t="inlineStr">
        <is>
          <t xml:space="preserve">I-A         </t>
        </is>
      </c>
      <c r="U240" s="370" t="n">
        <v>398</v>
      </c>
      <c r="V240" s="674" t="n">
        <v>6250</v>
      </c>
      <c r="W240" s="674" t="n">
        <v>6000</v>
      </c>
      <c r="X240" s="676" t="inlineStr">
        <is>
          <t>1.4:1</t>
        </is>
      </c>
      <c r="Y240" s="674" t="n">
        <v>4000</v>
      </c>
      <c r="Z240" s="369" t="inlineStr">
        <is>
          <t xml:space="preserve">C </t>
        </is>
      </c>
      <c r="AA240" s="370" t="n"/>
      <c r="AB240" s="370" t="n"/>
      <c r="AC240" s="370" t="n"/>
      <c r="AD240" s="370" t="inlineStr">
        <is>
          <t xml:space="preserve">TRUE PUMP &amp; EQUPMNT </t>
        </is>
      </c>
      <c r="AE240" s="370" t="n"/>
      <c r="AF240" s="370" t="n"/>
      <c r="AG240" s="370" t="n"/>
      <c r="AH240" s="370" t="n"/>
      <c r="AI240" s="370" t="n"/>
      <c r="AK240" s="370" t="inlineStr">
        <is>
          <t xml:space="preserve">2009 LEASES.                                                      </t>
        </is>
      </c>
      <c r="AL240" s="370" t="n"/>
      <c r="AM240" s="370" t="n"/>
      <c r="AN240" s="370" t="n"/>
      <c r="AO240" s="370" t="n"/>
      <c r="AP240" s="370" t="n"/>
      <c r="AQ240" s="370" t="n"/>
    </row>
    <row r="241">
      <c r="A241" s="383" t="n">
        <v>6</v>
      </c>
      <c r="B241" s="370" t="n">
        <v>235</v>
      </c>
      <c r="C241" s="370" t="inlineStr">
        <is>
          <t>2013Q</t>
        </is>
      </c>
      <c r="D241" s="370" t="inlineStr">
        <is>
          <t xml:space="preserve">05222-07-018-000 </t>
        </is>
      </c>
      <c r="E241" s="369" t="inlineStr">
        <is>
          <t>Actual</t>
        </is>
      </c>
      <c r="F241" s="370" t="inlineStr">
        <is>
          <t>1429 S BROADWAY             ST</t>
        </is>
      </c>
      <c r="G241" s="370" t="n">
        <v>44.1</v>
      </c>
      <c r="H241" s="370" t="n">
        <v>9506</v>
      </c>
      <c r="I241" s="369" t="n">
        <v>2</v>
      </c>
      <c r="J241" s="674" t="n">
        <v>1912</v>
      </c>
      <c r="K241" s="675" t="n">
        <v>10.72175732217573</v>
      </c>
      <c r="L241" s="385" t="n">
        <v>0</v>
      </c>
      <c r="M241" s="374" t="n">
        <v>0.05897560975609756</v>
      </c>
      <c r="N241" s="370" t="n">
        <v>1912</v>
      </c>
      <c r="O241" s="370" t="n">
        <v>1006</v>
      </c>
      <c r="P241" s="370" t="n">
        <v>0</v>
      </c>
      <c r="Q241" s="370" t="n">
        <v>15</v>
      </c>
      <c r="R241" s="370" t="n">
        <v>1</v>
      </c>
      <c r="S241" s="370" t="n">
        <v>1</v>
      </c>
      <c r="T241" s="369" t="inlineStr">
        <is>
          <t xml:space="preserve">U-MS-3      </t>
        </is>
      </c>
      <c r="U241" s="370" t="n">
        <v>398</v>
      </c>
      <c r="V241" s="674" t="n">
        <v>6250</v>
      </c>
      <c r="W241" s="674" t="n">
        <v>6000</v>
      </c>
      <c r="X241" s="676" t="inlineStr">
        <is>
          <t>3.3:1</t>
        </is>
      </c>
      <c r="Y241" s="674" t="n">
        <v>2000</v>
      </c>
      <c r="Z241" s="369" t="inlineStr">
        <is>
          <t xml:space="preserve">C </t>
        </is>
      </c>
      <c r="AA241" s="370" t="n"/>
      <c r="AB241" s="370" t="n"/>
      <c r="AC241" s="370" t="n"/>
      <c r="AD241" s="370" t="inlineStr">
        <is>
          <t xml:space="preserve">TRUE PUMP EQUIPT    </t>
        </is>
      </c>
      <c r="AE241" s="370" t="n"/>
      <c r="AF241" s="370" t="n"/>
      <c r="AG241" s="370" t="n"/>
      <c r="AH241" s="370" t="n"/>
      <c r="AI241" s="370" t="n"/>
      <c r="AK241" s="370" t="inlineStr">
        <is>
          <t xml:space="preserve">2009 LEASE.                                                       </t>
        </is>
      </c>
      <c r="AL241" s="370" t="n"/>
      <c r="AM241" s="370" t="n"/>
      <c r="AN241" s="370" t="n"/>
      <c r="AO241" s="370" t="n"/>
      <c r="AP241" s="370" t="n"/>
      <c r="AQ241" s="370" t="n"/>
    </row>
    <row r="242">
      <c r="A242" s="383" t="n">
        <v>6</v>
      </c>
      <c r="B242" s="370" t="n">
        <v>236</v>
      </c>
      <c r="C242" s="370" t="inlineStr">
        <is>
          <t>2013Q</t>
        </is>
      </c>
      <c r="D242" s="370" t="inlineStr">
        <is>
          <t xml:space="preserve">05222-07-049-000 </t>
        </is>
      </c>
      <c r="E242" s="369" t="inlineStr">
        <is>
          <t>Actual</t>
        </is>
      </c>
      <c r="F242" s="370" t="inlineStr">
        <is>
          <t>1440 S ACOMA                ST</t>
        </is>
      </c>
      <c r="G242" s="370" t="n">
        <v>44.1</v>
      </c>
      <c r="H242" s="370" t="n">
        <v>9506</v>
      </c>
      <c r="I242" s="369" t="n">
        <v>0</v>
      </c>
      <c r="J242" s="674" t="n">
        <v>5632</v>
      </c>
      <c r="K242" s="675" t="n">
        <v>5.113636363636363</v>
      </c>
      <c r="L242" s="385" t="n">
        <v>1</v>
      </c>
      <c r="M242" s="374" t="n">
        <v>0</v>
      </c>
      <c r="N242" s="370" t="n">
        <v>1989</v>
      </c>
      <c r="O242" s="370" t="n">
        <v>0</v>
      </c>
      <c r="P242" s="370" t="n">
        <v>0</v>
      </c>
      <c r="Q242" s="370" t="n">
        <v>20</v>
      </c>
      <c r="R242" s="370" t="n">
        <v>3</v>
      </c>
      <c r="S242" s="370" t="n">
        <v>1</v>
      </c>
      <c r="T242" s="369" t="inlineStr">
        <is>
          <t xml:space="preserve">I-A         </t>
        </is>
      </c>
      <c r="U242" s="370" t="n">
        <v>398</v>
      </c>
      <c r="V242" s="674" t="n">
        <v>9375</v>
      </c>
      <c r="W242" s="674" t="n">
        <v>9000</v>
      </c>
      <c r="X242" s="676" t="inlineStr">
        <is>
          <t>1.7:1</t>
        </is>
      </c>
      <c r="Y242" s="674" t="n">
        <v>6000</v>
      </c>
      <c r="Z242" s="369" t="inlineStr">
        <is>
          <t xml:space="preserve">C </t>
        </is>
      </c>
      <c r="AA242" s="370" t="n"/>
      <c r="AB242" s="370" t="n"/>
      <c r="AC242" s="370" t="n"/>
      <c r="AD242" s="370" t="inlineStr">
        <is>
          <t>                    </t>
        </is>
      </c>
      <c r="AE242" s="370" t="n"/>
      <c r="AF242" s="370" t="n"/>
      <c r="AG242" s="370" t="n"/>
      <c r="AH242" s="370" t="n"/>
      <c r="AI242" s="370" t="n"/>
      <c r="AK242" s="370" t="inlineStr">
        <is>
          <t>                                                                  </t>
        </is>
      </c>
      <c r="AL242" s="370" t="n"/>
      <c r="AM242" s="370" t="n"/>
      <c r="AN242" s="370" t="n"/>
      <c r="AO242" s="370" t="n"/>
      <c r="AP242" s="370" t="n"/>
      <c r="AQ242" s="370" t="n"/>
    </row>
    <row r="243">
      <c r="A243" s="383" t="n">
        <v>6</v>
      </c>
      <c r="B243" s="370" t="n">
        <v>237</v>
      </c>
      <c r="C243" s="370" t="inlineStr">
        <is>
          <t>2013Q</t>
        </is>
      </c>
      <c r="D243" s="370" t="inlineStr">
        <is>
          <t xml:space="preserve">05223-00-022-000 </t>
        </is>
      </c>
      <c r="E243" s="369" t="inlineStr">
        <is>
          <t>Actual</t>
        </is>
      </c>
      <c r="F243" s="370" t="inlineStr">
        <is>
          <t>1385 S CHEROKEE             ST</t>
        </is>
      </c>
      <c r="G243" s="370" t="n">
        <v>44.1</v>
      </c>
      <c r="H243" s="370" t="n">
        <v>9506</v>
      </c>
      <c r="I243" s="369" t="n">
        <v>0</v>
      </c>
      <c r="J243" s="674" t="n">
        <v>10654</v>
      </c>
      <c r="K243" s="675" t="n">
        <v>7.321193917777361</v>
      </c>
      <c r="L243" s="385" t="n">
        <v>0</v>
      </c>
      <c r="M243" s="374" t="n">
        <v>0.0417948717948718</v>
      </c>
      <c r="N243" s="370" t="n">
        <v>1956</v>
      </c>
      <c r="O243" s="370" t="n">
        <v>2340</v>
      </c>
      <c r="P243" s="370" t="n">
        <v>0</v>
      </c>
      <c r="Q243" s="370" t="n">
        <v>16</v>
      </c>
      <c r="R243" s="370" t="n">
        <v>3</v>
      </c>
      <c r="S243" s="370" t="n">
        <v>1</v>
      </c>
      <c r="T243" s="369" t="inlineStr">
        <is>
          <t xml:space="preserve">I-B         </t>
        </is>
      </c>
      <c r="U243" s="370" t="n">
        <v>398</v>
      </c>
      <c r="V243" s="674" t="n">
        <v>14600</v>
      </c>
      <c r="W243" s="674" t="n">
        <v>15000</v>
      </c>
      <c r="X243" s="676" t="inlineStr">
        <is>
          <t>1.4:1</t>
        </is>
      </c>
      <c r="Y243" s="674" t="n">
        <v>11000</v>
      </c>
      <c r="Z243" s="369" t="inlineStr">
        <is>
          <t xml:space="preserve">C </t>
        </is>
      </c>
      <c r="AA243" s="370" t="n"/>
      <c r="AB243" s="370" t="n"/>
      <c r="AC243" s="370" t="n"/>
      <c r="AD243" s="370" t="inlineStr">
        <is>
          <t>                    </t>
        </is>
      </c>
      <c r="AE243" s="370" t="n"/>
      <c r="AF243" s="370" t="n"/>
      <c r="AG243" s="370" t="n"/>
      <c r="AH243" s="370" t="n"/>
      <c r="AI243" s="370" t="n"/>
      <c r="AK243" s="370" t="inlineStr">
        <is>
          <t xml:space="preserve">DATE OF LEASE COMMENCEMENT UNKNOWN.                               </t>
        </is>
      </c>
      <c r="AL243" s="370" t="n"/>
      <c r="AM243" s="370" t="n"/>
      <c r="AN243" s="370" t="n"/>
      <c r="AO243" s="370" t="n"/>
      <c r="AP243" s="370" t="n"/>
      <c r="AQ243" s="370" t="n"/>
    </row>
    <row r="244">
      <c r="A244" s="383" t="n">
        <v>6</v>
      </c>
      <c r="B244" s="370" t="n">
        <v>238</v>
      </c>
      <c r="C244" s="370" t="inlineStr">
        <is>
          <t>2013Q</t>
        </is>
      </c>
      <c r="D244" s="370" t="inlineStr">
        <is>
          <t xml:space="preserve">05223-03-016-000 </t>
        </is>
      </c>
      <c r="E244" s="369" t="inlineStr">
        <is>
          <t>Actual</t>
        </is>
      </c>
      <c r="F244" s="370" t="inlineStr">
        <is>
          <t>1175 S CHEROKEE             ST</t>
        </is>
      </c>
      <c r="G244" s="370" t="n">
        <v>44.1</v>
      </c>
      <c r="H244" s="370" t="n">
        <v>9506</v>
      </c>
      <c r="I244" s="369" t="n">
        <v>0</v>
      </c>
      <c r="J244" s="674" t="n">
        <v>5336</v>
      </c>
      <c r="K244" s="675" t="n">
        <v>8.571428571428571</v>
      </c>
      <c r="L244" s="385" t="n">
        <v>0</v>
      </c>
      <c r="M244" s="374" t="n">
        <v>0</v>
      </c>
      <c r="N244" s="370" t="n">
        <v>1969</v>
      </c>
      <c r="O244" s="370" t="n">
        <v>752</v>
      </c>
      <c r="P244" s="370" t="n">
        <v>0</v>
      </c>
      <c r="Q244" s="370" t="n">
        <v>13</v>
      </c>
      <c r="R244" s="370" t="n">
        <v>3</v>
      </c>
      <c r="S244" s="370" t="n">
        <v>1</v>
      </c>
      <c r="T244" s="369" t="inlineStr">
        <is>
          <t xml:space="preserve">I-A         </t>
        </is>
      </c>
      <c r="U244" s="370" t="n">
        <v>398</v>
      </c>
      <c r="V244" s="674" t="n">
        <v>12500</v>
      </c>
      <c r="W244" s="674" t="n">
        <v>13000</v>
      </c>
      <c r="X244" s="676" t="inlineStr">
        <is>
          <t>2.3:1</t>
        </is>
      </c>
      <c r="Y244" s="674" t="n">
        <v>5000</v>
      </c>
      <c r="Z244" s="369" t="inlineStr">
        <is>
          <t xml:space="preserve">C </t>
        </is>
      </c>
      <c r="AA244" s="370" t="n"/>
      <c r="AB244" s="370" t="n"/>
      <c r="AC244" s="370" t="n"/>
      <c r="AD244" s="370" t="inlineStr">
        <is>
          <t>                    </t>
        </is>
      </c>
      <c r="AE244" s="370" t="n"/>
      <c r="AF244" s="370" t="n"/>
      <c r="AG244" s="370" t="n"/>
      <c r="AH244" s="370" t="n"/>
      <c r="AI244" s="370" t="n"/>
      <c r="AK244" s="370" t="inlineStr">
        <is>
          <t xml:space="preserve">NO BASIS TO ALLOC. EXP. BETWEEN OWNER &amp; TENANT OCCUPIED SPACES.   </t>
        </is>
      </c>
      <c r="AL244" s="370" t="n"/>
      <c r="AM244" s="370" t="n"/>
      <c r="AN244" s="370" t="n"/>
      <c r="AO244" s="370" t="n"/>
      <c r="AP244" s="370" t="n"/>
      <c r="AQ244" s="370" t="n"/>
    </row>
    <row r="245">
      <c r="A245" s="383" t="n">
        <v>6</v>
      </c>
      <c r="B245" s="370" t="n">
        <v>239</v>
      </c>
      <c r="C245" s="370" t="inlineStr">
        <is>
          <t>2013Q</t>
        </is>
      </c>
      <c r="D245" s="370" t="inlineStr">
        <is>
          <t xml:space="preserve">05223-05-013-000 </t>
        </is>
      </c>
      <c r="E245" s="369" t="inlineStr">
        <is>
          <t>Actual</t>
        </is>
      </c>
      <c r="F245" s="370" t="inlineStr">
        <is>
          <t>1253 S CHEROKEE             ST</t>
        </is>
      </c>
      <c r="G245" s="370" t="n">
        <v>44.2</v>
      </c>
      <c r="H245" s="370" t="n">
        <v>9506</v>
      </c>
      <c r="I245" s="369" t="n">
        <v>0</v>
      </c>
      <c r="J245" s="674" t="n">
        <v>18642</v>
      </c>
      <c r="K245" s="675" t="n">
        <v>5.845703125</v>
      </c>
      <c r="L245" s="385" t="n">
        <v>0.14</v>
      </c>
      <c r="M245" s="374" t="n">
        <v>0</v>
      </c>
      <c r="N245" s="370" t="n">
        <v>1943</v>
      </c>
      <c r="O245" s="370" t="n">
        <v>5907</v>
      </c>
      <c r="P245" s="370" t="n">
        <v>0</v>
      </c>
      <c r="Q245" s="370" t="n">
        <v>12</v>
      </c>
      <c r="R245" s="370" t="n">
        <v>1</v>
      </c>
      <c r="S245" s="370" t="n">
        <v>4</v>
      </c>
      <c r="T245" s="369" t="inlineStr">
        <is>
          <t xml:space="preserve">I-B         </t>
        </is>
      </c>
      <c r="U245" s="370" t="n">
        <v>398</v>
      </c>
      <c r="V245" s="674" t="n">
        <v>35250</v>
      </c>
      <c r="W245" s="674" t="n">
        <v>35000</v>
      </c>
      <c r="X245" s="676" t="inlineStr">
        <is>
          <t>1.9:1</t>
        </is>
      </c>
      <c r="Y245" s="674" t="n">
        <v>19000</v>
      </c>
      <c r="Z245" s="369" t="inlineStr">
        <is>
          <t xml:space="preserve">C </t>
        </is>
      </c>
      <c r="AA245" s="370" t="n"/>
      <c r="AB245" s="370" t="n"/>
      <c r="AC245" s="370" t="n"/>
      <c r="AD245" s="370" t="inlineStr">
        <is>
          <t xml:space="preserve">M-W                 </t>
        </is>
      </c>
      <c r="AE245" s="370" t="n"/>
      <c r="AF245" s="370" t="n"/>
      <c r="AG245" s="370" t="n"/>
      <c r="AH245" s="370" t="n"/>
      <c r="AI245" s="370" t="n"/>
      <c r="AK245" s="370" t="inlineStr">
        <is>
          <t xml:space="preserve">NO BASIS TO ALLOC. EXP. BETWEEN TENANT &amp; OWNER OCCUPIED SPACE.    </t>
        </is>
      </c>
      <c r="AL245" s="370" t="n"/>
      <c r="AM245" s="370" t="n"/>
      <c r="AN245" s="370" t="n"/>
      <c r="AO245" s="370" t="n"/>
      <c r="AP245" s="370" t="n"/>
      <c r="AQ245" s="370" t="n"/>
    </row>
    <row r="246">
      <c r="A246" s="383" t="n">
        <v>6</v>
      </c>
      <c r="B246" s="370" t="n">
        <v>240</v>
      </c>
      <c r="C246" s="370" t="inlineStr">
        <is>
          <t>2013Q</t>
        </is>
      </c>
      <c r="D246" s="370" t="inlineStr">
        <is>
          <t xml:space="preserve">05223-05-022-000 </t>
        </is>
      </c>
      <c r="E246" s="369" t="inlineStr">
        <is>
          <t>Actual</t>
        </is>
      </c>
      <c r="F246" s="370" t="inlineStr">
        <is>
          <t>1221 S CHEROKEE             ST</t>
        </is>
      </c>
      <c r="G246" s="370" t="n">
        <v>44.1</v>
      </c>
      <c r="H246" s="370" t="n">
        <v>9506</v>
      </c>
      <c r="I246" s="369" t="n">
        <v>0</v>
      </c>
      <c r="J246" s="674" t="n">
        <v>4236</v>
      </c>
      <c r="K246" s="675" t="n">
        <v>11.40084985835694</v>
      </c>
      <c r="L246" s="385" t="n">
        <v>0</v>
      </c>
      <c r="M246" s="374" t="n">
        <v>0.05590756615728662</v>
      </c>
      <c r="N246" s="370" t="n">
        <v>1985</v>
      </c>
      <c r="O246" s="370" t="n">
        <v>0</v>
      </c>
      <c r="P246" s="370" t="n">
        <v>0</v>
      </c>
      <c r="Q246" s="370" t="n">
        <v>15</v>
      </c>
      <c r="R246" s="370" t="n">
        <v>7</v>
      </c>
      <c r="S246" s="370" t="n">
        <v>1</v>
      </c>
      <c r="T246" s="369" t="inlineStr">
        <is>
          <t xml:space="preserve">I-A         </t>
        </is>
      </c>
      <c r="U246" s="370" t="n">
        <v>398</v>
      </c>
      <c r="V246" s="674" t="n">
        <v>22750</v>
      </c>
      <c r="W246" s="674" t="n">
        <v>23000</v>
      </c>
      <c r="X246" s="676" t="inlineStr">
        <is>
          <t>5.4:1</t>
        </is>
      </c>
      <c r="Y246" s="674" t="n">
        <v>4000</v>
      </c>
      <c r="Z246" s="369" t="inlineStr">
        <is>
          <t xml:space="preserve">C </t>
        </is>
      </c>
      <c r="AA246" s="370" t="n"/>
      <c r="AB246" s="370" t="n"/>
      <c r="AC246" s="370" t="n"/>
      <c r="AD246" s="370" t="inlineStr">
        <is>
          <t xml:space="preserve">S-W                 </t>
        </is>
      </c>
      <c r="AE246" s="370" t="n"/>
      <c r="AF246" s="370" t="n"/>
      <c r="AG246" s="370" t="n"/>
      <c r="AH246" s="370" t="n"/>
      <c r="AI246" s="370" t="n"/>
      <c r="AK246" s="370" t="inlineStr">
        <is>
          <t xml:space="preserve">2009 LEASE.                                                       </t>
        </is>
      </c>
      <c r="AL246" s="370" t="n"/>
      <c r="AM246" s="370" t="n"/>
      <c r="AN246" s="370" t="n"/>
      <c r="AO246" s="370" t="n"/>
      <c r="AP246" s="370" t="n"/>
      <c r="AQ246" s="370" t="n"/>
    </row>
    <row r="247">
      <c r="A247" s="383" t="n">
        <v>6</v>
      </c>
      <c r="B247" s="370" t="n">
        <v>241</v>
      </c>
      <c r="C247" s="370" t="inlineStr">
        <is>
          <t>2013Q</t>
        </is>
      </c>
      <c r="D247" s="370" t="inlineStr">
        <is>
          <t xml:space="preserve">05223-06-007-000 </t>
        </is>
      </c>
      <c r="E247" s="369" t="inlineStr">
        <is>
          <t>Actual</t>
        </is>
      </c>
      <c r="F247" s="370" t="inlineStr">
        <is>
          <t>1257 S BANNOCK              ST</t>
        </is>
      </c>
      <c r="G247" s="370" t="n">
        <v>44.2</v>
      </c>
      <c r="H247" s="370" t="n">
        <v>9506</v>
      </c>
      <c r="I247" s="369" t="n">
        <v>0</v>
      </c>
      <c r="J247" s="674" t="n">
        <v>2156</v>
      </c>
      <c r="K247" s="675" t="n">
        <v>10.01855287569573</v>
      </c>
      <c r="L247" s="385" t="n">
        <v>0</v>
      </c>
      <c r="M247" s="374" t="n">
        <v>0.08328703703703703</v>
      </c>
      <c r="N247" s="370" t="n">
        <v>1957</v>
      </c>
      <c r="O247" s="370" t="n">
        <v>0</v>
      </c>
      <c r="P247" s="370" t="n">
        <v>0</v>
      </c>
      <c r="Q247" s="370" t="n">
        <v>12</v>
      </c>
      <c r="R247" s="370" t="n">
        <v>3</v>
      </c>
      <c r="S247" s="370" t="n">
        <v>1</v>
      </c>
      <c r="T247" s="369" t="inlineStr">
        <is>
          <t xml:space="preserve">I-A         </t>
        </is>
      </c>
      <c r="U247" s="370" t="n">
        <v>398</v>
      </c>
      <c r="V247" s="674" t="n">
        <v>9370</v>
      </c>
      <c r="W247" s="674" t="n">
        <v>9000</v>
      </c>
      <c r="X247" s="676" t="inlineStr">
        <is>
          <t>4.3:1</t>
        </is>
      </c>
      <c r="Y247" s="674" t="n">
        <v>2000</v>
      </c>
      <c r="Z247" s="369" t="inlineStr">
        <is>
          <t xml:space="preserve">C </t>
        </is>
      </c>
      <c r="AA247" s="370" t="n"/>
      <c r="AB247" s="370" t="n"/>
      <c r="AC247" s="370" t="n"/>
      <c r="AD247" s="370" t="inlineStr">
        <is>
          <t>                    </t>
        </is>
      </c>
      <c r="AE247" s="370" t="n"/>
      <c r="AF247" s="370" t="n"/>
      <c r="AG247" s="370" t="n"/>
      <c r="AH247" s="370" t="n"/>
      <c r="AI247" s="370" t="n"/>
      <c r="AK247" s="370" t="inlineStr">
        <is>
          <t>                                                                  </t>
        </is>
      </c>
      <c r="AL247" s="370" t="n"/>
      <c r="AM247" s="370" t="n"/>
      <c r="AN247" s="370" t="n"/>
      <c r="AO247" s="370" t="n"/>
      <c r="AP247" s="370" t="n"/>
      <c r="AQ247" s="370" t="n"/>
    </row>
    <row r="248">
      <c r="A248" s="383" t="n">
        <v>6</v>
      </c>
      <c r="B248" s="370" t="n">
        <v>242</v>
      </c>
      <c r="C248" s="370" t="inlineStr">
        <is>
          <t>2013Q</t>
        </is>
      </c>
      <c r="D248" s="370" t="inlineStr">
        <is>
          <t xml:space="preserve">05223-07-013-000 </t>
        </is>
      </c>
      <c r="E248" s="369" t="inlineStr">
        <is>
          <t>Actual</t>
        </is>
      </c>
      <c r="F248" s="370" t="inlineStr">
        <is>
          <t>1290 S BANNOCK              ST</t>
        </is>
      </c>
      <c r="G248" s="370" t="n">
        <v>47.2</v>
      </c>
      <c r="H248" s="370" t="n">
        <v>9506</v>
      </c>
      <c r="I248" s="369" t="n">
        <v>0</v>
      </c>
      <c r="J248" s="674" t="n">
        <v>6628</v>
      </c>
      <c r="K248" s="675" t="n">
        <v>7.24200362100181</v>
      </c>
      <c r="L248" s="385" t="n">
        <v>0</v>
      </c>
      <c r="M248" s="374" t="n">
        <v>0.09166666666666666</v>
      </c>
      <c r="N248" s="370" t="n">
        <v>1965</v>
      </c>
      <c r="O248" s="370" t="n">
        <v>2608</v>
      </c>
      <c r="P248" s="370" t="n">
        <v>0</v>
      </c>
      <c r="Q248" s="370" t="n">
        <v>14</v>
      </c>
      <c r="R248" s="370" t="n">
        <v>1</v>
      </c>
      <c r="S248" s="370" t="n">
        <v>3</v>
      </c>
      <c r="T248" s="369" t="inlineStr">
        <is>
          <t xml:space="preserve">I-A         </t>
        </is>
      </c>
      <c r="U248" s="370" t="n">
        <v>401</v>
      </c>
      <c r="V248" s="674" t="n">
        <v>10000</v>
      </c>
      <c r="W248" s="674" t="n">
        <v>10000</v>
      </c>
      <c r="X248" s="676" t="inlineStr">
        <is>
          <t>1.5:1</t>
        </is>
      </c>
      <c r="Y248" s="674" t="n">
        <v>7000</v>
      </c>
      <c r="Z248" s="369" t="inlineStr">
        <is>
          <t xml:space="preserve">C </t>
        </is>
      </c>
      <c r="AA248" s="370" t="n"/>
      <c r="AB248" s="370" t="n"/>
      <c r="AC248" s="370" t="n"/>
      <c r="AD248" s="370" t="inlineStr">
        <is>
          <t xml:space="preserve">M-DISTRIBUITION     </t>
        </is>
      </c>
      <c r="AE248" s="370" t="n"/>
      <c r="AF248" s="370" t="n"/>
      <c r="AG248" s="370" t="n"/>
      <c r="AH248" s="370" t="n"/>
      <c r="AI248" s="370" t="n"/>
      <c r="AK248" s="370" t="inlineStr">
        <is>
          <t xml:space="preserve">2010 LEASE.                                                       </t>
        </is>
      </c>
      <c r="AL248" s="370" t="n"/>
      <c r="AM248" s="370" t="n"/>
      <c r="AN248" s="370" t="n"/>
      <c r="AO248" s="370" t="n"/>
      <c r="AP248" s="370" t="n"/>
      <c r="AQ248" s="370" t="n"/>
    </row>
    <row r="249">
      <c r="A249" s="383" t="n">
        <v>6</v>
      </c>
      <c r="B249" s="370" t="n">
        <v>243</v>
      </c>
      <c r="C249" s="370" t="inlineStr">
        <is>
          <t>2013Q</t>
        </is>
      </c>
      <c r="D249" s="370" t="inlineStr">
        <is>
          <t xml:space="preserve">05223-09-001-000 </t>
        </is>
      </c>
      <c r="E249" s="369" t="inlineStr">
        <is>
          <t>Actual</t>
        </is>
      </c>
      <c r="F249" s="370" t="inlineStr">
        <is>
          <t>1410 S SANTA FE             DR</t>
        </is>
      </c>
      <c r="G249" s="370" t="n">
        <v>44.1</v>
      </c>
      <c r="H249" s="370" t="n">
        <v>9506</v>
      </c>
      <c r="I249" s="369" t="n">
        <v>3</v>
      </c>
      <c r="J249" s="674" t="n">
        <v>38802</v>
      </c>
      <c r="K249" s="675" t="n">
        <v>3.92</v>
      </c>
      <c r="L249" s="385" t="n">
        <v>0</v>
      </c>
      <c r="M249" s="374" t="n">
        <v>0</v>
      </c>
      <c r="N249" s="370" t="n">
        <v>1983</v>
      </c>
      <c r="O249" s="370" t="n">
        <v>7359</v>
      </c>
      <c r="P249" s="370" t="n">
        <v>0</v>
      </c>
      <c r="Q249" s="370" t="n">
        <v>20</v>
      </c>
      <c r="R249" s="370" t="n">
        <v>1</v>
      </c>
      <c r="S249" s="370" t="n">
        <v>1</v>
      </c>
      <c r="T249" s="369" t="inlineStr">
        <is>
          <t xml:space="preserve">E-CC-3      </t>
        </is>
      </c>
      <c r="U249" s="370" t="n">
        <v>398</v>
      </c>
      <c r="V249" s="674" t="n">
        <v>17600</v>
      </c>
      <c r="W249" s="674" t="n">
        <v>18000</v>
      </c>
      <c r="X249" s="676" t="inlineStr">
        <is>
          <t>0.5:1</t>
        </is>
      </c>
      <c r="Y249" s="674" t="n">
        <v>39000</v>
      </c>
      <c r="Z249" s="369" t="inlineStr">
        <is>
          <t xml:space="preserve">C </t>
        </is>
      </c>
      <c r="AA249" s="370" t="n"/>
      <c r="AB249" s="370" t="n"/>
      <c r="AC249" s="370" t="n"/>
      <c r="AD249" s="370" t="inlineStr">
        <is>
          <t xml:space="preserve">MONARCH SHOWER DOOR </t>
        </is>
      </c>
      <c r="AE249" s="370" t="n"/>
      <c r="AF249" s="370" t="n"/>
      <c r="AG249" s="370" t="n"/>
      <c r="AH249" s="370" t="n"/>
      <c r="AI249" s="370" t="n"/>
      <c r="AK249" s="370" t="inlineStr">
        <is>
          <t xml:space="preserve">2010 LEASE.                                                       </t>
        </is>
      </c>
      <c r="AL249" s="370" t="n"/>
      <c r="AM249" s="370" t="n"/>
      <c r="AN249" s="370" t="n"/>
      <c r="AO249" s="370" t="n"/>
      <c r="AP249" s="370" t="n"/>
      <c r="AQ249" s="370" t="n"/>
    </row>
    <row r="250">
      <c r="A250" s="383" t="n">
        <v>6</v>
      </c>
      <c r="B250" s="370" t="n">
        <v>244</v>
      </c>
      <c r="C250" s="370" t="inlineStr">
        <is>
          <t>2013Q</t>
        </is>
      </c>
      <c r="D250" s="370" t="inlineStr">
        <is>
          <t xml:space="preserve">05223-10-015-000 </t>
        </is>
      </c>
      <c r="E250" s="369" t="inlineStr">
        <is>
          <t>Actual</t>
        </is>
      </c>
      <c r="F250" s="370" t="inlineStr">
        <is>
          <t>1439 S BANNOCK              ST</t>
        </is>
      </c>
      <c r="G250" s="370" t="n">
        <v>44.2</v>
      </c>
      <c r="H250" s="370" t="n">
        <v>9506</v>
      </c>
      <c r="I250" s="369" t="n">
        <v>0</v>
      </c>
      <c r="J250" s="674" t="n">
        <v>5048</v>
      </c>
      <c r="K250" s="675" t="n">
        <v>2.852614896988907</v>
      </c>
      <c r="L250" s="385" t="n">
        <v>0</v>
      </c>
      <c r="M250" s="374" t="n">
        <v>0.1145833333333333</v>
      </c>
      <c r="N250" s="370" t="n">
        <v>1945</v>
      </c>
      <c r="O250" s="370" t="n">
        <v>293</v>
      </c>
      <c r="P250" s="370" t="n">
        <v>0</v>
      </c>
      <c r="Q250" s="370" t="n">
        <v>13</v>
      </c>
      <c r="R250" s="370" t="n">
        <v>3</v>
      </c>
      <c r="S250" s="370" t="n">
        <v>1</v>
      </c>
      <c r="T250" s="369" t="inlineStr">
        <is>
          <t xml:space="preserve">I-A         </t>
        </is>
      </c>
      <c r="U250" s="370" t="n">
        <v>398</v>
      </c>
      <c r="V250" s="674" t="n">
        <v>7620</v>
      </c>
      <c r="W250" s="674" t="n">
        <v>8000</v>
      </c>
      <c r="X250" s="676" t="inlineStr">
        <is>
          <t>1.5:1</t>
        </is>
      </c>
      <c r="Y250" s="674" t="n">
        <v>5000</v>
      </c>
      <c r="Z250" s="369" t="inlineStr">
        <is>
          <t xml:space="preserve">C </t>
        </is>
      </c>
      <c r="AA250" s="370" t="n"/>
      <c r="AB250" s="370" t="n"/>
      <c r="AC250" s="370" t="n"/>
      <c r="AD250" s="370" t="inlineStr">
        <is>
          <t>                    </t>
        </is>
      </c>
      <c r="AE250" s="370" t="n"/>
      <c r="AF250" s="370" t="n"/>
      <c r="AG250" s="370" t="n"/>
      <c r="AH250" s="370" t="n"/>
      <c r="AI250" s="370" t="n"/>
      <c r="AK250" s="370" t="inlineStr">
        <is>
          <t xml:space="preserve">DATE OF COMMENCEMENT UNKNOWN.                                     </t>
        </is>
      </c>
      <c r="AL250" s="370" t="n"/>
      <c r="AM250" s="370" t="n"/>
      <c r="AN250" s="370" t="n"/>
      <c r="AO250" s="370" t="n"/>
      <c r="AP250" s="370" t="n"/>
      <c r="AQ250" s="370" t="n"/>
    </row>
    <row r="251">
      <c r="A251" s="383" t="n">
        <v>6</v>
      </c>
      <c r="B251" s="370" t="n">
        <v>245</v>
      </c>
      <c r="C251" s="370" t="inlineStr">
        <is>
          <t>2013Q</t>
        </is>
      </c>
      <c r="D251" s="370" t="inlineStr">
        <is>
          <t xml:space="preserve">05223-10-022-000 </t>
        </is>
      </c>
      <c r="E251" s="369" t="inlineStr">
        <is>
          <t>Actual</t>
        </is>
      </c>
      <c r="F251" s="370" t="inlineStr">
        <is>
          <t>1332 S CHEROKEE             ST</t>
        </is>
      </c>
      <c r="G251" s="370" t="n">
        <v>44.2</v>
      </c>
      <c r="H251" s="370" t="n">
        <v>9506</v>
      </c>
      <c r="I251" s="369" t="n">
        <v>0</v>
      </c>
      <c r="J251" s="674" t="n">
        <v>3960</v>
      </c>
      <c r="K251" s="675" t="n">
        <v>12.12121212121212</v>
      </c>
      <c r="L251" s="385" t="n">
        <v>0</v>
      </c>
      <c r="M251" s="374" t="n">
        <v>0</v>
      </c>
      <c r="N251" s="370" t="n">
        <v>1969</v>
      </c>
      <c r="O251" s="370" t="n">
        <v>2288</v>
      </c>
      <c r="P251" s="370" t="n">
        <v>0</v>
      </c>
      <c r="Q251" s="370" t="n">
        <v>13</v>
      </c>
      <c r="R251" s="370" t="n">
        <v>14</v>
      </c>
      <c r="S251" s="370" t="n">
        <v>1</v>
      </c>
      <c r="T251" s="369" t="inlineStr">
        <is>
          <t xml:space="preserve">I-B         </t>
        </is>
      </c>
      <c r="U251" s="370" t="n">
        <v>398</v>
      </c>
      <c r="V251" s="674" t="n">
        <v>9834</v>
      </c>
      <c r="W251" s="674" t="n">
        <v>10000</v>
      </c>
      <c r="X251" s="676" t="inlineStr">
        <is>
          <t>2.5:1</t>
        </is>
      </c>
      <c r="Y251" s="674" t="n">
        <v>4000</v>
      </c>
      <c r="Z251" s="369" t="inlineStr">
        <is>
          <t xml:space="preserve">C </t>
        </is>
      </c>
      <c r="AA251" s="370" t="n"/>
      <c r="AB251" s="370" t="n"/>
      <c r="AC251" s="370" t="n"/>
      <c r="AD251" s="370" t="inlineStr">
        <is>
          <t xml:space="preserve">SIGNAL GRAPHICS     </t>
        </is>
      </c>
      <c r="AE251" s="370" t="n"/>
      <c r="AF251" s="370" t="n"/>
      <c r="AG251" s="370" t="n"/>
      <c r="AH251" s="370" t="n"/>
      <c r="AI251" s="370" t="n"/>
      <c r="AK251" s="370" t="inlineStr">
        <is>
          <t>                                                                  </t>
        </is>
      </c>
      <c r="AL251" s="370" t="n"/>
      <c r="AM251" s="370" t="n"/>
      <c r="AN251" s="370" t="n"/>
      <c r="AO251" s="370" t="n"/>
      <c r="AP251" s="370" t="n"/>
      <c r="AQ251" s="370" t="n"/>
    </row>
    <row r="252">
      <c r="A252" s="383" t="n">
        <v>6</v>
      </c>
      <c r="B252" s="370" t="n">
        <v>246</v>
      </c>
      <c r="C252" s="370" t="inlineStr">
        <is>
          <t>2013Q</t>
        </is>
      </c>
      <c r="D252" s="370" t="inlineStr">
        <is>
          <t xml:space="preserve">05223-10-033-000 </t>
        </is>
      </c>
      <c r="E252" s="369" t="inlineStr">
        <is>
          <t>Actual</t>
        </is>
      </c>
      <c r="F252" s="370" t="inlineStr">
        <is>
          <t>1468 S CHEROKEE             ST</t>
        </is>
      </c>
      <c r="G252" s="370" t="n">
        <v>44.2</v>
      </c>
      <c r="H252" s="370" t="n">
        <v>9506</v>
      </c>
      <c r="I252" s="369" t="n">
        <v>0</v>
      </c>
      <c r="J252" s="674" t="n">
        <v>4540</v>
      </c>
      <c r="K252" s="675" t="n">
        <v>7.929515418502203</v>
      </c>
      <c r="L252" s="385" t="n">
        <v>0</v>
      </c>
      <c r="M252" s="374" t="n">
        <v>0.07730555555555556</v>
      </c>
      <c r="N252" s="370" t="n">
        <v>1998</v>
      </c>
      <c r="O252" s="370" t="n">
        <v>657</v>
      </c>
      <c r="P252" s="370" t="n">
        <v>0</v>
      </c>
      <c r="Q252" s="370" t="n">
        <v>15</v>
      </c>
      <c r="R252" s="370" t="n">
        <v>7</v>
      </c>
      <c r="S252" s="370" t="n">
        <v>3</v>
      </c>
      <c r="T252" s="369" t="inlineStr">
        <is>
          <t xml:space="preserve">I-A         </t>
        </is>
      </c>
      <c r="U252" s="370" t="n">
        <v>398</v>
      </c>
      <c r="V252" s="674" t="n">
        <v>10950</v>
      </c>
      <c r="W252" s="674" t="n">
        <v>11000</v>
      </c>
      <c r="X252" s="676" t="inlineStr">
        <is>
          <t>2.4:1</t>
        </is>
      </c>
      <c r="Y252" s="674" t="n">
        <v>5000</v>
      </c>
      <c r="Z252" s="369" t="inlineStr">
        <is>
          <t xml:space="preserve">C </t>
        </is>
      </c>
      <c r="AA252" s="370" t="n"/>
      <c r="AB252" s="370" t="n"/>
      <c r="AC252" s="370" t="n"/>
      <c r="AD252" s="370" t="inlineStr">
        <is>
          <t xml:space="preserve">M-WHSE              </t>
        </is>
      </c>
      <c r="AE252" s="370" t="n"/>
      <c r="AF252" s="370" t="n"/>
      <c r="AG252" s="370" t="n"/>
      <c r="AH252" s="370" t="n"/>
      <c r="AI252" s="370" t="n"/>
      <c r="AK252" s="370" t="inlineStr">
        <is>
          <t>                                                                  </t>
        </is>
      </c>
      <c r="AL252" s="370" t="n"/>
      <c r="AM252" s="370" t="n"/>
      <c r="AN252" s="370" t="n"/>
      <c r="AO252" s="370" t="n"/>
      <c r="AP252" s="370" t="n"/>
      <c r="AQ252" s="370" t="n"/>
    </row>
    <row r="253">
      <c r="A253" s="383" t="n">
        <v>6</v>
      </c>
      <c r="B253" s="370" t="n">
        <v>247</v>
      </c>
      <c r="C253" s="370" t="inlineStr">
        <is>
          <t>2013Q</t>
        </is>
      </c>
      <c r="D253" s="370" t="inlineStr">
        <is>
          <t xml:space="preserve">05226-01-028-000 </t>
        </is>
      </c>
      <c r="E253" s="369" t="inlineStr">
        <is>
          <t>Actual</t>
        </is>
      </c>
      <c r="F253" s="370" t="inlineStr">
        <is>
          <t>1586 S ACOMA                ST</t>
        </is>
      </c>
      <c r="G253" s="370" t="n">
        <v>44.2</v>
      </c>
      <c r="H253" s="370" t="n">
        <v>9506</v>
      </c>
      <c r="I253" s="369" t="n">
        <v>0</v>
      </c>
      <c r="J253" s="674" t="n">
        <v>7000</v>
      </c>
      <c r="K253" s="675" t="n">
        <v>7.028571428571428</v>
      </c>
      <c r="L253" s="385" t="n">
        <v>0</v>
      </c>
      <c r="M253" s="374" t="n">
        <v>0.05772357723577236</v>
      </c>
      <c r="N253" s="370" t="n">
        <v>1967</v>
      </c>
      <c r="O253" s="370" t="n">
        <v>2500</v>
      </c>
      <c r="P253" s="370" t="n">
        <v>0</v>
      </c>
      <c r="Q253" s="370" t="n">
        <v>14</v>
      </c>
      <c r="R253" s="370" t="n">
        <v>1</v>
      </c>
      <c r="S253" s="370" t="n">
        <v>1</v>
      </c>
      <c r="T253" s="369" t="inlineStr">
        <is>
          <t xml:space="preserve">I-A         </t>
        </is>
      </c>
      <c r="U253" s="370" t="n">
        <v>398</v>
      </c>
      <c r="V253" s="674" t="n">
        <v>12500</v>
      </c>
      <c r="W253" s="674" t="n">
        <v>13000</v>
      </c>
      <c r="X253" s="676" t="inlineStr">
        <is>
          <t>1.8:1</t>
        </is>
      </c>
      <c r="Y253" s="674" t="n">
        <v>7000</v>
      </c>
      <c r="Z253" s="369" t="inlineStr">
        <is>
          <t xml:space="preserve">C </t>
        </is>
      </c>
      <c r="AA253" s="370" t="n"/>
      <c r="AB253" s="370" t="n"/>
      <c r="AC253" s="370" t="n"/>
      <c r="AD253" s="370" t="inlineStr">
        <is>
          <t>                    </t>
        </is>
      </c>
      <c r="AE253" s="370" t="n"/>
      <c r="AF253" s="370" t="n"/>
      <c r="AG253" s="370" t="n"/>
      <c r="AH253" s="370" t="n"/>
      <c r="AI253" s="370" t="n"/>
      <c r="AK253" s="370" t="inlineStr">
        <is>
          <t xml:space="preserve">2009 LEASES.                                                      </t>
        </is>
      </c>
      <c r="AL253" s="370" t="n"/>
      <c r="AM253" s="370" t="n"/>
      <c r="AN253" s="370" t="n"/>
      <c r="AO253" s="370" t="n"/>
      <c r="AP253" s="370" t="n"/>
      <c r="AQ253" s="370" t="n"/>
    </row>
    <row r="254">
      <c r="A254" s="383" t="n">
        <v>6</v>
      </c>
      <c r="B254" s="370" t="n">
        <v>248</v>
      </c>
      <c r="C254" s="370" t="inlineStr">
        <is>
          <t>2013Q</t>
        </is>
      </c>
      <c r="D254" s="370" t="inlineStr">
        <is>
          <t xml:space="preserve">05226-10-028-000 </t>
        </is>
      </c>
      <c r="E254" s="369" t="inlineStr">
        <is>
          <t>Actual</t>
        </is>
      </c>
      <c r="F254" s="370" t="inlineStr">
        <is>
          <t>1701 S BROADWAY             ST</t>
        </is>
      </c>
      <c r="G254" s="370" t="n">
        <v>44.2</v>
      </c>
      <c r="H254" s="370" t="n">
        <v>9506</v>
      </c>
      <c r="I254" s="369" t="n">
        <v>2</v>
      </c>
      <c r="J254" s="674" t="n">
        <v>16261</v>
      </c>
      <c r="K254" s="675" t="n">
        <v>5.488223356497141</v>
      </c>
      <c r="L254" s="385" t="n">
        <v>0</v>
      </c>
      <c r="M254" s="374" t="n">
        <v>0.01344628210299852</v>
      </c>
      <c r="N254" s="370" t="n">
        <v>1932</v>
      </c>
      <c r="O254" s="370" t="n">
        <v>1800</v>
      </c>
      <c r="P254" s="370" t="n">
        <v>0</v>
      </c>
      <c r="Q254" s="370" t="n">
        <v>16</v>
      </c>
      <c r="R254" s="370" t="n">
        <v>1</v>
      </c>
      <c r="S254" s="370" t="n">
        <v>1</v>
      </c>
      <c r="T254" s="369" t="inlineStr">
        <is>
          <t xml:space="preserve">U-MS-5      </t>
        </is>
      </c>
      <c r="U254" s="370" t="n">
        <v>398</v>
      </c>
      <c r="V254" s="674" t="n">
        <v>15624</v>
      </c>
      <c r="W254" s="674" t="n">
        <v>16000</v>
      </c>
      <c r="X254" s="676" t="inlineStr">
        <is>
          <t>1:1</t>
        </is>
      </c>
      <c r="Y254" s="674" t="n">
        <v>16000</v>
      </c>
      <c r="Z254" s="369" t="inlineStr">
        <is>
          <t xml:space="preserve">C </t>
        </is>
      </c>
      <c r="AA254" s="370" t="n"/>
      <c r="AB254" s="370" t="n"/>
      <c r="AC254" s="370" t="n"/>
      <c r="AD254" s="370" t="inlineStr">
        <is>
          <t>                    </t>
        </is>
      </c>
      <c r="AE254" s="370" t="n"/>
      <c r="AF254" s="370" t="n"/>
      <c r="AG254" s="370" t="n"/>
      <c r="AH254" s="370" t="n"/>
      <c r="AI254" s="370" t="n"/>
      <c r="AK254" s="370" t="inlineStr">
        <is>
          <t>                                                                  </t>
        </is>
      </c>
      <c r="AL254" s="370" t="n"/>
      <c r="AM254" s="370" t="n"/>
      <c r="AN254" s="370" t="n"/>
      <c r="AO254" s="370" t="n"/>
      <c r="AP254" s="370" t="n"/>
      <c r="AQ254" s="370" t="n"/>
    </row>
    <row r="255">
      <c r="A255" s="383" t="n">
        <v>6</v>
      </c>
      <c r="B255" s="370" t="n">
        <v>249</v>
      </c>
      <c r="C255" s="370" t="inlineStr">
        <is>
          <t>2013Q</t>
        </is>
      </c>
      <c r="D255" s="370" t="inlineStr">
        <is>
          <t xml:space="preserve">05226-16-031-000 </t>
        </is>
      </c>
      <c r="E255" s="369" t="inlineStr">
        <is>
          <t>Actual</t>
        </is>
      </c>
      <c r="F255" s="370" t="inlineStr">
        <is>
          <t>1865 S ACOMA                ST</t>
        </is>
      </c>
      <c r="G255" s="370" t="n">
        <v>44.2</v>
      </c>
      <c r="H255" s="370" t="n">
        <v>9506</v>
      </c>
      <c r="I255" s="369" t="n">
        <v>0</v>
      </c>
      <c r="J255" s="674" t="n">
        <v>5920</v>
      </c>
      <c r="K255" s="675" t="n">
        <v>8.277027027027026</v>
      </c>
      <c r="L255" s="385" t="n">
        <v>0</v>
      </c>
      <c r="M255" s="374" t="n">
        <v>0.06514285714285714</v>
      </c>
      <c r="N255" s="370" t="n">
        <v>1972</v>
      </c>
      <c r="O255" s="370" t="n">
        <v>1406</v>
      </c>
      <c r="P255" s="370" t="n">
        <v>0</v>
      </c>
      <c r="Q255" s="370" t="n">
        <v>13</v>
      </c>
      <c r="R255" s="370" t="n">
        <v>3</v>
      </c>
      <c r="S255" s="370" t="n">
        <v>4</v>
      </c>
      <c r="T255" s="369" t="inlineStr">
        <is>
          <t xml:space="preserve">I-A         </t>
        </is>
      </c>
      <c r="U255" s="370" t="n">
        <v>398</v>
      </c>
      <c r="V255" s="674" t="n">
        <v>9430</v>
      </c>
      <c r="W255" s="674" t="n">
        <v>9000</v>
      </c>
      <c r="X255" s="676" t="inlineStr">
        <is>
          <t>1.6:1</t>
        </is>
      </c>
      <c r="Y255" s="674" t="n">
        <v>6000</v>
      </c>
      <c r="Z255" s="369" t="inlineStr">
        <is>
          <t xml:space="preserve">C </t>
        </is>
      </c>
      <c r="AA255" s="370" t="n"/>
      <c r="AB255" s="370" t="n"/>
      <c r="AC255" s="370" t="n"/>
      <c r="AD255" s="370" t="inlineStr">
        <is>
          <t>                    </t>
        </is>
      </c>
      <c r="AE255" s="370" t="n"/>
      <c r="AF255" s="370" t="n"/>
      <c r="AG255" s="370" t="n"/>
      <c r="AH255" s="370" t="n"/>
      <c r="AI255" s="370" t="n"/>
      <c r="AK255" s="370" t="inlineStr">
        <is>
          <t>                                                                  </t>
        </is>
      </c>
      <c r="AL255" s="370" t="n"/>
      <c r="AM255" s="370" t="n"/>
      <c r="AN255" s="370" t="n"/>
      <c r="AO255" s="370" t="n"/>
      <c r="AP255" s="370" t="n"/>
      <c r="AQ255" s="370" t="n"/>
    </row>
    <row r="256">
      <c r="A256" s="383" t="n">
        <v>6</v>
      </c>
      <c r="B256" s="370" t="n">
        <v>250</v>
      </c>
      <c r="C256" s="370" t="inlineStr">
        <is>
          <t>2013Q</t>
        </is>
      </c>
      <c r="D256" s="370" t="inlineStr">
        <is>
          <t xml:space="preserve">05226-17-018-000 </t>
        </is>
      </c>
      <c r="E256" s="369" t="inlineStr">
        <is>
          <t>Actual</t>
        </is>
      </c>
      <c r="F256" s="370" t="inlineStr">
        <is>
          <t>1870 S ACOMA                ST</t>
        </is>
      </c>
      <c r="G256" s="370" t="n">
        <v>44.2</v>
      </c>
      <c r="H256" s="370" t="n">
        <v>9506</v>
      </c>
      <c r="I256" s="369" t="n">
        <v>0</v>
      </c>
      <c r="J256" s="674" t="n">
        <v>5760</v>
      </c>
      <c r="K256" s="675" t="n">
        <v>7.291666666666667</v>
      </c>
      <c r="L256" s="385" t="n">
        <v>0</v>
      </c>
      <c r="M256" s="374" t="n">
        <v>0.4095238095238095</v>
      </c>
      <c r="N256" s="370" t="n">
        <v>1962</v>
      </c>
      <c r="O256" s="370" t="n">
        <v>636</v>
      </c>
      <c r="P256" s="370" t="n">
        <v>0</v>
      </c>
      <c r="Q256" s="370" t="n">
        <v>18</v>
      </c>
      <c r="R256" s="370" t="n">
        <v>3</v>
      </c>
      <c r="S256" s="370" t="n">
        <v>1</v>
      </c>
      <c r="T256" s="369" t="inlineStr">
        <is>
          <t xml:space="preserve">I-A         </t>
        </is>
      </c>
      <c r="U256" s="370" t="n">
        <v>397</v>
      </c>
      <c r="V256" s="674" t="n">
        <v>9370</v>
      </c>
      <c r="W256" s="674" t="n">
        <v>9000</v>
      </c>
      <c r="X256" s="676" t="inlineStr">
        <is>
          <t>1.6:1</t>
        </is>
      </c>
      <c r="Y256" s="674" t="n">
        <v>6000</v>
      </c>
      <c r="Z256" s="369" t="inlineStr">
        <is>
          <t xml:space="preserve">C </t>
        </is>
      </c>
      <c r="AA256" s="370" t="n"/>
      <c r="AB256" s="370" t="n"/>
      <c r="AC256" s="370" t="n"/>
      <c r="AD256" s="370" t="inlineStr">
        <is>
          <t xml:space="preserve">S-W ELECTRIC SUPPLY </t>
        </is>
      </c>
      <c r="AE256" s="370" t="n"/>
      <c r="AF256" s="370" t="n"/>
      <c r="AG256" s="370" t="n"/>
      <c r="AH256" s="370" t="n"/>
      <c r="AI256" s="370" t="n"/>
      <c r="AK256" s="370" t="inlineStr">
        <is>
          <t>                                                                  </t>
        </is>
      </c>
      <c r="AL256" s="370" t="n"/>
      <c r="AM256" s="370" t="n"/>
      <c r="AN256" s="370" t="n"/>
      <c r="AO256" s="370" t="n"/>
      <c r="AP256" s="370" t="n"/>
      <c r="AQ256" s="370" t="n"/>
    </row>
    <row r="257">
      <c r="A257" s="383" t="n">
        <v>6</v>
      </c>
      <c r="B257" s="370" t="n">
        <v>251</v>
      </c>
      <c r="C257" s="370" t="inlineStr">
        <is>
          <t>2013Q</t>
        </is>
      </c>
      <c r="D257" s="370" t="inlineStr">
        <is>
          <t xml:space="preserve">05227-36-027-000 </t>
        </is>
      </c>
      <c r="E257" s="369" t="inlineStr">
        <is>
          <t>Actual</t>
        </is>
      </c>
      <c r="F257" s="370" t="inlineStr">
        <is>
          <t>1859 S PEARL                ST</t>
        </is>
      </c>
      <c r="G257" s="370" t="n">
        <v>44.1</v>
      </c>
      <c r="H257" s="370" t="n">
        <v>9509</v>
      </c>
      <c r="I257" s="369" t="n">
        <v>0</v>
      </c>
      <c r="J257" s="674" t="n">
        <v>1912</v>
      </c>
      <c r="K257" s="675" t="n">
        <v>19.26882845188285</v>
      </c>
      <c r="L257" s="385" t="n">
        <v>0</v>
      </c>
      <c r="M257" s="374" t="n">
        <v>0.03330438086965963</v>
      </c>
      <c r="N257" s="370" t="n">
        <v>1955</v>
      </c>
      <c r="O257" s="370" t="n">
        <v>0</v>
      </c>
      <c r="P257" s="370" t="n">
        <v>0</v>
      </c>
      <c r="Q257" s="370" t="n">
        <v>12</v>
      </c>
      <c r="R257" s="370" t="n">
        <v>3</v>
      </c>
      <c r="S257" s="370" t="n">
        <v>1</v>
      </c>
      <c r="T257" s="369" t="inlineStr">
        <is>
          <t xml:space="preserve">U-MS-2      </t>
        </is>
      </c>
      <c r="U257" s="370" t="n">
        <v>398</v>
      </c>
      <c r="V257" s="674" t="n">
        <v>3125</v>
      </c>
      <c r="W257" s="674" t="n">
        <v>3000</v>
      </c>
      <c r="X257" s="676" t="inlineStr">
        <is>
          <t>1.6:1</t>
        </is>
      </c>
      <c r="Y257" s="674" t="n">
        <v>2000</v>
      </c>
      <c r="Z257" s="369" t="inlineStr">
        <is>
          <t xml:space="preserve">C </t>
        </is>
      </c>
      <c r="AA257" s="370" t="n"/>
      <c r="AB257" s="370" t="n"/>
      <c r="AC257" s="370" t="n"/>
      <c r="AD257" s="370" t="inlineStr">
        <is>
          <t>S-W R K LEONARD SPEC</t>
        </is>
      </c>
      <c r="AE257" s="370" t="n"/>
      <c r="AF257" s="370" t="n"/>
      <c r="AG257" s="370" t="n"/>
      <c r="AH257" s="370" t="n"/>
      <c r="AI257" s="370" t="n"/>
      <c r="AK257" s="370" t="inlineStr">
        <is>
          <t>                                                                  </t>
        </is>
      </c>
      <c r="AL257" s="370" t="n"/>
      <c r="AM257" s="370" t="n"/>
      <c r="AN257" s="370" t="n"/>
      <c r="AO257" s="370" t="n"/>
      <c r="AP257" s="370" t="n"/>
      <c r="AQ257" s="370" t="n"/>
    </row>
    <row r="258">
      <c r="A258" s="383" t="n">
        <v>6</v>
      </c>
      <c r="B258" s="370" t="n">
        <v>252</v>
      </c>
      <c r="C258" s="370" t="inlineStr">
        <is>
          <t>2013Q</t>
        </is>
      </c>
      <c r="D258" s="370" t="inlineStr">
        <is>
          <t xml:space="preserve">05272-03-013-000 </t>
        </is>
      </c>
      <c r="E258" s="369" t="inlineStr">
        <is>
          <t>Actual</t>
        </is>
      </c>
      <c r="F258" s="370" t="inlineStr">
        <is>
          <t>1955 S BANNOCK              ST</t>
        </is>
      </c>
      <c r="G258" s="370" t="n">
        <v>43.1</v>
      </c>
      <c r="H258" s="370" t="n">
        <v>9506</v>
      </c>
      <c r="I258" s="369" t="n">
        <v>0</v>
      </c>
      <c r="J258" s="674" t="n">
        <v>3038</v>
      </c>
      <c r="K258" s="675" t="n">
        <v>15.2073732718894</v>
      </c>
      <c r="L258" s="385" t="n">
        <v>0</v>
      </c>
      <c r="M258" s="374" t="n">
        <v>0.1811688311688312</v>
      </c>
      <c r="N258" s="370" t="n">
        <v>1959</v>
      </c>
      <c r="O258" s="370" t="n">
        <v>0</v>
      </c>
      <c r="P258" s="370" t="n">
        <v>0</v>
      </c>
      <c r="Q258" s="370" t="n">
        <v>15</v>
      </c>
      <c r="R258" s="370" t="n">
        <v>3</v>
      </c>
      <c r="S258" s="370" t="n">
        <v>1</v>
      </c>
      <c r="T258" s="369" t="inlineStr">
        <is>
          <t xml:space="preserve">I-A         </t>
        </is>
      </c>
      <c r="U258" s="370" t="n">
        <v>401</v>
      </c>
      <c r="V258" s="674" t="n">
        <v>6250</v>
      </c>
      <c r="W258" s="674" t="n">
        <v>6000</v>
      </c>
      <c r="X258" s="676" t="inlineStr">
        <is>
          <t>2.1:1</t>
        </is>
      </c>
      <c r="Y258" s="674" t="n">
        <v>3000</v>
      </c>
      <c r="Z258" s="369" t="inlineStr">
        <is>
          <t xml:space="preserve">C </t>
        </is>
      </c>
      <c r="AA258" s="370" t="n"/>
      <c r="AB258" s="370" t="n"/>
      <c r="AC258" s="370" t="n"/>
      <c r="AD258" s="370" t="inlineStr">
        <is>
          <t>                    </t>
        </is>
      </c>
      <c r="AE258" s="370" t="n"/>
      <c r="AF258" s="370" t="n"/>
      <c r="AG258" s="370" t="n"/>
      <c r="AH258" s="370" t="n"/>
      <c r="AI258" s="370" t="n"/>
      <c r="AK258" s="370" t="inlineStr">
        <is>
          <t xml:space="preserve">2010 LEASE.                                                       </t>
        </is>
      </c>
      <c r="AL258" s="370" t="n"/>
      <c r="AM258" s="370" t="n"/>
      <c r="AN258" s="370" t="n"/>
      <c r="AO258" s="370" t="n"/>
      <c r="AP258" s="370" t="n"/>
      <c r="AQ258" s="370" t="n"/>
    </row>
    <row r="259">
      <c r="A259" s="383" t="n">
        <v>6</v>
      </c>
      <c r="B259" s="370" t="n">
        <v>253</v>
      </c>
      <c r="C259" s="370" t="inlineStr">
        <is>
          <t>2013Q</t>
        </is>
      </c>
      <c r="D259" s="370" t="inlineStr">
        <is>
          <t xml:space="preserve">05272-19-005-000 </t>
        </is>
      </c>
      <c r="E259" s="369" t="inlineStr">
        <is>
          <t>Actual</t>
        </is>
      </c>
      <c r="F259" s="370" t="inlineStr">
        <is>
          <t>2256 S DELAWARE             ST</t>
        </is>
      </c>
      <c r="G259" s="370" t="n">
        <v>44.2</v>
      </c>
      <c r="H259" s="370" t="n">
        <v>9506</v>
      </c>
      <c r="I259" s="369" t="n">
        <v>0</v>
      </c>
      <c r="J259" s="674" t="n">
        <v>3840</v>
      </c>
      <c r="K259" s="675" t="n">
        <v>7.1875</v>
      </c>
      <c r="L259" s="385" t="n">
        <v>0</v>
      </c>
      <c r="M259" s="374" t="n">
        <v>0</v>
      </c>
      <c r="N259" s="370" t="n">
        <v>1964</v>
      </c>
      <c r="O259" s="370" t="n">
        <v>1350</v>
      </c>
      <c r="P259" s="370" t="n">
        <v>0</v>
      </c>
      <c r="Q259" s="370" t="n">
        <v>13</v>
      </c>
      <c r="R259" s="370" t="n">
        <v>3</v>
      </c>
      <c r="S259" s="370" t="n">
        <v>1</v>
      </c>
      <c r="T259" s="369" t="inlineStr">
        <is>
          <t xml:space="preserve">I-MX-3      </t>
        </is>
      </c>
      <c r="U259" s="370" t="n">
        <v>398</v>
      </c>
      <c r="V259" s="674" t="n">
        <v>6250</v>
      </c>
      <c r="W259" s="674" t="n">
        <v>6000</v>
      </c>
      <c r="X259" s="676" t="inlineStr">
        <is>
          <t>1.6:1</t>
        </is>
      </c>
      <c r="Y259" s="674" t="n">
        <v>4000</v>
      </c>
      <c r="Z259" s="369" t="inlineStr">
        <is>
          <t xml:space="preserve">C </t>
        </is>
      </c>
      <c r="AA259" s="370" t="n"/>
      <c r="AB259" s="370" t="n"/>
      <c r="AC259" s="370" t="n"/>
      <c r="AD259" s="370" t="inlineStr">
        <is>
          <t xml:space="preserve">S-W RAY J O'DONNELL </t>
        </is>
      </c>
      <c r="AE259" s="370" t="n"/>
      <c r="AF259" s="370" t="n"/>
      <c r="AG259" s="370" t="n"/>
      <c r="AH259" s="370" t="n"/>
      <c r="AI259" s="370" t="n"/>
      <c r="AK259" s="370" t="inlineStr">
        <is>
          <t>                                                                  </t>
        </is>
      </c>
      <c r="AL259" s="370" t="n"/>
      <c r="AM259" s="370" t="n"/>
      <c r="AN259" s="370" t="n"/>
      <c r="AO259" s="370" t="n"/>
      <c r="AP259" s="370" t="n"/>
      <c r="AQ259" s="370" t="n"/>
    </row>
    <row r="260">
      <c r="A260" s="383" t="n">
        <v>6</v>
      </c>
      <c r="B260" s="370" t="n">
        <v>254</v>
      </c>
      <c r="C260" s="370" t="inlineStr">
        <is>
          <t>2013Q</t>
        </is>
      </c>
      <c r="D260" s="370" t="inlineStr">
        <is>
          <t xml:space="preserve">05274-03-008-000 </t>
        </is>
      </c>
      <c r="E260" s="369" t="inlineStr">
        <is>
          <t>Actual</t>
        </is>
      </c>
      <c r="F260" s="370" t="inlineStr">
        <is>
          <t>2385 S DELAWARE             ST</t>
        </is>
      </c>
      <c r="G260" s="370" t="n">
        <v>44.2</v>
      </c>
      <c r="H260" s="370" t="n">
        <v>9506</v>
      </c>
      <c r="I260" s="369" t="n">
        <v>0</v>
      </c>
      <c r="J260" s="674" t="n">
        <v>14970</v>
      </c>
      <c r="K260" s="675" t="n">
        <v>9.356112224448898</v>
      </c>
      <c r="L260" s="385" t="n">
        <v>0</v>
      </c>
      <c r="M260" s="374" t="n">
        <v>0.0009495862517046144</v>
      </c>
      <c r="N260" s="370" t="n">
        <v>1960</v>
      </c>
      <c r="O260" s="370" t="n">
        <v>1407</v>
      </c>
      <c r="P260" s="370" t="n">
        <v>0</v>
      </c>
      <c r="Q260" s="370" t="n">
        <v>13</v>
      </c>
      <c r="R260" s="370" t="n">
        <v>3</v>
      </c>
      <c r="S260" s="370" t="n">
        <v>1</v>
      </c>
      <c r="T260" s="369" t="inlineStr">
        <is>
          <t xml:space="preserve">I-MX-3      </t>
        </is>
      </c>
      <c r="U260" s="370" t="n">
        <v>398</v>
      </c>
      <c r="V260" s="674" t="n">
        <v>17968</v>
      </c>
      <c r="W260" s="674" t="n">
        <v>18000</v>
      </c>
      <c r="X260" s="676" t="inlineStr">
        <is>
          <t>1.2:1</t>
        </is>
      </c>
      <c r="Y260" s="674" t="n">
        <v>15000</v>
      </c>
      <c r="Z260" s="369" t="inlineStr">
        <is>
          <t xml:space="preserve">C </t>
        </is>
      </c>
      <c r="AA260" s="370" t="n"/>
      <c r="AB260" s="370" t="n"/>
      <c r="AC260" s="370" t="n"/>
      <c r="AD260" s="370" t="inlineStr">
        <is>
          <t>                    </t>
        </is>
      </c>
      <c r="AE260" s="370" t="n"/>
      <c r="AF260" s="370" t="n"/>
      <c r="AG260" s="370" t="n"/>
      <c r="AH260" s="370" t="n"/>
      <c r="AI260" s="370" t="n"/>
      <c r="AK260" s="370" t="inlineStr">
        <is>
          <t>                                                                  </t>
        </is>
      </c>
      <c r="AL260" s="370" t="n"/>
      <c r="AM260" s="370" t="n"/>
      <c r="AN260" s="370" t="n"/>
      <c r="AO260" s="370" t="n"/>
      <c r="AP260" s="370" t="n"/>
      <c r="AQ260" s="370" t="n"/>
    </row>
    <row r="261">
      <c r="A261" s="383" t="n">
        <v>6</v>
      </c>
      <c r="B261" s="370" t="n">
        <v>255</v>
      </c>
      <c r="C261" s="370" t="inlineStr">
        <is>
          <t>2013Q</t>
        </is>
      </c>
      <c r="D261" s="370" t="inlineStr">
        <is>
          <t xml:space="preserve">05274-03-009-000 </t>
        </is>
      </c>
      <c r="E261" s="369" t="inlineStr">
        <is>
          <t>Actual</t>
        </is>
      </c>
      <c r="F261" s="370" t="inlineStr">
        <is>
          <t>2345 S DELAWARE             ST</t>
        </is>
      </c>
      <c r="G261" s="370" t="n">
        <v>47.2</v>
      </c>
      <c r="H261" s="370" t="n">
        <v>9506</v>
      </c>
      <c r="I261" s="369" t="n">
        <v>0</v>
      </c>
      <c r="J261" s="674" t="n">
        <v>28581</v>
      </c>
      <c r="K261" s="675" t="n">
        <v>7.794618802701095</v>
      </c>
      <c r="L261" s="385" t="n">
        <v>0</v>
      </c>
      <c r="M261" s="374" t="n">
        <v>0.004960094802897952</v>
      </c>
      <c r="N261" s="370" t="n">
        <v>1961</v>
      </c>
      <c r="O261" s="370" t="n">
        <v>6364</v>
      </c>
      <c r="P261" s="370" t="n">
        <v>0</v>
      </c>
      <c r="Q261" s="370" t="n">
        <v>13</v>
      </c>
      <c r="R261" s="370" t="n">
        <v>3</v>
      </c>
      <c r="S261" s="370" t="n">
        <v>1</v>
      </c>
      <c r="T261" s="369" t="inlineStr">
        <is>
          <t xml:space="preserve">I-MX-3      </t>
        </is>
      </c>
      <c r="U261" s="370" t="n">
        <v>401</v>
      </c>
      <c r="V261" s="674" t="n">
        <v>38282</v>
      </c>
      <c r="W261" s="674" t="n">
        <v>38000</v>
      </c>
      <c r="X261" s="676" t="inlineStr">
        <is>
          <t>1.3:1</t>
        </is>
      </c>
      <c r="Y261" s="674" t="n">
        <v>29000</v>
      </c>
      <c r="Z261" s="369" t="inlineStr">
        <is>
          <t xml:space="preserve">C </t>
        </is>
      </c>
      <c r="AA261" s="370" t="n"/>
      <c r="AB261" s="370" t="n"/>
      <c r="AC261" s="370" t="n"/>
      <c r="AD261" s="370" t="inlineStr">
        <is>
          <t xml:space="preserve">S-F GOLESH INC.     </t>
        </is>
      </c>
      <c r="AE261" s="370" t="n"/>
      <c r="AF261" s="370" t="n"/>
      <c r="AG261" s="370" t="n"/>
      <c r="AH261" s="370" t="n"/>
      <c r="AI261" s="370" t="n"/>
      <c r="AK261" s="370" t="inlineStr">
        <is>
          <t>                                                                  </t>
        </is>
      </c>
      <c r="AL261" s="370" t="n"/>
      <c r="AM261" s="370" t="n"/>
      <c r="AN261" s="370" t="n"/>
      <c r="AO261" s="370" t="n"/>
      <c r="AP261" s="370" t="n"/>
      <c r="AQ261" s="370" t="n"/>
    </row>
    <row r="262">
      <c r="A262" s="383" t="n">
        <v>6</v>
      </c>
      <c r="B262" s="370" t="n">
        <v>256</v>
      </c>
      <c r="C262" s="370" t="inlineStr">
        <is>
          <t>2013Q</t>
        </is>
      </c>
      <c r="D262" s="370" t="inlineStr">
        <is>
          <t xml:space="preserve">05274-12-029-000 </t>
        </is>
      </c>
      <c r="E262" s="369" t="inlineStr">
        <is>
          <t>Actual</t>
        </is>
      </c>
      <c r="F262" s="370" t="inlineStr">
        <is>
          <t>2464 S DELAWARE             ST</t>
        </is>
      </c>
      <c r="G262" s="370" t="n">
        <v>44.2</v>
      </c>
      <c r="H262" s="370" t="n">
        <v>9506</v>
      </c>
      <c r="I262" s="369" t="n">
        <v>0</v>
      </c>
      <c r="J262" s="674" t="n">
        <v>4064</v>
      </c>
      <c r="K262" s="675" t="n">
        <v>5.905511811023622</v>
      </c>
      <c r="L262" s="385" t="n">
        <v>0</v>
      </c>
      <c r="M262" s="374" t="n">
        <v>0.2041666666666667</v>
      </c>
      <c r="N262" s="370" t="n">
        <v>1967</v>
      </c>
      <c r="O262" s="370" t="n">
        <v>0</v>
      </c>
      <c r="P262" s="370" t="n">
        <v>527</v>
      </c>
      <c r="Q262" s="370" t="n">
        <v>11</v>
      </c>
      <c r="R262" s="370" t="n">
        <v>3</v>
      </c>
      <c r="S262" s="370" t="n">
        <v>1</v>
      </c>
      <c r="T262" s="369" t="inlineStr">
        <is>
          <t xml:space="preserve">I-MX-3      </t>
        </is>
      </c>
      <c r="U262" s="370" t="n">
        <v>398</v>
      </c>
      <c r="V262" s="674" t="n">
        <v>6250</v>
      </c>
      <c r="W262" s="674" t="n">
        <v>6000</v>
      </c>
      <c r="X262" s="676" t="inlineStr">
        <is>
          <t>1.5:1</t>
        </is>
      </c>
      <c r="Y262" s="674" t="n">
        <v>4000</v>
      </c>
      <c r="Z262" s="369" t="inlineStr">
        <is>
          <t xml:space="preserve">C </t>
        </is>
      </c>
      <c r="AA262" s="370" t="n"/>
      <c r="AB262" s="370" t="n"/>
      <c r="AC262" s="370" t="n"/>
      <c r="AD262" s="370" t="inlineStr">
        <is>
          <t xml:space="preserve">S-W R.E. THARP      </t>
        </is>
      </c>
      <c r="AE262" s="370" t="n"/>
      <c r="AF262" s="370" t="n"/>
      <c r="AG262" s="370" t="n"/>
      <c r="AH262" s="370" t="n"/>
      <c r="AI262" s="370" t="n"/>
      <c r="AK262" s="370" t="inlineStr">
        <is>
          <t>                                                                  </t>
        </is>
      </c>
      <c r="AL262" s="370" t="n"/>
      <c r="AM262" s="370" t="n"/>
      <c r="AN262" s="370" t="n"/>
      <c r="AO262" s="370" t="n"/>
      <c r="AP262" s="370" t="n"/>
      <c r="AQ262" s="370" t="n"/>
    </row>
    <row r="263">
      <c r="A263" s="383" t="n">
        <v>6</v>
      </c>
      <c r="B263" s="370" t="n">
        <v>257</v>
      </c>
      <c r="C263" s="370" t="inlineStr">
        <is>
          <t>2013Q</t>
        </is>
      </c>
      <c r="D263" s="370" t="inlineStr">
        <is>
          <t xml:space="preserve">05274-15-029-000 </t>
        </is>
      </c>
      <c r="E263" s="369" t="inlineStr">
        <is>
          <t>Actual</t>
        </is>
      </c>
      <c r="F263" s="370" t="inlineStr">
        <is>
          <t>2536 S DELAWARE             ST</t>
        </is>
      </c>
      <c r="G263" s="370" t="n">
        <v>47.1</v>
      </c>
      <c r="H263" s="370" t="n">
        <v>9506</v>
      </c>
      <c r="I263" s="369" t="n">
        <v>0</v>
      </c>
      <c r="J263" s="674" t="n">
        <v>2487</v>
      </c>
      <c r="K263" s="675" t="n">
        <v>9.650180940892641</v>
      </c>
      <c r="L263" s="385" t="n">
        <v>0</v>
      </c>
      <c r="M263" s="374" t="n">
        <v>0.2817083333333333</v>
      </c>
      <c r="N263" s="370" t="n">
        <v>1954</v>
      </c>
      <c r="O263" s="370" t="n">
        <v>0</v>
      </c>
      <c r="P263" s="370" t="n">
        <v>1188</v>
      </c>
      <c r="Q263" s="370" t="n">
        <v>16</v>
      </c>
      <c r="R263" s="370" t="n">
        <v>3</v>
      </c>
      <c r="S263" s="370" t="n">
        <v>1</v>
      </c>
      <c r="T263" s="369" t="inlineStr">
        <is>
          <t xml:space="preserve">I-MX-3      </t>
        </is>
      </c>
      <c r="U263" s="370" t="n">
        <v>401</v>
      </c>
      <c r="V263" s="674" t="n">
        <v>12500</v>
      </c>
      <c r="W263" s="674" t="n">
        <v>13000</v>
      </c>
      <c r="X263" s="676" t="inlineStr">
        <is>
          <t>5:1</t>
        </is>
      </c>
      <c r="Y263" s="674" t="n">
        <v>2000</v>
      </c>
      <c r="Z263" s="369" t="inlineStr">
        <is>
          <t xml:space="preserve">C </t>
        </is>
      </c>
      <c r="AA263" s="370" t="n"/>
      <c r="AB263" s="370" t="n"/>
      <c r="AC263" s="370" t="n"/>
      <c r="AD263" s="370" t="inlineStr">
        <is>
          <t xml:space="preserve">S-W CS GROUP        </t>
        </is>
      </c>
      <c r="AE263" s="370" t="n"/>
      <c r="AF263" s="370" t="n"/>
      <c r="AG263" s="370" t="n"/>
      <c r="AH263" s="370" t="n"/>
      <c r="AI263" s="370" t="n"/>
      <c r="AK263" s="370" t="inlineStr">
        <is>
          <t xml:space="preserve">2009 LEASE.                                                       </t>
        </is>
      </c>
      <c r="AL263" s="370" t="n"/>
      <c r="AM263" s="370" t="n"/>
      <c r="AN263" s="370" t="n"/>
      <c r="AO263" s="370" t="n"/>
      <c r="AP263" s="370" t="n"/>
      <c r="AQ263" s="370" t="n"/>
    </row>
    <row r="264">
      <c r="A264" s="383" t="n">
        <v>6</v>
      </c>
      <c r="B264" s="370" t="n">
        <v>258</v>
      </c>
      <c r="C264" s="370" t="inlineStr">
        <is>
          <t>2013Q</t>
        </is>
      </c>
      <c r="D264" s="370" t="inlineStr">
        <is>
          <t xml:space="preserve">05274-15-034-000 </t>
        </is>
      </c>
      <c r="E264" s="369" t="inlineStr">
        <is>
          <t>Actual</t>
        </is>
      </c>
      <c r="F264" s="370" t="inlineStr">
        <is>
          <t>2510 S DELAWARE             ST</t>
        </is>
      </c>
      <c r="G264" s="370" t="n">
        <v>44.1</v>
      </c>
      <c r="H264" s="370" t="n">
        <v>9506</v>
      </c>
      <c r="I264" s="369" t="n">
        <v>0</v>
      </c>
      <c r="J264" s="674" t="n">
        <v>10444</v>
      </c>
      <c r="K264" s="675" t="n">
        <v>6.893910379165071</v>
      </c>
      <c r="L264" s="385" t="n">
        <v>0</v>
      </c>
      <c r="M264" s="374" t="n">
        <v>0</v>
      </c>
      <c r="N264" s="370" t="n">
        <v>1985</v>
      </c>
      <c r="O264" s="370" t="n">
        <v>1104</v>
      </c>
      <c r="P264" s="370" t="n">
        <v>0</v>
      </c>
      <c r="Q264" s="370" t="n">
        <v>18</v>
      </c>
      <c r="R264" s="370" t="n">
        <v>3</v>
      </c>
      <c r="S264" s="370" t="n">
        <v>1</v>
      </c>
      <c r="T264" s="369" t="inlineStr">
        <is>
          <t xml:space="preserve">I-MX-3      </t>
        </is>
      </c>
      <c r="U264" s="370" t="n">
        <v>398</v>
      </c>
      <c r="V264" s="674" t="n">
        <v>18750</v>
      </c>
      <c r="W264" s="674" t="n">
        <v>19000</v>
      </c>
      <c r="X264" s="676" t="inlineStr">
        <is>
          <t>1.8:1</t>
        </is>
      </c>
      <c r="Y264" s="674" t="n">
        <v>10000</v>
      </c>
      <c r="Z264" s="369" t="inlineStr">
        <is>
          <t xml:space="preserve">C </t>
        </is>
      </c>
      <c r="AA264" s="370" t="n"/>
      <c r="AB264" s="370" t="n"/>
      <c r="AC264" s="370" t="n"/>
      <c r="AD264" s="370" t="inlineStr">
        <is>
          <t>                    </t>
        </is>
      </c>
      <c r="AE264" s="370" t="n"/>
      <c r="AF264" s="370" t="n"/>
      <c r="AG264" s="370" t="n"/>
      <c r="AH264" s="370" t="n"/>
      <c r="AI264" s="370" t="n"/>
      <c r="AK264" s="370" t="inlineStr">
        <is>
          <t>                                                                  </t>
        </is>
      </c>
      <c r="AL264" s="370" t="n"/>
      <c r="AM264" s="370" t="n"/>
      <c r="AN264" s="370" t="n"/>
      <c r="AO264" s="370" t="n"/>
      <c r="AP264" s="370" t="n"/>
      <c r="AQ264" s="370" t="n"/>
    </row>
    <row r="265">
      <c r="A265" s="383" t="n">
        <v>6</v>
      </c>
      <c r="B265" s="370" t="n">
        <v>259</v>
      </c>
      <c r="C265" s="370" t="inlineStr">
        <is>
          <t>2013Q</t>
        </is>
      </c>
      <c r="D265" s="370" t="inlineStr">
        <is>
          <t xml:space="preserve">05275-02-011-000 </t>
        </is>
      </c>
      <c r="E265" s="369" t="inlineStr">
        <is>
          <t>Actual</t>
        </is>
      </c>
      <c r="F265" s="370" t="inlineStr">
        <is>
          <t>2376 S BROADWAY             ST</t>
        </is>
      </c>
      <c r="G265" s="370" t="n">
        <v>44.1</v>
      </c>
      <c r="H265" s="370" t="n">
        <v>9509</v>
      </c>
      <c r="I265" s="369" t="n">
        <v>2</v>
      </c>
      <c r="J265" s="674" t="n">
        <v>2535</v>
      </c>
      <c r="K265" s="675" t="n">
        <v>5.680473372781065</v>
      </c>
      <c r="L265" s="385" t="n">
        <v>0</v>
      </c>
      <c r="M265" s="374" t="n">
        <v>0.03472222222222222</v>
      </c>
      <c r="N265" s="370" t="n">
        <v>1951</v>
      </c>
      <c r="O265" s="370" t="n">
        <v>0</v>
      </c>
      <c r="P265" s="370" t="n">
        <v>1217</v>
      </c>
      <c r="Q265" s="370" t="n">
        <v>19</v>
      </c>
      <c r="R265" s="370" t="n">
        <v>3</v>
      </c>
      <c r="S265" s="370" t="n">
        <v>1</v>
      </c>
      <c r="T265" s="369" t="inlineStr">
        <is>
          <t xml:space="preserve">U-MX-3      </t>
        </is>
      </c>
      <c r="U265" s="370" t="n">
        <v>398</v>
      </c>
      <c r="V265" s="674" t="n">
        <v>4687</v>
      </c>
      <c r="W265" s="674" t="n">
        <v>5000</v>
      </c>
      <c r="X265" s="676" t="inlineStr">
        <is>
          <t>1.8:1</t>
        </is>
      </c>
      <c r="Y265" s="674" t="n">
        <v>3000</v>
      </c>
      <c r="Z265" s="369" t="inlineStr">
        <is>
          <t xml:space="preserve">C </t>
        </is>
      </c>
      <c r="AA265" s="370" t="n"/>
      <c r="AB265" s="370" t="n"/>
      <c r="AC265" s="370" t="n"/>
      <c r="AD265" s="370" t="inlineStr">
        <is>
          <t xml:space="preserve">#1 AUTO SALES       </t>
        </is>
      </c>
      <c r="AE265" s="370" t="n"/>
      <c r="AF265" s="370" t="n"/>
      <c r="AG265" s="370" t="n"/>
      <c r="AH265" s="370" t="n"/>
      <c r="AI265" s="370" t="n"/>
      <c r="AK265" s="370" t="inlineStr">
        <is>
          <t xml:space="preserve">AGE OF RENTAL RELATIONSHIP UNKNOWN.                               </t>
        </is>
      </c>
      <c r="AL265" s="370" t="n"/>
      <c r="AM265" s="370" t="n"/>
      <c r="AN265" s="370" t="n"/>
      <c r="AO265" s="370" t="n"/>
      <c r="AP265" s="370" t="n"/>
      <c r="AQ265" s="370" t="n"/>
    </row>
    <row r="266">
      <c r="A266" s="383" t="n">
        <v>6</v>
      </c>
      <c r="B266" s="370" t="n">
        <v>260</v>
      </c>
      <c r="C266" s="370" t="inlineStr">
        <is>
          <t>2013Q</t>
        </is>
      </c>
      <c r="D266" s="370" t="inlineStr">
        <is>
          <t xml:space="preserve">05281-05-033-000 </t>
        </is>
      </c>
      <c r="E266" s="369" t="inlineStr">
        <is>
          <t>Actual</t>
        </is>
      </c>
      <c r="F266" s="370" t="inlineStr">
        <is>
          <t>2001 S NAVAJO               ST</t>
        </is>
      </c>
      <c r="G266" s="370" t="n">
        <v>44.1</v>
      </c>
      <c r="H266" s="370" t="n">
        <v>9506</v>
      </c>
      <c r="I266" s="369" t="n">
        <v>0</v>
      </c>
      <c r="J266" s="674" t="n">
        <v>9120</v>
      </c>
      <c r="K266" s="675" t="n">
        <v>8.17061403508772</v>
      </c>
      <c r="L266" s="385" t="n">
        <v>0</v>
      </c>
      <c r="M266" s="374" t="n">
        <v>0.02148531858929626</v>
      </c>
      <c r="N266" s="370" t="n">
        <v>1986</v>
      </c>
      <c r="O266" s="370" t="n">
        <v>1669</v>
      </c>
      <c r="P266" s="370" t="n">
        <v>0</v>
      </c>
      <c r="Q266" s="370" t="n">
        <v>16</v>
      </c>
      <c r="R266" s="370" t="n">
        <v>3</v>
      </c>
      <c r="S266" s="370" t="n">
        <v>1</v>
      </c>
      <c r="T266" s="369" t="inlineStr">
        <is>
          <t xml:space="preserve">I-A         </t>
        </is>
      </c>
      <c r="U266" s="370" t="n">
        <v>398</v>
      </c>
      <c r="V266" s="674" t="n">
        <v>21128</v>
      </c>
      <c r="W266" s="674" t="n">
        <v>21000</v>
      </c>
      <c r="X266" s="676" t="inlineStr">
        <is>
          <t>2.3:1</t>
        </is>
      </c>
      <c r="Y266" s="674" t="n">
        <v>9000</v>
      </c>
      <c r="Z266" s="369" t="inlineStr">
        <is>
          <t xml:space="preserve">C </t>
        </is>
      </c>
      <c r="AA266" s="370" t="n"/>
      <c r="AB266" s="370" t="n"/>
      <c r="AC266" s="370" t="n"/>
      <c r="AD266" s="370" t="inlineStr">
        <is>
          <t>                    </t>
        </is>
      </c>
      <c r="AE266" s="370" t="n"/>
      <c r="AF266" s="370" t="n"/>
      <c r="AG266" s="370" t="n"/>
      <c r="AH266" s="370" t="n"/>
      <c r="AI266" s="370" t="n"/>
      <c r="AK266" s="370" t="inlineStr">
        <is>
          <t>                                                                  </t>
        </is>
      </c>
      <c r="AL266" s="370" t="n"/>
      <c r="AM266" s="370" t="n"/>
      <c r="AN266" s="370" t="n"/>
      <c r="AO266" s="370" t="n"/>
      <c r="AP266" s="370" t="n"/>
      <c r="AQ266" s="370" t="n"/>
    </row>
    <row r="267">
      <c r="A267" s="383" t="n">
        <v>6</v>
      </c>
      <c r="B267" s="370" t="n">
        <v>261</v>
      </c>
      <c r="C267" s="370" t="inlineStr">
        <is>
          <t>2013Q</t>
        </is>
      </c>
      <c r="D267" s="370" t="inlineStr">
        <is>
          <t xml:space="preserve">05281-14-016-000 </t>
        </is>
      </c>
      <c r="E267" s="369" t="inlineStr">
        <is>
          <t>Actual</t>
        </is>
      </c>
      <c r="F267" s="370" t="inlineStr">
        <is>
          <t>2126 S KALAMATH             ST</t>
        </is>
      </c>
      <c r="G267" s="370" t="n">
        <v>44.2</v>
      </c>
      <c r="H267" s="370" t="n">
        <v>9506</v>
      </c>
      <c r="I267" s="369" t="n">
        <v>0</v>
      </c>
      <c r="J267" s="674" t="n">
        <v>4000</v>
      </c>
      <c r="K267" s="675" t="n">
        <v>6.9465</v>
      </c>
      <c r="L267" s="385" t="n">
        <v>0</v>
      </c>
      <c r="M267" s="374" t="n">
        <v>0.1973655797883827</v>
      </c>
      <c r="N267" s="370" t="n">
        <v>1957</v>
      </c>
      <c r="O267" s="370" t="n">
        <v>369</v>
      </c>
      <c r="P267" s="370" t="n">
        <v>0</v>
      </c>
      <c r="Q267" s="370" t="n">
        <v>12</v>
      </c>
      <c r="R267" s="370" t="n">
        <v>1</v>
      </c>
      <c r="S267" s="370" t="n">
        <v>2</v>
      </c>
      <c r="T267" s="369" t="inlineStr">
        <is>
          <t xml:space="preserve">I-A         </t>
        </is>
      </c>
      <c r="U267" s="370" t="n">
        <v>398</v>
      </c>
      <c r="V267" s="674" t="n">
        <v>9375</v>
      </c>
      <c r="W267" s="674" t="n">
        <v>9000</v>
      </c>
      <c r="X267" s="676" t="inlineStr">
        <is>
          <t>2.3:1</t>
        </is>
      </c>
      <c r="Y267" s="674" t="n">
        <v>4000</v>
      </c>
      <c r="Z267" s="369" t="inlineStr">
        <is>
          <t xml:space="preserve">C </t>
        </is>
      </c>
      <c r="AA267" s="370" t="n"/>
      <c r="AB267" s="370" t="n"/>
      <c r="AC267" s="370" t="n"/>
      <c r="AD267" s="370" t="inlineStr">
        <is>
          <t>M-W NEW HERITAGE CRT</t>
        </is>
      </c>
      <c r="AE267" s="370" t="n"/>
      <c r="AF267" s="370" t="n"/>
      <c r="AG267" s="370" t="n"/>
      <c r="AH267" s="370" t="n"/>
      <c r="AI267" s="370" t="n"/>
      <c r="AK267" s="370" t="inlineStr">
        <is>
          <t xml:space="preserve">2010 LEASES.                                                      </t>
        </is>
      </c>
      <c r="AL267" s="370" t="n"/>
      <c r="AM267" s="370" t="n"/>
      <c r="AN267" s="370" t="n"/>
      <c r="AO267" s="370" t="n"/>
      <c r="AP267" s="370" t="n"/>
      <c r="AQ267" s="370" t="n"/>
    </row>
    <row r="268">
      <c r="A268" s="383" t="n">
        <v>6</v>
      </c>
      <c r="B268" s="370" t="n">
        <v>262</v>
      </c>
      <c r="C268" s="370" t="inlineStr">
        <is>
          <t>2013Q</t>
        </is>
      </c>
      <c r="D268" s="370" t="inlineStr">
        <is>
          <t xml:space="preserve">05281-14-017-000 </t>
        </is>
      </c>
      <c r="E268" s="369" t="inlineStr">
        <is>
          <t>Actual</t>
        </is>
      </c>
      <c r="F268" s="370" t="inlineStr">
        <is>
          <t>2140 S KALAMATH             ST</t>
        </is>
      </c>
      <c r="G268" s="370" t="n">
        <v>44.1</v>
      </c>
      <c r="H268" s="370" t="n">
        <v>9506</v>
      </c>
      <c r="I268" s="369" t="n">
        <v>0</v>
      </c>
      <c r="J268" s="674" t="n">
        <v>3987</v>
      </c>
      <c r="K268" s="675" t="n">
        <v>6.448457486832205</v>
      </c>
      <c r="L268" s="385" t="n">
        <v>0</v>
      </c>
      <c r="M268" s="374" t="n">
        <v>0.09953325554259043</v>
      </c>
      <c r="N268" s="370" t="n">
        <v>1960</v>
      </c>
      <c r="O268" s="370" t="n">
        <v>0</v>
      </c>
      <c r="P268" s="370" t="n">
        <v>0</v>
      </c>
      <c r="Q268" s="370" t="n">
        <v>12</v>
      </c>
      <c r="R268" s="370" t="n">
        <v>1</v>
      </c>
      <c r="S268" s="370" t="n">
        <v>2</v>
      </c>
      <c r="T268" s="369" t="inlineStr">
        <is>
          <t xml:space="preserve">I-A         </t>
        </is>
      </c>
      <c r="U268" s="370" t="n">
        <v>398</v>
      </c>
      <c r="V268" s="674" t="n">
        <v>9375</v>
      </c>
      <c r="W268" s="674" t="n">
        <v>9000</v>
      </c>
      <c r="X268" s="676" t="inlineStr">
        <is>
          <t>2.4:1</t>
        </is>
      </c>
      <c r="Y268" s="674" t="n">
        <v>4000</v>
      </c>
      <c r="Z268" s="369" t="inlineStr">
        <is>
          <t xml:space="preserve">C </t>
        </is>
      </c>
      <c r="AA268" s="370" t="n"/>
      <c r="AB268" s="370" t="n"/>
      <c r="AC268" s="370" t="n"/>
      <c r="AD268" s="370" t="inlineStr">
        <is>
          <t>M-W GUS SHEKER STUDI</t>
        </is>
      </c>
      <c r="AE268" s="370" t="n"/>
      <c r="AF268" s="370" t="n"/>
      <c r="AG268" s="370" t="n"/>
      <c r="AH268" s="370" t="n"/>
      <c r="AI268" s="370" t="n"/>
      <c r="AK268" s="370" t="inlineStr">
        <is>
          <t xml:space="preserve">2009/2010 LEASES.                                                 </t>
        </is>
      </c>
      <c r="AL268" s="370" t="n"/>
      <c r="AM268" s="370" t="n"/>
      <c r="AN268" s="370" t="n"/>
      <c r="AO268" s="370" t="n"/>
      <c r="AP268" s="370" t="n"/>
      <c r="AQ268" s="370" t="n"/>
    </row>
    <row r="269">
      <c r="A269" s="383" t="n">
        <v>6</v>
      </c>
      <c r="B269" s="370" t="n">
        <v>263</v>
      </c>
      <c r="C269" s="370" t="inlineStr">
        <is>
          <t>2013Q</t>
        </is>
      </c>
      <c r="D269" s="370" t="inlineStr">
        <is>
          <t xml:space="preserve">05281-14-018-000 </t>
        </is>
      </c>
      <c r="E269" s="369" t="inlineStr">
        <is>
          <t>Actual</t>
        </is>
      </c>
      <c r="F269" s="370" t="inlineStr">
        <is>
          <t>2150 S KALAMATH             ST</t>
        </is>
      </c>
      <c r="G269" s="370" t="n">
        <v>44.1</v>
      </c>
      <c r="H269" s="370" t="n">
        <v>9506</v>
      </c>
      <c r="I269" s="369" t="n">
        <v>0</v>
      </c>
      <c r="J269" s="674" t="n">
        <v>4000</v>
      </c>
      <c r="K269" s="675" t="n">
        <v>6.58</v>
      </c>
      <c r="L269" s="385" t="n">
        <v>0</v>
      </c>
      <c r="M269" s="374" t="n">
        <v>0.2050151975683891</v>
      </c>
      <c r="N269" s="370" t="n">
        <v>1962</v>
      </c>
      <c r="O269" s="370" t="n">
        <v>0</v>
      </c>
      <c r="P269" s="370" t="n">
        <v>0</v>
      </c>
      <c r="Q269" s="370" t="n">
        <v>12</v>
      </c>
      <c r="R269" s="370" t="n">
        <v>1</v>
      </c>
      <c r="S269" s="370" t="n">
        <v>1</v>
      </c>
      <c r="T269" s="369" t="inlineStr">
        <is>
          <t xml:space="preserve">I-A         </t>
        </is>
      </c>
      <c r="U269" s="370" t="n">
        <v>398</v>
      </c>
      <c r="V269" s="674" t="n">
        <v>9375</v>
      </c>
      <c r="W269" s="674" t="n">
        <v>9000</v>
      </c>
      <c r="X269" s="676" t="inlineStr">
        <is>
          <t>2.3:1</t>
        </is>
      </c>
      <c r="Y269" s="674" t="n">
        <v>4000</v>
      </c>
      <c r="Z269" s="369" t="inlineStr">
        <is>
          <t xml:space="preserve">C </t>
        </is>
      </c>
      <c r="AA269" s="370" t="n"/>
      <c r="AB269" s="370" t="n"/>
      <c r="AC269" s="370" t="n"/>
      <c r="AD269" s="370" t="inlineStr">
        <is>
          <t xml:space="preserve">S-W ABLE SIGN       </t>
        </is>
      </c>
      <c r="AE269" s="370" t="n"/>
      <c r="AF269" s="370" t="n"/>
      <c r="AG269" s="370" t="n"/>
      <c r="AH269" s="370" t="n"/>
      <c r="AI269" s="370" t="n"/>
      <c r="AK269" s="370" t="inlineStr">
        <is>
          <t xml:space="preserve">2009 LEASES.                                                      </t>
        </is>
      </c>
      <c r="AL269" s="370" t="n"/>
      <c r="AM269" s="370" t="n"/>
      <c r="AN269" s="370" t="n"/>
      <c r="AO269" s="370" t="n"/>
      <c r="AP269" s="370" t="n"/>
      <c r="AQ269" s="370" t="n"/>
    </row>
    <row r="270">
      <c r="A270" s="383" t="n">
        <v>6</v>
      </c>
      <c r="B270" s="370" t="n">
        <v>264</v>
      </c>
      <c r="C270" s="370" t="inlineStr">
        <is>
          <t>2013Q</t>
        </is>
      </c>
      <c r="D270" s="370" t="inlineStr">
        <is>
          <t xml:space="preserve">05281-14-019-000 </t>
        </is>
      </c>
      <c r="E270" s="369" t="inlineStr">
        <is>
          <t>Actual</t>
        </is>
      </c>
      <c r="F270" s="370" t="inlineStr">
        <is>
          <t>2168 S KALAMATH             ST</t>
        </is>
      </c>
      <c r="G270" s="370" t="n">
        <v>47.2</v>
      </c>
      <c r="H270" s="370" t="n">
        <v>9506</v>
      </c>
      <c r="I270" s="369" t="n">
        <v>0</v>
      </c>
      <c r="J270" s="674" t="n">
        <v>4000</v>
      </c>
      <c r="K270" s="675" t="n">
        <v>6.69</v>
      </c>
      <c r="L270" s="385" t="n">
        <v>0</v>
      </c>
      <c r="M270" s="374" t="n">
        <v>0.109678624813154</v>
      </c>
      <c r="N270" s="370" t="n">
        <v>1956</v>
      </c>
      <c r="O270" s="370" t="n">
        <v>200</v>
      </c>
      <c r="P270" s="370" t="n">
        <v>0</v>
      </c>
      <c r="Q270" s="370" t="n">
        <v>14</v>
      </c>
      <c r="R270" s="370" t="n">
        <v>1</v>
      </c>
      <c r="S270" s="370" t="n">
        <v>1</v>
      </c>
      <c r="T270" s="369" t="inlineStr">
        <is>
          <t xml:space="preserve">I-A         </t>
        </is>
      </c>
      <c r="U270" s="370" t="n">
        <v>401</v>
      </c>
      <c r="V270" s="674" t="n">
        <v>12500</v>
      </c>
      <c r="W270" s="674" t="n">
        <v>13000</v>
      </c>
      <c r="X270" s="676" t="inlineStr">
        <is>
          <t>3.1:1</t>
        </is>
      </c>
      <c r="Y270" s="674" t="n">
        <v>4000</v>
      </c>
      <c r="Z270" s="369" t="inlineStr">
        <is>
          <t xml:space="preserve">C </t>
        </is>
      </c>
      <c r="AA270" s="370" t="n"/>
      <c r="AB270" s="370" t="n"/>
      <c r="AC270" s="370" t="n"/>
      <c r="AD270" s="370" t="inlineStr">
        <is>
          <t xml:space="preserve">S-F ELEMER'S MANUF. </t>
        </is>
      </c>
      <c r="AE270" s="370" t="n"/>
      <c r="AF270" s="370" t="n"/>
      <c r="AG270" s="370" t="n"/>
      <c r="AH270" s="370" t="n"/>
      <c r="AI270" s="370" t="n"/>
      <c r="AK270" s="370" t="inlineStr">
        <is>
          <t xml:space="preserve">2009 LEASES.                                                      </t>
        </is>
      </c>
      <c r="AL270" s="370" t="n"/>
      <c r="AM270" s="370" t="n"/>
      <c r="AN270" s="370" t="n"/>
      <c r="AO270" s="370" t="n"/>
      <c r="AP270" s="370" t="n"/>
      <c r="AQ270" s="370" t="n"/>
    </row>
    <row r="271">
      <c r="A271" s="383" t="n">
        <v>6</v>
      </c>
      <c r="B271" s="370" t="n">
        <v>265</v>
      </c>
      <c r="C271" s="370" t="inlineStr">
        <is>
          <t>2013Q</t>
        </is>
      </c>
      <c r="D271" s="370" t="inlineStr">
        <is>
          <t xml:space="preserve">05281-15-013-000 </t>
        </is>
      </c>
      <c r="E271" s="369" t="inlineStr">
        <is>
          <t>Actual</t>
        </is>
      </c>
      <c r="F271" s="370" t="inlineStr">
        <is>
          <t>1130 W EVANS                AV</t>
        </is>
      </c>
      <c r="G271" s="370" t="n">
        <v>44.2</v>
      </c>
      <c r="H271" s="370" t="n">
        <v>9506</v>
      </c>
      <c r="I271" s="369" t="n">
        <v>0</v>
      </c>
      <c r="J271" s="674" t="n">
        <v>10010</v>
      </c>
      <c r="K271" s="675" t="n">
        <v>5.921278721278721</v>
      </c>
      <c r="L271" s="385" t="n">
        <v>0</v>
      </c>
      <c r="M271" s="374" t="n">
        <v>0.07271561614252936</v>
      </c>
      <c r="N271" s="370" t="n">
        <v>1961</v>
      </c>
      <c r="O271" s="370" t="n">
        <v>1135</v>
      </c>
      <c r="P271" s="370" t="n">
        <v>0</v>
      </c>
      <c r="Q271" s="370" t="n">
        <v>14</v>
      </c>
      <c r="R271" s="370" t="n">
        <v>1</v>
      </c>
      <c r="S271" s="370" t="n">
        <v>1</v>
      </c>
      <c r="T271" s="369" t="inlineStr">
        <is>
          <t xml:space="preserve">I-A         </t>
        </is>
      </c>
      <c r="U271" s="370" t="n">
        <v>397</v>
      </c>
      <c r="V271" s="674" t="n">
        <v>15625</v>
      </c>
      <c r="W271" s="674" t="n">
        <v>16000</v>
      </c>
      <c r="X271" s="676" t="inlineStr">
        <is>
          <t>1.6:1</t>
        </is>
      </c>
      <c r="Y271" s="674" t="n">
        <v>10000</v>
      </c>
      <c r="Z271" s="369" t="inlineStr">
        <is>
          <t xml:space="preserve">C </t>
        </is>
      </c>
      <c r="AA271" s="370" t="n"/>
      <c r="AB271" s="370" t="n"/>
      <c r="AC271" s="370" t="n"/>
      <c r="AD271" s="370" t="inlineStr">
        <is>
          <t>                    </t>
        </is>
      </c>
      <c r="AE271" s="370" t="n"/>
      <c r="AF271" s="370" t="n"/>
      <c r="AG271" s="370" t="n"/>
      <c r="AH271" s="370" t="n"/>
      <c r="AI271" s="370" t="n"/>
      <c r="AK271" s="370" t="inlineStr">
        <is>
          <t xml:space="preserve">2009 LEASE.                                                       </t>
        </is>
      </c>
      <c r="AL271" s="370" t="n"/>
      <c r="AM271" s="370" t="n"/>
      <c r="AN271" s="370" t="n"/>
      <c r="AO271" s="370" t="n"/>
      <c r="AP271" s="370" t="n"/>
      <c r="AQ271" s="370" t="n"/>
    </row>
    <row r="272">
      <c r="A272" s="383" t="n">
        <v>6</v>
      </c>
      <c r="B272" s="370" t="n">
        <v>266</v>
      </c>
      <c r="C272" s="370" t="inlineStr">
        <is>
          <t>2013Q</t>
        </is>
      </c>
      <c r="D272" s="370" t="inlineStr">
        <is>
          <t xml:space="preserve">05281-17-024-000 </t>
        </is>
      </c>
      <c r="E272" s="369" t="inlineStr">
        <is>
          <t>Actual</t>
        </is>
      </c>
      <c r="F272" s="370" t="inlineStr">
        <is>
          <t>2240 S KALAMATH             ST</t>
        </is>
      </c>
      <c r="G272" s="370" t="n">
        <v>44.2</v>
      </c>
      <c r="H272" s="370" t="n">
        <v>9506</v>
      </c>
      <c r="I272" s="369" t="n">
        <v>0</v>
      </c>
      <c r="J272" s="674" t="n">
        <v>2000</v>
      </c>
      <c r="K272" s="675" t="n">
        <v>7.92</v>
      </c>
      <c r="L272" s="385" t="n">
        <v>0</v>
      </c>
      <c r="M272" s="374" t="n">
        <v>0.02626262626262626</v>
      </c>
      <c r="N272" s="370" t="n">
        <v>1962</v>
      </c>
      <c r="O272" s="370" t="n">
        <v>0</v>
      </c>
      <c r="P272" s="370" t="n">
        <v>0</v>
      </c>
      <c r="Q272" s="370" t="n">
        <v>12</v>
      </c>
      <c r="R272" s="370" t="n">
        <v>3</v>
      </c>
      <c r="S272" s="370" t="n">
        <v>1</v>
      </c>
      <c r="T272" s="369" t="inlineStr">
        <is>
          <t xml:space="preserve">I-A         </t>
        </is>
      </c>
      <c r="U272" s="370" t="n">
        <v>398</v>
      </c>
      <c r="V272" s="674" t="n">
        <v>12500</v>
      </c>
      <c r="W272" s="674" t="n">
        <v>13000</v>
      </c>
      <c r="X272" s="676" t="inlineStr">
        <is>
          <t>6.3:1</t>
        </is>
      </c>
      <c r="Y272" s="674" t="n">
        <v>2000</v>
      </c>
      <c r="Z272" s="369" t="inlineStr">
        <is>
          <t xml:space="preserve">C </t>
        </is>
      </c>
      <c r="AA272" s="370" t="n"/>
      <c r="AB272" s="370" t="n"/>
      <c r="AC272" s="370" t="n"/>
      <c r="AD272" s="370" t="inlineStr">
        <is>
          <t xml:space="preserve">S-W JT'S UPHOLSTERY </t>
        </is>
      </c>
      <c r="AE272" s="370" t="n"/>
      <c r="AF272" s="370" t="n"/>
      <c r="AG272" s="370" t="n"/>
      <c r="AH272" s="370" t="n"/>
      <c r="AI272" s="370" t="n"/>
      <c r="AK272" s="370" t="inlineStr">
        <is>
          <t xml:space="preserve">2010 LEASE.                                                       </t>
        </is>
      </c>
      <c r="AL272" s="370" t="n"/>
      <c r="AM272" s="370" t="n"/>
      <c r="AN272" s="370" t="n"/>
      <c r="AO272" s="370" t="n"/>
      <c r="AP272" s="370" t="n"/>
      <c r="AQ272" s="370" t="n"/>
    </row>
    <row r="273">
      <c r="A273" s="383" t="n">
        <v>6</v>
      </c>
      <c r="B273" s="370" t="n">
        <v>267</v>
      </c>
      <c r="C273" s="370" t="inlineStr">
        <is>
          <t>2013Q</t>
        </is>
      </c>
      <c r="D273" s="370" t="inlineStr">
        <is>
          <t xml:space="preserve">05281-18-042-000 </t>
        </is>
      </c>
      <c r="E273" s="369" t="inlineStr">
        <is>
          <t>Actual</t>
        </is>
      </c>
      <c r="F273" s="370" t="inlineStr">
        <is>
          <t>2231 S PLATTE RIVER         DR</t>
        </is>
      </c>
      <c r="G273" s="370" t="n">
        <v>44.1</v>
      </c>
      <c r="H273" s="370" t="n">
        <v>9506</v>
      </c>
      <c r="I273" s="369" t="n">
        <v>0</v>
      </c>
      <c r="J273" s="674" t="n">
        <v>4539</v>
      </c>
      <c r="K273" s="675" t="n">
        <v>6.609385327164573</v>
      </c>
      <c r="L273" s="385" t="n">
        <v>0</v>
      </c>
      <c r="M273" s="374" t="n">
        <v>0</v>
      </c>
      <c r="N273" s="370" t="n">
        <v>2006</v>
      </c>
      <c r="O273" s="370" t="n">
        <v>0</v>
      </c>
      <c r="P273" s="370" t="n">
        <v>0</v>
      </c>
      <c r="Q273" s="370" t="n">
        <v>16</v>
      </c>
      <c r="R273" s="370" t="n">
        <v>1</v>
      </c>
      <c r="S273" s="370" t="n">
        <v>1</v>
      </c>
      <c r="T273" s="369" t="inlineStr">
        <is>
          <t xml:space="preserve">I-A         </t>
        </is>
      </c>
      <c r="U273" s="370" t="n">
        <v>398</v>
      </c>
      <c r="V273" s="674" t="n">
        <v>6650</v>
      </c>
      <c r="W273" s="674" t="n">
        <v>7000</v>
      </c>
      <c r="X273" s="676" t="inlineStr">
        <is>
          <t>1.5:1</t>
        </is>
      </c>
      <c r="Y273" s="674" t="n">
        <v>5000</v>
      </c>
      <c r="Z273" s="369" t="inlineStr">
        <is>
          <t xml:space="preserve">C </t>
        </is>
      </c>
      <c r="AA273" s="370" t="n"/>
      <c r="AB273" s="370" t="n"/>
      <c r="AC273" s="370" t="n"/>
      <c r="AD273" s="370" t="inlineStr">
        <is>
          <t xml:space="preserve">LIVING ARTS CENTER  </t>
        </is>
      </c>
      <c r="AE273" s="370" t="n"/>
      <c r="AF273" s="370" t="n"/>
      <c r="AG273" s="370" t="n"/>
      <c r="AH273" s="370" t="n"/>
      <c r="AI273" s="370" t="n"/>
      <c r="AK273" s="370" t="inlineStr">
        <is>
          <t>                                                                  </t>
        </is>
      </c>
      <c r="AL273" s="370" t="n"/>
      <c r="AM273" s="370" t="n"/>
      <c r="AN273" s="370" t="n"/>
      <c r="AO273" s="370" t="n"/>
      <c r="AP273" s="370" t="n"/>
      <c r="AQ273" s="370" t="n"/>
    </row>
    <row r="274">
      <c r="A274" s="383" t="n">
        <v>6</v>
      </c>
      <c r="B274" s="370" t="n">
        <v>268</v>
      </c>
      <c r="C274" s="370" t="inlineStr">
        <is>
          <t>2013Q</t>
        </is>
      </c>
      <c r="D274" s="370" t="inlineStr">
        <is>
          <t xml:space="preserve">05284-02-010-000 </t>
        </is>
      </c>
      <c r="E274" s="369" t="inlineStr">
        <is>
          <t>Actual</t>
        </is>
      </c>
      <c r="F274" s="370" t="inlineStr">
        <is>
          <t>2301 S INCA                 ST</t>
        </is>
      </c>
      <c r="G274" s="370" t="n">
        <v>44.1</v>
      </c>
      <c r="H274" s="370" t="n">
        <v>9506</v>
      </c>
      <c r="I274" s="369" t="n">
        <v>0</v>
      </c>
      <c r="J274" s="674" t="n">
        <v>10005</v>
      </c>
      <c r="K274" s="675" t="n">
        <v>6.026986506746627</v>
      </c>
      <c r="L274" s="385" t="n">
        <v>0</v>
      </c>
      <c r="M274" s="374" t="n">
        <v>0.01658374792703151</v>
      </c>
      <c r="N274" s="370" t="n">
        <v>1965</v>
      </c>
      <c r="O274" s="370" t="n">
        <v>2142</v>
      </c>
      <c r="P274" s="370" t="n">
        <v>0</v>
      </c>
      <c r="Q274" s="370" t="n">
        <v>13</v>
      </c>
      <c r="R274" s="370" t="n">
        <v>1</v>
      </c>
      <c r="S274" s="370" t="n">
        <v>1</v>
      </c>
      <c r="T274" s="369" t="inlineStr">
        <is>
          <t xml:space="preserve">I-A         </t>
        </is>
      </c>
      <c r="U274" s="370" t="n">
        <v>398</v>
      </c>
      <c r="V274" s="674" t="n">
        <v>12500</v>
      </c>
      <c r="W274" s="674" t="n">
        <v>13000</v>
      </c>
      <c r="X274" s="676" t="inlineStr">
        <is>
          <t>1.2:1</t>
        </is>
      </c>
      <c r="Y274" s="674" t="n">
        <v>10000</v>
      </c>
      <c r="Z274" s="369" t="inlineStr">
        <is>
          <t>C+</t>
        </is>
      </c>
      <c r="AA274" s="370" t="n"/>
      <c r="AB274" s="370" t="n"/>
      <c r="AC274" s="370" t="n"/>
      <c r="AD274" s="370" t="inlineStr">
        <is>
          <t xml:space="preserve">S-D STRUBLE         </t>
        </is>
      </c>
      <c r="AE274" s="370" t="n"/>
      <c r="AF274" s="370" t="n"/>
      <c r="AG274" s="370" t="n"/>
      <c r="AH274" s="370" t="n"/>
      <c r="AI274" s="370" t="n"/>
      <c r="AK274" s="370" t="inlineStr">
        <is>
          <t xml:space="preserve">2010 LEASE.                                                       </t>
        </is>
      </c>
      <c r="AL274" s="370" t="n"/>
      <c r="AM274" s="370" t="n"/>
      <c r="AN274" s="370" t="n"/>
      <c r="AO274" s="370" t="n"/>
      <c r="AP274" s="370" t="n"/>
      <c r="AQ274" s="370" t="n"/>
    </row>
    <row r="275">
      <c r="A275" s="383" t="n">
        <v>6</v>
      </c>
      <c r="B275" s="370" t="n">
        <v>269</v>
      </c>
      <c r="C275" s="370" t="inlineStr">
        <is>
          <t>2013Q</t>
        </is>
      </c>
      <c r="D275" s="370" t="inlineStr">
        <is>
          <t xml:space="preserve">05284-02-022-000 </t>
        </is>
      </c>
      <c r="E275" s="369" t="inlineStr">
        <is>
          <t>Actual</t>
        </is>
      </c>
      <c r="F275" s="370" t="inlineStr">
        <is>
          <t>2395 S PLATTE RIVER         DR</t>
        </is>
      </c>
      <c r="G275" s="370" t="n">
        <v>44.2</v>
      </c>
      <c r="H275" s="370" t="n">
        <v>9506</v>
      </c>
      <c r="I275" s="369" t="n">
        <v>0</v>
      </c>
      <c r="J275" s="674" t="n">
        <v>4916</v>
      </c>
      <c r="K275" s="675" t="n">
        <v>7.323026851098454</v>
      </c>
      <c r="L275" s="385" t="n">
        <v>0</v>
      </c>
      <c r="M275" s="374" t="n">
        <v>0</v>
      </c>
      <c r="N275" s="370" t="n">
        <v>1973</v>
      </c>
      <c r="O275" s="370" t="n">
        <v>1327</v>
      </c>
      <c r="P275" s="370" t="n">
        <v>0</v>
      </c>
      <c r="Q275" s="370" t="n">
        <v>14</v>
      </c>
      <c r="R275" s="370" t="n">
        <v>6</v>
      </c>
      <c r="S275" s="370" t="n">
        <v>1</v>
      </c>
      <c r="T275" s="369" t="inlineStr">
        <is>
          <t xml:space="preserve">I-A         </t>
        </is>
      </c>
      <c r="U275" s="370" t="n">
        <v>398</v>
      </c>
      <c r="V275" s="674" t="n">
        <v>6250</v>
      </c>
      <c r="W275" s="674" t="n">
        <v>6000</v>
      </c>
      <c r="X275" s="676" t="inlineStr">
        <is>
          <t>1.3:1</t>
        </is>
      </c>
      <c r="Y275" s="674" t="n">
        <v>5000</v>
      </c>
      <c r="Z275" s="369" t="inlineStr">
        <is>
          <t xml:space="preserve">C </t>
        </is>
      </c>
      <c r="AA275" s="370" t="n"/>
      <c r="AB275" s="370" t="n"/>
      <c r="AC275" s="370" t="n"/>
      <c r="AD275" s="370" t="inlineStr">
        <is>
          <t xml:space="preserve">S-W ESSCO CARPET    </t>
        </is>
      </c>
      <c r="AE275" s="370" t="n"/>
      <c r="AF275" s="370" t="n"/>
      <c r="AG275" s="370" t="n"/>
      <c r="AH275" s="370" t="n"/>
      <c r="AI275" s="370" t="n"/>
      <c r="AK275" s="370" t="inlineStr">
        <is>
          <t xml:space="preserve">COMMENCEMENT DATE OF LEASE UNKNOWN.                               </t>
        </is>
      </c>
      <c r="AL275" s="370" t="n"/>
      <c r="AM275" s="370" t="n"/>
      <c r="AN275" s="370" t="n"/>
      <c r="AO275" s="370" t="n"/>
      <c r="AP275" s="370" t="n"/>
      <c r="AQ275" s="370" t="n"/>
    </row>
    <row r="276">
      <c r="A276" s="383" t="n">
        <v>6</v>
      </c>
      <c r="B276" s="370" t="n">
        <v>270</v>
      </c>
      <c r="C276" s="370" t="inlineStr">
        <is>
          <t>2013Q</t>
        </is>
      </c>
      <c r="D276" s="370" t="inlineStr">
        <is>
          <t xml:space="preserve">05284-02-031-000 </t>
        </is>
      </c>
      <c r="E276" s="369" t="inlineStr">
        <is>
          <t>Actual</t>
        </is>
      </c>
      <c r="F276" s="370" t="inlineStr">
        <is>
          <t>2335 S INCA                 ST</t>
        </is>
      </c>
      <c r="G276" s="370" t="n">
        <v>44.2</v>
      </c>
      <c r="H276" s="370" t="n">
        <v>9506</v>
      </c>
      <c r="I276" s="369" t="n">
        <v>0</v>
      </c>
      <c r="J276" s="674" t="n">
        <v>10073</v>
      </c>
      <c r="K276" s="675" t="n">
        <v>4.169562195969423</v>
      </c>
      <c r="L276" s="385" t="n">
        <v>0</v>
      </c>
      <c r="M276" s="374" t="n">
        <v>0.07097619047619047</v>
      </c>
      <c r="N276" s="370" t="n">
        <v>1973</v>
      </c>
      <c r="O276" s="370" t="n">
        <v>2805</v>
      </c>
      <c r="P276" s="370" t="n">
        <v>0</v>
      </c>
      <c r="Q276" s="370" t="n">
        <v>12</v>
      </c>
      <c r="R276" s="370" t="n">
        <v>1</v>
      </c>
      <c r="S276" s="370" t="n">
        <v>1</v>
      </c>
      <c r="T276" s="369" t="inlineStr">
        <is>
          <t xml:space="preserve">I-A         </t>
        </is>
      </c>
      <c r="U276" s="370" t="n">
        <v>398</v>
      </c>
      <c r="V276" s="674" t="n">
        <v>12500</v>
      </c>
      <c r="W276" s="674" t="n">
        <v>13000</v>
      </c>
      <c r="X276" s="676" t="inlineStr">
        <is>
          <t>1.2:1</t>
        </is>
      </c>
      <c r="Y276" s="674" t="n">
        <v>10000</v>
      </c>
      <c r="Z276" s="369" t="inlineStr">
        <is>
          <t xml:space="preserve">C </t>
        </is>
      </c>
      <c r="AA276" s="370" t="n"/>
      <c r="AB276" s="370" t="n"/>
      <c r="AC276" s="370" t="n"/>
      <c r="AD276" s="370" t="inlineStr">
        <is>
          <t>LAUNDRY/DRY CLEANERS</t>
        </is>
      </c>
      <c r="AE276" s="370" t="n"/>
      <c r="AF276" s="370" t="n"/>
      <c r="AG276" s="370" t="n"/>
      <c r="AH276" s="370" t="n"/>
      <c r="AI276" s="370" t="n"/>
      <c r="AK276" s="370" t="inlineStr">
        <is>
          <t xml:space="preserve">COMMENCEMENT DATE OF MO-TO-MO UNKNOWN.                            </t>
        </is>
      </c>
      <c r="AL276" s="370" t="n"/>
      <c r="AM276" s="370" t="n"/>
      <c r="AN276" s="370" t="n"/>
      <c r="AO276" s="370" t="n"/>
      <c r="AP276" s="370" t="n"/>
      <c r="AQ276" s="370" t="n"/>
    </row>
    <row r="277">
      <c r="A277" s="383" t="n">
        <v>6</v>
      </c>
      <c r="B277" s="370" t="n">
        <v>271</v>
      </c>
      <c r="C277" s="370" t="inlineStr">
        <is>
          <t>2013Q</t>
        </is>
      </c>
      <c r="D277" s="370" t="inlineStr">
        <is>
          <t xml:space="preserve">05284-03-018-000 </t>
        </is>
      </c>
      <c r="E277" s="369" t="inlineStr">
        <is>
          <t>Actual</t>
        </is>
      </c>
      <c r="F277" s="370" t="inlineStr">
        <is>
          <t>2390 S KALAMATH             ST</t>
        </is>
      </c>
      <c r="G277" s="370" t="n">
        <v>44.2</v>
      </c>
      <c r="H277" s="370" t="n">
        <v>9506</v>
      </c>
      <c r="I277" s="369" t="n">
        <v>0</v>
      </c>
      <c r="J277" s="674" t="n">
        <v>12000</v>
      </c>
      <c r="K277" s="675" t="n">
        <v>6.625</v>
      </c>
      <c r="L277" s="385" t="n">
        <v>0.17</v>
      </c>
      <c r="M277" s="374" t="n">
        <v>0.08966037735849057</v>
      </c>
      <c r="N277" s="370" t="n">
        <v>1973</v>
      </c>
      <c r="O277" s="370" t="n">
        <v>1440</v>
      </c>
      <c r="P277" s="370" t="n">
        <v>0</v>
      </c>
      <c r="Q277" s="370" t="n">
        <v>14</v>
      </c>
      <c r="R277" s="370" t="n">
        <v>1</v>
      </c>
      <c r="S277" s="370" t="n">
        <v>1</v>
      </c>
      <c r="T277" s="369" t="inlineStr">
        <is>
          <t xml:space="preserve">I-A         </t>
        </is>
      </c>
      <c r="U277" s="370" t="n">
        <v>398</v>
      </c>
      <c r="V277" s="674" t="n">
        <v>18750</v>
      </c>
      <c r="W277" s="674" t="n">
        <v>19000</v>
      </c>
      <c r="X277" s="676" t="inlineStr">
        <is>
          <t>1.6:1</t>
        </is>
      </c>
      <c r="Y277" s="674" t="n">
        <v>12000</v>
      </c>
      <c r="Z277" s="369" t="inlineStr">
        <is>
          <t xml:space="preserve">C </t>
        </is>
      </c>
      <c r="AA277" s="370" t="n"/>
      <c r="AB277" s="370" t="n"/>
      <c r="AC277" s="370" t="n"/>
      <c r="AD277" s="370" t="inlineStr">
        <is>
          <t>                    </t>
        </is>
      </c>
      <c r="AE277" s="370" t="n"/>
      <c r="AF277" s="370" t="n"/>
      <c r="AG277" s="370" t="n"/>
      <c r="AH277" s="370" t="n"/>
      <c r="AI277" s="370" t="n"/>
      <c r="AK277" s="370" t="inlineStr">
        <is>
          <t>                                                                  </t>
        </is>
      </c>
      <c r="AL277" s="370" t="n"/>
      <c r="AM277" s="370" t="n"/>
      <c r="AN277" s="370" t="n"/>
      <c r="AO277" s="370" t="n"/>
      <c r="AP277" s="370" t="n"/>
      <c r="AQ277" s="370" t="n"/>
    </row>
    <row r="278">
      <c r="A278" s="383" t="n">
        <v>6</v>
      </c>
      <c r="B278" s="370" t="n">
        <v>272</v>
      </c>
      <c r="C278" s="370" t="inlineStr">
        <is>
          <t>2013Q</t>
        </is>
      </c>
      <c r="D278" s="370" t="inlineStr">
        <is>
          <t xml:space="preserve">06282-02-031-000 </t>
        </is>
      </c>
      <c r="E278" s="369" t="inlineStr">
        <is>
          <t>Actual</t>
        </is>
      </c>
      <c r="F278" s="370" t="inlineStr">
        <is>
          <t>1955 S QUINCE               ST</t>
        </is>
      </c>
      <c r="G278" s="370" t="n">
        <v>47.1</v>
      </c>
      <c r="H278" s="370" t="n">
        <v>9603</v>
      </c>
      <c r="I278" s="369" t="n">
        <v>0</v>
      </c>
      <c r="J278" s="674" t="n">
        <v>42392</v>
      </c>
      <c r="K278" s="675" t="n">
        <v>3.466666666666667</v>
      </c>
      <c r="L278" s="385" t="n">
        <v>0</v>
      </c>
      <c r="M278" s="374" t="n">
        <v>0</v>
      </c>
      <c r="N278" s="370" t="n">
        <v>1982</v>
      </c>
      <c r="O278" s="370" t="n">
        <v>10323</v>
      </c>
      <c r="P278" s="370" t="n">
        <v>0</v>
      </c>
      <c r="Q278" s="370" t="n">
        <v>13</v>
      </c>
      <c r="R278" s="370" t="n">
        <v>10</v>
      </c>
      <c r="S278" s="370" t="n">
        <v>1</v>
      </c>
      <c r="T278" s="369" t="inlineStr">
        <is>
          <t xml:space="preserve">I-A         </t>
        </is>
      </c>
      <c r="U278" s="370" t="n">
        <v>401</v>
      </c>
      <c r="V278" s="674" t="n">
        <v>83665</v>
      </c>
      <c r="W278" s="674" t="n">
        <v>84000</v>
      </c>
      <c r="X278" s="676" t="inlineStr">
        <is>
          <t>2:1</t>
        </is>
      </c>
      <c r="Y278" s="674" t="n">
        <v>42000</v>
      </c>
      <c r="Z278" s="369" t="inlineStr">
        <is>
          <t xml:space="preserve">C </t>
        </is>
      </c>
      <c r="AA278" s="370" t="n"/>
      <c r="AB278" s="370" t="n"/>
      <c r="AC278" s="370" t="n"/>
      <c r="AD278" s="370" t="inlineStr">
        <is>
          <t xml:space="preserve">MANUFACTURING BLDG  </t>
        </is>
      </c>
      <c r="AE278" s="370" t="n"/>
      <c r="AF278" s="370" t="n"/>
      <c r="AG278" s="370" t="n"/>
      <c r="AH278" s="370" t="n"/>
      <c r="AI278" s="370" t="n"/>
      <c r="AK278" s="370" t="inlineStr">
        <is>
          <t>                                                                  </t>
        </is>
      </c>
      <c r="AL278" s="370" t="n"/>
      <c r="AM278" s="370" t="n"/>
      <c r="AN278" s="370" t="n"/>
      <c r="AO278" s="370" t="n"/>
      <c r="AP278" s="370" t="n"/>
      <c r="AQ278" s="370" t="n"/>
    </row>
    <row r="279">
      <c r="A279" s="383" t="n">
        <v>6</v>
      </c>
      <c r="B279" s="370" t="n">
        <v>273</v>
      </c>
      <c r="C279" s="370" t="inlineStr">
        <is>
          <t>2013Q</t>
        </is>
      </c>
      <c r="D279" s="370" t="inlineStr">
        <is>
          <t xml:space="preserve">06292-10-001-000 </t>
        </is>
      </c>
      <c r="E279" s="369" t="inlineStr">
        <is>
          <t>Actual</t>
        </is>
      </c>
      <c r="F279" s="370" t="inlineStr">
        <is>
          <t>5995 E EVANS                AV</t>
        </is>
      </c>
      <c r="G279" s="370" t="n">
        <v>44.1</v>
      </c>
      <c r="H279" s="370" t="n">
        <v>9603</v>
      </c>
      <c r="I279" s="369" t="n">
        <v>7</v>
      </c>
      <c r="J279" s="674" t="n">
        <v>25804</v>
      </c>
      <c r="K279" s="675" t="n">
        <v>6.439931793520384</v>
      </c>
      <c r="L279" s="385" t="n">
        <v>0</v>
      </c>
      <c r="M279" s="374" t="n">
        <v>0</v>
      </c>
      <c r="N279" s="370" t="n">
        <v>1974</v>
      </c>
      <c r="O279" s="370" t="n">
        <v>0</v>
      </c>
      <c r="P279" s="370" t="n">
        <v>7752</v>
      </c>
      <c r="Q279" s="370" t="n">
        <v>16</v>
      </c>
      <c r="R279" s="370" t="n">
        <v>7</v>
      </c>
      <c r="S279" s="370" t="n">
        <v>1</v>
      </c>
      <c r="T279" s="369" t="inlineStr">
        <is>
          <t xml:space="preserve">I-MX-3      </t>
        </is>
      </c>
      <c r="U279" s="370" t="n">
        <v>398</v>
      </c>
      <c r="V279" s="674" t="n">
        <v>51719</v>
      </c>
      <c r="W279" s="674" t="n">
        <v>52000</v>
      </c>
      <c r="X279" s="676" t="inlineStr">
        <is>
          <t>2:1</t>
        </is>
      </c>
      <c r="Y279" s="674" t="n">
        <v>26000</v>
      </c>
      <c r="Z279" s="369" t="inlineStr">
        <is>
          <t xml:space="preserve">C </t>
        </is>
      </c>
      <c r="AA279" s="370" t="n"/>
      <c r="AB279" s="370" t="n"/>
      <c r="AC279" s="370" t="n"/>
      <c r="AD279" s="370" t="inlineStr">
        <is>
          <t xml:space="preserve">FACTORY OUTLET      </t>
        </is>
      </c>
      <c r="AE279" s="370" t="n"/>
      <c r="AF279" s="370" t="n"/>
      <c r="AG279" s="370" t="n"/>
      <c r="AH279" s="370" t="n"/>
      <c r="AI279" s="370" t="n"/>
      <c r="AK279" s="370" t="inlineStr">
        <is>
          <t>                                                                  </t>
        </is>
      </c>
      <c r="AL279" s="370" t="n"/>
      <c r="AM279" s="370" t="n"/>
      <c r="AN279" s="370" t="n"/>
      <c r="AO279" s="370" t="n"/>
      <c r="AP279" s="370" t="n"/>
      <c r="AQ279" s="370" t="n"/>
    </row>
    <row r="280">
      <c r="A280" s="383" t="n">
        <v>6</v>
      </c>
      <c r="B280" s="370" t="n">
        <v>274</v>
      </c>
      <c r="C280" s="370" t="inlineStr">
        <is>
          <t>2013Q</t>
        </is>
      </c>
      <c r="D280" s="370" t="inlineStr">
        <is>
          <t xml:space="preserve">06292-10-004-000 </t>
        </is>
      </c>
      <c r="E280" s="369" t="inlineStr">
        <is>
          <t>Actual</t>
        </is>
      </c>
      <c r="F280" s="370" t="inlineStr">
        <is>
          <t>5885 E EVANS                AV</t>
        </is>
      </c>
      <c r="G280" s="370" t="n">
        <v>44.1</v>
      </c>
      <c r="H280" s="370" t="n">
        <v>9603</v>
      </c>
      <c r="I280" s="369" t="n">
        <v>0</v>
      </c>
      <c r="J280" s="674" t="n">
        <v>12244</v>
      </c>
      <c r="K280" s="675" t="n">
        <v>7.350539039529566</v>
      </c>
      <c r="L280" s="385" t="n">
        <v>0.3</v>
      </c>
      <c r="M280" s="374" t="n">
        <v>0</v>
      </c>
      <c r="N280" s="370" t="n">
        <v>1960</v>
      </c>
      <c r="O280" s="370" t="n">
        <v>5891</v>
      </c>
      <c r="P280" s="370" t="n">
        <v>0</v>
      </c>
      <c r="Q280" s="370" t="n">
        <v>13</v>
      </c>
      <c r="R280" s="370" t="n">
        <v>13</v>
      </c>
      <c r="S280" s="370" t="n">
        <v>1</v>
      </c>
      <c r="T280" s="369" t="inlineStr">
        <is>
          <t xml:space="preserve">I-MX-3      </t>
        </is>
      </c>
      <c r="U280" s="370" t="n">
        <v>398</v>
      </c>
      <c r="V280" s="674" t="n">
        <v>43775</v>
      </c>
      <c r="W280" s="674" t="n">
        <v>44000</v>
      </c>
      <c r="X280" s="676" t="inlineStr">
        <is>
          <t>3.6:1</t>
        </is>
      </c>
      <c r="Y280" s="674" t="n">
        <v>12000</v>
      </c>
      <c r="Z280" s="369" t="inlineStr">
        <is>
          <t xml:space="preserve">C </t>
        </is>
      </c>
      <c r="AA280" s="370" t="n"/>
      <c r="AB280" s="370" t="n"/>
      <c r="AC280" s="370" t="n"/>
      <c r="AD280" s="370" t="inlineStr">
        <is>
          <t xml:space="preserve">PRINTSHOP PLUS      </t>
        </is>
      </c>
      <c r="AE280" s="370" t="n"/>
      <c r="AF280" s="370" t="n"/>
      <c r="AG280" s="370" t="n"/>
      <c r="AH280" s="370" t="n"/>
      <c r="AI280" s="370" t="n"/>
      <c r="AK280" s="370" t="inlineStr">
        <is>
          <t xml:space="preserve">2009 LEASE.                                                       </t>
        </is>
      </c>
      <c r="AL280" s="370" t="n"/>
      <c r="AM280" s="370" t="n"/>
      <c r="AN280" s="370" t="n"/>
      <c r="AO280" s="370" t="n"/>
      <c r="AP280" s="370" t="n"/>
      <c r="AQ280" s="370" t="n"/>
    </row>
    <row r="281">
      <c r="A281" s="383" t="n">
        <v>6</v>
      </c>
      <c r="B281" s="370" t="n">
        <v>275</v>
      </c>
      <c r="C281" s="370" t="inlineStr">
        <is>
          <t>2013Q</t>
        </is>
      </c>
      <c r="D281" s="370" t="inlineStr">
        <is>
          <t xml:space="preserve">06301-12-009-000 </t>
        </is>
      </c>
      <c r="E281" s="369" t="inlineStr">
        <is>
          <t>Actual</t>
        </is>
      </c>
      <c r="F281" s="370" t="inlineStr">
        <is>
          <t>4990 E ASBURY               AV</t>
        </is>
      </c>
      <c r="G281" s="370" t="n">
        <v>44.2</v>
      </c>
      <c r="H281" s="370" t="n">
        <v>9603</v>
      </c>
      <c r="I281" s="369" t="n">
        <v>0</v>
      </c>
      <c r="J281" s="674" t="n">
        <v>4777</v>
      </c>
      <c r="K281" s="675" t="n">
        <v>8.138999371990788</v>
      </c>
      <c r="L281" s="385" t="n">
        <v>0</v>
      </c>
      <c r="M281" s="374" t="n">
        <v>0.06075102880658436</v>
      </c>
      <c r="N281" s="370" t="n">
        <v>1957</v>
      </c>
      <c r="O281" s="370" t="n">
        <v>1537</v>
      </c>
      <c r="P281" s="370" t="n">
        <v>0</v>
      </c>
      <c r="Q281" s="370" t="n">
        <v>10</v>
      </c>
      <c r="R281" s="370" t="n">
        <v>13</v>
      </c>
      <c r="S281" s="370" t="n">
        <v>1</v>
      </c>
      <c r="T281" s="369" t="inlineStr">
        <is>
          <t xml:space="preserve">I-MX-3      </t>
        </is>
      </c>
      <c r="U281" s="370" t="n">
        <v>398</v>
      </c>
      <c r="V281" s="674" t="n">
        <v>16345</v>
      </c>
      <c r="W281" s="674" t="n">
        <v>16000</v>
      </c>
      <c r="X281" s="676" t="inlineStr">
        <is>
          <t>3.4:1</t>
        </is>
      </c>
      <c r="Y281" s="674" t="n">
        <v>5000</v>
      </c>
      <c r="Z281" s="369" t="inlineStr">
        <is>
          <t xml:space="preserve">C </t>
        </is>
      </c>
      <c r="AA281" s="370" t="n"/>
      <c r="AB281" s="370" t="n"/>
      <c r="AC281" s="370" t="n"/>
      <c r="AD281" s="370" t="inlineStr">
        <is>
          <t xml:space="preserve">USED FOR DEAD STGE  </t>
        </is>
      </c>
      <c r="AE281" s="370" t="n"/>
      <c r="AF281" s="370" t="n"/>
      <c r="AG281" s="370" t="n"/>
      <c r="AH281" s="370" t="n"/>
      <c r="AI281" s="370" t="n"/>
      <c r="AK281" s="370" t="inlineStr">
        <is>
          <t xml:space="preserve">2009 LEASE.                                                       </t>
        </is>
      </c>
      <c r="AL281" s="370" t="n"/>
      <c r="AM281" s="370" t="n"/>
      <c r="AN281" s="370" t="n"/>
      <c r="AO281" s="370" t="n"/>
      <c r="AP281" s="370" t="n"/>
      <c r="AQ281" s="370" t="n"/>
    </row>
    <row r="282">
      <c r="A282" s="383" t="n">
        <v>6</v>
      </c>
      <c r="B282" s="370" t="n">
        <v>276</v>
      </c>
      <c r="C282" s="370" t="inlineStr">
        <is>
          <t>2013Q</t>
        </is>
      </c>
      <c r="D282" s="370" t="inlineStr">
        <is>
          <t xml:space="preserve">06301-13-015-000 </t>
        </is>
      </c>
      <c r="E282" s="369" t="inlineStr">
        <is>
          <t>Actual</t>
        </is>
      </c>
      <c r="F282" s="370" t="inlineStr">
        <is>
          <t>2000 S DAHLIA               ST</t>
        </is>
      </c>
      <c r="G282" s="370" t="n">
        <v>44.1</v>
      </c>
      <c r="H282" s="370" t="n">
        <v>9603</v>
      </c>
      <c r="I282" s="369" t="n">
        <v>0</v>
      </c>
      <c r="J282" s="674" t="n">
        <v>19806</v>
      </c>
      <c r="K282" s="675" t="n">
        <v>10.53589958158996</v>
      </c>
      <c r="L282" s="385" t="n">
        <v>0.26</v>
      </c>
      <c r="M282" s="374" t="n">
        <v>0</v>
      </c>
      <c r="N282" s="370" t="n">
        <v>1970</v>
      </c>
      <c r="O282" s="370" t="n">
        <v>1211</v>
      </c>
      <c r="P282" s="370" t="n">
        <v>2984</v>
      </c>
      <c r="Q282" s="370" t="n">
        <v>14</v>
      </c>
      <c r="R282" s="370" t="n">
        <v>1</v>
      </c>
      <c r="S282" s="370" t="n">
        <v>2</v>
      </c>
      <c r="T282" s="369" t="inlineStr">
        <is>
          <t xml:space="preserve">I-MX-3      </t>
        </is>
      </c>
      <c r="U282" s="370" t="n">
        <v>398</v>
      </c>
      <c r="V282" s="674" t="n">
        <v>39818</v>
      </c>
      <c r="W282" s="674" t="n">
        <v>40000</v>
      </c>
      <c r="X282" s="676" t="inlineStr">
        <is>
          <t>2:1</t>
        </is>
      </c>
      <c r="Y282" s="674" t="n">
        <v>20000</v>
      </c>
      <c r="Z282" s="369" t="inlineStr">
        <is>
          <t xml:space="preserve">C </t>
        </is>
      </c>
      <c r="AA282" s="370" t="n"/>
      <c r="AB282" s="370" t="n"/>
      <c r="AC282" s="370" t="n"/>
      <c r="AD282" s="370" t="inlineStr">
        <is>
          <t xml:space="preserve">PASTORE'S ITALIAN   </t>
        </is>
      </c>
      <c r="AE282" s="370" t="n"/>
      <c r="AF282" s="370" t="n"/>
      <c r="AG282" s="370" t="n"/>
      <c r="AH282" s="370" t="n"/>
      <c r="AI282" s="370" t="n"/>
      <c r="AK282" s="370" t="inlineStr">
        <is>
          <t xml:space="preserve">NO BASIS TO ALLOC. EXPENSES BETWEEN OWNER AND TENANT.             </t>
        </is>
      </c>
      <c r="AL282" s="370" t="n"/>
      <c r="AM282" s="370" t="n"/>
      <c r="AN282" s="370" t="n"/>
      <c r="AO282" s="370" t="n"/>
      <c r="AP282" s="370" t="n"/>
      <c r="AQ282" s="370" t="n"/>
    </row>
    <row r="283">
      <c r="A283" s="383" t="n">
        <v>6</v>
      </c>
      <c r="B283" s="370" t="n">
        <v>277</v>
      </c>
      <c r="C283" s="370" t="inlineStr">
        <is>
          <t>2013Q</t>
        </is>
      </c>
      <c r="D283" s="370" t="inlineStr">
        <is>
          <t xml:space="preserve">06301-21-006-000 </t>
        </is>
      </c>
      <c r="E283" s="369" t="inlineStr">
        <is>
          <t>Actual</t>
        </is>
      </c>
      <c r="F283" s="370" t="inlineStr">
        <is>
          <t>2150 S GRAPE                ST</t>
        </is>
      </c>
      <c r="G283" s="370" t="n">
        <v>44.1</v>
      </c>
      <c r="H283" s="370" t="n">
        <v>9603</v>
      </c>
      <c r="I283" s="369" t="n">
        <v>0</v>
      </c>
      <c r="J283" s="674" t="n">
        <v>15347</v>
      </c>
      <c r="K283" s="675" t="n">
        <v>10.16485306574575</v>
      </c>
      <c r="L283" s="385" t="n">
        <v>0</v>
      </c>
      <c r="M283" s="374" t="n">
        <v>0</v>
      </c>
      <c r="N283" s="370" t="n">
        <v>1977</v>
      </c>
      <c r="O283" s="370" t="n">
        <v>2532</v>
      </c>
      <c r="P283" s="370" t="n">
        <v>0</v>
      </c>
      <c r="Q283" s="370" t="n">
        <v>18</v>
      </c>
      <c r="R283" s="370" t="n">
        <v>1</v>
      </c>
      <c r="S283" s="370" t="n">
        <v>1</v>
      </c>
      <c r="T283" s="369" t="inlineStr">
        <is>
          <t xml:space="preserve">I-MX-3      </t>
        </is>
      </c>
      <c r="U283" s="370" t="n">
        <v>398</v>
      </c>
      <c r="V283" s="674" t="n">
        <v>29232</v>
      </c>
      <c r="W283" s="674" t="n">
        <v>29000</v>
      </c>
      <c r="X283" s="676" t="inlineStr">
        <is>
          <t>1.9:1</t>
        </is>
      </c>
      <c r="Y283" s="674" t="n">
        <v>15000</v>
      </c>
      <c r="Z283" s="369" t="inlineStr">
        <is>
          <t xml:space="preserve">C </t>
        </is>
      </c>
      <c r="AA283" s="370" t="n"/>
      <c r="AB283" s="370" t="n"/>
      <c r="AC283" s="370" t="n"/>
      <c r="AD283" s="370" t="inlineStr">
        <is>
          <t>                    </t>
        </is>
      </c>
      <c r="AE283" s="370" t="n"/>
      <c r="AF283" s="370" t="n"/>
      <c r="AG283" s="370" t="n"/>
      <c r="AH283" s="370" t="n"/>
      <c r="AI283" s="370" t="n"/>
      <c r="AK283" s="370" t="inlineStr">
        <is>
          <t xml:space="preserve">2010 LEASE.                                                       </t>
        </is>
      </c>
      <c r="AL283" s="370" t="n"/>
      <c r="AM283" s="370" t="n"/>
      <c r="AN283" s="370" t="n"/>
      <c r="AO283" s="370" t="n"/>
      <c r="AP283" s="370" t="n"/>
      <c r="AQ283" s="370" t="n"/>
    </row>
    <row r="284">
      <c r="A284" s="248" t="n">
        <v>6</v>
      </c>
      <c r="B284" s="370" t="n">
        <v>324</v>
      </c>
      <c r="C284" s="254" t="inlineStr">
        <is>
          <t>2011Q</t>
        </is>
      </c>
      <c r="D284" s="245" t="inlineStr">
        <is>
          <t xml:space="preserve">01203-00-043-000 </t>
        </is>
      </c>
      <c r="E284" s="258" t="inlineStr">
        <is>
          <t>Actual</t>
        </is>
      </c>
      <c r="F284" s="259" t="inlineStr">
        <is>
          <t>3939   KEARNEY             ST</t>
        </is>
      </c>
      <c r="G284" s="253" t="n">
        <v>44.1</v>
      </c>
      <c r="H284" s="253" t="n">
        <v>9101</v>
      </c>
      <c r="I284" s="255" t="n">
        <v>0</v>
      </c>
      <c r="J284" s="678" t="n">
        <v>45583</v>
      </c>
      <c r="K284" s="679" t="n">
        <v>4.873132527477349</v>
      </c>
      <c r="L284" s="260" t="n">
        <v>0</v>
      </c>
      <c r="M284" s="262" t="n">
        <v>0.1080438658095187</v>
      </c>
      <c r="N284" s="253" t="n">
        <v>1959</v>
      </c>
      <c r="O284" s="250" t="n">
        <v>5531</v>
      </c>
      <c r="Q284" s="245" t="n">
        <v>14</v>
      </c>
      <c r="R284" s="245" t="n">
        <v>1</v>
      </c>
      <c r="S284" s="245" t="n">
        <v>1</v>
      </c>
      <c r="T284" s="249" t="inlineStr">
        <is>
          <t xml:space="preserve">I1   </t>
        </is>
      </c>
      <c r="U284" s="249" t="n">
        <v>398</v>
      </c>
      <c r="V284" s="678" t="n">
        <v>100759</v>
      </c>
      <c r="W284" s="678" t="n">
        <v>101000</v>
      </c>
      <c r="X284" s="356" t="inlineStr">
        <is>
          <t>2.2:1</t>
        </is>
      </c>
      <c r="Y284" s="678" t="n">
        <v>46000</v>
      </c>
      <c r="Z284" s="249" t="inlineStr">
        <is>
          <t xml:space="preserve">C </t>
        </is>
      </c>
      <c r="AC284" s="253" t="n"/>
      <c r="AD284" s="247" t="inlineStr">
        <is>
          <t>                    </t>
        </is>
      </c>
      <c r="AE284" s="680" t="n"/>
      <c r="AF284" s="680" t="n"/>
      <c r="AG284" s="680" t="n"/>
      <c r="AH284" s="680" t="n"/>
      <c r="AI284" s="680" t="n"/>
      <c r="AJ284" s="680" t="n"/>
      <c r="AK284" s="680" t="inlineStr">
        <is>
          <t xml:space="preserve">2008 LEASE.                                                       </t>
        </is>
      </c>
      <c r="AM284" s="245" t="inlineStr">
        <is>
          <t> </t>
        </is>
      </c>
    </row>
    <row r="285">
      <c r="A285" s="248" t="n">
        <v>6</v>
      </c>
      <c r="B285" s="370" t="n">
        <v>326</v>
      </c>
      <c r="C285" s="254" t="inlineStr">
        <is>
          <t>2011Q</t>
        </is>
      </c>
      <c r="D285" s="245" t="inlineStr">
        <is>
          <t xml:space="preserve">01203-00-134-000 </t>
        </is>
      </c>
      <c r="E285" s="258" t="inlineStr">
        <is>
          <t>Actual</t>
        </is>
      </c>
      <c r="F285" s="259" t="inlineStr">
        <is>
          <t>6300 E 39TH                AV</t>
        </is>
      </c>
      <c r="G285" s="253" t="n">
        <v>44.1</v>
      </c>
      <c r="H285" s="253" t="n">
        <v>9101</v>
      </c>
      <c r="I285" s="255" t="n">
        <v>0</v>
      </c>
      <c r="J285" s="678" t="n">
        <v>29376</v>
      </c>
      <c r="K285" s="679" t="n">
        <v>4.042075163398692</v>
      </c>
      <c r="L285" s="260" t="n">
        <v>0</v>
      </c>
      <c r="M285" s="262" t="n">
        <v>0</v>
      </c>
      <c r="N285" s="253" t="n">
        <v>1971</v>
      </c>
      <c r="O285" s="250" t="n">
        <v>5421</v>
      </c>
      <c r="Q285" s="245" t="n">
        <v>22</v>
      </c>
      <c r="R285" s="245" t="n">
        <v>10</v>
      </c>
      <c r="S285" s="245" t="n">
        <v>1</v>
      </c>
      <c r="T285" s="249" t="inlineStr">
        <is>
          <t xml:space="preserve">I0   </t>
        </is>
      </c>
      <c r="U285" s="249" t="n">
        <v>398</v>
      </c>
      <c r="V285" s="678" t="n">
        <v>61218</v>
      </c>
      <c r="W285" s="678" t="n">
        <v>61000</v>
      </c>
      <c r="X285" s="356" t="inlineStr">
        <is>
          <t>2.1:1</t>
        </is>
      </c>
      <c r="Y285" s="678" t="n">
        <v>29000</v>
      </c>
      <c r="Z285" s="249" t="inlineStr">
        <is>
          <t xml:space="preserve">C </t>
        </is>
      </c>
      <c r="AC285" s="253" t="n"/>
      <c r="AD285" s="247" t="inlineStr">
        <is>
          <t>                    </t>
        </is>
      </c>
      <c r="AE285" s="680" t="n"/>
      <c r="AF285" s="680" t="n"/>
      <c r="AG285" s="680" t="n"/>
      <c r="AH285" s="680" t="n"/>
      <c r="AI285" s="680" t="n"/>
      <c r="AJ285" s="680" t="n"/>
      <c r="AK285" s="680" t="inlineStr">
        <is>
          <t>                                                                  </t>
        </is>
      </c>
      <c r="AL285" s="680" t="n"/>
      <c r="AM285" s="680" t="n"/>
      <c r="AN285" s="680" t="n"/>
      <c r="AO285" s="680" t="n"/>
      <c r="AP285" s="680" t="n"/>
    </row>
    <row r="286">
      <c r="A286" s="248" t="n">
        <v>6</v>
      </c>
      <c r="B286" s="370" t="n">
        <v>327</v>
      </c>
      <c r="C286" s="254" t="inlineStr">
        <is>
          <t>2011Q</t>
        </is>
      </c>
      <c r="D286" s="245" t="inlineStr">
        <is>
          <t xml:space="preserve">01203-00-160-000 </t>
        </is>
      </c>
      <c r="E286" s="258" t="inlineStr">
        <is>
          <t>Actual</t>
        </is>
      </c>
      <c r="F286" s="259" t="inlineStr">
        <is>
          <t>6211 E 42ND                AV</t>
        </is>
      </c>
      <c r="G286" s="672" t="n">
        <v>44.6</v>
      </c>
      <c r="H286" s="253" t="n">
        <v>9101</v>
      </c>
      <c r="I286" s="255" t="n">
        <v>0</v>
      </c>
      <c r="J286" s="678" t="n">
        <v>27000</v>
      </c>
      <c r="K286" s="679" t="n">
        <v>6.666666666666667</v>
      </c>
      <c r="L286" s="260" t="n">
        <v>0</v>
      </c>
      <c r="M286" s="262" t="n">
        <v>0.07055555555555555</v>
      </c>
      <c r="N286" s="253" t="n">
        <v>1982</v>
      </c>
      <c r="O286" s="250" t="n">
        <v>9601</v>
      </c>
      <c r="Q286" s="245" t="n">
        <v>30</v>
      </c>
      <c r="R286" s="245" t="n">
        <v>14</v>
      </c>
      <c r="S286" s="245" t="n">
        <v>1</v>
      </c>
      <c r="T286" s="249" t="inlineStr">
        <is>
          <t xml:space="preserve">I2   </t>
        </is>
      </c>
      <c r="U286" s="249" t="n">
        <v>398</v>
      </c>
      <c r="V286" s="678" t="n">
        <v>129650</v>
      </c>
      <c r="W286" s="678" t="n">
        <v>130000</v>
      </c>
      <c r="X286" s="356" t="inlineStr">
        <is>
          <t>2.1:1</t>
        </is>
      </c>
      <c r="Y286" s="678" t="n">
        <v>27000</v>
      </c>
      <c r="Z286" s="249" t="inlineStr">
        <is>
          <t xml:space="preserve">C </t>
        </is>
      </c>
      <c r="AC286" s="253" t="n"/>
      <c r="AD286" s="247" t="inlineStr">
        <is>
          <t xml:space="preserve">DIST SNGL TENANT    </t>
        </is>
      </c>
      <c r="AE286" s="680" t="n"/>
      <c r="AF286" s="680" t="n"/>
      <c r="AG286" s="680" t="n"/>
      <c r="AH286" s="680" t="n"/>
      <c r="AI286" s="680" t="n"/>
      <c r="AJ286" s="680" t="n"/>
      <c r="AK286" s="680" t="inlineStr">
        <is>
          <t xml:space="preserve">27000 SF OF 63,000 SF BLDG LEASED.                                </t>
        </is>
      </c>
      <c r="AM286" s="245" t="inlineStr">
        <is>
          <t> </t>
        </is>
      </c>
    </row>
    <row r="287">
      <c r="A287" s="248" t="n">
        <v>7</v>
      </c>
      <c r="B287" s="370" t="n">
        <v>278</v>
      </c>
      <c r="C287" s="254" t="inlineStr">
        <is>
          <t>2011Q</t>
        </is>
      </c>
      <c r="D287" s="245" t="inlineStr">
        <is>
          <t xml:space="preserve">00184-01-019-000 </t>
        </is>
      </c>
      <c r="E287" s="258" t="inlineStr">
        <is>
          <t>Actual</t>
        </is>
      </c>
      <c r="F287" s="259" t="inlineStr">
        <is>
          <t>15200 E 53RD                PL</t>
        </is>
      </c>
      <c r="G287" s="672" t="n">
        <v>44.5</v>
      </c>
      <c r="H287" s="253" t="n">
        <v>9102</v>
      </c>
      <c r="I287" s="255" t="n">
        <v>0</v>
      </c>
      <c r="J287" s="678" t="n">
        <v>59778</v>
      </c>
      <c r="K287" s="679" t="n">
        <v>7.37801532336311</v>
      </c>
      <c r="L287" s="260" t="n">
        <v>0</v>
      </c>
      <c r="M287" s="262" t="n">
        <v>0.2605482912097006</v>
      </c>
      <c r="N287" s="253" t="n">
        <v>2000</v>
      </c>
      <c r="O287" s="250" t="n">
        <v>2588</v>
      </c>
      <c r="Q287" s="245" t="n">
        <v>9</v>
      </c>
      <c r="R287" s="245" t="n">
        <v>3</v>
      </c>
      <c r="S287" s="245" t="n">
        <v>1</v>
      </c>
      <c r="T287" s="249" t="inlineStr">
        <is>
          <t xml:space="preserve">PUD  </t>
        </is>
      </c>
      <c r="U287" s="249" t="n">
        <v>396</v>
      </c>
      <c r="V287" s="678" t="n">
        <v>223537</v>
      </c>
      <c r="W287" s="678" t="n">
        <v>220000</v>
      </c>
      <c r="X287" s="356" t="inlineStr">
        <is>
          <t>3.7:1</t>
        </is>
      </c>
      <c r="Y287" s="678" t="n">
        <v>60000</v>
      </c>
      <c r="Z287" s="249" t="inlineStr">
        <is>
          <t xml:space="preserve">C </t>
        </is>
      </c>
      <c r="AC287" s="253" t="n"/>
      <c r="AD287" s="247" t="inlineStr">
        <is>
          <t xml:space="preserve">KANGAROO SELF STRGE </t>
        </is>
      </c>
      <c r="AE287" s="680" t="n"/>
      <c r="AF287" s="680" t="n"/>
      <c r="AG287" s="680" t="n"/>
      <c r="AH287" s="680" t="n"/>
      <c r="AI287" s="680" t="n"/>
      <c r="AJ287" s="680" t="n"/>
      <c r="AK287" s="680" t="inlineStr">
        <is>
          <t xml:space="preserve">SALARIES FOR MGR INCLUDED UNDER "OTHER"                           </t>
        </is>
      </c>
      <c r="AM287" s="245" t="inlineStr">
        <is>
          <t> </t>
        </is>
      </c>
    </row>
    <row r="288">
      <c r="A288" s="248" t="n">
        <v>7</v>
      </c>
      <c r="B288" s="370" t="n">
        <v>279</v>
      </c>
      <c r="C288" s="381" t="inlineStr">
        <is>
          <t>2011W</t>
        </is>
      </c>
      <c r="D288" s="370" t="inlineStr">
        <is>
          <t>01141-01-015-000</t>
        </is>
      </c>
      <c r="E288" s="369" t="inlineStr">
        <is>
          <t>Actual</t>
        </is>
      </c>
      <c r="F288" s="370" t="inlineStr">
        <is>
          <t>11777 E 55th Ave</t>
        </is>
      </c>
      <c r="G288" s="371" t="inlineStr">
        <is>
          <t>44.3</t>
        </is>
      </c>
      <c r="H288" s="370" t="n">
        <v>9102</v>
      </c>
      <c r="I288" s="369" t="n">
        <v>0</v>
      </c>
      <c r="J288" s="372" t="n">
        <v>172400</v>
      </c>
      <c r="K288" s="681" t="n">
        <v>3.5</v>
      </c>
      <c r="L288" s="374" t="n">
        <v>0</v>
      </c>
      <c r="M288" s="374" t="n">
        <v>0.05</v>
      </c>
      <c r="N288" s="370" t="n">
        <v>1986</v>
      </c>
      <c r="O288" s="250" t="n">
        <v>2232</v>
      </c>
      <c r="Q288" s="245" t="n">
        <v>28</v>
      </c>
      <c r="R288" s="245" t="n">
        <v>14</v>
      </c>
      <c r="S288" s="245" t="n">
        <v>1</v>
      </c>
      <c r="T288" s="369" t="inlineStr">
        <is>
          <t>I2</t>
        </is>
      </c>
      <c r="U288" s="370" t="n">
        <v>398</v>
      </c>
      <c r="V288" s="372" t="n">
        <v>311752</v>
      </c>
      <c r="W288" s="372">
        <f>MROUND(V288,1000)</f>
        <v/>
      </c>
      <c r="X288" s="375" t="inlineStr">
        <is>
          <t>1.8:1</t>
        </is>
      </c>
      <c r="Y288" s="372">
        <f>MROUND(J288,1000)</f>
        <v/>
      </c>
      <c r="Z288" s="369" t="inlineStr">
        <is>
          <t>C</t>
        </is>
      </c>
      <c r="AA288" s="370" t="n">
        <v>3</v>
      </c>
      <c r="AB288" s="370" t="n">
        <v>3</v>
      </c>
      <c r="AC288" s="370" t="n">
        <v>33</v>
      </c>
      <c r="AD288" s="370" t="inlineStr">
        <is>
          <t>S-W G.E. Dist Warehouse</t>
        </is>
      </c>
      <c r="AE288" s="682" t="n"/>
      <c r="AF288" s="683" t="n"/>
      <c r="AG288" s="683" t="n"/>
      <c r="AH288" s="253" t="n"/>
      <c r="AI288" s="247" t="n"/>
      <c r="AJ288" s="680" t="n"/>
      <c r="AK288" s="680" t="n"/>
      <c r="AM288" s="245" t="inlineStr">
        <is>
          <t> </t>
        </is>
      </c>
    </row>
    <row r="289">
      <c r="A289" s="248" t="n">
        <v>7</v>
      </c>
      <c r="B289" s="370" t="n">
        <v>280</v>
      </c>
      <c r="C289" s="254" t="inlineStr">
        <is>
          <t>2011Q</t>
        </is>
      </c>
      <c r="D289" s="245" t="inlineStr">
        <is>
          <t xml:space="preserve">01141-02-010-000 </t>
        </is>
      </c>
      <c r="E289" s="258" t="inlineStr">
        <is>
          <t>Actual</t>
        </is>
      </c>
      <c r="F289" s="259" t="inlineStr">
        <is>
          <t>11475 E 53RD                AV</t>
        </is>
      </c>
      <c r="G289" s="672" t="n">
        <v>44.4</v>
      </c>
      <c r="H289" s="253" t="n">
        <v>9102</v>
      </c>
      <c r="I289" s="255" t="n">
        <v>0</v>
      </c>
      <c r="J289" s="678" t="n">
        <v>168112</v>
      </c>
      <c r="K289" s="679" t="n">
        <v>3.22</v>
      </c>
      <c r="L289" s="260" t="n">
        <v>0.35</v>
      </c>
      <c r="M289" s="262" t="n">
        <v>0.05315392468718096</v>
      </c>
      <c r="N289" s="253" t="n">
        <v>1985</v>
      </c>
      <c r="O289" s="250" t="n">
        <v>9741</v>
      </c>
      <c r="Q289" s="245" t="n">
        <v>20</v>
      </c>
      <c r="R289" s="245" t="n">
        <v>4</v>
      </c>
      <c r="S289" s="245" t="n">
        <v>5</v>
      </c>
      <c r="T289" s="249" t="inlineStr">
        <is>
          <t xml:space="preserve">I2   </t>
        </is>
      </c>
      <c r="U289" s="249" t="n">
        <v>398</v>
      </c>
      <c r="V289" s="678" t="n">
        <v>339340</v>
      </c>
      <c r="W289" s="678" t="n">
        <v>340000</v>
      </c>
      <c r="X289" s="356" t="inlineStr">
        <is>
          <t>2.0:1</t>
        </is>
      </c>
      <c r="Y289" s="678" t="n">
        <v>170000</v>
      </c>
      <c r="Z289" s="249" t="inlineStr">
        <is>
          <t xml:space="preserve">C </t>
        </is>
      </c>
      <c r="AC289" s="253" t="n"/>
      <c r="AD289" s="247" t="inlineStr">
        <is>
          <t xml:space="preserve">M-W MIDWAY DIST CTR </t>
        </is>
      </c>
      <c r="AE289" s="680" t="n"/>
      <c r="AF289" s="680" t="n"/>
      <c r="AG289" s="680" t="n"/>
      <c r="AH289" s="680" t="n"/>
      <c r="AI289" s="680" t="n"/>
      <c r="AJ289" s="680" t="n"/>
      <c r="AK289" s="680" t="inlineStr">
        <is>
          <t>RECONSTRUCTED R.R. &amp; OP. STMTS.; BASE LEASES 2.82/SF;OWNER NET EXP</t>
        </is>
      </c>
      <c r="AM289" s="245" t="inlineStr">
        <is>
          <t> </t>
        </is>
      </c>
    </row>
    <row r="290">
      <c r="A290" s="248" t="n">
        <v>7</v>
      </c>
      <c r="B290" s="370" t="n">
        <v>281</v>
      </c>
      <c r="C290" s="254" t="inlineStr">
        <is>
          <t>2011Q</t>
        </is>
      </c>
      <c r="D290" s="245" t="inlineStr">
        <is>
          <t xml:space="preserve">01142-03-009-000 </t>
        </is>
      </c>
      <c r="E290" s="258" t="inlineStr">
        <is>
          <t>Actual</t>
        </is>
      </c>
      <c r="F290" s="259" t="inlineStr">
        <is>
          <t>5590   JOLIET              ST</t>
        </is>
      </c>
      <c r="G290" s="672" t="n">
        <v>44.2</v>
      </c>
      <c r="H290" s="253" t="n">
        <v>9102</v>
      </c>
      <c r="I290" s="255" t="n">
        <v>0</v>
      </c>
      <c r="J290" s="678" t="n">
        <v>20230</v>
      </c>
      <c r="K290" s="679" t="n">
        <v>4.715027187345527</v>
      </c>
      <c r="L290" s="260" t="n">
        <v>0</v>
      </c>
      <c r="M290" s="262" t="n">
        <v>0.03669340042983698</v>
      </c>
      <c r="N290" s="253" t="n">
        <v>1984</v>
      </c>
      <c r="O290" s="250" t="n">
        <v>2195</v>
      </c>
      <c r="Q290" s="245" t="n">
        <v>22</v>
      </c>
      <c r="R290" s="245" t="n">
        <v>4</v>
      </c>
      <c r="S290" s="245" t="n">
        <v>1</v>
      </c>
      <c r="T290" s="249" t="inlineStr">
        <is>
          <t xml:space="preserve">I2   </t>
        </is>
      </c>
      <c r="U290" s="249" t="n">
        <v>398</v>
      </c>
      <c r="V290" s="678" t="n">
        <v>45956</v>
      </c>
      <c r="W290" s="678" t="n">
        <v>46000</v>
      </c>
      <c r="X290" s="356" t="inlineStr">
        <is>
          <t>2.3:1</t>
        </is>
      </c>
      <c r="Y290" s="678" t="n">
        <v>20000</v>
      </c>
      <c r="Z290" s="249" t="inlineStr">
        <is>
          <t xml:space="preserve">C </t>
        </is>
      </c>
      <c r="AC290" s="253" t="n"/>
      <c r="AD290" s="247" t="inlineStr">
        <is>
          <t>S-W   SCS SFTY &amp; CON</t>
        </is>
      </c>
      <c r="AE290" s="680" t="n"/>
      <c r="AF290" s="680" t="n"/>
      <c r="AG290" s="680" t="n"/>
      <c r="AH290" s="680" t="n"/>
      <c r="AI290" s="680" t="n"/>
      <c r="AJ290" s="680" t="n"/>
      <c r="AK290" s="680" t="inlineStr">
        <is>
          <t xml:space="preserve">2008 LEASE.                                                       </t>
        </is>
      </c>
      <c r="AM290" s="245" t="inlineStr">
        <is>
          <t> </t>
        </is>
      </c>
    </row>
    <row r="291">
      <c r="A291" s="248" t="n">
        <v>7</v>
      </c>
      <c r="B291" s="370" t="n">
        <v>282</v>
      </c>
      <c r="C291" s="254" t="inlineStr">
        <is>
          <t>2011Q</t>
        </is>
      </c>
      <c r="D291" s="245" t="inlineStr">
        <is>
          <t xml:space="preserve">01142-03-014-000 </t>
        </is>
      </c>
      <c r="E291" s="258" t="inlineStr">
        <is>
          <t>Actual</t>
        </is>
      </c>
      <c r="F291" s="259" t="inlineStr">
        <is>
          <t>10975 E 55TH                AV</t>
        </is>
      </c>
      <c r="G291" s="672" t="n">
        <v>44.2</v>
      </c>
      <c r="H291" s="253" t="n">
        <v>9102</v>
      </c>
      <c r="I291" s="255" t="n">
        <v>0</v>
      </c>
      <c r="J291" s="678" t="n">
        <v>37012</v>
      </c>
      <c r="K291" s="679" t="n">
        <v>5.714579055441479</v>
      </c>
      <c r="L291" s="260" t="n">
        <v>0.4</v>
      </c>
      <c r="M291" s="262" t="n">
        <v>0.005550617470733967</v>
      </c>
      <c r="N291" s="253" t="n">
        <v>1999</v>
      </c>
      <c r="O291" s="250" t="n">
        <v>4485</v>
      </c>
      <c r="Q291" s="245" t="n">
        <v>25</v>
      </c>
      <c r="R291" s="245" t="n">
        <v>14</v>
      </c>
      <c r="S291" s="245" t="n">
        <v>5</v>
      </c>
      <c r="T291" s="249" t="inlineStr">
        <is>
          <t xml:space="preserve">I2   </t>
        </is>
      </c>
      <c r="U291" s="249" t="n">
        <v>398</v>
      </c>
      <c r="V291" s="678" t="n">
        <v>87567</v>
      </c>
      <c r="W291" s="678" t="n">
        <v>88000</v>
      </c>
      <c r="X291" s="356" t="inlineStr">
        <is>
          <t>2.4:1</t>
        </is>
      </c>
      <c r="Y291" s="678" t="n">
        <v>37000</v>
      </c>
      <c r="Z291" s="249" t="inlineStr">
        <is>
          <t xml:space="preserve">C </t>
        </is>
      </c>
      <c r="AC291" s="253" t="n"/>
      <c r="AD291" s="247" t="inlineStr">
        <is>
          <t xml:space="preserve">M-W                 </t>
        </is>
      </c>
      <c r="AE291" s="680" t="n"/>
      <c r="AF291" s="680" t="n"/>
      <c r="AG291" s="680" t="n"/>
      <c r="AH291" s="680" t="n"/>
      <c r="AI291" s="680" t="n"/>
      <c r="AJ291" s="680" t="n"/>
      <c r="AK291" s="680" t="inlineStr">
        <is>
          <t>                                                                  </t>
        </is>
      </c>
      <c r="AM291" s="245" t="inlineStr">
        <is>
          <t> </t>
        </is>
      </c>
    </row>
    <row r="292">
      <c r="A292" s="248" t="n">
        <v>7</v>
      </c>
      <c r="B292" s="370" t="n">
        <v>283</v>
      </c>
      <c r="C292" s="254" t="inlineStr">
        <is>
          <t>2011Q</t>
        </is>
      </c>
      <c r="D292" s="245" t="inlineStr">
        <is>
          <t xml:space="preserve">01143-01-010-000 </t>
        </is>
      </c>
      <c r="E292" s="258" t="inlineStr">
        <is>
          <t>Actual</t>
        </is>
      </c>
      <c r="F292" s="259" t="inlineStr">
        <is>
          <t>10705 E 51ST                AV</t>
        </is>
      </c>
      <c r="G292" s="672" t="n">
        <v>44.2</v>
      </c>
      <c r="H292" s="253" t="n">
        <v>9102</v>
      </c>
      <c r="I292" s="255" t="n">
        <v>0</v>
      </c>
      <c r="J292" s="678" t="n">
        <v>24000</v>
      </c>
      <c r="K292" s="679" t="n">
        <v>3.758333333333333</v>
      </c>
      <c r="L292" s="260" t="n">
        <v>0</v>
      </c>
      <c r="M292" s="262" t="n">
        <v>0.331740576496674</v>
      </c>
      <c r="N292" s="253" t="n">
        <v>1973</v>
      </c>
      <c r="O292" s="250" t="n">
        <v>5467</v>
      </c>
      <c r="Q292" s="245" t="n">
        <v>26</v>
      </c>
      <c r="R292" s="245" t="n">
        <v>10</v>
      </c>
      <c r="S292" s="245" t="n">
        <v>3</v>
      </c>
      <c r="T292" s="249" t="inlineStr">
        <is>
          <t xml:space="preserve">I2   </t>
        </is>
      </c>
      <c r="U292" s="249" t="n">
        <v>398</v>
      </c>
      <c r="V292" s="678" t="n">
        <v>104089</v>
      </c>
      <c r="W292" s="678" t="n">
        <v>100000</v>
      </c>
      <c r="X292" s="356" t="inlineStr">
        <is>
          <t>2.2:1</t>
        </is>
      </c>
      <c r="Y292" s="678" t="n">
        <v>24000</v>
      </c>
      <c r="Z292" s="249" t="inlineStr">
        <is>
          <t xml:space="preserve">C </t>
        </is>
      </c>
      <c r="AC292" s="253" t="n"/>
      <c r="AD292" s="247" t="inlineStr">
        <is>
          <t>M-W DIST &amp; WHOLESALE</t>
        </is>
      </c>
      <c r="AE292" s="680" t="n"/>
      <c r="AF292" s="680" t="n"/>
      <c r="AG292" s="680" t="n"/>
      <c r="AH292" s="680" t="n"/>
      <c r="AI292" s="680" t="n"/>
      <c r="AJ292" s="680" t="n"/>
      <c r="AK292" s="680" t="inlineStr">
        <is>
          <t>ONLY DATA FOR 2009 LEASE OF 50% OF BLDG.ENTERED; EXPENSES PRORATED</t>
        </is>
      </c>
      <c r="AM292" s="245" t="inlineStr">
        <is>
          <t> </t>
        </is>
      </c>
    </row>
    <row r="293">
      <c r="A293" s="248" t="n">
        <v>7</v>
      </c>
      <c r="B293" s="370" t="n">
        <v>284</v>
      </c>
      <c r="C293" s="254" t="inlineStr">
        <is>
          <t>2011Q</t>
        </is>
      </c>
      <c r="D293" s="245" t="inlineStr">
        <is>
          <t xml:space="preserve">01143-03-023-000 </t>
        </is>
      </c>
      <c r="E293" s="258" t="inlineStr">
        <is>
          <t>Actual</t>
        </is>
      </c>
      <c r="F293" s="259" t="inlineStr">
        <is>
          <t>4860   IRONTON             ST</t>
        </is>
      </c>
      <c r="G293" s="672" t="n">
        <v>44.2</v>
      </c>
      <c r="H293" s="253" t="n">
        <v>9102</v>
      </c>
      <c r="I293" s="255" t="n">
        <v>0</v>
      </c>
      <c r="J293" s="678" t="n">
        <v>71600</v>
      </c>
      <c r="K293" s="679" t="n">
        <v>4.244301675977654</v>
      </c>
      <c r="L293" s="260" t="n">
        <v>0.04</v>
      </c>
      <c r="M293" s="262" t="n">
        <v>0.3800132941966225</v>
      </c>
      <c r="N293" s="253" t="n">
        <v>1973</v>
      </c>
      <c r="O293" s="250" t="n">
        <v>16328</v>
      </c>
      <c r="Q293" s="245" t="n">
        <v>18</v>
      </c>
      <c r="R293" s="245" t="n">
        <v>10</v>
      </c>
      <c r="S293" s="245" t="n">
        <v>21</v>
      </c>
      <c r="T293" s="249" t="inlineStr">
        <is>
          <t xml:space="preserve">I2   </t>
        </is>
      </c>
      <c r="U293" s="249" t="n">
        <v>398</v>
      </c>
      <c r="V293" s="678" t="n">
        <v>146020</v>
      </c>
      <c r="W293" s="678" t="n">
        <v>150000</v>
      </c>
      <c r="X293" s="356" t="inlineStr">
        <is>
          <t>2.0:1</t>
        </is>
      </c>
      <c r="Y293" s="678" t="n">
        <v>72000</v>
      </c>
      <c r="Z293" s="249" t="inlineStr">
        <is>
          <t xml:space="preserve">C </t>
        </is>
      </c>
      <c r="AC293" s="253" t="n"/>
      <c r="AD293" s="247" t="inlineStr">
        <is>
          <t xml:space="preserve">OFFICE / WAREHOUSE  </t>
        </is>
      </c>
      <c r="AE293" s="680" t="n"/>
      <c r="AF293" s="680" t="n"/>
      <c r="AG293" s="680" t="n"/>
      <c r="AH293" s="680" t="n"/>
      <c r="AI293" s="680" t="n"/>
      <c r="AJ293" s="680" t="n"/>
      <c r="AK293" s="680" t="inlineStr">
        <is>
          <t xml:space="preserve">3 BASE PERIOD LEASES MEDIAN $4.13/SF; OWNER BEARS TOO MUCH EXP.   </t>
        </is>
      </c>
      <c r="AM293" s="245" t="inlineStr">
        <is>
          <t> </t>
        </is>
      </c>
    </row>
    <row r="294">
      <c r="A294" s="248" t="n">
        <v>7</v>
      </c>
      <c r="B294" s="370" t="n">
        <v>285</v>
      </c>
      <c r="C294" s="254" t="inlineStr">
        <is>
          <t>2011Q</t>
        </is>
      </c>
      <c r="D294" s="245" t="inlineStr">
        <is>
          <t xml:space="preserve">01143-03-024-000 </t>
        </is>
      </c>
      <c r="E294" s="258" t="inlineStr">
        <is>
          <t>Actual</t>
        </is>
      </c>
      <c r="F294" s="259" t="inlineStr">
        <is>
          <t>4890   IRONTON             ST</t>
        </is>
      </c>
      <c r="G294" s="672" t="n">
        <v>44.2</v>
      </c>
      <c r="H294" s="253" t="n">
        <v>9102</v>
      </c>
      <c r="I294" s="255" t="n">
        <v>0</v>
      </c>
      <c r="J294" s="678" t="n">
        <v>57300</v>
      </c>
      <c r="K294" s="679" t="n">
        <v>4.839493891797557</v>
      </c>
      <c r="L294" s="260" t="n">
        <v>0.08</v>
      </c>
      <c r="M294" s="262" t="n">
        <v>0.4584227361406115</v>
      </c>
      <c r="N294" s="253" t="n">
        <v>1973</v>
      </c>
      <c r="O294" s="250" t="n">
        <v>27965</v>
      </c>
      <c r="Q294" s="245" t="n">
        <v>14</v>
      </c>
      <c r="R294" s="245" t="n">
        <v>10</v>
      </c>
      <c r="S294" s="245" t="n">
        <v>7</v>
      </c>
      <c r="T294" s="249" t="inlineStr">
        <is>
          <t xml:space="preserve">I2   </t>
        </is>
      </c>
      <c r="U294" s="249" t="n">
        <v>397</v>
      </c>
      <c r="V294" s="678" t="n">
        <v>169147</v>
      </c>
      <c r="W294" s="678" t="n">
        <v>170000</v>
      </c>
      <c r="X294" s="356" t="inlineStr">
        <is>
          <t>3.0:1</t>
        </is>
      </c>
      <c r="Y294" s="678" t="n">
        <v>57000</v>
      </c>
      <c r="Z294" s="249" t="inlineStr">
        <is>
          <t xml:space="preserve">C </t>
        </is>
      </c>
      <c r="AC294" s="253" t="n"/>
      <c r="AD294" s="247" t="inlineStr">
        <is>
          <t xml:space="preserve">OFC/WHSE MULIT-TEN  </t>
        </is>
      </c>
      <c r="AE294" s="680" t="n"/>
      <c r="AF294" s="680" t="n"/>
      <c r="AG294" s="680" t="n"/>
      <c r="AH294" s="680" t="n"/>
      <c r="AI294" s="680" t="n"/>
      <c r="AJ294" s="680" t="n"/>
      <c r="AK294" s="680" t="inlineStr">
        <is>
          <t xml:space="preserve">4 BASE PERIOD LEASES MEDIAN $4.66/SF; NOT ENOUGH EXP RECOVERY.    </t>
        </is>
      </c>
      <c r="AM294" s="245" t="inlineStr">
        <is>
          <t> </t>
        </is>
      </c>
    </row>
    <row r="295">
      <c r="A295" s="248" t="n">
        <v>7</v>
      </c>
      <c r="B295" s="370" t="n">
        <v>286</v>
      </c>
      <c r="C295" s="254" t="inlineStr">
        <is>
          <t>2011Q</t>
        </is>
      </c>
      <c r="D295" s="245" t="inlineStr">
        <is>
          <t xml:space="preserve">01143-04-009-000 </t>
        </is>
      </c>
      <c r="E295" s="258" t="inlineStr">
        <is>
          <t>Actual</t>
        </is>
      </c>
      <c r="F295" s="259" t="inlineStr">
        <is>
          <t>4949   IRONTON             ST</t>
        </is>
      </c>
      <c r="G295" s="672" t="n">
        <v>44.2</v>
      </c>
      <c r="H295" s="253" t="n">
        <v>9102</v>
      </c>
      <c r="I295" s="255" t="n">
        <v>0</v>
      </c>
      <c r="J295" s="678" t="n">
        <v>9750</v>
      </c>
      <c r="K295" s="679" t="n">
        <v>10.44923076923077</v>
      </c>
      <c r="L295" s="260" t="n">
        <v>0</v>
      </c>
      <c r="M295" s="262" t="n">
        <v>0.003268551236749117</v>
      </c>
      <c r="N295" s="253" t="n">
        <v>1969</v>
      </c>
      <c r="O295" s="250" t="n">
        <v>4332</v>
      </c>
      <c r="Q295" s="245" t="n">
        <v>14</v>
      </c>
      <c r="R295" s="245" t="n">
        <v>3</v>
      </c>
      <c r="S295" s="245" t="n">
        <v>1</v>
      </c>
      <c r="T295" s="249" t="inlineStr">
        <is>
          <t xml:space="preserve">I2   </t>
        </is>
      </c>
      <c r="U295" s="249" t="n">
        <v>398</v>
      </c>
      <c r="V295" s="678" t="n">
        <v>27610</v>
      </c>
      <c r="W295" s="678" t="n">
        <v>28000</v>
      </c>
      <c r="X295" s="356" t="inlineStr">
        <is>
          <t>2.8:1</t>
        </is>
      </c>
      <c r="Y295" s="678" t="n">
        <v>10000</v>
      </c>
      <c r="Z295" s="249" t="inlineStr">
        <is>
          <t xml:space="preserve">C </t>
        </is>
      </c>
      <c r="AC295" s="253" t="n"/>
      <c r="AD295" s="247" t="inlineStr">
        <is>
          <t>                    </t>
        </is>
      </c>
      <c r="AE295" s="680" t="n"/>
      <c r="AF295" s="680" t="n"/>
      <c r="AG295" s="680" t="n"/>
      <c r="AH295" s="680" t="n"/>
      <c r="AI295" s="680" t="n"/>
      <c r="AJ295" s="680" t="n"/>
      <c r="AK295" s="680" t="inlineStr">
        <is>
          <t>                                                                  </t>
        </is>
      </c>
      <c r="AM295" s="245" t="inlineStr">
        <is>
          <t> </t>
        </is>
      </c>
    </row>
    <row r="296">
      <c r="A296" s="248" t="n">
        <v>7</v>
      </c>
      <c r="B296" s="370" t="n">
        <v>287</v>
      </c>
      <c r="C296" s="254" t="inlineStr">
        <is>
          <t>2011Q</t>
        </is>
      </c>
      <c r="D296" s="245" t="inlineStr">
        <is>
          <t xml:space="preserve">01143-05-018-000 </t>
        </is>
      </c>
      <c r="E296" s="258" t="inlineStr">
        <is>
          <t>Actual</t>
        </is>
      </c>
      <c r="F296" s="259" t="inlineStr">
        <is>
          <t>11055 E 51ST                AV</t>
        </is>
      </c>
      <c r="G296" s="253" t="n">
        <v>44.1</v>
      </c>
      <c r="H296" s="253" t="n">
        <v>9102</v>
      </c>
      <c r="I296" s="255" t="n">
        <v>0</v>
      </c>
      <c r="J296" s="678" t="n">
        <v>53947</v>
      </c>
      <c r="K296" s="679" t="n">
        <v>5.071644391717797</v>
      </c>
      <c r="L296" s="260" t="n">
        <v>0</v>
      </c>
      <c r="M296" s="262" t="n">
        <v>0</v>
      </c>
      <c r="N296" s="253" t="n">
        <v>1999</v>
      </c>
      <c r="O296" s="250" t="n">
        <v>2507</v>
      </c>
      <c r="Q296" s="245" t="n">
        <v>20</v>
      </c>
      <c r="R296" s="245" t="n">
        <v>14</v>
      </c>
      <c r="S296" s="245" t="n">
        <v>1</v>
      </c>
      <c r="T296" s="249" t="inlineStr">
        <is>
          <t xml:space="preserve">I2   </t>
        </is>
      </c>
      <c r="U296" s="249" t="n">
        <v>398</v>
      </c>
      <c r="V296" s="678" t="n">
        <v>74836</v>
      </c>
      <c r="W296" s="678" t="n">
        <v>75000</v>
      </c>
      <c r="X296" s="356" t="inlineStr">
        <is>
          <t>1.4:1</t>
        </is>
      </c>
      <c r="Y296" s="678" t="n">
        <v>54000</v>
      </c>
      <c r="Z296" s="249" t="inlineStr">
        <is>
          <t xml:space="preserve">C </t>
        </is>
      </c>
      <c r="AC296" s="253" t="n"/>
      <c r="AD296" s="247" t="inlineStr">
        <is>
          <t xml:space="preserve">DISTRIBUTION WHSE   </t>
        </is>
      </c>
      <c r="AE296" s="680" t="n"/>
      <c r="AF296" s="680" t="n"/>
      <c r="AG296" s="680" t="n"/>
      <c r="AH296" s="680" t="n"/>
      <c r="AI296" s="680" t="n"/>
      <c r="AJ296" s="680" t="n"/>
      <c r="AK296" s="680" t="inlineStr">
        <is>
          <t>                                                                  </t>
        </is>
      </c>
      <c r="AM296" s="245" t="inlineStr">
        <is>
          <t> </t>
        </is>
      </c>
    </row>
    <row r="297">
      <c r="A297" s="248" t="n">
        <v>7</v>
      </c>
      <c r="B297" s="370" t="n">
        <v>288</v>
      </c>
      <c r="C297" s="254" t="inlineStr">
        <is>
          <t>2011Q</t>
        </is>
      </c>
      <c r="D297" s="245" t="inlineStr">
        <is>
          <t xml:space="preserve">01144-01-017-000 </t>
        </is>
      </c>
      <c r="E297" s="258" t="inlineStr">
        <is>
          <t>Actual</t>
        </is>
      </c>
      <c r="F297" s="259" t="inlineStr">
        <is>
          <t>11185 E 51ST                AV</t>
        </is>
      </c>
      <c r="G297" s="672" t="n">
        <v>44.2</v>
      </c>
      <c r="H297" s="253" t="n">
        <v>9102</v>
      </c>
      <c r="I297" s="255" t="n">
        <v>0</v>
      </c>
      <c r="J297" s="678" t="n">
        <v>3321</v>
      </c>
      <c r="K297" s="679" t="n">
        <v>4.516711833785005</v>
      </c>
      <c r="L297" s="260" t="n">
        <v>0</v>
      </c>
      <c r="M297" s="262" t="n">
        <v>0</v>
      </c>
      <c r="N297" s="253" t="n">
        <v>1973</v>
      </c>
      <c r="O297" s="250" t="n">
        <v>820</v>
      </c>
      <c r="Q297" s="245" t="n">
        <v>16</v>
      </c>
      <c r="R297" s="245" t="n">
        <v>7</v>
      </c>
      <c r="S297" s="245" t="n">
        <v>1</v>
      </c>
      <c r="T297" s="249" t="inlineStr">
        <is>
          <t xml:space="preserve">I2   </t>
        </is>
      </c>
      <c r="U297" s="249" t="n">
        <v>398</v>
      </c>
      <c r="V297" s="678" t="n">
        <v>18097</v>
      </c>
      <c r="W297" s="678" t="n">
        <v>18000</v>
      </c>
      <c r="X297" s="356" t="inlineStr">
        <is>
          <t>5.4:1</t>
        </is>
      </c>
      <c r="Y297" s="678" t="n">
        <v>3000</v>
      </c>
      <c r="Z297" s="249" t="inlineStr">
        <is>
          <t xml:space="preserve">C </t>
        </is>
      </c>
      <c r="AC297" s="253" t="n"/>
      <c r="AD297" s="247" t="inlineStr">
        <is>
          <t>S-D-CONSOL ENGINEERG</t>
        </is>
      </c>
      <c r="AE297" s="680" t="n"/>
      <c r="AF297" s="680" t="n"/>
      <c r="AG297" s="680" t="n"/>
      <c r="AH297" s="680" t="n"/>
      <c r="AI297" s="680" t="n"/>
      <c r="AJ297" s="680" t="n"/>
      <c r="AK297" s="680" t="inlineStr">
        <is>
          <t>                                                                  </t>
        </is>
      </c>
      <c r="AM297" s="245" t="inlineStr">
        <is>
          <t> </t>
        </is>
      </c>
    </row>
    <row r="298">
      <c r="A298" s="248" t="n">
        <v>7</v>
      </c>
      <c r="B298" s="370" t="n">
        <v>289</v>
      </c>
      <c r="C298" s="254" t="inlineStr">
        <is>
          <t>2011Q</t>
        </is>
      </c>
      <c r="D298" s="245" t="inlineStr">
        <is>
          <t xml:space="preserve">01144-02-008-000 </t>
        </is>
      </c>
      <c r="E298" s="258" t="inlineStr">
        <is>
          <t>Actual</t>
        </is>
      </c>
      <c r="F298" s="259" t="inlineStr">
        <is>
          <t>5055   LIMA                ST</t>
        </is>
      </c>
      <c r="G298" s="672" t="n">
        <v>44.2</v>
      </c>
      <c r="H298" s="253" t="n">
        <v>9102</v>
      </c>
      <c r="I298" s="255" t="n">
        <v>0</v>
      </c>
      <c r="J298" s="678" t="n">
        <v>39832</v>
      </c>
      <c r="K298" s="679" t="n">
        <v>3.313918457521591</v>
      </c>
      <c r="L298" s="260" t="n">
        <v>0</v>
      </c>
      <c r="M298" s="262" t="n">
        <v>0.1249924242424242</v>
      </c>
      <c r="N298" s="253" t="n">
        <v>1978</v>
      </c>
      <c r="O298" s="250" t="n">
        <v>333</v>
      </c>
      <c r="P298" s="250" t="n">
        <v>3874</v>
      </c>
      <c r="Q298" s="245" t="n">
        <v>26</v>
      </c>
      <c r="R298" s="245" t="n">
        <v>10</v>
      </c>
      <c r="S298" s="245" t="n">
        <v>1</v>
      </c>
      <c r="T298" s="249" t="inlineStr">
        <is>
          <t xml:space="preserve">I2   </t>
        </is>
      </c>
      <c r="U298" s="249" t="n">
        <v>398</v>
      </c>
      <c r="V298" s="678" t="n">
        <v>77488</v>
      </c>
      <c r="W298" s="678" t="n">
        <v>77000</v>
      </c>
      <c r="X298" s="356" t="inlineStr">
        <is>
          <t>1.9:1</t>
        </is>
      </c>
      <c r="Y298" s="678" t="n">
        <v>40000</v>
      </c>
      <c r="Z298" s="249" t="inlineStr">
        <is>
          <t xml:space="preserve">C </t>
        </is>
      </c>
      <c r="AC298" s="253" t="n"/>
      <c r="AD298" s="247" t="inlineStr">
        <is>
          <t xml:space="preserve">S-W                 </t>
        </is>
      </c>
      <c r="AE298" s="680" t="n"/>
      <c r="AF298" s="680" t="n"/>
      <c r="AG298" s="680" t="n"/>
      <c r="AH298" s="680" t="n"/>
      <c r="AI298" s="680" t="n"/>
      <c r="AJ298" s="680" t="n"/>
      <c r="AK298" s="680" t="inlineStr">
        <is>
          <t xml:space="preserve">EXPENSES HIGH FOR SINGLE-TEN WHSE.; S/B MORE PAID BY TENANT.      </t>
        </is>
      </c>
      <c r="AM298" s="245" t="inlineStr">
        <is>
          <t> </t>
        </is>
      </c>
    </row>
    <row r="299">
      <c r="A299" s="248" t="n">
        <v>7</v>
      </c>
      <c r="B299" s="370" t="n">
        <v>290</v>
      </c>
      <c r="C299" s="254" t="inlineStr">
        <is>
          <t>2011Q</t>
        </is>
      </c>
      <c r="D299" s="245" t="inlineStr">
        <is>
          <t xml:space="preserve">01144-05-007-000 </t>
        </is>
      </c>
      <c r="E299" s="258" t="inlineStr">
        <is>
          <t>Actual</t>
        </is>
      </c>
      <c r="F299" s="259" t="inlineStr">
        <is>
          <t>5001   OAKLAND             ST</t>
        </is>
      </c>
      <c r="G299" s="672" t="n">
        <v>44.2</v>
      </c>
      <c r="H299" s="253" t="n">
        <v>9102</v>
      </c>
      <c r="I299" s="255" t="n">
        <v>0</v>
      </c>
      <c r="J299" s="678" t="n">
        <v>9800</v>
      </c>
      <c r="K299" s="679" t="n">
        <v>8.193775510204082</v>
      </c>
      <c r="L299" s="260" t="n">
        <v>0</v>
      </c>
      <c r="M299" s="262" t="n">
        <v>0.006226727605574167</v>
      </c>
      <c r="N299" s="253" t="n">
        <v>2004</v>
      </c>
      <c r="O299" s="250" t="n">
        <v>2520</v>
      </c>
      <c r="Q299" s="245" t="n">
        <v>22</v>
      </c>
      <c r="R299" s="245" t="n">
        <v>8</v>
      </c>
      <c r="S299" s="245" t="n">
        <v>1</v>
      </c>
      <c r="T299" s="249" t="inlineStr">
        <is>
          <t xml:space="preserve">I1   </t>
        </is>
      </c>
      <c r="U299" s="249" t="n">
        <v>398</v>
      </c>
      <c r="V299" s="678" t="n">
        <v>42336</v>
      </c>
      <c r="W299" s="678" t="n">
        <v>42000</v>
      </c>
      <c r="X299" s="356" t="inlineStr">
        <is>
          <t>4.3:1</t>
        </is>
      </c>
      <c r="Y299" s="678" t="n">
        <v>10000</v>
      </c>
      <c r="Z299" s="249" t="inlineStr">
        <is>
          <t xml:space="preserve">C </t>
        </is>
      </c>
      <c r="AC299" s="253" t="n"/>
      <c r="AD299" s="247" t="inlineStr">
        <is>
          <t>BAKER AUCTION &amp; ESTA</t>
        </is>
      </c>
      <c r="AE299" s="680" t="n"/>
      <c r="AF299" s="680" t="n"/>
      <c r="AG299" s="680" t="n"/>
      <c r="AH299" s="680" t="n"/>
      <c r="AI299" s="680" t="n"/>
      <c r="AJ299" s="680" t="n"/>
      <c r="AK299" s="680" t="inlineStr">
        <is>
          <t>                                                                  </t>
        </is>
      </c>
      <c r="AM299" s="245" t="inlineStr">
        <is>
          <t> </t>
        </is>
      </c>
    </row>
    <row r="300">
      <c r="A300" s="248" t="n">
        <v>7</v>
      </c>
      <c r="B300" s="370" t="n">
        <v>291</v>
      </c>
      <c r="C300" s="254" t="inlineStr">
        <is>
          <t>2011Q</t>
        </is>
      </c>
      <c r="D300" s="245" t="inlineStr">
        <is>
          <t xml:space="preserve">01144-06-010-000 </t>
        </is>
      </c>
      <c r="E300" s="258" t="inlineStr">
        <is>
          <t>Actual</t>
        </is>
      </c>
      <c r="F300" s="259" t="inlineStr">
        <is>
          <t>4990   OAKLAND             ST</t>
        </is>
      </c>
      <c r="G300" s="253" t="n">
        <v>44.1</v>
      </c>
      <c r="H300" s="253" t="n">
        <v>9102</v>
      </c>
      <c r="I300" s="255" t="n">
        <v>0</v>
      </c>
      <c r="J300" s="678" t="n">
        <v>27238</v>
      </c>
      <c r="K300" s="679" t="n">
        <v>5.113297598942654</v>
      </c>
      <c r="L300" s="260" t="n">
        <v>0.12</v>
      </c>
      <c r="M300" s="262" t="n">
        <v>0.05743990350096212</v>
      </c>
      <c r="N300" s="253" t="n">
        <v>1978</v>
      </c>
      <c r="O300" s="250" t="n">
        <v>4925</v>
      </c>
      <c r="Q300" s="245" t="n">
        <v>21</v>
      </c>
      <c r="R300" s="245" t="n">
        <v>10</v>
      </c>
      <c r="S300" s="245" t="n">
        <v>1</v>
      </c>
      <c r="T300" s="249" t="inlineStr">
        <is>
          <t xml:space="preserve">I1   </t>
        </is>
      </c>
      <c r="U300" s="249" t="n">
        <v>398</v>
      </c>
      <c r="V300" s="678" t="n">
        <v>51811</v>
      </c>
      <c r="W300" s="678" t="n">
        <v>52000</v>
      </c>
      <c r="X300" s="356" t="inlineStr">
        <is>
          <t>1.9:1</t>
        </is>
      </c>
      <c r="Y300" s="678" t="n">
        <v>27000</v>
      </c>
      <c r="Z300" s="249" t="inlineStr">
        <is>
          <t xml:space="preserve">C </t>
        </is>
      </c>
      <c r="AC300" s="253" t="n"/>
      <c r="AD300" s="247" t="inlineStr">
        <is>
          <t xml:space="preserve">ETD DIST            </t>
        </is>
      </c>
      <c r="AE300" s="680" t="n"/>
      <c r="AF300" s="680" t="n"/>
      <c r="AG300" s="680" t="n"/>
      <c r="AH300" s="680" t="n"/>
      <c r="AI300" s="680" t="n"/>
      <c r="AJ300" s="680" t="n"/>
      <c r="AK300" s="680" t="inlineStr">
        <is>
          <t>                                                                  </t>
        </is>
      </c>
      <c r="AL300" s="680" t="n"/>
      <c r="AM300" s="680" t="n"/>
      <c r="AN300" s="680" t="n"/>
      <c r="AO300" s="680" t="n"/>
      <c r="AP300" s="680" t="n"/>
    </row>
    <row r="301">
      <c r="A301" s="248" t="n">
        <v>7</v>
      </c>
      <c r="B301" s="370" t="n">
        <v>292</v>
      </c>
      <c r="C301" s="254" t="inlineStr">
        <is>
          <t>2011Q</t>
        </is>
      </c>
      <c r="D301" s="245" t="inlineStr">
        <is>
          <t xml:space="preserve">01144-06-013-000 </t>
        </is>
      </c>
      <c r="E301" s="258" t="inlineStr">
        <is>
          <t>Actual</t>
        </is>
      </c>
      <c r="F301" s="259" t="inlineStr">
        <is>
          <t>4995   PARIS               ST</t>
        </is>
      </c>
      <c r="G301" s="672" t="n">
        <v>47.2</v>
      </c>
      <c r="H301" s="253" t="n">
        <v>9102</v>
      </c>
      <c r="I301" s="255" t="n">
        <v>0</v>
      </c>
      <c r="J301" s="678" t="n">
        <v>10143</v>
      </c>
      <c r="K301" s="679" t="n">
        <v>9.331558710440698</v>
      </c>
      <c r="L301" s="260" t="n">
        <v>0</v>
      </c>
      <c r="M301" s="262" t="n">
        <v>0.006951928156365557</v>
      </c>
      <c r="N301" s="253" t="n">
        <v>1979</v>
      </c>
      <c r="O301" s="250" t="n">
        <v>1451</v>
      </c>
      <c r="Q301" s="245" t="n">
        <v>20</v>
      </c>
      <c r="R301" s="245" t="n">
        <v>10</v>
      </c>
      <c r="S301" s="245" t="n">
        <v>1</v>
      </c>
      <c r="T301" s="249" t="inlineStr">
        <is>
          <t xml:space="preserve">I1   </t>
        </is>
      </c>
      <c r="U301" s="249" t="n">
        <v>401</v>
      </c>
      <c r="V301" s="678" t="n">
        <v>30504</v>
      </c>
      <c r="W301" s="678" t="n">
        <v>31000</v>
      </c>
      <c r="X301" s="356" t="inlineStr">
        <is>
          <t>3.0:1</t>
        </is>
      </c>
      <c r="Y301" s="678" t="n">
        <v>10000</v>
      </c>
      <c r="Z301" s="249" t="inlineStr">
        <is>
          <t xml:space="preserve">C </t>
        </is>
      </c>
      <c r="AC301" s="253" t="n"/>
      <c r="AD301" s="247" t="inlineStr">
        <is>
          <t>                    </t>
        </is>
      </c>
      <c r="AE301" s="680" t="n"/>
      <c r="AF301" s="680" t="n"/>
      <c r="AG301" s="680" t="n"/>
      <c r="AH301" s="680" t="n"/>
      <c r="AI301" s="680" t="n"/>
      <c r="AJ301" s="680" t="n"/>
      <c r="AK301" s="680" t="inlineStr">
        <is>
          <t>                                                                  </t>
        </is>
      </c>
      <c r="AM301" s="245" t="inlineStr">
        <is>
          <t> </t>
        </is>
      </c>
    </row>
    <row r="302">
      <c r="A302" s="248" t="n">
        <v>7</v>
      </c>
      <c r="B302" s="370" t="n">
        <v>293</v>
      </c>
      <c r="C302" s="254" t="inlineStr">
        <is>
          <t>2011Q</t>
        </is>
      </c>
      <c r="D302" s="245" t="inlineStr">
        <is>
          <t xml:space="preserve">01144-06-016-000 </t>
        </is>
      </c>
      <c r="E302" s="258" t="inlineStr">
        <is>
          <t>Actual</t>
        </is>
      </c>
      <c r="F302" s="259" t="inlineStr">
        <is>
          <t>5015   PARIS               ST</t>
        </is>
      </c>
      <c r="G302" s="672" t="n">
        <v>44.2</v>
      </c>
      <c r="H302" s="253" t="n">
        <v>9102</v>
      </c>
      <c r="I302" s="255" t="n">
        <v>0</v>
      </c>
      <c r="J302" s="678" t="n">
        <v>16328</v>
      </c>
      <c r="K302" s="679" t="n">
        <v>4.991425771680548</v>
      </c>
      <c r="L302" s="260" t="n">
        <v>0</v>
      </c>
      <c r="M302" s="262" t="n">
        <v>0.143558282208589</v>
      </c>
      <c r="N302" s="253" t="n">
        <v>1979</v>
      </c>
      <c r="O302" s="250" t="n">
        <v>2250</v>
      </c>
      <c r="Q302" s="245" t="n">
        <v>23</v>
      </c>
      <c r="R302" s="245" t="n">
        <v>10</v>
      </c>
      <c r="S302" s="245" t="n">
        <v>1</v>
      </c>
      <c r="T302" s="249" t="inlineStr">
        <is>
          <t xml:space="preserve">I1   </t>
        </is>
      </c>
      <c r="U302" s="249" t="n">
        <v>398</v>
      </c>
      <c r="V302" s="678" t="n">
        <v>40424</v>
      </c>
      <c r="W302" s="678" t="n">
        <v>40000</v>
      </c>
      <c r="X302" s="356" t="inlineStr">
        <is>
          <t>2.5:1</t>
        </is>
      </c>
      <c r="Y302" s="678" t="n">
        <v>16000</v>
      </c>
      <c r="Z302" s="249" t="inlineStr">
        <is>
          <t xml:space="preserve">C </t>
        </is>
      </c>
      <c r="AC302" s="253" t="n"/>
      <c r="AD302" s="247" t="inlineStr">
        <is>
          <t>                    </t>
        </is>
      </c>
      <c r="AE302" s="680" t="n"/>
      <c r="AF302" s="680" t="n"/>
      <c r="AG302" s="680" t="n"/>
      <c r="AH302" s="680" t="n"/>
      <c r="AI302" s="680" t="n"/>
      <c r="AJ302" s="680" t="n"/>
      <c r="AK302" s="680" t="inlineStr">
        <is>
          <t>                                                                  </t>
        </is>
      </c>
      <c r="AM302" s="245" t="inlineStr">
        <is>
          <t> </t>
        </is>
      </c>
    </row>
    <row r="303">
      <c r="A303" s="248" t="n">
        <v>7</v>
      </c>
      <c r="B303" s="370" t="n">
        <v>294</v>
      </c>
      <c r="C303" s="369" t="inlineStr">
        <is>
          <t>2011W</t>
        </is>
      </c>
      <c r="D303" s="370" t="inlineStr">
        <is>
          <t>01144-07-012-000</t>
        </is>
      </c>
      <c r="E303" s="369" t="inlineStr">
        <is>
          <t>Actual</t>
        </is>
      </c>
      <c r="F303" s="370" t="inlineStr">
        <is>
          <t>4800 Nome Street</t>
        </is>
      </c>
      <c r="G303" s="371" t="inlineStr">
        <is>
          <t>44.2</t>
        </is>
      </c>
      <c r="H303" s="370" t="n">
        <v>9102</v>
      </c>
      <c r="I303" s="369" t="n">
        <v>0</v>
      </c>
      <c r="J303" s="372" t="n">
        <v>38194</v>
      </c>
      <c r="K303" s="681" t="n">
        <v>2.94</v>
      </c>
      <c r="L303" s="374" t="n">
        <v>0</v>
      </c>
      <c r="M303" s="374" t="n">
        <v>0</v>
      </c>
      <c r="N303" s="370" t="n">
        <v>1974</v>
      </c>
      <c r="O303" s="369" t="n">
        <v>2460</v>
      </c>
      <c r="P303" s="245" t="n">
        <v>2772</v>
      </c>
      <c r="Q303" s="245" t="n">
        <v>24</v>
      </c>
      <c r="R303" s="245" t="n">
        <v>10</v>
      </c>
      <c r="S303" s="245" t="n">
        <v>1</v>
      </c>
      <c r="T303" s="370" t="inlineStr">
        <is>
          <t xml:space="preserve">I1   </t>
        </is>
      </c>
      <c r="U303" s="370" t="n">
        <v>398</v>
      </c>
      <c r="V303" s="372" t="n">
        <v>67926</v>
      </c>
      <c r="W303" s="372" t="n">
        <v>68000</v>
      </c>
      <c r="X303" s="375" t="inlineStr">
        <is>
          <t>1.8:1</t>
        </is>
      </c>
      <c r="Y303" s="372" t="n">
        <v>38000</v>
      </c>
      <c r="Z303" s="370" t="inlineStr">
        <is>
          <t>C</t>
        </is>
      </c>
      <c r="AA303" s="370" t="n">
        <v>3</v>
      </c>
      <c r="AB303" s="370" t="n">
        <v>3</v>
      </c>
      <c r="AC303" s="370" t="n">
        <v>33</v>
      </c>
      <c r="AD303" s="370" t="n"/>
      <c r="AE303" s="682" t="n"/>
      <c r="AF303" s="683" t="n"/>
      <c r="AG303" s="683" t="n"/>
      <c r="AH303" s="682" t="n"/>
      <c r="AI303" s="683" t="n"/>
      <c r="AJ303" s="682" t="n"/>
      <c r="AK303" s="680" t="n"/>
      <c r="AM303" s="245" t="inlineStr">
        <is>
          <t> </t>
        </is>
      </c>
    </row>
    <row r="304">
      <c r="A304" s="248" t="n">
        <v>7</v>
      </c>
      <c r="B304" s="370" t="n">
        <v>295</v>
      </c>
      <c r="C304" s="254" t="inlineStr">
        <is>
          <t>2011Q</t>
        </is>
      </c>
      <c r="D304" s="245" t="inlineStr">
        <is>
          <t xml:space="preserve">01153-03-007-000 </t>
        </is>
      </c>
      <c r="E304" s="258" t="inlineStr">
        <is>
          <t>Actual</t>
        </is>
      </c>
      <c r="F304" s="259" t="inlineStr">
        <is>
          <t>9355   NORTHFIELD          BV</t>
        </is>
      </c>
      <c r="G304" s="672" t="inlineStr">
        <is>
          <t>44.M</t>
        </is>
      </c>
      <c r="H304" s="253" t="n">
        <v>9103</v>
      </c>
      <c r="I304" s="255" t="n">
        <v>0</v>
      </c>
      <c r="J304" s="678" t="n">
        <v>22183</v>
      </c>
      <c r="K304" s="679" t="n">
        <v>10.27814091872154</v>
      </c>
      <c r="L304" s="260" t="n">
        <v>0</v>
      </c>
      <c r="M304" s="262" t="n">
        <v>0</v>
      </c>
      <c r="N304" s="253" t="n">
        <v>2008</v>
      </c>
      <c r="O304" s="250" t="n">
        <v>6965</v>
      </c>
      <c r="P304" s="250" t="n">
        <v>6150</v>
      </c>
      <c r="Q304" s="245" t="n">
        <v>32</v>
      </c>
      <c r="R304" s="245" t="n">
        <v>9</v>
      </c>
      <c r="S304" s="245" t="n">
        <v>1</v>
      </c>
      <c r="T304" s="249" t="inlineStr">
        <is>
          <t>CMU30</t>
        </is>
      </c>
      <c r="U304" s="249" t="n">
        <v>397</v>
      </c>
      <c r="V304" s="678" t="n">
        <v>45344</v>
      </c>
      <c r="W304" s="678" t="n">
        <v>45000</v>
      </c>
      <c r="X304" s="356" t="inlineStr">
        <is>
          <t>2.0:1</t>
        </is>
      </c>
      <c r="Y304" s="678" t="n">
        <v>22000</v>
      </c>
      <c r="Z304" s="249" t="inlineStr">
        <is>
          <t xml:space="preserve">C </t>
        </is>
      </c>
      <c r="AC304" s="253" t="n"/>
      <c r="AD304" s="247" t="inlineStr">
        <is>
          <t>                    </t>
        </is>
      </c>
      <c r="AE304" s="680" t="n"/>
      <c r="AF304" s="680" t="n"/>
      <c r="AG304" s="680" t="n"/>
      <c r="AH304" s="680" t="n"/>
      <c r="AI304" s="680" t="n"/>
      <c r="AJ304" s="680" t="n"/>
      <c r="AK304" s="680" t="inlineStr">
        <is>
          <t>                                                                  </t>
        </is>
      </c>
      <c r="AM304" s="245" t="inlineStr">
        <is>
          <t> </t>
        </is>
      </c>
    </row>
    <row r="305">
      <c r="A305" s="248" t="n">
        <v>7</v>
      </c>
      <c r="B305" s="370" t="n">
        <v>296</v>
      </c>
      <c r="C305" s="254" t="inlineStr">
        <is>
          <t>2011Q</t>
        </is>
      </c>
      <c r="D305" s="245" t="inlineStr">
        <is>
          <t xml:space="preserve">01154-03-004-000 </t>
        </is>
      </c>
      <c r="E305" s="258" t="inlineStr">
        <is>
          <t>Actual</t>
        </is>
      </c>
      <c r="F305" s="259" t="inlineStr">
        <is>
          <t>10275 E 47TH                AV</t>
        </is>
      </c>
      <c r="G305" s="672" t="n">
        <v>44.2</v>
      </c>
      <c r="H305" s="253" t="n">
        <v>9103</v>
      </c>
      <c r="I305" s="255" t="n">
        <v>0</v>
      </c>
      <c r="J305" s="678" t="n">
        <v>50533</v>
      </c>
      <c r="K305" s="679" t="n">
        <v>5.791403637227159</v>
      </c>
      <c r="L305" s="260" t="n">
        <v>0</v>
      </c>
      <c r="M305" s="262" t="n">
        <v>0.01316899988724001</v>
      </c>
      <c r="N305" s="253" t="n">
        <v>1998</v>
      </c>
      <c r="O305" s="250" t="n">
        <v>11472</v>
      </c>
      <c r="P305" s="250" t="n">
        <v>12133</v>
      </c>
      <c r="Q305" s="245" t="n">
        <v>22</v>
      </c>
      <c r="R305" s="245" t="n">
        <v>14</v>
      </c>
      <c r="S305" s="245" t="n">
        <v>1</v>
      </c>
      <c r="T305" s="249" t="inlineStr">
        <is>
          <t>CMU30</t>
        </is>
      </c>
      <c r="U305" s="249" t="n">
        <v>398</v>
      </c>
      <c r="V305" s="678" t="n">
        <v>202118</v>
      </c>
      <c r="W305" s="678" t="n">
        <v>200000</v>
      </c>
      <c r="X305" s="356" t="inlineStr">
        <is>
          <t>4.0:1</t>
        </is>
      </c>
      <c r="Y305" s="678" t="n">
        <v>51000</v>
      </c>
      <c r="Z305" s="249" t="inlineStr">
        <is>
          <t xml:space="preserve">C </t>
        </is>
      </c>
      <c r="AC305" s="253" t="n"/>
      <c r="AD305" s="247" t="inlineStr">
        <is>
          <t xml:space="preserve">GUY'S FLOOR SERVICE </t>
        </is>
      </c>
      <c r="AE305" s="680" t="n"/>
      <c r="AF305" s="680" t="n"/>
      <c r="AG305" s="680" t="n"/>
      <c r="AH305" s="680" t="n"/>
      <c r="AI305" s="680" t="n"/>
      <c r="AJ305" s="680" t="n"/>
      <c r="AK305" s="680" t="inlineStr">
        <is>
          <t>                                                                  </t>
        </is>
      </c>
      <c r="AM305" s="245" t="inlineStr">
        <is>
          <t> </t>
        </is>
      </c>
    </row>
    <row r="306">
      <c r="A306" s="248" t="n">
        <v>7</v>
      </c>
      <c r="B306" s="370" t="n">
        <v>297</v>
      </c>
      <c r="C306" s="254" t="inlineStr">
        <is>
          <t>2011Q</t>
        </is>
      </c>
      <c r="D306" s="245" t="inlineStr">
        <is>
          <t xml:space="preserve">01154-04-002-000 </t>
        </is>
      </c>
      <c r="E306" s="258" t="inlineStr">
        <is>
          <t>Actual</t>
        </is>
      </c>
      <c r="F306" s="259" t="inlineStr">
        <is>
          <t>4800   GENEVA              ST</t>
        </is>
      </c>
      <c r="G306" s="672" t="n">
        <v>44.2</v>
      </c>
      <c r="H306" s="253" t="n">
        <v>9103</v>
      </c>
      <c r="I306" s="255" t="n">
        <v>0</v>
      </c>
      <c r="J306" s="678" t="n">
        <v>20146</v>
      </c>
      <c r="K306" s="679" t="n">
        <v>2.334210265065025</v>
      </c>
      <c r="L306" s="260" t="n">
        <v>0</v>
      </c>
      <c r="M306" s="262" t="n">
        <v>0.04378522062732589</v>
      </c>
      <c r="N306" s="253" t="n">
        <v>2005</v>
      </c>
      <c r="O306" s="250" t="n">
        <v>964</v>
      </c>
      <c r="Q306" s="245" t="n">
        <v>28</v>
      </c>
      <c r="R306" s="245" t="n">
        <v>14</v>
      </c>
      <c r="S306" s="245" t="n">
        <v>1</v>
      </c>
      <c r="T306" s="249" t="inlineStr">
        <is>
          <t>CMU30</t>
        </is>
      </c>
      <c r="U306" s="249" t="n">
        <v>398</v>
      </c>
      <c r="V306" s="678" t="n">
        <v>71003</v>
      </c>
      <c r="W306" s="678" t="n">
        <v>71000</v>
      </c>
      <c r="X306" s="356" t="inlineStr">
        <is>
          <t>3.5:1</t>
        </is>
      </c>
      <c r="Y306" s="678" t="n">
        <v>20000</v>
      </c>
      <c r="Z306" s="249" t="inlineStr">
        <is>
          <t xml:space="preserve">C </t>
        </is>
      </c>
      <c r="AC306" s="253" t="n"/>
      <c r="AD306" s="247" t="inlineStr">
        <is>
          <t xml:space="preserve">GUY'S FLOOR SERVICE </t>
        </is>
      </c>
      <c r="AE306" s="680" t="n"/>
      <c r="AF306" s="680" t="n"/>
      <c r="AG306" s="680" t="n"/>
      <c r="AH306" s="680" t="n"/>
      <c r="AI306" s="680" t="n"/>
      <c r="AJ306" s="680" t="n"/>
      <c r="AK306" s="680" t="inlineStr">
        <is>
          <t>                                                                  </t>
        </is>
      </c>
      <c r="AM306" s="245" t="inlineStr">
        <is>
          <t> </t>
        </is>
      </c>
    </row>
    <row r="307">
      <c r="A307" s="248" t="n">
        <v>7</v>
      </c>
      <c r="B307" s="370" t="n">
        <v>298</v>
      </c>
      <c r="C307" s="254" t="inlineStr">
        <is>
          <t>2011Q</t>
        </is>
      </c>
      <c r="D307" s="245" t="inlineStr">
        <is>
          <t xml:space="preserve">01183-00-019-000 </t>
        </is>
      </c>
      <c r="E307" s="258" t="inlineStr">
        <is>
          <t>Actual</t>
        </is>
      </c>
      <c r="F307" s="259" t="inlineStr">
        <is>
          <t>4200 E 52ND                AV</t>
        </is>
      </c>
      <c r="G307" s="672" t="n">
        <v>44.3</v>
      </c>
      <c r="H307" s="253" t="n">
        <v>9101</v>
      </c>
      <c r="I307" s="255" t="n">
        <v>0</v>
      </c>
      <c r="J307" s="678" t="n">
        <v>128963</v>
      </c>
      <c r="K307" s="679" t="n">
        <v>3.163698114963207</v>
      </c>
      <c r="L307" s="260" t="n">
        <v>0</v>
      </c>
      <c r="M307" s="262" t="n">
        <v>0</v>
      </c>
      <c r="N307" s="253" t="n">
        <v>1966</v>
      </c>
      <c r="O307" s="250" t="n">
        <v>9653</v>
      </c>
      <c r="P307" s="250" t="n">
        <v>1015</v>
      </c>
      <c r="Q307" s="245" t="n">
        <v>34</v>
      </c>
      <c r="R307" s="245" t="n">
        <v>3</v>
      </c>
      <c r="S307" s="245" t="n">
        <v>1</v>
      </c>
      <c r="T307" s="249" t="inlineStr">
        <is>
          <t xml:space="preserve">I2   </t>
        </is>
      </c>
      <c r="U307" s="249" t="n">
        <v>398</v>
      </c>
      <c r="V307" s="678" t="n">
        <v>292070</v>
      </c>
      <c r="W307" s="678" t="n">
        <v>290000</v>
      </c>
      <c r="X307" s="356" t="inlineStr">
        <is>
          <t>2.3:1</t>
        </is>
      </c>
      <c r="Y307" s="678" t="n">
        <v>130000</v>
      </c>
      <c r="Z307" s="249" t="inlineStr">
        <is>
          <t xml:space="preserve">C </t>
        </is>
      </c>
      <c r="AC307" s="253" t="n"/>
      <c r="AD307" s="247" t="inlineStr">
        <is>
          <t xml:space="preserve">S-W-AMERICAN WHSE   </t>
        </is>
      </c>
      <c r="AE307" s="680" t="n"/>
      <c r="AF307" s="680" t="n"/>
      <c r="AG307" s="680" t="n"/>
      <c r="AH307" s="680" t="n"/>
      <c r="AI307" s="680" t="n"/>
      <c r="AJ307" s="680" t="n"/>
      <c r="AK307" s="680" t="inlineStr">
        <is>
          <t xml:space="preserve">RELATED ENTITIES BUT APPEARS TO BE MARKET NONETHELESS.            </t>
        </is>
      </c>
      <c r="AM307" s="245" t="inlineStr">
        <is>
          <t> </t>
        </is>
      </c>
    </row>
    <row r="308">
      <c r="A308" s="248" t="n">
        <v>7</v>
      </c>
      <c r="B308" s="370" t="n">
        <v>299</v>
      </c>
      <c r="C308" s="254" t="inlineStr">
        <is>
          <t>2011Q</t>
        </is>
      </c>
      <c r="D308" s="245" t="inlineStr">
        <is>
          <t xml:space="preserve">01183-00-058-000 </t>
        </is>
      </c>
      <c r="E308" s="258" t="inlineStr">
        <is>
          <t>Actual</t>
        </is>
      </c>
      <c r="F308" s="259" t="inlineStr">
        <is>
          <t>4201 E 48TH                AV</t>
        </is>
      </c>
      <c r="G308" s="672" t="n">
        <v>44.2</v>
      </c>
      <c r="H308" s="253" t="n">
        <v>9101</v>
      </c>
      <c r="I308" s="255" t="n">
        <v>0</v>
      </c>
      <c r="J308" s="678" t="n">
        <v>19692</v>
      </c>
      <c r="K308" s="679" t="n">
        <v>2.412147064797888</v>
      </c>
      <c r="L308" s="260" t="n">
        <v>0</v>
      </c>
      <c r="M308" s="262" t="n">
        <v>0</v>
      </c>
      <c r="N308" s="253" t="n">
        <v>1959</v>
      </c>
      <c r="O308" s="250" t="n">
        <v>1400</v>
      </c>
      <c r="Q308" s="245" t="n">
        <v>17</v>
      </c>
      <c r="R308" s="245" t="n">
        <v>3</v>
      </c>
      <c r="S308" s="245" t="n">
        <v>1</v>
      </c>
      <c r="T308" s="249" t="inlineStr">
        <is>
          <t xml:space="preserve">I2   </t>
        </is>
      </c>
      <c r="U308" s="249" t="n">
        <v>398</v>
      </c>
      <c r="V308" s="678" t="n">
        <v>45551</v>
      </c>
      <c r="W308" s="678" t="n">
        <v>46000</v>
      </c>
      <c r="X308" s="356" t="inlineStr">
        <is>
          <t>2.3:1</t>
        </is>
      </c>
      <c r="Y308" s="678" t="n">
        <v>20000</v>
      </c>
      <c r="Z308" s="249" t="inlineStr">
        <is>
          <t xml:space="preserve">C </t>
        </is>
      </c>
      <c r="AC308" s="253" t="n"/>
      <c r="AD308" s="247" t="inlineStr">
        <is>
          <t>                    </t>
        </is>
      </c>
      <c r="AE308" s="680" t="n"/>
      <c r="AF308" s="680" t="n"/>
      <c r="AG308" s="680" t="n"/>
      <c r="AH308" s="680" t="n"/>
      <c r="AI308" s="680" t="n"/>
      <c r="AJ308" s="680" t="n"/>
      <c r="AK308" s="680" t="inlineStr">
        <is>
          <t>                                                                  </t>
        </is>
      </c>
      <c r="AM308" s="245" t="inlineStr">
        <is>
          <t> </t>
        </is>
      </c>
    </row>
    <row r="309">
      <c r="A309" s="248" t="n">
        <v>7</v>
      </c>
      <c r="B309" s="370" t="n">
        <v>300</v>
      </c>
      <c r="C309" s="254" t="inlineStr">
        <is>
          <t>2011Q</t>
        </is>
      </c>
      <c r="D309" s="245" t="inlineStr">
        <is>
          <t xml:space="preserve">01183-01-024-000 </t>
        </is>
      </c>
      <c r="E309" s="258" t="inlineStr">
        <is>
          <t>Actual</t>
        </is>
      </c>
      <c r="F309" s="259" t="inlineStr">
        <is>
          <t>4545 E 51ST                AV</t>
        </is>
      </c>
      <c r="G309" s="672" t="n">
        <v>44.4</v>
      </c>
      <c r="H309" s="253" t="n">
        <v>9101</v>
      </c>
      <c r="I309" s="255" t="n">
        <v>0</v>
      </c>
      <c r="J309" s="678" t="n">
        <v>122398</v>
      </c>
      <c r="K309" s="679" t="n">
        <v>4.769195575091096</v>
      </c>
      <c r="L309" s="260" t="n">
        <v>0</v>
      </c>
      <c r="M309" s="262" t="n">
        <v>0.01829410353924692</v>
      </c>
      <c r="N309" s="253" t="n">
        <v>1993</v>
      </c>
      <c r="O309" s="250" t="n">
        <v>6829</v>
      </c>
      <c r="P309" s="250" t="n">
        <v>13273</v>
      </c>
      <c r="Q309" s="245" t="n">
        <v>30</v>
      </c>
      <c r="R309" s="245" t="n">
        <v>14</v>
      </c>
      <c r="S309" s="245" t="n">
        <v>1</v>
      </c>
      <c r="T309" s="249" t="inlineStr">
        <is>
          <t xml:space="preserve">I2   </t>
        </is>
      </c>
      <c r="U309" s="249" t="n">
        <v>398</v>
      </c>
      <c r="V309" s="678" t="n">
        <v>317659</v>
      </c>
      <c r="W309" s="678" t="n">
        <v>320000</v>
      </c>
      <c r="X309" s="356" t="inlineStr">
        <is>
          <t>2.6:1</t>
        </is>
      </c>
      <c r="Y309" s="678" t="n">
        <v>120000</v>
      </c>
      <c r="Z309" s="249" t="inlineStr">
        <is>
          <t xml:space="preserve">C </t>
        </is>
      </c>
      <c r="AC309" s="253" t="n"/>
      <c r="AD309" s="247" t="inlineStr">
        <is>
          <t xml:space="preserve">S-W-MILLER BRANDS   </t>
        </is>
      </c>
      <c r="AE309" s="680" t="n"/>
      <c r="AF309" s="680" t="n"/>
      <c r="AG309" s="680" t="n"/>
      <c r="AH309" s="680" t="n"/>
      <c r="AI309" s="680" t="n"/>
      <c r="AJ309" s="680" t="n"/>
      <c r="AK309" s="680" t="inlineStr">
        <is>
          <t xml:space="preserve">LEASED TO QWEST THRU 12-31-2010                                   </t>
        </is>
      </c>
      <c r="AM309" s="245" t="inlineStr">
        <is>
          <t> </t>
        </is>
      </c>
    </row>
    <row r="310">
      <c r="A310" s="248" t="n">
        <v>7</v>
      </c>
      <c r="B310" s="370" t="n">
        <v>301</v>
      </c>
      <c r="C310" s="254" t="inlineStr">
        <is>
          <t>2011Q</t>
        </is>
      </c>
      <c r="D310" s="245" t="inlineStr">
        <is>
          <t xml:space="preserve">01183-02-017-000 </t>
        </is>
      </c>
      <c r="E310" s="258" t="inlineStr">
        <is>
          <t>Actual</t>
        </is>
      </c>
      <c r="F310" s="259" t="inlineStr">
        <is>
          <t>5025   DAHLIA              ST</t>
        </is>
      </c>
      <c r="G310" s="672" t="n">
        <v>44.2</v>
      </c>
      <c r="H310" s="253" t="n">
        <v>9101</v>
      </c>
      <c r="I310" s="255" t="n">
        <v>0</v>
      </c>
      <c r="J310" s="678" t="n">
        <v>11440</v>
      </c>
      <c r="K310" s="679" t="n">
        <v>6.293706293706293</v>
      </c>
      <c r="L310" s="260" t="n">
        <v>0</v>
      </c>
      <c r="M310" s="262" t="n">
        <v>0</v>
      </c>
      <c r="N310" s="253" t="n">
        <v>1974</v>
      </c>
      <c r="O310" s="250" t="n">
        <v>1564</v>
      </c>
      <c r="Q310" s="245" t="n">
        <v>22</v>
      </c>
      <c r="R310" s="245" t="n">
        <v>1</v>
      </c>
      <c r="S310" s="245" t="n">
        <v>1</v>
      </c>
      <c r="T310" s="249" t="inlineStr">
        <is>
          <t xml:space="preserve">I2   </t>
        </is>
      </c>
      <c r="U310" s="249" t="n">
        <v>398</v>
      </c>
      <c r="V310" s="678" t="n">
        <v>21764</v>
      </c>
      <c r="W310" s="678" t="n">
        <v>22000</v>
      </c>
      <c r="X310" s="356" t="inlineStr">
        <is>
          <t>1.9:1</t>
        </is>
      </c>
      <c r="Y310" s="678" t="n">
        <v>11000</v>
      </c>
      <c r="Z310" s="249" t="inlineStr">
        <is>
          <t xml:space="preserve">C </t>
        </is>
      </c>
      <c r="AC310" s="253" t="n"/>
      <c r="AD310" s="247" t="inlineStr">
        <is>
          <t>                    </t>
        </is>
      </c>
      <c r="AE310" s="680" t="n"/>
      <c r="AF310" s="680" t="n"/>
      <c r="AG310" s="680" t="n"/>
      <c r="AH310" s="680" t="n"/>
      <c r="AI310" s="680" t="n"/>
      <c r="AJ310" s="680" t="n"/>
      <c r="AK310" s="680" t="inlineStr">
        <is>
          <t xml:space="preserve">2008 LEASE.                                                       </t>
        </is>
      </c>
      <c r="AM310" s="245" t="inlineStr">
        <is>
          <t> </t>
        </is>
      </c>
    </row>
    <row r="311">
      <c r="A311" s="248" t="n">
        <v>7</v>
      </c>
      <c r="B311" s="370" t="n">
        <v>302</v>
      </c>
      <c r="C311" s="254" t="inlineStr">
        <is>
          <t>2011Q</t>
        </is>
      </c>
      <c r="D311" s="245" t="inlineStr">
        <is>
          <t xml:space="preserve">01184-00-016-000 </t>
        </is>
      </c>
      <c r="E311" s="258" t="inlineStr">
        <is>
          <t>Actual</t>
        </is>
      </c>
      <c r="F311" s="259" t="inlineStr">
        <is>
          <t>4900   DAHLIA              ST</t>
        </is>
      </c>
      <c r="G311" s="672" t="n">
        <v>44.2</v>
      </c>
      <c r="H311" s="253" t="n">
        <v>9101</v>
      </c>
      <c r="I311" s="255" t="n">
        <v>0</v>
      </c>
      <c r="J311" s="678" t="n">
        <v>40200</v>
      </c>
      <c r="K311" s="679" t="n">
        <v>5.970149253731344</v>
      </c>
      <c r="L311" s="260" t="n">
        <v>0</v>
      </c>
      <c r="M311" s="262" t="n">
        <v>0.06715416666666667</v>
      </c>
      <c r="N311" s="253" t="n">
        <v>1966</v>
      </c>
      <c r="O311" s="250" t="n">
        <v>0</v>
      </c>
      <c r="Q311" s="245" t="n">
        <v>30</v>
      </c>
      <c r="R311" s="245" t="n">
        <v>1</v>
      </c>
      <c r="S311" s="245" t="n">
        <v>1</v>
      </c>
      <c r="T311" s="249" t="inlineStr">
        <is>
          <t xml:space="preserve">I2   </t>
        </is>
      </c>
      <c r="U311" s="249" t="n">
        <v>398</v>
      </c>
      <c r="V311" s="678" t="n">
        <v>102703</v>
      </c>
      <c r="W311" s="678" t="n">
        <v>100000</v>
      </c>
      <c r="X311" s="356" t="inlineStr">
        <is>
          <t>2.6:1</t>
        </is>
      </c>
      <c r="Y311" s="678" t="n">
        <v>40000</v>
      </c>
      <c r="Z311" s="249" t="inlineStr">
        <is>
          <t xml:space="preserve">C </t>
        </is>
      </c>
      <c r="AC311" s="253" t="n"/>
      <c r="AD311" s="247" t="inlineStr">
        <is>
          <t xml:space="preserve">AMERICAN WHSE       </t>
        </is>
      </c>
      <c r="AE311" s="680" t="n"/>
      <c r="AF311" s="680" t="n"/>
      <c r="AG311" s="680" t="n"/>
      <c r="AH311" s="680" t="n"/>
      <c r="AI311" s="680" t="n"/>
      <c r="AJ311" s="680" t="n"/>
      <c r="AK311" s="680" t="inlineStr">
        <is>
          <t>                                                                  </t>
        </is>
      </c>
      <c r="AM311" s="245" t="inlineStr">
        <is>
          <t> </t>
        </is>
      </c>
    </row>
    <row r="312">
      <c r="A312" s="248" t="n">
        <v>7</v>
      </c>
      <c r="B312" s="370" t="n">
        <v>303</v>
      </c>
      <c r="C312" s="254" t="inlineStr">
        <is>
          <t>2011Q</t>
        </is>
      </c>
      <c r="D312" s="245" t="inlineStr">
        <is>
          <t xml:space="preserve">01184-01-004-000 </t>
        </is>
      </c>
      <c r="E312" s="258" t="inlineStr">
        <is>
          <t>Actual</t>
        </is>
      </c>
      <c r="F312" s="259" t="inlineStr">
        <is>
          <t>5199 E 48TH                AV</t>
        </is>
      </c>
      <c r="G312" s="672" t="n">
        <v>44.2</v>
      </c>
      <c r="H312" s="253" t="n">
        <v>9101</v>
      </c>
      <c r="I312" s="255" t="n">
        <v>0</v>
      </c>
      <c r="J312" s="678" t="n">
        <v>14222</v>
      </c>
      <c r="K312" s="679" t="n">
        <v>5.062579102798481</v>
      </c>
      <c r="L312" s="260" t="n">
        <v>0</v>
      </c>
      <c r="M312" s="262" t="n">
        <v>0</v>
      </c>
      <c r="N312" s="253" t="n">
        <v>1986</v>
      </c>
      <c r="O312" s="250" t="n">
        <v>1731</v>
      </c>
      <c r="Q312" s="245" t="n">
        <v>18</v>
      </c>
      <c r="R312" s="245" t="n">
        <v>8</v>
      </c>
      <c r="S312" s="245" t="n">
        <v>1</v>
      </c>
      <c r="T312" s="249" t="inlineStr">
        <is>
          <t xml:space="preserve">I2   </t>
        </is>
      </c>
      <c r="U312" s="249" t="n">
        <v>398</v>
      </c>
      <c r="V312" s="678" t="n">
        <v>99260</v>
      </c>
      <c r="W312" s="678" t="n">
        <v>99000</v>
      </c>
      <c r="X312" s="356" t="inlineStr">
        <is>
          <t>7.0:1</t>
        </is>
      </c>
      <c r="Y312" s="678" t="n">
        <v>14000</v>
      </c>
      <c r="Z312" s="249" t="inlineStr">
        <is>
          <t xml:space="preserve">C </t>
        </is>
      </c>
      <c r="AC312" s="253" t="n"/>
      <c r="AD312" s="247" t="inlineStr">
        <is>
          <t xml:space="preserve">CENTRAL STATES HOSE </t>
        </is>
      </c>
      <c r="AE312" s="680" t="n"/>
      <c r="AF312" s="680" t="n"/>
      <c r="AG312" s="680" t="n"/>
      <c r="AH312" s="680" t="n"/>
      <c r="AI312" s="680" t="n"/>
      <c r="AJ312" s="680" t="n"/>
      <c r="AK312" s="680" t="inlineStr">
        <is>
          <t>                                                                  </t>
        </is>
      </c>
      <c r="AM312" s="245" t="inlineStr">
        <is>
          <t> </t>
        </is>
      </c>
    </row>
    <row r="313">
      <c r="A313" s="248" t="n">
        <v>7</v>
      </c>
      <c r="B313" s="370" t="n">
        <v>304</v>
      </c>
      <c r="C313" s="254" t="inlineStr">
        <is>
          <t>2011Q</t>
        </is>
      </c>
      <c r="D313" s="245" t="inlineStr">
        <is>
          <t xml:space="preserve">01191-00-028-000 </t>
        </is>
      </c>
      <c r="E313" s="258" t="inlineStr">
        <is>
          <t>Actual</t>
        </is>
      </c>
      <c r="F313" s="259" t="inlineStr">
        <is>
          <t>4310   GRAPE               ST</t>
        </is>
      </c>
      <c r="G313" s="253" t="n">
        <v>44.1</v>
      </c>
      <c r="H313" s="253" t="n">
        <v>9101</v>
      </c>
      <c r="I313" s="255" t="n">
        <v>0</v>
      </c>
      <c r="J313" s="678" t="n">
        <v>20300</v>
      </c>
      <c r="K313" s="679" t="n">
        <v>5.320197044334975</v>
      </c>
      <c r="L313" s="260" t="n">
        <v>0</v>
      </c>
      <c r="M313" s="262" t="n">
        <v>0.1101851851851852</v>
      </c>
      <c r="N313" s="253" t="n">
        <v>1978</v>
      </c>
      <c r="O313" s="250" t="n">
        <v>2080</v>
      </c>
      <c r="Q313" s="245" t="n">
        <v>15</v>
      </c>
      <c r="R313" s="245" t="n">
        <v>1</v>
      </c>
      <c r="S313" s="245" t="n">
        <v>1</v>
      </c>
      <c r="T313" s="249" t="inlineStr">
        <is>
          <t xml:space="preserve">I2   </t>
        </is>
      </c>
      <c r="U313" s="249" t="n">
        <v>398</v>
      </c>
      <c r="V313" s="678" t="n">
        <v>60517</v>
      </c>
      <c r="W313" s="678" t="n">
        <v>61000</v>
      </c>
      <c r="X313" s="356" t="inlineStr">
        <is>
          <t>3.0:1</t>
        </is>
      </c>
      <c r="Y313" s="678" t="n">
        <v>20000</v>
      </c>
      <c r="Z313" s="249" t="inlineStr">
        <is>
          <t xml:space="preserve">C </t>
        </is>
      </c>
      <c r="AC313" s="253" t="n"/>
      <c r="AD313" s="247" t="inlineStr">
        <is>
          <t xml:space="preserve">GROWING SPROUTS     </t>
        </is>
      </c>
      <c r="AE313" s="680" t="n"/>
      <c r="AF313" s="680" t="n"/>
      <c r="AG313" s="680" t="n"/>
      <c r="AH313" s="680" t="n"/>
      <c r="AI313" s="680" t="n"/>
      <c r="AJ313" s="680" t="n"/>
      <c r="AK313" s="680" t="inlineStr">
        <is>
          <t>                                                                  </t>
        </is>
      </c>
      <c r="AM313" s="245" t="inlineStr">
        <is>
          <t> </t>
        </is>
      </c>
    </row>
    <row r="314">
      <c r="A314" s="248" t="n">
        <v>7</v>
      </c>
      <c r="B314" s="370" t="n">
        <v>305</v>
      </c>
      <c r="C314" s="254" t="inlineStr">
        <is>
          <t>2011Q</t>
        </is>
      </c>
      <c r="D314" s="245" t="inlineStr">
        <is>
          <t xml:space="preserve">01191-00-059-000 </t>
        </is>
      </c>
      <c r="E314" s="258" t="inlineStr">
        <is>
          <t>Actual</t>
        </is>
      </c>
      <c r="F314" s="259" t="inlineStr">
        <is>
          <t>4747   HOLLY               ST</t>
        </is>
      </c>
      <c r="G314" s="672" t="n">
        <v>44.2</v>
      </c>
      <c r="H314" s="253" t="n">
        <v>9101</v>
      </c>
      <c r="I314" s="255" t="n">
        <v>0</v>
      </c>
      <c r="J314" s="678" t="n">
        <v>29447</v>
      </c>
      <c r="K314" s="679" t="n">
        <v>4.075118008625666</v>
      </c>
      <c r="L314" s="260" t="n">
        <v>0</v>
      </c>
      <c r="M314" s="262" t="n">
        <v>0</v>
      </c>
      <c r="N314" s="253" t="n">
        <v>1967</v>
      </c>
      <c r="O314" s="250" t="n">
        <v>7053</v>
      </c>
      <c r="Q314" s="245" t="n">
        <v>24</v>
      </c>
      <c r="R314" s="245" t="n">
        <v>10</v>
      </c>
      <c r="S314" s="245" t="n">
        <v>1</v>
      </c>
      <c r="T314" s="249" t="inlineStr">
        <is>
          <t xml:space="preserve">I2   </t>
        </is>
      </c>
      <c r="U314" s="249" t="n">
        <v>398</v>
      </c>
      <c r="V314" s="678" t="n">
        <v>90213</v>
      </c>
      <c r="W314" s="678" t="n">
        <v>90000</v>
      </c>
      <c r="X314" s="356" t="inlineStr">
        <is>
          <t>3.1:1</t>
        </is>
      </c>
      <c r="Y314" s="678" t="n">
        <v>29000</v>
      </c>
      <c r="Z314" s="249" t="inlineStr">
        <is>
          <t xml:space="preserve">C </t>
        </is>
      </c>
      <c r="AC314" s="253" t="n"/>
      <c r="AD314" s="247" t="inlineStr">
        <is>
          <t>                    </t>
        </is>
      </c>
      <c r="AE314" s="680" t="n"/>
      <c r="AF314" s="680" t="n"/>
      <c r="AG314" s="680" t="n"/>
      <c r="AH314" s="680" t="n"/>
      <c r="AI314" s="680" t="n"/>
      <c r="AJ314" s="680" t="n"/>
      <c r="AK314" s="680" t="inlineStr">
        <is>
          <t xml:space="preserve">2008 LEASE.                                                       </t>
        </is>
      </c>
      <c r="AM314" s="245" t="inlineStr">
        <is>
          <t> </t>
        </is>
      </c>
    </row>
    <row r="315">
      <c r="A315" s="248" t="n">
        <v>7</v>
      </c>
      <c r="B315" s="370" t="n">
        <v>306</v>
      </c>
      <c r="C315" s="254" t="inlineStr">
        <is>
          <t>2011Q</t>
        </is>
      </c>
      <c r="D315" s="245" t="inlineStr">
        <is>
          <t xml:space="preserve">01192-00-065-000 </t>
        </is>
      </c>
      <c r="E315" s="258" t="inlineStr">
        <is>
          <t>Actual</t>
        </is>
      </c>
      <c r="F315" s="259" t="inlineStr">
        <is>
          <t>4351 E 46TH                AV</t>
        </is>
      </c>
      <c r="G315" s="672" t="n">
        <v>44.2</v>
      </c>
      <c r="H315" s="253" t="n">
        <v>9101</v>
      </c>
      <c r="I315" s="255" t="n">
        <v>0</v>
      </c>
      <c r="J315" s="678" t="n">
        <v>43880</v>
      </c>
      <c r="K315" s="679" t="n">
        <v>2.734731084776663</v>
      </c>
      <c r="L315" s="260" t="n">
        <v>0</v>
      </c>
      <c r="M315" s="262" t="n">
        <v>0.03333333333333333</v>
      </c>
      <c r="N315" s="253" t="n">
        <v>1953</v>
      </c>
      <c r="O315" s="250" t="n">
        <v>8618</v>
      </c>
      <c r="Q315" s="245" t="n">
        <v>18</v>
      </c>
      <c r="R315" s="245" t="n">
        <v>4</v>
      </c>
      <c r="S315" s="245" t="n">
        <v>1</v>
      </c>
      <c r="T315" s="249" t="inlineStr">
        <is>
          <t xml:space="preserve">I2   </t>
        </is>
      </c>
      <c r="U315" s="249" t="n">
        <v>398</v>
      </c>
      <c r="V315" s="678" t="n">
        <v>89166</v>
      </c>
      <c r="W315" s="678" t="n">
        <v>89000</v>
      </c>
      <c r="X315" s="356" t="inlineStr">
        <is>
          <t>2.0:1</t>
        </is>
      </c>
      <c r="Y315" s="678" t="n">
        <v>44000</v>
      </c>
      <c r="Z315" s="249" t="inlineStr">
        <is>
          <t xml:space="preserve">C </t>
        </is>
      </c>
      <c r="AC315" s="253" t="n"/>
      <c r="AD315" s="247" t="inlineStr">
        <is>
          <t xml:space="preserve">SPEEDWORLD GO-CARTS </t>
        </is>
      </c>
      <c r="AE315" s="680" t="n"/>
      <c r="AF315" s="680" t="n"/>
      <c r="AG315" s="680" t="n"/>
      <c r="AH315" s="680" t="n"/>
      <c r="AI315" s="680" t="n"/>
      <c r="AJ315" s="680" t="n"/>
      <c r="AK315" s="680" t="inlineStr">
        <is>
          <t xml:space="preserve">2008 LEASE.                                                       </t>
        </is>
      </c>
      <c r="AM315" s="245" t="inlineStr">
        <is>
          <t> </t>
        </is>
      </c>
    </row>
    <row r="316">
      <c r="A316" s="248" t="n">
        <v>7</v>
      </c>
      <c r="B316" s="370" t="n">
        <v>307</v>
      </c>
      <c r="C316" s="254" t="inlineStr">
        <is>
          <t>2011Q</t>
        </is>
      </c>
      <c r="D316" s="245" t="inlineStr">
        <is>
          <t xml:space="preserve">01192-03-006-000 </t>
        </is>
      </c>
      <c r="E316" s="258" t="inlineStr">
        <is>
          <t>Actual</t>
        </is>
      </c>
      <c r="F316" s="259" t="inlineStr">
        <is>
          <t>4555   STAPLETON N         DR</t>
        </is>
      </c>
      <c r="G316" s="672" t="n">
        <v>44.2</v>
      </c>
      <c r="H316" s="253" t="n">
        <v>9101</v>
      </c>
      <c r="I316" s="255" t="n">
        <v>0</v>
      </c>
      <c r="J316" s="678" t="n">
        <v>12559</v>
      </c>
      <c r="K316" s="679" t="n">
        <v>3.961223027311092</v>
      </c>
      <c r="L316" s="260" t="n">
        <v>0</v>
      </c>
      <c r="M316" s="262" t="n">
        <v>0.1766467667691813</v>
      </c>
      <c r="N316" s="253" t="n">
        <v>1953</v>
      </c>
      <c r="O316" s="250" t="n">
        <v>0</v>
      </c>
      <c r="P316" s="250" t="n">
        <v>1233</v>
      </c>
      <c r="Q316" s="245" t="n">
        <v>15</v>
      </c>
      <c r="R316" s="245" t="n">
        <v>3</v>
      </c>
      <c r="S316" s="245" t="n">
        <v>1</v>
      </c>
      <c r="T316" s="249" t="inlineStr">
        <is>
          <t xml:space="preserve">I2   </t>
        </is>
      </c>
      <c r="U316" s="249" t="n">
        <v>398</v>
      </c>
      <c r="V316" s="678" t="n">
        <v>25000</v>
      </c>
      <c r="W316" s="678" t="n">
        <v>25000</v>
      </c>
      <c r="X316" s="356" t="inlineStr">
        <is>
          <t>2.0:1</t>
        </is>
      </c>
      <c r="Y316" s="678" t="n">
        <v>13000</v>
      </c>
      <c r="Z316" s="249" t="inlineStr">
        <is>
          <t xml:space="preserve">C </t>
        </is>
      </c>
      <c r="AC316" s="253" t="n"/>
      <c r="AD316" s="247" t="inlineStr">
        <is>
          <t>                    </t>
        </is>
      </c>
      <c r="AE316" s="680" t="n"/>
      <c r="AF316" s="680" t="n"/>
      <c r="AG316" s="680" t="n"/>
      <c r="AH316" s="680" t="n"/>
      <c r="AI316" s="680" t="n"/>
      <c r="AJ316" s="680" t="n"/>
      <c r="AK316" s="680" t="inlineStr">
        <is>
          <t>                                                                  </t>
        </is>
      </c>
      <c r="AM316" s="245" t="inlineStr">
        <is>
          <t> </t>
        </is>
      </c>
    </row>
    <row r="317">
      <c r="A317" s="248" t="n">
        <v>7</v>
      </c>
      <c r="B317" s="370" t="n">
        <v>308</v>
      </c>
      <c r="C317" s="254" t="inlineStr">
        <is>
          <t>2011Q</t>
        </is>
      </c>
      <c r="D317" s="245" t="inlineStr">
        <is>
          <t xml:space="preserve">01194-00-076-000 </t>
        </is>
      </c>
      <c r="E317" s="258" t="inlineStr">
        <is>
          <t>Actual</t>
        </is>
      </c>
      <c r="F317" s="259" t="inlineStr">
        <is>
          <t>3855   ELM                 ST</t>
        </is>
      </c>
      <c r="G317" s="672" t="n">
        <v>44.2</v>
      </c>
      <c r="H317" s="253" t="n">
        <v>9101</v>
      </c>
      <c r="I317" s="255" t="n">
        <v>0</v>
      </c>
      <c r="J317" s="678" t="n">
        <v>1200</v>
      </c>
      <c r="K317" s="679" t="n">
        <v>5.75</v>
      </c>
      <c r="L317" s="260" t="n">
        <v>0</v>
      </c>
      <c r="M317" s="262" t="n">
        <v>0.2857971014492753</v>
      </c>
      <c r="N317" s="253" t="n">
        <v>1961</v>
      </c>
      <c r="O317" s="250" t="n">
        <v>3164</v>
      </c>
      <c r="Q317" s="245" t="n">
        <v>15</v>
      </c>
      <c r="R317" s="245" t="n">
        <v>3</v>
      </c>
      <c r="S317" s="245" t="n">
        <v>1</v>
      </c>
      <c r="T317" s="249" t="inlineStr">
        <is>
          <t xml:space="preserve">I0   </t>
        </is>
      </c>
      <c r="U317" s="249" t="n">
        <v>398</v>
      </c>
      <c r="V317" s="678" t="n">
        <v>14387</v>
      </c>
      <c r="W317" s="678" t="n">
        <v>14000</v>
      </c>
      <c r="X317" s="356" t="inlineStr">
        <is>
          <t>2.0:1</t>
        </is>
      </c>
      <c r="Y317" s="678" t="n">
        <v>1000</v>
      </c>
      <c r="Z317" s="249" t="inlineStr">
        <is>
          <t xml:space="preserve">B </t>
        </is>
      </c>
      <c r="AC317" s="253" t="n"/>
      <c r="AD317" s="247" t="inlineStr">
        <is>
          <t>                    </t>
        </is>
      </c>
      <c r="AE317" s="680" t="n"/>
      <c r="AF317" s="680" t="n"/>
      <c r="AG317" s="680" t="n"/>
      <c r="AH317" s="680" t="n"/>
      <c r="AI317" s="680" t="n"/>
      <c r="AJ317" s="680" t="n"/>
      <c r="AK317" s="680" t="inlineStr">
        <is>
          <t xml:space="preserve">ONLY DATA ALLOCABLE TO 2009 LEASE HAS BEEN ENTERED.               </t>
        </is>
      </c>
      <c r="AM317" s="245" t="inlineStr">
        <is>
          <t> </t>
        </is>
      </c>
    </row>
    <row r="318">
      <c r="A318" s="248" t="n">
        <v>7</v>
      </c>
      <c r="B318" s="370" t="n">
        <v>309</v>
      </c>
      <c r="C318" s="254" t="inlineStr">
        <is>
          <t>2011Q</t>
        </is>
      </c>
      <c r="D318" s="245" t="inlineStr">
        <is>
          <t xml:space="preserve">01194-00-110-000 </t>
        </is>
      </c>
      <c r="E318" s="258" t="inlineStr">
        <is>
          <t>Actual</t>
        </is>
      </c>
      <c r="F318" s="259" t="inlineStr">
        <is>
          <t>5195 E 39TH                AV</t>
        </is>
      </c>
      <c r="G318" s="672" t="n">
        <v>45.1</v>
      </c>
      <c r="H318" s="253" t="n">
        <v>9101</v>
      </c>
      <c r="I318" s="255" t="n">
        <v>0</v>
      </c>
      <c r="J318" s="678" t="n">
        <v>10250</v>
      </c>
      <c r="K318" s="679" t="n">
        <v>6.348390243902439</v>
      </c>
      <c r="L318" s="260" t="n">
        <v>1</v>
      </c>
      <c r="M318" s="262" t="n">
        <v>0</v>
      </c>
      <c r="N318" s="253" t="n">
        <v>1965</v>
      </c>
      <c r="O318" s="250" t="n">
        <v>2584</v>
      </c>
      <c r="Q318" s="245" t="n">
        <v>18</v>
      </c>
      <c r="R318" s="245" t="n">
        <v>1</v>
      </c>
      <c r="S318" s="245" t="n">
        <v>1</v>
      </c>
      <c r="T318" s="249" t="inlineStr">
        <is>
          <t xml:space="preserve">I1   </t>
        </is>
      </c>
      <c r="U318" s="249" t="n">
        <v>401</v>
      </c>
      <c r="V318" s="678" t="n">
        <v>18500</v>
      </c>
      <c r="W318" s="678" t="n">
        <v>19000</v>
      </c>
      <c r="X318" s="356" t="inlineStr">
        <is>
          <t>1.8:1</t>
        </is>
      </c>
      <c r="Y318" s="678" t="n">
        <v>10000</v>
      </c>
      <c r="Z318" s="249" t="inlineStr">
        <is>
          <t xml:space="preserve">C </t>
        </is>
      </c>
      <c r="AC318" s="253" t="n"/>
      <c r="AD318" s="247" t="inlineStr">
        <is>
          <t>S-W GRANDMA'S FROZEN</t>
        </is>
      </c>
      <c r="AE318" s="680" t="n"/>
      <c r="AF318" s="680" t="n"/>
      <c r="AG318" s="680" t="n"/>
      <c r="AH318" s="680" t="n"/>
      <c r="AI318" s="680" t="n"/>
      <c r="AJ318" s="680" t="n"/>
      <c r="AK318" s="680" t="inlineStr">
        <is>
          <t xml:space="preserve">REFLECTS 2010 LEASE &amp; 2009 VACANCY.                               </t>
        </is>
      </c>
      <c r="AM318" s="245" t="inlineStr">
        <is>
          <t> </t>
        </is>
      </c>
    </row>
    <row r="319">
      <c r="A319" s="248" t="n">
        <v>7</v>
      </c>
      <c r="B319" s="370" t="n">
        <v>310</v>
      </c>
      <c r="C319" s="254" t="inlineStr">
        <is>
          <t>2011Q</t>
        </is>
      </c>
      <c r="D319" s="245" t="inlineStr">
        <is>
          <t xml:space="preserve">01194-00-136-000 </t>
        </is>
      </c>
      <c r="E319" s="258" t="inlineStr">
        <is>
          <t>Actual</t>
        </is>
      </c>
      <c r="F319" s="259" t="inlineStr">
        <is>
          <t>3931   HOLLY               ST</t>
        </is>
      </c>
      <c r="G319" s="672" t="n">
        <v>44.2</v>
      </c>
      <c r="H319" s="253" t="n">
        <v>9101</v>
      </c>
      <c r="I319" s="255" t="n">
        <v>0</v>
      </c>
      <c r="J319" s="678" t="n">
        <v>16770</v>
      </c>
      <c r="K319" s="679" t="n">
        <v>4.722719141323792</v>
      </c>
      <c r="L319" s="260" t="n">
        <v>0</v>
      </c>
      <c r="M319" s="262" t="n">
        <v>0.1261363636363636</v>
      </c>
      <c r="N319" s="253" t="n">
        <v>1980</v>
      </c>
      <c r="O319" s="250" t="n">
        <v>3949</v>
      </c>
      <c r="Q319" s="245" t="n">
        <v>14</v>
      </c>
      <c r="R319" s="245" t="n">
        <v>1</v>
      </c>
      <c r="S319" s="245" t="n">
        <v>1</v>
      </c>
      <c r="T319" s="249" t="inlineStr">
        <is>
          <t xml:space="preserve">I1   </t>
        </is>
      </c>
      <c r="U319" s="249" t="n">
        <v>398</v>
      </c>
      <c r="V319" s="678" t="n">
        <v>39942</v>
      </c>
      <c r="W319" s="678" t="n">
        <v>40000</v>
      </c>
      <c r="X319" s="356" t="inlineStr">
        <is>
          <t>2.4:1</t>
        </is>
      </c>
      <c r="Y319" s="678" t="n">
        <v>17000</v>
      </c>
      <c r="Z319" s="249" t="inlineStr">
        <is>
          <t xml:space="preserve">C </t>
        </is>
      </c>
      <c r="AC319" s="253" t="n"/>
      <c r="AD319" s="247" t="inlineStr">
        <is>
          <t xml:space="preserve">M-W                 </t>
        </is>
      </c>
      <c r="AE319" s="680" t="n"/>
      <c r="AF319" s="680" t="n"/>
      <c r="AG319" s="680" t="n"/>
      <c r="AH319" s="680" t="n"/>
      <c r="AI319" s="680" t="n"/>
      <c r="AJ319" s="680" t="n"/>
      <c r="AK319" s="680" t="inlineStr">
        <is>
          <t xml:space="preserve">ATYPICAL FOR OWNER TO PAY THIS LEVEL OF EXPENSE.                  </t>
        </is>
      </c>
      <c r="AM319" s="245" t="inlineStr">
        <is>
          <t> </t>
        </is>
      </c>
    </row>
    <row r="320">
      <c r="A320" s="248" t="n">
        <v>7</v>
      </c>
      <c r="B320" s="370" t="n">
        <v>311</v>
      </c>
      <c r="C320" s="254" t="inlineStr">
        <is>
          <t>2011Q</t>
        </is>
      </c>
      <c r="D320" s="245" t="inlineStr">
        <is>
          <t xml:space="preserve">01194-00-182-000 </t>
        </is>
      </c>
      <c r="E320" s="258" t="inlineStr">
        <is>
          <t>Actual</t>
        </is>
      </c>
      <c r="F320" s="259" t="inlineStr">
        <is>
          <t>5150 E 39TH                AV</t>
        </is>
      </c>
      <c r="G320" s="253" t="n">
        <v>44.1</v>
      </c>
      <c r="H320" s="253" t="n">
        <v>9101</v>
      </c>
      <c r="I320" s="255" t="n">
        <v>0</v>
      </c>
      <c r="J320" s="678" t="n">
        <v>18901</v>
      </c>
      <c r="K320" s="679" t="n">
        <v>5.713983387122375</v>
      </c>
      <c r="L320" s="260" t="n">
        <v>0.5</v>
      </c>
      <c r="M320" s="262" t="n">
        <v>0</v>
      </c>
      <c r="N320" s="253" t="n">
        <v>1959</v>
      </c>
      <c r="O320" s="250" t="n">
        <v>3532</v>
      </c>
      <c r="Q320" s="245" t="n">
        <v>12</v>
      </c>
      <c r="R320" s="245" t="n">
        <v>1</v>
      </c>
      <c r="S320" s="245" t="n">
        <v>1</v>
      </c>
      <c r="T320" s="249" t="inlineStr">
        <is>
          <t xml:space="preserve">I0   </t>
        </is>
      </c>
      <c r="U320" s="249" t="n">
        <v>398</v>
      </c>
      <c r="V320" s="678" t="n">
        <v>43080</v>
      </c>
      <c r="W320" s="678" t="n">
        <v>43000</v>
      </c>
      <c r="X320" s="356" t="inlineStr">
        <is>
          <t>2.3:1</t>
        </is>
      </c>
      <c r="Y320" s="678" t="n">
        <v>19000</v>
      </c>
      <c r="Z320" s="249" t="inlineStr">
        <is>
          <t xml:space="preserve">C </t>
        </is>
      </c>
      <c r="AC320" s="253" t="n"/>
      <c r="AD320" s="247" t="inlineStr">
        <is>
          <t xml:space="preserve">DIST WHSE           </t>
        </is>
      </c>
      <c r="AE320" s="680" t="n"/>
      <c r="AF320" s="680" t="n"/>
      <c r="AG320" s="680" t="n"/>
      <c r="AH320" s="680" t="n"/>
      <c r="AI320" s="680" t="n"/>
      <c r="AJ320" s="680" t="n"/>
      <c r="AK320" s="680" t="inlineStr">
        <is>
          <t>                                                                  </t>
        </is>
      </c>
    </row>
    <row r="321">
      <c r="A321" s="248" t="n">
        <v>7</v>
      </c>
      <c r="B321" s="370" t="n">
        <v>312</v>
      </c>
      <c r="C321" s="254" t="inlineStr">
        <is>
          <t>2011Q</t>
        </is>
      </c>
      <c r="D321" s="245" t="inlineStr">
        <is>
          <t xml:space="preserve">01194-00-211-000 </t>
        </is>
      </c>
      <c r="E321" s="258" t="inlineStr">
        <is>
          <t>Actual</t>
        </is>
      </c>
      <c r="F321" s="259" t="inlineStr">
        <is>
          <t>4880 E 41ST                AV</t>
        </is>
      </c>
      <c r="G321" s="253" t="n">
        <v>44.1</v>
      </c>
      <c r="H321" s="253" t="n">
        <v>9101</v>
      </c>
      <c r="I321" s="255" t="n">
        <v>0</v>
      </c>
      <c r="J321" s="678" t="n">
        <v>11308</v>
      </c>
      <c r="K321" s="679" t="n">
        <v>4.987619384506544</v>
      </c>
      <c r="L321" s="260" t="n">
        <v>0.42</v>
      </c>
      <c r="M321" s="262" t="n">
        <v>0</v>
      </c>
      <c r="N321" s="253" t="n">
        <v>1976</v>
      </c>
      <c r="O321" s="250" t="n">
        <v>1392</v>
      </c>
      <c r="Q321" s="245" t="n">
        <v>19</v>
      </c>
      <c r="R321" s="245" t="n">
        <v>10</v>
      </c>
      <c r="S321" s="245" t="n">
        <v>1</v>
      </c>
      <c r="T321" s="249" t="inlineStr">
        <is>
          <t xml:space="preserve">I1   </t>
        </is>
      </c>
      <c r="U321" s="249" t="n">
        <v>398</v>
      </c>
      <c r="V321" s="678" t="n">
        <v>35505</v>
      </c>
      <c r="W321" s="678" t="n">
        <v>36000</v>
      </c>
      <c r="X321" s="356" t="inlineStr">
        <is>
          <t>3.1:1</t>
        </is>
      </c>
      <c r="Y321" s="678" t="n">
        <v>11000</v>
      </c>
      <c r="Z321" s="249" t="inlineStr">
        <is>
          <t xml:space="preserve">C </t>
        </is>
      </c>
      <c r="AC321" s="253" t="n"/>
      <c r="AD321" s="247" t="inlineStr">
        <is>
          <t>                    </t>
        </is>
      </c>
      <c r="AE321" s="680" t="n"/>
      <c r="AF321" s="680" t="n"/>
      <c r="AG321" s="680" t="n"/>
      <c r="AH321" s="680" t="n"/>
      <c r="AI321" s="680" t="n"/>
      <c r="AJ321" s="680" t="n"/>
      <c r="AK321" s="680" t="inlineStr">
        <is>
          <t>                                                                  </t>
        </is>
      </c>
      <c r="AM321" s="245" t="inlineStr">
        <is>
          <t> </t>
        </is>
      </c>
    </row>
    <row r="322">
      <c r="A322" s="248" t="n">
        <v>7</v>
      </c>
      <c r="B322" s="370" t="n">
        <v>313</v>
      </c>
      <c r="C322" s="254" t="inlineStr">
        <is>
          <t>2011Q</t>
        </is>
      </c>
      <c r="D322" s="245" t="inlineStr">
        <is>
          <t xml:space="preserve">01194-00-215-000 </t>
        </is>
      </c>
      <c r="E322" s="258" t="inlineStr">
        <is>
          <t>Actual</t>
        </is>
      </c>
      <c r="F322" s="259" t="inlineStr">
        <is>
          <t>4000   DAHLIA              ST</t>
        </is>
      </c>
      <c r="G322" s="672" t="n">
        <v>46.1</v>
      </c>
      <c r="H322" s="253" t="n">
        <v>9101</v>
      </c>
      <c r="I322" s="255" t="n">
        <v>0</v>
      </c>
      <c r="J322" s="678" t="n">
        <v>80137</v>
      </c>
      <c r="K322" s="679" t="n">
        <v>6.499993760684827</v>
      </c>
      <c r="L322" s="260" t="n">
        <v>0</v>
      </c>
      <c r="M322" s="262" t="n">
        <v>0</v>
      </c>
      <c r="N322" s="253" t="n">
        <v>1975</v>
      </c>
      <c r="O322" s="250" t="n">
        <v>0</v>
      </c>
      <c r="P322" s="250" t="n">
        <v>12308</v>
      </c>
      <c r="Q322" s="245" t="n">
        <v>17</v>
      </c>
      <c r="R322" s="245" t="n">
        <v>1</v>
      </c>
      <c r="S322" s="245" t="n">
        <v>1</v>
      </c>
      <c r="T322" s="249" t="inlineStr">
        <is>
          <t xml:space="preserve">I1   </t>
        </is>
      </c>
      <c r="U322" s="249" t="n">
        <v>401</v>
      </c>
      <c r="V322" s="678" t="n">
        <v>157000</v>
      </c>
      <c r="W322" s="678" t="n">
        <v>160000</v>
      </c>
      <c r="X322" s="356" t="inlineStr">
        <is>
          <t>2.0:1</t>
        </is>
      </c>
      <c r="Y322" s="678" t="n">
        <v>80000</v>
      </c>
      <c r="Z322" s="249" t="inlineStr">
        <is>
          <t xml:space="preserve">C </t>
        </is>
      </c>
      <c r="AC322" s="253" t="n"/>
      <c r="AD322" s="247" t="inlineStr">
        <is>
          <t xml:space="preserve">READY FOODS         </t>
        </is>
      </c>
      <c r="AE322" s="680" t="n"/>
      <c r="AF322" s="680" t="n"/>
      <c r="AG322" s="680" t="n"/>
      <c r="AH322" s="680" t="n"/>
      <c r="AI322" s="680" t="n"/>
      <c r="AJ322" s="680" t="n"/>
      <c r="AK322" s="680" t="inlineStr">
        <is>
          <t>                                                                  </t>
        </is>
      </c>
      <c r="AM322" s="245" t="inlineStr">
        <is>
          <t> </t>
        </is>
      </c>
    </row>
    <row r="323">
      <c r="A323" s="248" t="n">
        <v>7</v>
      </c>
      <c r="B323" s="370" t="n">
        <v>314</v>
      </c>
      <c r="C323" s="254" t="inlineStr">
        <is>
          <t>2011Q</t>
        </is>
      </c>
      <c r="D323" s="245" t="inlineStr">
        <is>
          <t xml:space="preserve">01194-00-229-000 </t>
        </is>
      </c>
      <c r="E323" s="258" t="inlineStr">
        <is>
          <t>Actual</t>
        </is>
      </c>
      <c r="F323" s="259" t="inlineStr">
        <is>
          <t>3812   DAHLIA              ST</t>
        </is>
      </c>
      <c r="G323" s="253" t="n">
        <v>44.1</v>
      </c>
      <c r="H323" s="253" t="n">
        <v>9101</v>
      </c>
      <c r="I323" s="255" t="n">
        <v>0</v>
      </c>
      <c r="J323" s="678" t="n">
        <v>6579</v>
      </c>
      <c r="K323" s="679" t="n">
        <v>6.143030855753154</v>
      </c>
      <c r="L323" s="260" t="n">
        <v>0</v>
      </c>
      <c r="M323" s="262" t="n">
        <v>0.1465297538042806</v>
      </c>
      <c r="N323" s="253" t="n">
        <v>1926</v>
      </c>
      <c r="O323" s="250" t="n">
        <v>1620</v>
      </c>
      <c r="Q323" s="245" t="n">
        <v>10</v>
      </c>
      <c r="R323" s="245" t="n">
        <v>1</v>
      </c>
      <c r="S323" s="245" t="n">
        <v>1</v>
      </c>
      <c r="T323" s="249" t="inlineStr">
        <is>
          <t xml:space="preserve">I0   </t>
        </is>
      </c>
      <c r="U323" s="249" t="n">
        <v>398</v>
      </c>
      <c r="V323" s="678" t="n">
        <v>92437</v>
      </c>
      <c r="W323" s="678" t="n">
        <v>92000</v>
      </c>
      <c r="X323" s="356" t="inlineStr">
        <is>
          <t>14.1:1</t>
        </is>
      </c>
      <c r="Y323" s="678" t="n">
        <v>7000</v>
      </c>
      <c r="Z323" s="249" t="inlineStr">
        <is>
          <t xml:space="preserve">C </t>
        </is>
      </c>
      <c r="AC323" s="253" t="n"/>
      <c r="AD323" s="247" t="inlineStr">
        <is>
          <t>                    </t>
        </is>
      </c>
      <c r="AE323" s="680" t="n"/>
      <c r="AF323" s="680" t="n"/>
      <c r="AG323" s="680" t="n"/>
      <c r="AH323" s="680" t="n"/>
      <c r="AI323" s="680" t="n"/>
      <c r="AJ323" s="680" t="n"/>
      <c r="AK323" s="680" t="inlineStr">
        <is>
          <t xml:space="preserve">2008 LEASES; HUGE L-TO-B RATIO; INCLUDES 2 LARGE LAND LEASES.     </t>
        </is>
      </c>
      <c r="AM323" s="245" t="inlineStr">
        <is>
          <t> </t>
        </is>
      </c>
    </row>
    <row r="324">
      <c r="A324" s="248" t="n">
        <v>7</v>
      </c>
      <c r="B324" s="370" t="n">
        <v>315</v>
      </c>
      <c r="C324" s="254" t="inlineStr">
        <is>
          <t>2011Q</t>
        </is>
      </c>
      <c r="D324" s="245" t="inlineStr">
        <is>
          <t xml:space="preserve">01194-00-240-000 </t>
        </is>
      </c>
      <c r="E324" s="258" t="inlineStr">
        <is>
          <t>Actual</t>
        </is>
      </c>
      <c r="F324" s="259" t="inlineStr">
        <is>
          <t>5055 E 41ST                AV</t>
        </is>
      </c>
      <c r="G324" s="253" t="n">
        <v>44.1</v>
      </c>
      <c r="H324" s="253" t="n">
        <v>9101</v>
      </c>
      <c r="I324" s="255" t="n">
        <v>0</v>
      </c>
      <c r="J324" s="678" t="n">
        <v>73030</v>
      </c>
      <c r="K324" s="679" t="n">
        <v>2.464740517595509</v>
      </c>
      <c r="L324" s="260" t="n">
        <v>0</v>
      </c>
      <c r="M324" s="262" t="n">
        <v>0.06336666666666667</v>
      </c>
      <c r="N324" s="253" t="n">
        <v>1969</v>
      </c>
      <c r="O324" s="250" t="n">
        <v>5937</v>
      </c>
      <c r="Q324" s="245" t="n">
        <v>20</v>
      </c>
      <c r="R324" s="245" t="n">
        <v>3</v>
      </c>
      <c r="S324" s="245" t="n">
        <v>1</v>
      </c>
      <c r="T324" s="249" t="inlineStr">
        <is>
          <t xml:space="preserve">I1   </t>
        </is>
      </c>
      <c r="U324" s="249" t="n">
        <v>398</v>
      </c>
      <c r="V324" s="678" t="n">
        <v>124455</v>
      </c>
      <c r="W324" s="678" t="n">
        <v>120000</v>
      </c>
      <c r="X324" s="356" t="inlineStr">
        <is>
          <t>1.7:1</t>
        </is>
      </c>
      <c r="Y324" s="678" t="n">
        <v>73000</v>
      </c>
      <c r="Z324" s="249" t="inlineStr">
        <is>
          <t xml:space="preserve">C </t>
        </is>
      </c>
      <c r="AC324" s="253" t="n"/>
      <c r="AD324" s="247" t="inlineStr">
        <is>
          <t xml:space="preserve">VANASK II           </t>
        </is>
      </c>
      <c r="AE324" s="680" t="n"/>
      <c r="AF324" s="680" t="n"/>
      <c r="AG324" s="680" t="n"/>
      <c r="AH324" s="680" t="n"/>
      <c r="AI324" s="680" t="n"/>
      <c r="AJ324" s="680" t="n"/>
      <c r="AK324" s="680" t="inlineStr">
        <is>
          <t>                                                                  </t>
        </is>
      </c>
      <c r="AM324" s="245" t="inlineStr">
        <is>
          <t> </t>
        </is>
      </c>
    </row>
    <row r="325">
      <c r="A325" s="248" t="n">
        <v>7</v>
      </c>
      <c r="B325" s="370" t="n">
        <v>316</v>
      </c>
      <c r="C325" s="254" t="inlineStr">
        <is>
          <t>2011Q</t>
        </is>
      </c>
      <c r="D325" s="245" t="inlineStr">
        <is>
          <t xml:space="preserve">01194-01-002-000 </t>
        </is>
      </c>
      <c r="E325" s="258" t="inlineStr">
        <is>
          <t>Actual</t>
        </is>
      </c>
      <c r="F325" s="259" t="inlineStr">
        <is>
          <t>4981 E 39TH                AV</t>
        </is>
      </c>
      <c r="G325" s="253" t="n">
        <v>44.1</v>
      </c>
      <c r="H325" s="253" t="n">
        <v>9101</v>
      </c>
      <c r="I325" s="255" t="n">
        <v>0</v>
      </c>
      <c r="J325" s="678" t="n">
        <v>7000</v>
      </c>
      <c r="K325" s="679" t="n">
        <v>5.142857142857143</v>
      </c>
      <c r="L325" s="260" t="n">
        <v>0</v>
      </c>
      <c r="M325" s="262" t="n">
        <v>0</v>
      </c>
      <c r="N325" s="253" t="n">
        <v>1963</v>
      </c>
      <c r="O325" s="250" t="n">
        <v>1400</v>
      </c>
      <c r="Q325" s="245" t="n">
        <v>12</v>
      </c>
      <c r="R325" s="245" t="n">
        <v>3</v>
      </c>
      <c r="S325" s="245" t="n">
        <v>1</v>
      </c>
      <c r="T325" s="249" t="inlineStr">
        <is>
          <t xml:space="preserve">I1   </t>
        </is>
      </c>
      <c r="U325" s="249" t="n">
        <v>398</v>
      </c>
      <c r="V325" s="678" t="n">
        <v>18600</v>
      </c>
      <c r="W325" s="678" t="n">
        <v>19000</v>
      </c>
      <c r="X325" s="356" t="inlineStr">
        <is>
          <t>2.7:1</t>
        </is>
      </c>
      <c r="Y325" s="678" t="n">
        <v>7000</v>
      </c>
      <c r="Z325" s="249" t="inlineStr">
        <is>
          <t xml:space="preserve">C </t>
        </is>
      </c>
      <c r="AC325" s="253" t="n"/>
      <c r="AD325" s="247" t="inlineStr">
        <is>
          <t>                    </t>
        </is>
      </c>
      <c r="AE325" s="680" t="n"/>
      <c r="AF325" s="680" t="n"/>
      <c r="AG325" s="680" t="n"/>
      <c r="AH325" s="680" t="n"/>
      <c r="AI325" s="680" t="n"/>
      <c r="AJ325" s="680" t="n"/>
      <c r="AK325" s="680" t="inlineStr">
        <is>
          <t xml:space="preserve">MO-TO-MO.                                                         </t>
        </is>
      </c>
      <c r="AM325" s="245" t="inlineStr">
        <is>
          <t> </t>
        </is>
      </c>
    </row>
    <row r="326">
      <c r="A326" s="248" t="n">
        <v>7</v>
      </c>
      <c r="B326" s="370" t="n">
        <v>317</v>
      </c>
      <c r="C326" s="254" t="inlineStr">
        <is>
          <t>2011Q</t>
        </is>
      </c>
      <c r="D326" s="245" t="inlineStr">
        <is>
          <t xml:space="preserve">01194-03-002-000 </t>
        </is>
      </c>
      <c r="E326" s="258" t="inlineStr">
        <is>
          <t>Actual</t>
        </is>
      </c>
      <c r="F326" s="259" t="inlineStr">
        <is>
          <t>3875   ELM                 ST</t>
        </is>
      </c>
      <c r="G326" s="253" t="n">
        <v>44.1</v>
      </c>
      <c r="H326" s="253" t="n">
        <v>9101</v>
      </c>
      <c r="I326" s="255" t="n">
        <v>0</v>
      </c>
      <c r="J326" s="678" t="n">
        <v>7200</v>
      </c>
      <c r="K326" s="679" t="n">
        <v>5.833333333333333</v>
      </c>
      <c r="L326" s="260" t="n">
        <v>0</v>
      </c>
      <c r="M326" s="262" t="n">
        <v>0.1073571428571429</v>
      </c>
      <c r="N326" s="253" t="n">
        <v>1962</v>
      </c>
      <c r="O326" s="250" t="n">
        <v>2411</v>
      </c>
      <c r="Q326" s="245" t="n">
        <v>12</v>
      </c>
      <c r="R326" s="245" t="n">
        <v>3</v>
      </c>
      <c r="S326" s="245" t="n">
        <v>1</v>
      </c>
      <c r="T326" s="249" t="inlineStr">
        <is>
          <t xml:space="preserve">I0   </t>
        </is>
      </c>
      <c r="U326" s="249" t="n">
        <v>398</v>
      </c>
      <c r="V326" s="678" t="n">
        <v>19800</v>
      </c>
      <c r="W326" s="678" t="n">
        <v>20000</v>
      </c>
      <c r="X326" s="356" t="inlineStr">
        <is>
          <t>2.8:1</t>
        </is>
      </c>
      <c r="Y326" s="678" t="n">
        <v>7000</v>
      </c>
      <c r="Z326" s="249" t="inlineStr">
        <is>
          <t xml:space="preserve">C </t>
        </is>
      </c>
      <c r="AC326" s="253" t="n"/>
      <c r="AD326" s="247" t="inlineStr">
        <is>
          <t xml:space="preserve">DIST    AIRPRO      </t>
        </is>
      </c>
      <c r="AE326" s="680" t="n"/>
      <c r="AF326" s="680" t="n"/>
      <c r="AG326" s="680" t="n"/>
      <c r="AH326" s="680" t="n"/>
      <c r="AI326" s="680" t="n"/>
      <c r="AJ326" s="680" t="n"/>
      <c r="AK326" s="680" t="inlineStr">
        <is>
          <t xml:space="preserve">2008 LEASE.                                                       </t>
        </is>
      </c>
      <c r="AM326" s="245" t="inlineStr">
        <is>
          <t> </t>
        </is>
      </c>
    </row>
    <row r="327">
      <c r="A327" s="248" t="n">
        <v>7</v>
      </c>
      <c r="B327" s="370" t="n">
        <v>318</v>
      </c>
      <c r="C327" s="254" t="inlineStr">
        <is>
          <t>2011Q</t>
        </is>
      </c>
      <c r="D327" s="245" t="inlineStr">
        <is>
          <t xml:space="preserve">01194-03-006-000 </t>
        </is>
      </c>
      <c r="E327" s="258" t="inlineStr">
        <is>
          <t>Actual</t>
        </is>
      </c>
      <c r="F327" s="259" t="inlineStr">
        <is>
          <t>4940 E 39TH                AV</t>
        </is>
      </c>
      <c r="G327" s="672" t="n">
        <v>44.1</v>
      </c>
      <c r="H327" s="253" t="n">
        <v>9101</v>
      </c>
      <c r="I327" s="255" t="n">
        <v>0</v>
      </c>
      <c r="J327" s="678" t="n">
        <v>6272</v>
      </c>
      <c r="K327" s="679" t="n">
        <v>5.830038265306122</v>
      </c>
      <c r="L327" s="260" t="n">
        <v>0</v>
      </c>
      <c r="M327" s="262" t="n">
        <v>0.05319148936170213</v>
      </c>
      <c r="N327" s="253" t="n">
        <v>1966</v>
      </c>
      <c r="O327" s="250" t="n">
        <v>1040</v>
      </c>
      <c r="Q327" s="245" t="n">
        <v>12</v>
      </c>
      <c r="R327" s="245" t="n">
        <v>1</v>
      </c>
      <c r="S327" s="245" t="n">
        <v>1</v>
      </c>
      <c r="T327" s="249" t="inlineStr">
        <is>
          <t xml:space="preserve">I1   </t>
        </is>
      </c>
      <c r="U327" s="249" t="n">
        <v>401</v>
      </c>
      <c r="V327" s="678" t="n">
        <v>12951</v>
      </c>
      <c r="W327" s="678" t="n">
        <v>13000</v>
      </c>
      <c r="X327" s="356" t="inlineStr">
        <is>
          <t>2.1:1</t>
        </is>
      </c>
      <c r="Y327" s="678" t="n">
        <v>6000</v>
      </c>
      <c r="Z327" s="249" t="inlineStr">
        <is>
          <t xml:space="preserve">C </t>
        </is>
      </c>
      <c r="AC327" s="253" t="n"/>
      <c r="AD327" s="247" t="inlineStr">
        <is>
          <t>S-M BC PRINTING INC.</t>
        </is>
      </c>
      <c r="AE327" s="680" t="n"/>
      <c r="AF327" s="680" t="n"/>
      <c r="AG327" s="680" t="n"/>
      <c r="AH327" s="680" t="n"/>
      <c r="AI327" s="680" t="n"/>
      <c r="AJ327" s="680" t="n"/>
      <c r="AK327" s="680" t="inlineStr">
        <is>
          <t>                                                                  </t>
        </is>
      </c>
      <c r="AM327" s="245" t="inlineStr">
        <is>
          <t> </t>
        </is>
      </c>
    </row>
    <row r="328">
      <c r="A328" s="248" t="n">
        <v>7</v>
      </c>
      <c r="B328" s="370" t="n">
        <v>319</v>
      </c>
      <c r="C328" s="254" t="inlineStr">
        <is>
          <t>2011Q</t>
        </is>
      </c>
      <c r="D328" s="245" t="inlineStr">
        <is>
          <t xml:space="preserve">01194-04-001-000 </t>
        </is>
      </c>
      <c r="E328" s="258" t="inlineStr">
        <is>
          <t>Actual</t>
        </is>
      </c>
      <c r="F328" s="259" t="inlineStr">
        <is>
          <t>3835   ELM                 ST</t>
        </is>
      </c>
      <c r="G328" s="672" t="n">
        <v>44.2</v>
      </c>
      <c r="H328" s="253" t="n">
        <v>9101</v>
      </c>
      <c r="I328" s="255" t="n">
        <v>0</v>
      </c>
      <c r="J328" s="678" t="n">
        <v>18000</v>
      </c>
      <c r="K328" s="679" t="n">
        <v>4.623333333333333</v>
      </c>
      <c r="L328" s="260" t="n">
        <v>0</v>
      </c>
      <c r="M328" s="262" t="n">
        <v>0.2607065609228551</v>
      </c>
      <c r="N328" s="253" t="n">
        <v>1962</v>
      </c>
      <c r="O328" s="250" t="n">
        <v>9120</v>
      </c>
      <c r="Q328" s="245" t="n">
        <v>13</v>
      </c>
      <c r="R328" s="245" t="n">
        <v>3</v>
      </c>
      <c r="S328" s="245" t="n">
        <v>6</v>
      </c>
      <c r="T328" s="249" t="inlineStr">
        <is>
          <t xml:space="preserve">I0   </t>
        </is>
      </c>
      <c r="U328" s="249" t="n">
        <v>398</v>
      </c>
      <c r="V328" s="678" t="n">
        <v>41400</v>
      </c>
      <c r="W328" s="678" t="n">
        <v>41000</v>
      </c>
      <c r="X328" s="356" t="inlineStr">
        <is>
          <t>2.3:1</t>
        </is>
      </c>
      <c r="Y328" s="678" t="n">
        <v>18000</v>
      </c>
      <c r="Z328" s="249" t="inlineStr">
        <is>
          <t xml:space="preserve">C </t>
        </is>
      </c>
      <c r="AC328" s="253" t="n"/>
      <c r="AD328" s="247" t="inlineStr">
        <is>
          <t xml:space="preserve">DIST/MULTI TENANT   </t>
        </is>
      </c>
      <c r="AE328" s="680" t="n"/>
      <c r="AF328" s="680" t="n"/>
      <c r="AG328" s="680" t="n"/>
      <c r="AH328" s="680" t="n"/>
      <c r="AI328" s="680" t="n"/>
      <c r="AJ328" s="680" t="n"/>
      <c r="AK328" s="680" t="inlineStr">
        <is>
          <t xml:space="preserve">2008-2010 LEASES;  GROSS LEASING BASIS IS ATYPICAL.               </t>
        </is>
      </c>
      <c r="AL328" s="370" t="n"/>
      <c r="AM328" s="370" t="n"/>
      <c r="AN328" s="370" t="n"/>
      <c r="AO328" s="370" t="n"/>
      <c r="AP328" s="370" t="n"/>
      <c r="AQ328" s="370" t="n"/>
    </row>
    <row r="329">
      <c r="A329" s="248" t="n">
        <v>7</v>
      </c>
      <c r="B329" s="370" t="n">
        <v>320</v>
      </c>
      <c r="C329" s="254" t="inlineStr">
        <is>
          <t>2011Q</t>
        </is>
      </c>
      <c r="D329" s="245" t="inlineStr">
        <is>
          <t xml:space="preserve">01201-19-020-000 </t>
        </is>
      </c>
      <c r="E329" s="258" t="inlineStr">
        <is>
          <t>Actual</t>
        </is>
      </c>
      <c r="F329" s="259" t="inlineStr">
        <is>
          <t>6804 E 48TH                AV</t>
        </is>
      </c>
      <c r="G329" s="672" t="n">
        <v>44.2</v>
      </c>
      <c r="H329" s="253" t="n">
        <v>9101</v>
      </c>
      <c r="I329" s="255" t="n">
        <v>0</v>
      </c>
      <c r="J329" s="678" t="n">
        <v>46464</v>
      </c>
      <c r="K329" s="679" t="n">
        <v>5.214101239669422</v>
      </c>
      <c r="L329" s="260" t="n">
        <v>0</v>
      </c>
      <c r="M329" s="262" t="n">
        <v>0.0396626876021596</v>
      </c>
      <c r="N329" s="253" t="n">
        <v>1973</v>
      </c>
      <c r="O329" s="250" t="n">
        <v>5987</v>
      </c>
      <c r="Q329" s="245" t="n">
        <v>15</v>
      </c>
      <c r="R329" s="245" t="n">
        <v>10</v>
      </c>
      <c r="S329" s="245" t="n">
        <v>8</v>
      </c>
      <c r="T329" s="249" t="inlineStr">
        <is>
          <t xml:space="preserve">I2   </t>
        </is>
      </c>
      <c r="U329" s="249" t="n">
        <v>398</v>
      </c>
      <c r="V329" s="678" t="n">
        <v>97473</v>
      </c>
      <c r="W329" s="678" t="n">
        <v>97000</v>
      </c>
      <c r="X329" s="356" t="inlineStr">
        <is>
          <t>2.1:1</t>
        </is>
      </c>
      <c r="Y329" s="678" t="n">
        <v>46000</v>
      </c>
      <c r="Z329" s="249" t="inlineStr">
        <is>
          <t xml:space="preserve">C </t>
        </is>
      </c>
      <c r="AC329" s="253" t="n"/>
      <c r="AD329" s="247" t="inlineStr">
        <is>
          <t>                    </t>
        </is>
      </c>
      <c r="AE329" s="680" t="n"/>
      <c r="AF329" s="680" t="n"/>
      <c r="AG329" s="680" t="n"/>
      <c r="AH329" s="680" t="n"/>
      <c r="AI329" s="680" t="n"/>
      <c r="AJ329" s="680" t="n"/>
      <c r="AK329" s="680" t="inlineStr">
        <is>
          <t xml:space="preserve">MOSTLY BASE PERIOD LEASES BUT NOT ALL.                            </t>
        </is>
      </c>
      <c r="AM329" s="245" t="inlineStr">
        <is>
          <t> </t>
        </is>
      </c>
    </row>
    <row r="330">
      <c r="A330" s="248" t="n">
        <v>7</v>
      </c>
      <c r="B330" s="370" t="n">
        <v>321</v>
      </c>
      <c r="C330" s="254" t="inlineStr">
        <is>
          <t>2011Q</t>
        </is>
      </c>
      <c r="D330" s="245" t="inlineStr">
        <is>
          <t xml:space="preserve">01202-00-081-000 </t>
        </is>
      </c>
      <c r="E330" s="258" t="inlineStr">
        <is>
          <t>Actual</t>
        </is>
      </c>
      <c r="F330" s="259" t="inlineStr">
        <is>
          <t>4780   HOLLY               ST</t>
        </is>
      </c>
      <c r="G330" s="672" t="n">
        <v>44.2</v>
      </c>
      <c r="H330" s="253" t="n">
        <v>9101</v>
      </c>
      <c r="I330" s="255" t="n">
        <v>0</v>
      </c>
      <c r="J330" s="678" t="n">
        <v>46176</v>
      </c>
      <c r="K330" s="679" t="n">
        <v>3.417684511434512</v>
      </c>
      <c r="L330" s="260" t="n">
        <v>0</v>
      </c>
      <c r="M330" s="262" t="n">
        <v>0.0868548617051611</v>
      </c>
      <c r="N330" s="253" t="n">
        <v>1974</v>
      </c>
      <c r="O330" s="250" t="n">
        <v>5160</v>
      </c>
      <c r="Q330" s="245" t="n">
        <v>27</v>
      </c>
      <c r="R330" s="245" t="n">
        <v>14</v>
      </c>
      <c r="S330" s="245" t="n">
        <v>2</v>
      </c>
      <c r="T330" s="249" t="inlineStr">
        <is>
          <t xml:space="preserve">I2   </t>
        </is>
      </c>
      <c r="U330" s="249" t="n">
        <v>398</v>
      </c>
      <c r="V330" s="678" t="n">
        <v>77626</v>
      </c>
      <c r="W330" s="678" t="n">
        <v>78000</v>
      </c>
      <c r="X330" s="356" t="inlineStr">
        <is>
          <t>1.7:1</t>
        </is>
      </c>
      <c r="Y330" s="678" t="n">
        <v>46000</v>
      </c>
      <c r="Z330" s="249" t="inlineStr">
        <is>
          <t xml:space="preserve">C </t>
        </is>
      </c>
      <c r="AC330" s="253" t="n"/>
      <c r="AD330" s="247" t="inlineStr">
        <is>
          <t xml:space="preserve">DIST/ MULTI TENANT  </t>
        </is>
      </c>
      <c r="AE330" s="680" t="n"/>
      <c r="AF330" s="680" t="n"/>
      <c r="AG330" s="680" t="n"/>
      <c r="AH330" s="680" t="n"/>
      <c r="AI330" s="680" t="n"/>
      <c r="AJ330" s="680" t="n"/>
      <c r="AK330" s="680" t="inlineStr">
        <is>
          <t xml:space="preserve">2008/2009 LEASES.                                                 </t>
        </is>
      </c>
      <c r="AM330" s="245" t="inlineStr">
        <is>
          <t> </t>
        </is>
      </c>
    </row>
    <row r="331">
      <c r="A331" s="248" t="n">
        <v>7</v>
      </c>
      <c r="B331" s="370" t="n">
        <v>322</v>
      </c>
      <c r="C331" s="370" t="inlineStr">
        <is>
          <t>2011W</t>
        </is>
      </c>
      <c r="D331" s="370" t="inlineStr">
        <is>
          <t>01202-00-094-000</t>
        </is>
      </c>
      <c r="E331" s="370" t="inlineStr">
        <is>
          <t xml:space="preserve">  Actual</t>
        </is>
      </c>
      <c r="F331" s="370" t="inlineStr">
        <is>
          <t>4570 Ivy St.</t>
        </is>
      </c>
      <c r="G331" s="370" t="n">
        <v>44.4</v>
      </c>
      <c r="H331" s="370" t="n">
        <v>9101</v>
      </c>
      <c r="I331" s="370" t="inlineStr">
        <is>
          <t xml:space="preserve"> ^    0</t>
        </is>
      </c>
      <c r="J331" s="370" t="n">
        <v>144820</v>
      </c>
      <c r="K331" s="684" t="n">
        <v>5.25</v>
      </c>
      <c r="L331" s="374" t="n">
        <v>0.07000000000000001</v>
      </c>
      <c r="M331" s="379" t="n">
        <v>0</v>
      </c>
      <c r="N331" s="370" t="n">
        <v>1985</v>
      </c>
      <c r="O331" s="250" t="n">
        <v>23519</v>
      </c>
      <c r="Q331" s="245" t="n">
        <v>21</v>
      </c>
      <c r="R331" s="245" t="n">
        <v>10</v>
      </c>
      <c r="S331" s="245" t="n">
        <v>7</v>
      </c>
      <c r="T331" s="370" t="inlineStr">
        <is>
          <t xml:space="preserve">      I2</t>
        </is>
      </c>
      <c r="U331" s="370" t="n">
        <v>398</v>
      </c>
      <c r="V331" s="372" t="n">
        <v>311856</v>
      </c>
      <c r="W331" s="370" t="n">
        <v>300000</v>
      </c>
      <c r="X331" s="370" t="inlineStr">
        <is>
          <t xml:space="preserve">           2.1:1</t>
        </is>
      </c>
      <c r="Y331" s="370" t="n">
        <v>140000</v>
      </c>
      <c r="Z331" s="370" t="inlineStr">
        <is>
          <t>B</t>
        </is>
      </c>
      <c r="AA331" s="370" t="n">
        <v>3</v>
      </c>
      <c r="AB331" s="370" t="n">
        <v>3</v>
      </c>
      <c r="AC331" s="370" t="n">
        <v>33</v>
      </c>
      <c r="AD331" s="370" t="n"/>
      <c r="AE331" s="370" t="n"/>
      <c r="AF331" s="370" t="n"/>
      <c r="AG331" s="370" t="n"/>
      <c r="AH331" s="370" t="n"/>
      <c r="AI331" s="370" t="n"/>
      <c r="AJ331" s="370" t="n"/>
      <c r="AK331" s="370" t="n"/>
      <c r="AM331" s="245" t="inlineStr">
        <is>
          <t> </t>
        </is>
      </c>
    </row>
    <row r="332">
      <c r="A332" s="248" t="n">
        <v>7</v>
      </c>
      <c r="B332" s="370" t="n">
        <v>323</v>
      </c>
      <c r="C332" s="254" t="inlineStr">
        <is>
          <t>2011Q</t>
        </is>
      </c>
      <c r="D332" s="245" t="inlineStr">
        <is>
          <t xml:space="preserve">01202-00-126-000 </t>
        </is>
      </c>
      <c r="E332" s="258" t="inlineStr">
        <is>
          <t>Actual</t>
        </is>
      </c>
      <c r="F332" s="259" t="inlineStr">
        <is>
          <t>4760   HOLLY               ST</t>
        </is>
      </c>
      <c r="G332" s="672" t="n">
        <v>44.2</v>
      </c>
      <c r="H332" s="253" t="n">
        <v>9101</v>
      </c>
      <c r="I332" s="255" t="n">
        <v>0</v>
      </c>
      <c r="J332" s="678" t="n">
        <v>21280</v>
      </c>
      <c r="K332" s="679" t="n">
        <v>7.894736842105263</v>
      </c>
      <c r="L332" s="260" t="n">
        <v>0</v>
      </c>
      <c r="M332" s="262" t="n">
        <v>0</v>
      </c>
      <c r="N332" s="253" t="n">
        <v>1974</v>
      </c>
      <c r="O332" s="250" t="n">
        <v>2700</v>
      </c>
      <c r="Q332" s="245" t="n">
        <v>28</v>
      </c>
      <c r="R332" s="245" t="n">
        <v>10</v>
      </c>
      <c r="S332" s="245" t="n">
        <v>1</v>
      </c>
      <c r="T332" s="249" t="inlineStr">
        <is>
          <t xml:space="preserve">I2   </t>
        </is>
      </c>
      <c r="U332" s="249" t="n">
        <v>398</v>
      </c>
      <c r="V332" s="678" t="n">
        <v>89455</v>
      </c>
      <c r="W332" s="678" t="n">
        <v>89000</v>
      </c>
      <c r="X332" s="356" t="inlineStr">
        <is>
          <t>4.2:1</t>
        </is>
      </c>
      <c r="Y332" s="678" t="n">
        <v>21000</v>
      </c>
      <c r="Z332" s="249" t="inlineStr">
        <is>
          <t xml:space="preserve">C </t>
        </is>
      </c>
      <c r="AC332" s="253" t="n"/>
      <c r="AD332" s="247" t="inlineStr">
        <is>
          <t xml:space="preserve">COLO DRYWALL SUPPLY </t>
        </is>
      </c>
      <c r="AE332" s="680" t="n"/>
      <c r="AF332" s="680" t="n"/>
      <c r="AG332" s="680" t="n"/>
      <c r="AH332" s="680" t="n"/>
      <c r="AI332" s="680" t="n"/>
      <c r="AJ332" s="680" t="n"/>
      <c r="AK332" s="680" t="inlineStr">
        <is>
          <t xml:space="preserve">2008 LEASE.                                                       </t>
        </is>
      </c>
      <c r="AM332" s="245" t="inlineStr">
        <is>
          <t> </t>
        </is>
      </c>
    </row>
    <row r="333">
      <c r="A333" s="248" t="n">
        <v>7</v>
      </c>
      <c r="B333" s="370" t="n">
        <v>325</v>
      </c>
      <c r="C333" s="254" t="inlineStr">
        <is>
          <t>2011Q</t>
        </is>
      </c>
      <c r="D333" s="245" t="inlineStr">
        <is>
          <t xml:space="preserve">01203-00-073-000 </t>
        </is>
      </c>
      <c r="E333" s="258" t="inlineStr">
        <is>
          <t>Actual</t>
        </is>
      </c>
      <c r="F333" s="259" t="inlineStr">
        <is>
          <t>3880   HOLLY               ST</t>
        </is>
      </c>
      <c r="G333" s="672" t="n">
        <v>47.1</v>
      </c>
      <c r="H333" s="253" t="n">
        <v>9101</v>
      </c>
      <c r="I333" s="255" t="n">
        <v>0</v>
      </c>
      <c r="J333" s="678" t="n">
        <v>40388</v>
      </c>
      <c r="K333" s="679" t="n">
        <v>2.971179558284639</v>
      </c>
      <c r="L333" s="260" t="n">
        <v>0</v>
      </c>
      <c r="M333" s="262" t="n">
        <v>0</v>
      </c>
      <c r="N333" s="253" t="n">
        <v>1965</v>
      </c>
      <c r="O333" s="250" t="n">
        <v>8677</v>
      </c>
      <c r="Q333" s="245" t="n">
        <v>19</v>
      </c>
      <c r="R333" s="245" t="n">
        <v>4</v>
      </c>
      <c r="S333" s="245" t="n">
        <v>1</v>
      </c>
      <c r="T333" s="249" t="inlineStr">
        <is>
          <t xml:space="preserve">I0   </t>
        </is>
      </c>
      <c r="U333" s="249" t="n">
        <v>398</v>
      </c>
      <c r="V333" s="678" t="n">
        <v>106128</v>
      </c>
      <c r="W333" s="678" t="n">
        <v>110000</v>
      </c>
      <c r="X333" s="356" t="inlineStr">
        <is>
          <t>2.6:1</t>
        </is>
      </c>
      <c r="Y333" s="678" t="n">
        <v>40000</v>
      </c>
      <c r="Z333" s="249" t="inlineStr">
        <is>
          <t xml:space="preserve">C </t>
        </is>
      </c>
      <c r="AC333" s="253" t="n"/>
      <c r="AD333" s="247" t="inlineStr">
        <is>
          <t xml:space="preserve">DIST/BRASS SMITH    </t>
        </is>
      </c>
      <c r="AE333" s="680" t="n"/>
      <c r="AF333" s="680" t="n"/>
      <c r="AG333" s="680" t="n"/>
      <c r="AH333" s="680" t="n"/>
      <c r="AI333" s="680" t="n"/>
      <c r="AJ333" s="680" t="n"/>
      <c r="AK333" s="680" t="inlineStr">
        <is>
          <t>                                                                  </t>
        </is>
      </c>
      <c r="AM333" s="245" t="inlineStr">
        <is>
          <t> </t>
        </is>
      </c>
    </row>
    <row r="334">
      <c r="A334" s="248" t="n">
        <v>7</v>
      </c>
      <c r="B334" s="370" t="n">
        <v>328</v>
      </c>
      <c r="C334" s="254" t="inlineStr">
        <is>
          <t>2011Q</t>
        </is>
      </c>
      <c r="D334" s="245" t="inlineStr">
        <is>
          <t xml:space="preserve">01204-00-019-000 </t>
        </is>
      </c>
      <c r="E334" s="258" t="inlineStr">
        <is>
          <t>Actual</t>
        </is>
      </c>
      <c r="F334" s="259" t="inlineStr">
        <is>
          <t>4200   MONACO              ST</t>
        </is>
      </c>
      <c r="G334" s="672" t="n">
        <v>44.3</v>
      </c>
      <c r="H334" s="253" t="n">
        <v>9101</v>
      </c>
      <c r="I334" s="255" t="n">
        <v>0</v>
      </c>
      <c r="J334" s="678" t="n">
        <v>112939</v>
      </c>
      <c r="K334" s="679" t="n">
        <v>3.426628533987374</v>
      </c>
      <c r="L334" s="260" t="n">
        <v>0</v>
      </c>
      <c r="M334" s="262" t="n">
        <v>0.01899483204134367</v>
      </c>
      <c r="N334" s="253" t="n">
        <v>1964</v>
      </c>
      <c r="O334" s="250" t="n">
        <v>1978</v>
      </c>
      <c r="P334" s="250" t="n">
        <v>7424</v>
      </c>
      <c r="Q334" s="245" t="n">
        <v>20</v>
      </c>
      <c r="R334" s="245" t="n">
        <v>1</v>
      </c>
      <c r="S334" s="245" t="n">
        <v>1</v>
      </c>
      <c r="T334" s="249" t="inlineStr">
        <is>
          <t xml:space="preserve">I2   </t>
        </is>
      </c>
      <c r="U334" s="249" t="n">
        <v>398</v>
      </c>
      <c r="V334" s="678" t="n">
        <v>317968</v>
      </c>
      <c r="W334" s="678" t="n">
        <v>320000</v>
      </c>
      <c r="X334" s="356" t="inlineStr">
        <is>
          <t>2.8:1</t>
        </is>
      </c>
      <c r="Y334" s="678" t="n">
        <v>110000</v>
      </c>
      <c r="Z334" s="249" t="inlineStr">
        <is>
          <t xml:space="preserve">C </t>
        </is>
      </c>
      <c r="AC334" s="253" t="n"/>
      <c r="AD334" s="247" t="inlineStr">
        <is>
          <t xml:space="preserve">ANKMAR DOORS        </t>
        </is>
      </c>
      <c r="AE334" s="680" t="n"/>
      <c r="AF334" s="680" t="n"/>
      <c r="AG334" s="680" t="n"/>
      <c r="AH334" s="680" t="n"/>
      <c r="AI334" s="680" t="n"/>
      <c r="AJ334" s="680" t="n"/>
      <c r="AK334" s="680" t="inlineStr">
        <is>
          <t xml:space="preserve">COMMENCEMENT DATE OF LEASE UNKNOWN.                               </t>
        </is>
      </c>
      <c r="AM334" s="245" t="inlineStr">
        <is>
          <t> </t>
        </is>
      </c>
    </row>
    <row r="335">
      <c r="A335" s="248" t="n">
        <v>7</v>
      </c>
      <c r="B335" s="370" t="n">
        <v>329</v>
      </c>
      <c r="C335" s="254" t="inlineStr">
        <is>
          <t>2011Q</t>
        </is>
      </c>
      <c r="D335" s="245" t="inlineStr">
        <is>
          <t xml:space="preserve">01204-18-024-000 </t>
        </is>
      </c>
      <c r="E335" s="258" t="inlineStr">
        <is>
          <t>Actual</t>
        </is>
      </c>
      <c r="F335" s="259" t="inlineStr">
        <is>
          <t>3900   MAGNOLIA            ST</t>
        </is>
      </c>
      <c r="G335" s="672" t="n">
        <v>44.2</v>
      </c>
      <c r="H335" s="253" t="n">
        <v>9101</v>
      </c>
      <c r="I335" s="255" t="n">
        <v>0</v>
      </c>
      <c r="J335" s="678" t="n">
        <v>13000</v>
      </c>
      <c r="K335" s="679" t="n">
        <v>6.014615384615385</v>
      </c>
      <c r="L335" s="260" t="n">
        <v>0.12</v>
      </c>
      <c r="M335" s="262" t="n">
        <v>0.1380355544187236</v>
      </c>
      <c r="N335" s="253" t="n">
        <v>1972</v>
      </c>
      <c r="O335" s="250" t="n">
        <v>792</v>
      </c>
      <c r="Q335" s="245" t="n">
        <v>14</v>
      </c>
      <c r="R335" s="245" t="n">
        <v>1</v>
      </c>
      <c r="S335" s="245" t="n">
        <v>4</v>
      </c>
      <c r="T335" s="249" t="inlineStr">
        <is>
          <t xml:space="preserve">I1   </t>
        </is>
      </c>
      <c r="U335" s="249" t="n">
        <v>398</v>
      </c>
      <c r="V335" s="678" t="n">
        <v>11800</v>
      </c>
      <c r="W335" s="678" t="n">
        <v>12000</v>
      </c>
      <c r="X335" s="356" t="inlineStr">
        <is>
          <t>0.9:1</t>
        </is>
      </c>
      <c r="Y335" s="678" t="n">
        <v>13000</v>
      </c>
      <c r="Z335" s="249" t="inlineStr">
        <is>
          <t xml:space="preserve">C </t>
        </is>
      </c>
      <c r="AC335" s="253" t="n"/>
      <c r="AD335" s="247" t="inlineStr">
        <is>
          <t>                    </t>
        </is>
      </c>
      <c r="AE335" s="680" t="n"/>
      <c r="AF335" s="680" t="n"/>
      <c r="AG335" s="680" t="n"/>
      <c r="AH335" s="680" t="n"/>
      <c r="AI335" s="680" t="n"/>
      <c r="AJ335" s="680" t="n"/>
      <c r="AK335" s="680" t="inlineStr">
        <is>
          <t>8 UNITS, ALL LEASES MO-TO-MO. MOVED FROM 18-023 DKC. INCLUDES -025</t>
        </is>
      </c>
      <c r="AM335" s="245" t="inlineStr">
        <is>
          <t> </t>
        </is>
      </c>
    </row>
    <row r="336">
      <c r="A336" s="248" t="n">
        <v>7</v>
      </c>
      <c r="B336" s="370" t="n">
        <v>330</v>
      </c>
      <c r="C336" s="249" t="inlineStr">
        <is>
          <t>2011W</t>
        </is>
      </c>
      <c r="D336" s="245" t="inlineStr">
        <is>
          <t>01204-22-001-000</t>
        </is>
      </c>
      <c r="E336" s="249" t="inlineStr">
        <is>
          <t>Actual</t>
        </is>
      </c>
      <c r="F336" s="245" t="inlineStr">
        <is>
          <t>3880-3886 Niagara St.</t>
        </is>
      </c>
      <c r="G336" s="368" t="inlineStr">
        <is>
          <t>442</t>
        </is>
      </c>
      <c r="H336" s="245" t="n">
        <v>9101</v>
      </c>
      <c r="I336" s="249" t="n">
        <v>0</v>
      </c>
      <c r="J336" s="250" t="n">
        <v>8400</v>
      </c>
      <c r="K336" s="685" t="n">
        <v>6.29</v>
      </c>
      <c r="L336" s="365" t="n">
        <v>0</v>
      </c>
      <c r="M336" s="365" t="n">
        <v>0.25</v>
      </c>
      <c r="N336" s="245" t="n">
        <v>1978</v>
      </c>
      <c r="O336" s="245" t="n">
        <v>1494</v>
      </c>
      <c r="P336" s="245" t="n"/>
      <c r="Q336" s="245" t="n">
        <v>17</v>
      </c>
      <c r="R336" s="245" t="n">
        <v>3</v>
      </c>
      <c r="S336" s="245" t="n">
        <v>4</v>
      </c>
      <c r="T336" s="249" t="inlineStr">
        <is>
          <t>I0</t>
        </is>
      </c>
      <c r="U336" s="249" t="n">
        <v>398</v>
      </c>
      <c r="V336" s="250" t="n">
        <v>17701</v>
      </c>
      <c r="W336" s="250" t="n">
        <v>20000</v>
      </c>
      <c r="X336" s="253" t="n">
        <v>2.5</v>
      </c>
      <c r="Y336" s="250" t="n">
        <v>8000</v>
      </c>
      <c r="Z336" s="249" t="inlineStr">
        <is>
          <t>C</t>
        </is>
      </c>
      <c r="AE336" s="667" t="n"/>
      <c r="AH336" s="680" t="n"/>
      <c r="AI336" s="680" t="n"/>
      <c r="AJ336" s="680" t="n"/>
      <c r="AK336" s="680" t="n"/>
    </row>
    <row r="337">
      <c r="A337" s="248" t="n">
        <v>7</v>
      </c>
      <c r="B337" s="370" t="n">
        <v>331</v>
      </c>
      <c r="C337" s="254" t="inlineStr">
        <is>
          <t>2011Q</t>
        </is>
      </c>
      <c r="D337" s="245" t="inlineStr">
        <is>
          <t xml:space="preserve">01204-22-013-000 </t>
        </is>
      </c>
      <c r="E337" s="258" t="inlineStr">
        <is>
          <t>Actual</t>
        </is>
      </c>
      <c r="F337" s="259" t="inlineStr">
        <is>
          <t>6711 E 38TH                AV</t>
        </is>
      </c>
      <c r="G337" s="253" t="n">
        <v>44.1</v>
      </c>
      <c r="H337" s="253" t="n">
        <v>9101</v>
      </c>
      <c r="I337" s="255" t="n">
        <v>0</v>
      </c>
      <c r="J337" s="678" t="n">
        <v>6240</v>
      </c>
      <c r="K337" s="679" t="n">
        <v>5.769230769230769</v>
      </c>
      <c r="L337" s="260" t="n">
        <v>0</v>
      </c>
      <c r="M337" s="262" t="n">
        <v>0.07222222222222222</v>
      </c>
      <c r="N337" s="253" t="n">
        <v>1971</v>
      </c>
      <c r="O337" s="250" t="n">
        <v>2184</v>
      </c>
      <c r="Q337" s="245" t="n">
        <v>15</v>
      </c>
      <c r="R337" s="245" t="n">
        <v>1</v>
      </c>
      <c r="S337" s="245" t="n">
        <v>1</v>
      </c>
      <c r="T337" s="249" t="inlineStr">
        <is>
          <t xml:space="preserve">I0   </t>
        </is>
      </c>
      <c r="U337" s="249" t="n">
        <v>398</v>
      </c>
      <c r="V337" s="678" t="n">
        <v>35401</v>
      </c>
      <c r="W337" s="678" t="n">
        <v>35000</v>
      </c>
      <c r="X337" s="356" t="inlineStr">
        <is>
          <t>5.7:1</t>
        </is>
      </c>
      <c r="Y337" s="678" t="n">
        <v>6000</v>
      </c>
      <c r="Z337" s="249" t="inlineStr">
        <is>
          <t xml:space="preserve">C </t>
        </is>
      </c>
      <c r="AC337" s="253" t="n"/>
      <c r="AD337" s="247" t="inlineStr">
        <is>
          <t>                    </t>
        </is>
      </c>
      <c r="AE337" s="680" t="n"/>
      <c r="AF337" s="680" t="n"/>
      <c r="AG337" s="680" t="n"/>
      <c r="AH337" s="680" t="n"/>
      <c r="AI337" s="680" t="n"/>
      <c r="AJ337" s="680" t="n"/>
      <c r="AK337" s="680" t="inlineStr">
        <is>
          <t xml:space="preserve">8-2009 LEASE/FIVE YEAR TERM                                       </t>
        </is>
      </c>
      <c r="AM337" s="245" t="inlineStr">
        <is>
          <t> </t>
        </is>
      </c>
    </row>
    <row r="338">
      <c r="A338" s="248" t="n">
        <v>7</v>
      </c>
      <c r="B338" s="370" t="n">
        <v>332</v>
      </c>
      <c r="C338" s="254" t="inlineStr">
        <is>
          <t>2011Q</t>
        </is>
      </c>
      <c r="D338" s="245" t="inlineStr">
        <is>
          <t xml:space="preserve">01213-00-075-000 </t>
        </is>
      </c>
      <c r="E338" s="258" t="inlineStr">
        <is>
          <t>Actual</t>
        </is>
      </c>
      <c r="F338" s="259" t="inlineStr">
        <is>
          <t>7825 E 40TH                AV</t>
        </is>
      </c>
      <c r="G338" s="253" t="n">
        <v>44.1</v>
      </c>
      <c r="H338" s="253" t="n">
        <v>9101</v>
      </c>
      <c r="I338" s="255" t="n">
        <v>0</v>
      </c>
      <c r="J338" s="678" t="n">
        <v>4537</v>
      </c>
      <c r="K338" s="679" t="n">
        <v>5.289839100727353</v>
      </c>
      <c r="L338" s="260" t="n">
        <v>0</v>
      </c>
      <c r="M338" s="262" t="n">
        <v>0.073875</v>
      </c>
      <c r="N338" s="253" t="n">
        <v>1983</v>
      </c>
      <c r="O338" s="250" t="n">
        <v>1155</v>
      </c>
      <c r="Q338" s="245" t="n">
        <v>18</v>
      </c>
      <c r="R338" s="245" t="n">
        <v>8</v>
      </c>
      <c r="S338" s="245" t="n">
        <v>1</v>
      </c>
      <c r="T338" s="249" t="inlineStr">
        <is>
          <t xml:space="preserve">I2   </t>
        </is>
      </c>
      <c r="U338" s="249" t="n">
        <v>398</v>
      </c>
      <c r="V338" s="678" t="n">
        <v>25100</v>
      </c>
      <c r="W338" s="678" t="n">
        <v>25000</v>
      </c>
      <c r="X338" s="356" t="inlineStr">
        <is>
          <t>5.5:1</t>
        </is>
      </c>
      <c r="Y338" s="678" t="n">
        <v>5000</v>
      </c>
      <c r="Z338" s="249" t="inlineStr">
        <is>
          <t xml:space="preserve">C </t>
        </is>
      </c>
      <c r="AC338" s="253" t="n"/>
      <c r="AD338" s="247" t="inlineStr">
        <is>
          <t>S-D OILIND SUPPLY CO</t>
        </is>
      </c>
      <c r="AE338" s="680" t="n"/>
      <c r="AF338" s="680" t="n"/>
      <c r="AG338" s="680" t="n"/>
      <c r="AH338" s="680" t="n"/>
      <c r="AI338" s="680" t="n"/>
      <c r="AJ338" s="680" t="n"/>
      <c r="AK338" s="680" t="inlineStr">
        <is>
          <t xml:space="preserve">2008 LEASE.                                                       </t>
        </is>
      </c>
      <c r="AM338" s="245" t="inlineStr">
        <is>
          <t> </t>
        </is>
      </c>
    </row>
    <row r="339">
      <c r="A339" s="248" t="n">
        <v>7</v>
      </c>
      <c r="B339" s="370" t="n">
        <v>333</v>
      </c>
      <c r="C339" s="254" t="inlineStr">
        <is>
          <t>2011Q</t>
        </is>
      </c>
      <c r="D339" s="245" t="inlineStr">
        <is>
          <t xml:space="preserve">01213-00-077-000 </t>
        </is>
      </c>
      <c r="E339" s="258" t="inlineStr">
        <is>
          <t>Actual</t>
        </is>
      </c>
      <c r="F339" s="259" t="inlineStr">
        <is>
          <t>8025 E 40TH                AV</t>
        </is>
      </c>
      <c r="G339" s="672" t="n">
        <v>44.2</v>
      </c>
      <c r="H339" s="253" t="n">
        <v>9101</v>
      </c>
      <c r="I339" s="255" t="n">
        <v>0</v>
      </c>
      <c r="J339" s="678" t="n">
        <v>3400</v>
      </c>
      <c r="K339" s="679" t="n">
        <v>8.294117647058824</v>
      </c>
      <c r="L339" s="260" t="n">
        <v>0</v>
      </c>
      <c r="M339" s="262" t="n">
        <v>0.08301418439716313</v>
      </c>
      <c r="N339" s="253" t="n">
        <v>1959</v>
      </c>
      <c r="O339" s="250" t="n">
        <v>10174</v>
      </c>
      <c r="Q339" s="245" t="n">
        <v>14</v>
      </c>
      <c r="R339" s="245" t="n">
        <v>1</v>
      </c>
      <c r="S339" s="245" t="n">
        <v>3</v>
      </c>
      <c r="T339" s="249" t="inlineStr">
        <is>
          <t xml:space="preserve">I2   </t>
        </is>
      </c>
      <c r="U339" s="249" t="n">
        <v>398</v>
      </c>
      <c r="V339" s="678" t="n">
        <v>80527</v>
      </c>
      <c r="W339" s="678" t="n">
        <v>81000</v>
      </c>
      <c r="X339" s="356" t="inlineStr">
        <is>
          <t>1.8:1</t>
        </is>
      </c>
      <c r="Y339" s="678" t="n">
        <v>3000</v>
      </c>
      <c r="Z339" s="249" t="inlineStr">
        <is>
          <t xml:space="preserve">C </t>
        </is>
      </c>
      <c r="AC339" s="253" t="n"/>
      <c r="AD339" s="247" t="inlineStr">
        <is>
          <t xml:space="preserve">M-W ASPEN BAKERY    </t>
        </is>
      </c>
      <c r="AE339" s="680" t="n"/>
      <c r="AF339" s="680" t="n"/>
      <c r="AG339" s="680" t="n"/>
      <c r="AH339" s="680" t="n"/>
      <c r="AI339" s="680" t="n"/>
      <c r="AJ339" s="680" t="n"/>
      <c r="AK339" s="680" t="inlineStr">
        <is>
          <t xml:space="preserve">44,596 SQ BLDG - ONLY 3,400 SF RENTAL UNIT ENTERED.               </t>
        </is>
      </c>
      <c r="AM339" s="245" t="inlineStr">
        <is>
          <t> </t>
        </is>
      </c>
    </row>
    <row r="340">
      <c r="A340" s="248" t="n">
        <v>7</v>
      </c>
      <c r="B340" s="370" t="n">
        <v>334</v>
      </c>
      <c r="C340" s="254" t="inlineStr">
        <is>
          <t>2011Q</t>
        </is>
      </c>
      <c r="D340" s="245" t="inlineStr">
        <is>
          <t xml:space="preserve">01231-05-002-000 </t>
        </is>
      </c>
      <c r="E340" s="258" t="inlineStr">
        <is>
          <t>Actual</t>
        </is>
      </c>
      <c r="F340" s="259" t="inlineStr">
        <is>
          <t>4701   MOLINE              ST</t>
        </is>
      </c>
      <c r="G340" s="672" t="n">
        <v>44.4</v>
      </c>
      <c r="H340" s="253" t="n">
        <v>9102</v>
      </c>
      <c r="I340" s="255" t="n">
        <v>0</v>
      </c>
      <c r="J340" s="678" t="n">
        <v>104891</v>
      </c>
      <c r="K340" s="679" t="n">
        <v>4.930146533067661</v>
      </c>
      <c r="L340" s="260" t="n">
        <v>0</v>
      </c>
      <c r="M340" s="262" t="n">
        <v>0.1469094692223202</v>
      </c>
      <c r="N340" s="253" t="n">
        <v>1985</v>
      </c>
      <c r="O340" s="250" t="n">
        <v>14479</v>
      </c>
      <c r="Q340" s="245" t="n">
        <v>24</v>
      </c>
      <c r="R340" s="245" t="n">
        <v>14</v>
      </c>
      <c r="S340" s="245" t="n">
        <v>8</v>
      </c>
      <c r="T340" s="249" t="inlineStr">
        <is>
          <t xml:space="preserve">I2   </t>
        </is>
      </c>
      <c r="U340" s="249" t="n">
        <v>398</v>
      </c>
      <c r="V340" s="678" t="n">
        <v>219619</v>
      </c>
      <c r="W340" s="678" t="n">
        <v>220000</v>
      </c>
      <c r="X340" s="356" t="inlineStr">
        <is>
          <t>2.1:1</t>
        </is>
      </c>
      <c r="Y340" s="678" t="n">
        <v>100000</v>
      </c>
      <c r="Z340" s="249" t="inlineStr">
        <is>
          <t xml:space="preserve">C </t>
        </is>
      </c>
      <c r="AC340" s="253" t="n"/>
      <c r="AD340" s="247" t="inlineStr">
        <is>
          <t xml:space="preserve">M-W DIST WAREHOUSE  </t>
        </is>
      </c>
      <c r="AE340" s="680" t="n"/>
      <c r="AF340" s="680" t="n"/>
      <c r="AG340" s="680" t="n"/>
      <c r="AH340" s="680" t="n"/>
      <c r="AI340" s="680" t="n"/>
      <c r="AJ340" s="680" t="n"/>
      <c r="AK340" s="680" t="inlineStr">
        <is>
          <t xml:space="preserve">LEASES 2007-2009; GROSS BASIS IS HIGHLY ATYPICAL FOR WHSES.       </t>
        </is>
      </c>
      <c r="AM340" s="245" t="inlineStr">
        <is>
          <t> </t>
        </is>
      </c>
    </row>
    <row r="341">
      <c r="A341" s="248" t="n">
        <v>7</v>
      </c>
      <c r="B341" s="370" t="n">
        <v>334.3</v>
      </c>
      <c r="C341" s="369" t="inlineStr">
        <is>
          <t>2012W</t>
        </is>
      </c>
      <c r="D341" s="370" t="inlineStr">
        <is>
          <t>01231-06-002-000</t>
        </is>
      </c>
      <c r="E341" s="369" t="inlineStr">
        <is>
          <t>Lease</t>
        </is>
      </c>
      <c r="F341" s="370" t="inlineStr">
        <is>
          <t>11775 E 45th Ave</t>
        </is>
      </c>
      <c r="G341" s="371" t="inlineStr">
        <is>
          <t>44.1</t>
        </is>
      </c>
      <c r="H341" s="370" t="n">
        <v>9102</v>
      </c>
      <c r="I341" s="369" t="n">
        <v>0</v>
      </c>
      <c r="J341" s="372" t="n">
        <v>89867</v>
      </c>
      <c r="K341" s="681" t="n">
        <v>6.22</v>
      </c>
      <c r="L341" s="374" t="n">
        <v>0</v>
      </c>
      <c r="M341" s="374" t="n">
        <v>0.08</v>
      </c>
      <c r="N341" s="370" t="n">
        <v>2007</v>
      </c>
      <c r="O341" s="678" t="n">
        <v>22499</v>
      </c>
      <c r="P341" s="245" t="n"/>
      <c r="Q341" s="245" t="n">
        <v>33</v>
      </c>
      <c r="R341" s="245" t="n">
        <v>14</v>
      </c>
      <c r="S341" s="245" t="n">
        <v>1</v>
      </c>
      <c r="T341" s="369" t="inlineStr">
        <is>
          <t>I2</t>
        </is>
      </c>
      <c r="U341" s="370" t="n">
        <v>398</v>
      </c>
      <c r="V341" s="372" t="n">
        <v>279946</v>
      </c>
      <c r="W341" s="372" t="n">
        <v>300000</v>
      </c>
      <c r="X341" s="375" t="inlineStr">
        <is>
          <t>3.1:1</t>
        </is>
      </c>
      <c r="Y341" s="372" t="n">
        <v>100000</v>
      </c>
      <c r="Z341" s="370" t="inlineStr">
        <is>
          <t>C</t>
        </is>
      </c>
      <c r="AA341" s="370" t="n">
        <v>3</v>
      </c>
      <c r="AB341" s="370" t="n">
        <v>3</v>
      </c>
      <c r="AC341" s="370" t="n">
        <v>33</v>
      </c>
      <c r="AD341" s="370" t="inlineStr">
        <is>
          <t>Summers Corp</t>
        </is>
      </c>
      <c r="AE341" s="682" t="n"/>
      <c r="AF341" s="683" t="n"/>
      <c r="AG341" s="683" t="n"/>
      <c r="AH341" s="682" t="n"/>
      <c r="AI341" s="683" t="n"/>
      <c r="AJ341" s="682" t="n"/>
      <c r="AK341" s="370" t="inlineStr">
        <is>
          <t>4-2008 lease date, 8 yr term. Expenses are estimated-no expense data in lease memo</t>
        </is>
      </c>
      <c r="AL341" s="370" t="n"/>
      <c r="AM341" s="680" t="n"/>
      <c r="AN341" s="680" t="n"/>
      <c r="AO341" s="680" t="n"/>
      <c r="AP341" s="680" t="n"/>
    </row>
    <row r="342">
      <c r="A342" s="248" t="n">
        <v>7</v>
      </c>
      <c r="B342" s="370" t="n">
        <v>335</v>
      </c>
      <c r="C342" s="254" t="inlineStr">
        <is>
          <t>2011Q</t>
        </is>
      </c>
      <c r="D342" s="245" t="inlineStr">
        <is>
          <t xml:space="preserve">01232-00-051-000 </t>
        </is>
      </c>
      <c r="E342" s="258" t="inlineStr">
        <is>
          <t>Actual</t>
        </is>
      </c>
      <c r="F342" s="259" t="inlineStr">
        <is>
          <t>4690   IRONTON             ST</t>
        </is>
      </c>
      <c r="G342" s="672" t="n">
        <v>44.2</v>
      </c>
      <c r="H342" s="253" t="n">
        <v>9102</v>
      </c>
      <c r="I342" s="255" t="n">
        <v>0</v>
      </c>
      <c r="J342" s="678" t="n">
        <v>11918</v>
      </c>
      <c r="K342" s="679" t="n">
        <v>6.217486155395201</v>
      </c>
      <c r="L342" s="260" t="n">
        <v>0</v>
      </c>
      <c r="M342" s="262" t="n">
        <v>0</v>
      </c>
      <c r="N342" s="253" t="n">
        <v>1967</v>
      </c>
      <c r="O342" s="250" t="n">
        <v>2910</v>
      </c>
      <c r="Q342" s="245" t="n">
        <v>22</v>
      </c>
      <c r="R342" s="245" t="n">
        <v>1</v>
      </c>
      <c r="S342" s="245" t="n">
        <v>1</v>
      </c>
      <c r="T342" s="249" t="inlineStr">
        <is>
          <t xml:space="preserve">I2   </t>
        </is>
      </c>
      <c r="U342" s="249" t="n">
        <v>398</v>
      </c>
      <c r="V342" s="678" t="n">
        <v>32585</v>
      </c>
      <c r="W342" s="678" t="n">
        <v>33000</v>
      </c>
      <c r="X342" s="356" t="inlineStr">
        <is>
          <t>2.7:1</t>
        </is>
      </c>
      <c r="Y342" s="678" t="n">
        <v>12000</v>
      </c>
      <c r="Z342" s="249" t="inlineStr">
        <is>
          <t xml:space="preserve">C </t>
        </is>
      </c>
      <c r="AC342" s="253" t="n"/>
      <c r="AD342" s="247" t="inlineStr">
        <is>
          <t xml:space="preserve">M-W                 </t>
        </is>
      </c>
      <c r="AE342" s="680" t="n"/>
      <c r="AF342" s="680" t="n"/>
      <c r="AG342" s="680" t="n"/>
      <c r="AH342" s="680" t="n"/>
      <c r="AI342" s="680" t="n"/>
      <c r="AJ342" s="680" t="n"/>
      <c r="AK342" s="680" t="inlineStr">
        <is>
          <t xml:space="preserve">OWNER'S LEVEL OF EXPENSE IS EXCESSIVE - NOT ENTERED.              </t>
        </is>
      </c>
      <c r="AM342" s="245" t="inlineStr">
        <is>
          <t> </t>
        </is>
      </c>
    </row>
    <row r="343">
      <c r="A343" s="248" t="n">
        <v>7</v>
      </c>
      <c r="B343" s="370" t="n">
        <v>336</v>
      </c>
      <c r="C343" s="254" t="inlineStr">
        <is>
          <t>2011Q</t>
        </is>
      </c>
      <c r="D343" s="245" t="inlineStr">
        <is>
          <t xml:space="preserve">01232-08-004-000 </t>
        </is>
      </c>
      <c r="E343" s="258" t="inlineStr">
        <is>
          <t>Actual</t>
        </is>
      </c>
      <c r="F343" s="259" t="inlineStr">
        <is>
          <t>4690   JOLIET              ST</t>
        </is>
      </c>
      <c r="G343" s="672" t="n">
        <v>44.2</v>
      </c>
      <c r="H343" s="253" t="n">
        <v>9102</v>
      </c>
      <c r="I343" s="255" t="n">
        <v>0</v>
      </c>
      <c r="J343" s="678" t="n">
        <v>43840</v>
      </c>
      <c r="K343" s="679" t="n">
        <v>6.747262773722627</v>
      </c>
      <c r="L343" s="260" t="n">
        <v>0</v>
      </c>
      <c r="M343" s="262" t="n">
        <v>0</v>
      </c>
      <c r="N343" s="253" t="n">
        <v>1970</v>
      </c>
      <c r="O343" s="250" t="n">
        <v>4099</v>
      </c>
      <c r="P343" s="250" t="n">
        <v>12536</v>
      </c>
      <c r="Q343" s="245" t="n">
        <v>24</v>
      </c>
      <c r="R343" s="245" t="n">
        <v>10</v>
      </c>
      <c r="S343" s="245" t="n">
        <v>1</v>
      </c>
      <c r="T343" s="249" t="inlineStr">
        <is>
          <t xml:space="preserve">I2   </t>
        </is>
      </c>
      <c r="U343" s="249" t="n">
        <v>398</v>
      </c>
      <c r="V343" s="678" t="n">
        <v>124250</v>
      </c>
      <c r="W343" s="678" t="n">
        <v>120000</v>
      </c>
      <c r="X343" s="356" t="inlineStr">
        <is>
          <t>2.8:1</t>
        </is>
      </c>
      <c r="Y343" s="678" t="n">
        <v>44000</v>
      </c>
      <c r="Z343" s="249" t="inlineStr">
        <is>
          <t xml:space="preserve">C </t>
        </is>
      </c>
      <c r="AC343" s="253" t="n"/>
      <c r="AD343" s="247" t="inlineStr">
        <is>
          <t xml:space="preserve">BELFOR              </t>
        </is>
      </c>
      <c r="AE343" s="680" t="n"/>
      <c r="AF343" s="680" t="n"/>
      <c r="AG343" s="680" t="n"/>
      <c r="AH343" s="680" t="n"/>
      <c r="AI343" s="680" t="n"/>
      <c r="AJ343" s="680" t="n"/>
      <c r="AK343" s="680" t="inlineStr">
        <is>
          <t xml:space="preserve">2008 LEASE.                                                       </t>
        </is>
      </c>
      <c r="AM343" s="245" t="inlineStr">
        <is>
          <t> </t>
        </is>
      </c>
    </row>
    <row r="344">
      <c r="A344" s="248" t="n">
        <v>7</v>
      </c>
      <c r="B344" s="370" t="n">
        <v>337</v>
      </c>
      <c r="C344" s="254" t="inlineStr">
        <is>
          <t>2011Q</t>
        </is>
      </c>
      <c r="D344" s="245" t="inlineStr">
        <is>
          <t xml:space="preserve">01232-08-006-000 </t>
        </is>
      </c>
      <c r="E344" s="258" t="inlineStr">
        <is>
          <t>Actual</t>
        </is>
      </c>
      <c r="F344" s="259" t="inlineStr">
        <is>
          <t>4600   JOLIET              ST</t>
        </is>
      </c>
      <c r="G344" s="253" t="n">
        <v>44.1</v>
      </c>
      <c r="H344" s="253" t="n">
        <v>9102</v>
      </c>
      <c r="I344" s="255" t="n">
        <v>0</v>
      </c>
      <c r="J344" s="678" t="n">
        <v>58984</v>
      </c>
      <c r="K344" s="679" t="n">
        <v>4.275735792757358</v>
      </c>
      <c r="L344" s="260" t="n">
        <v>0</v>
      </c>
      <c r="M344" s="262" t="n">
        <v>0</v>
      </c>
      <c r="N344" s="253" t="n">
        <v>1982</v>
      </c>
      <c r="O344" s="250" t="n">
        <v>3144</v>
      </c>
      <c r="Q344" s="245" t="n">
        <v>27</v>
      </c>
      <c r="R344" s="245" t="n">
        <v>3</v>
      </c>
      <c r="S344" s="245" t="n">
        <v>2</v>
      </c>
      <c r="T344" s="249" t="inlineStr">
        <is>
          <t xml:space="preserve">I2   </t>
        </is>
      </c>
      <c r="U344" s="249" t="n">
        <v>398</v>
      </c>
      <c r="V344" s="678" t="n">
        <v>111825</v>
      </c>
      <c r="W344" s="678" t="n">
        <v>110000</v>
      </c>
      <c r="X344" s="356" t="inlineStr">
        <is>
          <t>1.9:1</t>
        </is>
      </c>
      <c r="Y344" s="678" t="n">
        <v>59000</v>
      </c>
      <c r="Z344" s="249" t="inlineStr">
        <is>
          <t xml:space="preserve">C </t>
        </is>
      </c>
      <c r="AC344" s="253" t="n"/>
      <c r="AD344" s="247" t="inlineStr">
        <is>
          <t xml:space="preserve">M-W BREMNER BISCUIT </t>
        </is>
      </c>
      <c r="AE344" s="680" t="n"/>
      <c r="AF344" s="680" t="n"/>
      <c r="AG344" s="680" t="n"/>
      <c r="AH344" s="680" t="n"/>
      <c r="AI344" s="680" t="n"/>
      <c r="AJ344" s="680" t="n"/>
      <c r="AK344" s="680" t="inlineStr">
        <is>
          <t xml:space="preserve">EXPENSES ARE EXCESSIVE - MAY BE FOR BUSINESS,TOO, NOT ENTERED.    </t>
        </is>
      </c>
      <c r="AM344" s="245" t="inlineStr">
        <is>
          <t> </t>
        </is>
      </c>
    </row>
    <row r="345">
      <c r="A345" s="248" t="n">
        <v>7</v>
      </c>
      <c r="B345" s="370" t="n">
        <v>338</v>
      </c>
      <c r="C345" s="254" t="inlineStr">
        <is>
          <t>2011Q</t>
        </is>
      </c>
      <c r="D345" s="245" t="inlineStr">
        <is>
          <t xml:space="preserve">01232-10-002-000 </t>
        </is>
      </c>
      <c r="E345" s="258" t="inlineStr">
        <is>
          <t>Actual</t>
        </is>
      </c>
      <c r="F345" s="259" t="inlineStr">
        <is>
          <t>10645 E 47TH                AV</t>
        </is>
      </c>
      <c r="G345" s="253" t="n">
        <v>44.1</v>
      </c>
      <c r="H345" s="253" t="n">
        <v>9102</v>
      </c>
      <c r="I345" s="255" t="n">
        <v>0</v>
      </c>
      <c r="J345" s="678" t="n">
        <v>10527</v>
      </c>
      <c r="K345" s="679" t="n">
        <v>6.269592476489028</v>
      </c>
      <c r="L345" s="260" t="n">
        <v>0.25</v>
      </c>
      <c r="M345" s="262" t="n">
        <v>0</v>
      </c>
      <c r="N345" s="253" t="n">
        <v>1968</v>
      </c>
      <c r="O345" s="250" t="n">
        <v>4329</v>
      </c>
      <c r="Q345" s="245" t="n">
        <v>21</v>
      </c>
      <c r="R345" s="245" t="n">
        <v>1</v>
      </c>
      <c r="S345" s="245" t="n">
        <v>1</v>
      </c>
      <c r="T345" s="249" t="inlineStr">
        <is>
          <t xml:space="preserve">I2   </t>
        </is>
      </c>
      <c r="U345" s="249" t="n">
        <v>398</v>
      </c>
      <c r="V345" s="678" t="n">
        <v>25100</v>
      </c>
      <c r="W345" s="678" t="n">
        <v>25000</v>
      </c>
      <c r="X345" s="356" t="inlineStr">
        <is>
          <t>2.4:1</t>
        </is>
      </c>
      <c r="Y345" s="678" t="n">
        <v>11000</v>
      </c>
      <c r="Z345" s="249" t="inlineStr">
        <is>
          <t xml:space="preserve">C </t>
        </is>
      </c>
      <c r="AC345" s="253" t="n"/>
      <c r="AD345" s="247" t="inlineStr">
        <is>
          <t xml:space="preserve">INETDEALS           </t>
        </is>
      </c>
      <c r="AE345" s="680" t="n"/>
      <c r="AF345" s="680" t="n"/>
      <c r="AG345" s="680" t="n"/>
      <c r="AH345" s="680" t="n"/>
      <c r="AI345" s="680" t="n"/>
      <c r="AJ345" s="680" t="n"/>
      <c r="AK345" s="680" t="inlineStr">
        <is>
          <t>                                                                  </t>
        </is>
      </c>
      <c r="AM345" s="245" t="inlineStr">
        <is>
          <t> </t>
        </is>
      </c>
    </row>
    <row r="346">
      <c r="A346" s="248" t="n">
        <v>7</v>
      </c>
      <c r="B346" s="370" t="n">
        <v>339</v>
      </c>
      <c r="C346" s="254" t="inlineStr">
        <is>
          <t>2011Q</t>
        </is>
      </c>
      <c r="D346" s="245" t="inlineStr">
        <is>
          <t xml:space="preserve">01233-00-026-000 </t>
        </is>
      </c>
      <c r="E346" s="258" t="inlineStr">
        <is>
          <t>Actual</t>
        </is>
      </c>
      <c r="F346" s="259" t="inlineStr">
        <is>
          <t>11200 E 40TH                AV</t>
        </is>
      </c>
      <c r="G346" s="672" t="n">
        <v>44.2</v>
      </c>
      <c r="H346" s="253" t="n">
        <v>9104</v>
      </c>
      <c r="I346" s="255" t="n">
        <v>0</v>
      </c>
      <c r="J346" s="678" t="n">
        <v>86060</v>
      </c>
      <c r="K346" s="679" t="n">
        <v>4.541808040901697</v>
      </c>
      <c r="L346" s="260" t="n">
        <v>0</v>
      </c>
      <c r="M346" s="262" t="n">
        <v>0</v>
      </c>
      <c r="N346" s="253" t="n">
        <v>1973</v>
      </c>
      <c r="O346" s="250" t="n">
        <v>12963</v>
      </c>
      <c r="P346" s="250" t="n">
        <v>15020</v>
      </c>
      <c r="Q346" s="245" t="n">
        <v>20</v>
      </c>
      <c r="R346" s="245" t="n">
        <v>8</v>
      </c>
      <c r="S346" s="245" t="n">
        <v>1</v>
      </c>
      <c r="T346" s="249" t="inlineStr">
        <is>
          <t xml:space="preserve">I2   </t>
        </is>
      </c>
      <c r="U346" s="249" t="n">
        <v>398</v>
      </c>
      <c r="V346" s="678" t="n">
        <v>304924</v>
      </c>
      <c r="W346" s="678" t="n">
        <v>300000</v>
      </c>
      <c r="X346" s="356" t="inlineStr">
        <is>
          <t>3.5:1</t>
        </is>
      </c>
      <c r="Y346" s="678" t="n">
        <v>86000</v>
      </c>
      <c r="Z346" s="249" t="inlineStr">
        <is>
          <t xml:space="preserve">C </t>
        </is>
      </c>
      <c r="AC346" s="253" t="n"/>
      <c r="AD346" s="247" t="inlineStr">
        <is>
          <t xml:space="preserve">CENTER RENTAL/SALES </t>
        </is>
      </c>
      <c r="AE346" s="680" t="n"/>
      <c r="AF346" s="680" t="n"/>
      <c r="AG346" s="680" t="n"/>
      <c r="AH346" s="680" t="n"/>
      <c r="AI346" s="680" t="n"/>
      <c r="AJ346" s="680" t="n"/>
      <c r="AK346" s="680" t="inlineStr">
        <is>
          <t xml:space="preserve">2008 LEASE.                                                       </t>
        </is>
      </c>
      <c r="AM346" s="245" t="inlineStr">
        <is>
          <t> </t>
        </is>
      </c>
    </row>
    <row r="347">
      <c r="A347" s="248" t="n">
        <v>7</v>
      </c>
      <c r="B347" s="370" t="n">
        <v>340</v>
      </c>
      <c r="C347" s="254" t="inlineStr">
        <is>
          <t>2011Q</t>
        </is>
      </c>
      <c r="D347" s="245" t="inlineStr">
        <is>
          <t xml:space="preserve">01234-01-009-000 </t>
        </is>
      </c>
      <c r="E347" s="258" t="inlineStr">
        <is>
          <t>Actual</t>
        </is>
      </c>
      <c r="F347" s="259" t="inlineStr">
        <is>
          <t>3891   PARIS               ST</t>
        </is>
      </c>
      <c r="G347" s="672" t="n">
        <v>44.2</v>
      </c>
      <c r="H347" s="253" t="n">
        <v>9104</v>
      </c>
      <c r="I347" s="255" t="n">
        <v>0</v>
      </c>
      <c r="J347" s="678" t="n">
        <v>14149</v>
      </c>
      <c r="K347" s="679" t="n">
        <v>5.512757085306382</v>
      </c>
      <c r="L347" s="260" t="n">
        <v>0</v>
      </c>
      <c r="M347" s="262" t="n">
        <v>0.1307692307692308</v>
      </c>
      <c r="N347" s="253" t="n">
        <v>2000</v>
      </c>
      <c r="O347" s="250" t="n">
        <v>1629</v>
      </c>
      <c r="Q347" s="245" t="n">
        <v>19</v>
      </c>
      <c r="R347" s="245" t="n">
        <v>14</v>
      </c>
      <c r="S347" s="245" t="n">
        <v>1</v>
      </c>
      <c r="T347" s="249" t="inlineStr">
        <is>
          <t xml:space="preserve">I1   </t>
        </is>
      </c>
      <c r="U347" s="249" t="n">
        <v>398</v>
      </c>
      <c r="V347" s="678" t="n">
        <v>36116</v>
      </c>
      <c r="W347" s="678" t="n">
        <v>36000</v>
      </c>
      <c r="X347" s="356" t="inlineStr">
        <is>
          <t>2.6:1</t>
        </is>
      </c>
      <c r="Y347" s="678" t="n">
        <v>14000</v>
      </c>
      <c r="Z347" s="249" t="inlineStr">
        <is>
          <t xml:space="preserve">C </t>
        </is>
      </c>
      <c r="AC347" s="253" t="n"/>
      <c r="AD347" s="247" t="inlineStr">
        <is>
          <t>                    </t>
        </is>
      </c>
      <c r="AE347" s="680" t="n"/>
      <c r="AF347" s="680" t="n"/>
      <c r="AG347" s="680" t="n"/>
      <c r="AH347" s="680" t="n"/>
      <c r="AI347" s="680" t="n"/>
      <c r="AJ347" s="680" t="n"/>
      <c r="AK347" s="680" t="inlineStr">
        <is>
          <t xml:space="preserve">EXCESSIVE EXPENSES TO OWNER.                                      </t>
        </is>
      </c>
      <c r="AM347" s="245" t="inlineStr">
        <is>
          <t> </t>
        </is>
      </c>
    </row>
    <row r="348">
      <c r="A348" s="248" t="n">
        <v>7</v>
      </c>
      <c r="B348" s="370" t="n">
        <v>341</v>
      </c>
      <c r="C348" s="254" t="inlineStr">
        <is>
          <t>2011Q</t>
        </is>
      </c>
      <c r="D348" s="245" t="inlineStr">
        <is>
          <t xml:space="preserve">01234-01-014-000 </t>
        </is>
      </c>
      <c r="E348" s="258" t="inlineStr">
        <is>
          <t>Actual</t>
        </is>
      </c>
      <c r="F348" s="259" t="inlineStr">
        <is>
          <t>3841   PARIS               ST</t>
        </is>
      </c>
      <c r="G348" s="672" t="n">
        <v>44.2</v>
      </c>
      <c r="H348" s="253" t="n">
        <v>9104</v>
      </c>
      <c r="I348" s="255" t="n">
        <v>0</v>
      </c>
      <c r="J348" s="678" t="n">
        <v>20046</v>
      </c>
      <c r="K348" s="679" t="n">
        <v>6.076025142173002</v>
      </c>
      <c r="L348" s="260" t="n">
        <v>0</v>
      </c>
      <c r="M348" s="262" t="n">
        <v>0.1093267651888341</v>
      </c>
      <c r="N348" s="253" t="n">
        <v>1978</v>
      </c>
      <c r="O348" s="250" t="n">
        <v>4212</v>
      </c>
      <c r="Q348" s="245" t="n">
        <v>20</v>
      </c>
      <c r="R348" s="245" t="n">
        <v>10</v>
      </c>
      <c r="S348" s="245" t="n">
        <v>1</v>
      </c>
      <c r="T348" s="249" t="inlineStr">
        <is>
          <t xml:space="preserve">I2   </t>
        </is>
      </c>
      <c r="U348" s="249" t="n">
        <v>398</v>
      </c>
      <c r="V348" s="678" t="n">
        <v>43000</v>
      </c>
      <c r="W348" s="678" t="n">
        <v>43000</v>
      </c>
      <c r="X348" s="356" t="inlineStr">
        <is>
          <t>2.1:1</t>
        </is>
      </c>
      <c r="Y348" s="678" t="n">
        <v>20000</v>
      </c>
      <c r="Z348" s="249" t="inlineStr">
        <is>
          <t xml:space="preserve">C </t>
        </is>
      </c>
      <c r="AC348" s="253" t="n"/>
      <c r="AD348" s="247" t="inlineStr">
        <is>
          <t>                    </t>
        </is>
      </c>
      <c r="AE348" s="680" t="n"/>
      <c r="AF348" s="680" t="n"/>
      <c r="AG348" s="680" t="n"/>
      <c r="AH348" s="680" t="n"/>
      <c r="AI348" s="680" t="n"/>
      <c r="AJ348" s="680" t="n"/>
      <c r="AK348" s="680" t="inlineStr">
        <is>
          <t xml:space="preserve">2008 LEASES; GROSS BASIS ATYPICAL FOR WAREHOUSES.                 </t>
        </is>
      </c>
      <c r="AM348" s="245" t="inlineStr">
        <is>
          <t> </t>
        </is>
      </c>
    </row>
    <row r="349">
      <c r="A349" s="248" t="n">
        <v>7</v>
      </c>
      <c r="B349" s="370" t="n">
        <v>342</v>
      </c>
      <c r="C349" s="254" t="inlineStr">
        <is>
          <t>2011Q</t>
        </is>
      </c>
      <c r="D349" s="245" t="inlineStr">
        <is>
          <t xml:space="preserve">01246-00-038-000 </t>
        </is>
      </c>
      <c r="E349" s="258" t="inlineStr">
        <is>
          <t>Actual</t>
        </is>
      </c>
      <c r="F349" s="259" t="inlineStr">
        <is>
          <t>14135 E 42ND                AV</t>
        </is>
      </c>
      <c r="G349" s="672" t="n">
        <v>44.4</v>
      </c>
      <c r="H349" s="253" t="n">
        <v>9102</v>
      </c>
      <c r="I349" s="255" t="n">
        <v>0</v>
      </c>
      <c r="J349" s="678" t="n">
        <v>160236</v>
      </c>
      <c r="K349" s="679" t="n">
        <v>5.40160138795277</v>
      </c>
      <c r="L349" s="260" t="n">
        <v>0.1</v>
      </c>
      <c r="M349" s="262" t="n">
        <v>0.002838719814772666</v>
      </c>
      <c r="N349" s="253" t="n">
        <v>1998</v>
      </c>
      <c r="O349" s="250" t="n">
        <v>24983</v>
      </c>
      <c r="Q349" s="245" t="n">
        <v>26</v>
      </c>
      <c r="R349" s="245" t="n">
        <v>14</v>
      </c>
      <c r="S349" s="245" t="n">
        <v>7</v>
      </c>
      <c r="T349" s="249" t="inlineStr">
        <is>
          <t xml:space="preserve">I0   </t>
        </is>
      </c>
      <c r="U349" s="249" t="n">
        <v>398</v>
      </c>
      <c r="V349" s="678" t="n">
        <v>395173</v>
      </c>
      <c r="W349" s="678" t="n">
        <v>400000</v>
      </c>
      <c r="X349" s="356" t="inlineStr">
        <is>
          <t>2.5:1</t>
        </is>
      </c>
      <c r="Y349" s="678" t="n">
        <v>160000</v>
      </c>
      <c r="Z349" s="249" t="inlineStr">
        <is>
          <t xml:space="preserve">C </t>
        </is>
      </c>
      <c r="AC349" s="253" t="n"/>
      <c r="AD349" s="247" t="inlineStr">
        <is>
          <t xml:space="preserve">M-W DIST WHSE       </t>
        </is>
      </c>
      <c r="AE349" s="680" t="n"/>
      <c r="AF349" s="680" t="n"/>
      <c r="AG349" s="680" t="n"/>
      <c r="AH349" s="680" t="n"/>
      <c r="AI349" s="680" t="n"/>
      <c r="AJ349" s="680" t="n"/>
      <c r="AK349" s="680" t="inlineStr">
        <is>
          <t xml:space="preserve">LEASES 2006-2009.                                                 </t>
        </is>
      </c>
      <c r="AM349" s="245" t="inlineStr">
        <is>
          <t> </t>
        </is>
      </c>
    </row>
    <row r="350">
      <c r="A350" s="248" t="n">
        <v>7</v>
      </c>
      <c r="B350" s="370" t="n">
        <v>343</v>
      </c>
      <c r="C350" s="254" t="inlineStr">
        <is>
          <t>2011Q</t>
        </is>
      </c>
      <c r="D350" s="245" t="inlineStr">
        <is>
          <t xml:space="preserve">01252-00-034-000 </t>
        </is>
      </c>
      <c r="E350" s="258" t="inlineStr">
        <is>
          <t>Actual</t>
        </is>
      </c>
      <c r="F350" s="259" t="inlineStr">
        <is>
          <t>12770 E 39TH                AV</t>
        </is>
      </c>
      <c r="G350" s="672" t="n">
        <v>44.4</v>
      </c>
      <c r="H350" s="253" t="n">
        <v>9104</v>
      </c>
      <c r="I350" s="255" t="n">
        <v>0</v>
      </c>
      <c r="J350" s="678" t="n">
        <v>121360</v>
      </c>
      <c r="K350" s="679" t="n">
        <v>2.9</v>
      </c>
      <c r="L350" s="260" t="n">
        <v>0</v>
      </c>
      <c r="M350" s="262" t="n">
        <v>0.09468551815061486</v>
      </c>
      <c r="N350" s="253" t="n">
        <v>1971</v>
      </c>
      <c r="O350" s="250" t="n">
        <v>6439</v>
      </c>
      <c r="P350" s="250" t="n">
        <v>157</v>
      </c>
      <c r="Q350" s="245" t="n">
        <v>30</v>
      </c>
      <c r="R350" s="245" t="n">
        <v>14</v>
      </c>
      <c r="S350" s="245" t="n">
        <v>2</v>
      </c>
      <c r="T350" s="249" t="inlineStr">
        <is>
          <t xml:space="preserve">I2   </t>
        </is>
      </c>
      <c r="U350" s="249" t="n">
        <v>398</v>
      </c>
      <c r="V350" s="678" t="n">
        <v>255000</v>
      </c>
      <c r="W350" s="678" t="n">
        <v>260000</v>
      </c>
      <c r="X350" s="356" t="inlineStr">
        <is>
          <t>2.1:1</t>
        </is>
      </c>
      <c r="Y350" s="678" t="n">
        <v>120000</v>
      </c>
      <c r="Z350" s="249" t="inlineStr">
        <is>
          <t xml:space="preserve">C </t>
        </is>
      </c>
      <c r="AC350" s="253" t="n"/>
      <c r="AD350" s="247" t="inlineStr">
        <is>
          <t xml:space="preserve">M-W UNISOURCE       </t>
        </is>
      </c>
      <c r="AE350" s="680" t="n"/>
      <c r="AF350" s="680" t="n"/>
      <c r="AG350" s="680" t="n"/>
      <c r="AH350" s="680" t="n"/>
      <c r="AI350" s="680" t="n"/>
      <c r="AJ350" s="680" t="n"/>
      <c r="AK350" s="680" t="inlineStr">
        <is>
          <t xml:space="preserve">2010 LEASE USED FOR RENTAL RATES.                                 </t>
        </is>
      </c>
      <c r="AM350" s="245" t="inlineStr">
        <is>
          <t> </t>
        </is>
      </c>
    </row>
    <row r="351">
      <c r="A351" s="248" t="n">
        <v>7</v>
      </c>
      <c r="B351" s="370" t="n">
        <v>344</v>
      </c>
      <c r="C351" s="254" t="inlineStr">
        <is>
          <t>2011Q</t>
        </is>
      </c>
      <c r="D351" s="245" t="inlineStr">
        <is>
          <t xml:space="preserve">01252-00-093-000 </t>
        </is>
      </c>
      <c r="E351" s="258" t="inlineStr">
        <is>
          <t>Actual</t>
        </is>
      </c>
      <c r="F351" s="259" t="inlineStr">
        <is>
          <t>3899   QUENTIN             ST</t>
        </is>
      </c>
      <c r="G351" s="253" t="n">
        <v>44.1</v>
      </c>
      <c r="H351" s="253" t="n">
        <v>9104</v>
      </c>
      <c r="I351" s="255" t="n">
        <v>0</v>
      </c>
      <c r="J351" s="678" t="n">
        <v>8018</v>
      </c>
      <c r="K351" s="679" t="n">
        <v>11.22474432526815</v>
      </c>
      <c r="L351" s="260" t="n">
        <v>0</v>
      </c>
      <c r="M351" s="262" t="n">
        <v>0.01383333333333333</v>
      </c>
      <c r="N351" s="253" t="n">
        <v>2004</v>
      </c>
      <c r="O351" s="250" t="n">
        <v>1337</v>
      </c>
      <c r="Q351" s="245" t="n">
        <v>19</v>
      </c>
      <c r="R351" s="245" t="n">
        <v>3</v>
      </c>
      <c r="S351" s="245" t="n">
        <v>1</v>
      </c>
      <c r="T351" s="249" t="inlineStr">
        <is>
          <t xml:space="preserve">I2   </t>
        </is>
      </c>
      <c r="U351" s="249" t="n">
        <v>398</v>
      </c>
      <c r="V351" s="678" t="n">
        <v>23918</v>
      </c>
      <c r="W351" s="678" t="n">
        <v>24000</v>
      </c>
      <c r="X351" s="356" t="inlineStr">
        <is>
          <t>3.0:1</t>
        </is>
      </c>
      <c r="Y351" s="678" t="n">
        <v>8000</v>
      </c>
      <c r="Z351" s="249" t="inlineStr">
        <is>
          <t xml:space="preserve">C </t>
        </is>
      </c>
      <c r="AC351" s="253" t="n"/>
      <c r="AD351" s="247" t="inlineStr">
        <is>
          <t>                    </t>
        </is>
      </c>
      <c r="AE351" s="680" t="n"/>
      <c r="AF351" s="680" t="n"/>
      <c r="AG351" s="680" t="n"/>
      <c r="AH351" s="680" t="n"/>
      <c r="AI351" s="680" t="n"/>
      <c r="AJ351" s="680" t="n"/>
      <c r="AK351" s="680" t="inlineStr">
        <is>
          <t>                                                                  </t>
        </is>
      </c>
      <c r="AM351" s="245" t="inlineStr">
        <is>
          <t> </t>
        </is>
      </c>
    </row>
    <row r="352">
      <c r="A352" s="248" t="n">
        <v>7</v>
      </c>
      <c r="B352" s="370" t="n">
        <v>345</v>
      </c>
      <c r="C352" s="254" t="inlineStr">
        <is>
          <t>2011Q</t>
        </is>
      </c>
      <c r="D352" s="245" t="inlineStr">
        <is>
          <t xml:space="preserve">01252-00-095-000 </t>
        </is>
      </c>
      <c r="E352" s="258" t="inlineStr">
        <is>
          <t>Actual</t>
        </is>
      </c>
      <c r="F352" s="259" t="inlineStr">
        <is>
          <t>3751   REVERE              ST</t>
        </is>
      </c>
      <c r="G352" s="672" t="n">
        <v>44.2</v>
      </c>
      <c r="H352" s="253" t="n">
        <v>9104</v>
      </c>
      <c r="I352" s="255" t="n">
        <v>0</v>
      </c>
      <c r="J352" s="678" t="n">
        <v>54662</v>
      </c>
      <c r="K352" s="679" t="n">
        <v>4.829680582488749</v>
      </c>
      <c r="L352" s="260" t="n">
        <v>0</v>
      </c>
      <c r="M352" s="262" t="n">
        <v>0.1315909090909091</v>
      </c>
      <c r="N352" s="253" t="n">
        <v>1980</v>
      </c>
      <c r="O352" s="250" t="n">
        <v>3736</v>
      </c>
      <c r="Q352" s="245" t="n">
        <v>27</v>
      </c>
      <c r="R352" s="245" t="n">
        <v>14</v>
      </c>
      <c r="S352" s="245" t="n">
        <v>1</v>
      </c>
      <c r="T352" s="249" t="inlineStr">
        <is>
          <t xml:space="preserve">I2   </t>
        </is>
      </c>
      <c r="U352" s="249" t="n">
        <v>398</v>
      </c>
      <c r="V352" s="678" t="n">
        <v>99319</v>
      </c>
      <c r="W352" s="678" t="n">
        <v>99000</v>
      </c>
      <c r="X352" s="356" t="inlineStr">
        <is>
          <t>1.8:1</t>
        </is>
      </c>
      <c r="Y352" s="678" t="n">
        <v>55000</v>
      </c>
      <c r="Z352" s="249" t="inlineStr">
        <is>
          <t xml:space="preserve">C </t>
        </is>
      </c>
      <c r="AC352" s="253" t="n"/>
      <c r="AD352" s="247" t="inlineStr">
        <is>
          <t xml:space="preserve">CONLEY              </t>
        </is>
      </c>
      <c r="AE352" s="680" t="n"/>
      <c r="AF352" s="680" t="n"/>
      <c r="AG352" s="680" t="n"/>
      <c r="AH352" s="680" t="n"/>
      <c r="AI352" s="680" t="n"/>
      <c r="AJ352" s="680" t="n"/>
      <c r="AK352" s="680" t="inlineStr">
        <is>
          <t xml:space="preserve">GROSS LEASE BASIS IS ATYPICAL FOR WAREHOUSES.                     </t>
        </is>
      </c>
      <c r="AM352" s="245" t="inlineStr">
        <is>
          <t> </t>
        </is>
      </c>
    </row>
    <row r="353">
      <c r="A353" s="248" t="n">
        <v>7</v>
      </c>
      <c r="B353" s="370" t="n">
        <v>346</v>
      </c>
      <c r="C353" s="369" t="inlineStr">
        <is>
          <t>2011W</t>
        </is>
      </c>
      <c r="D353" s="370" t="inlineStr">
        <is>
          <t>01252-00-096-000</t>
        </is>
      </c>
      <c r="E353" s="369" t="inlineStr">
        <is>
          <t>Actual</t>
        </is>
      </c>
      <c r="F353" s="370" t="inlineStr">
        <is>
          <t>3851-71 Revere St.</t>
        </is>
      </c>
      <c r="G353" s="371" t="inlineStr">
        <is>
          <t>44.2</t>
        </is>
      </c>
      <c r="H353" s="370" t="n">
        <v>9104</v>
      </c>
      <c r="I353" s="369" t="n">
        <v>0</v>
      </c>
      <c r="J353" s="372" t="n">
        <v>75264</v>
      </c>
      <c r="K353" s="681" t="n">
        <v>2.85</v>
      </c>
      <c r="L353" s="374" t="n">
        <v>0</v>
      </c>
      <c r="M353" s="380" t="n">
        <v>0</v>
      </c>
      <c r="N353" s="370" t="n">
        <v>1979</v>
      </c>
      <c r="O353" s="250" t="n">
        <v>5703</v>
      </c>
      <c r="Q353" s="245" t="n">
        <v>25</v>
      </c>
      <c r="R353" s="245" t="n">
        <v>3</v>
      </c>
      <c r="S353" s="245" t="n">
        <v>1</v>
      </c>
      <c r="T353" s="369" t="inlineStr">
        <is>
          <t>I2</t>
        </is>
      </c>
      <c r="U353" s="370" t="n">
        <v>398</v>
      </c>
      <c r="V353" s="372" t="n">
        <v>134721</v>
      </c>
      <c r="W353" s="372" t="n">
        <v>130000</v>
      </c>
      <c r="X353" s="375" t="inlineStr">
        <is>
          <t>1.7:1</t>
        </is>
      </c>
      <c r="Y353" s="372" t="n">
        <v>75000</v>
      </c>
      <c r="Z353" s="370" t="inlineStr">
        <is>
          <t>C</t>
        </is>
      </c>
      <c r="AA353" s="370" t="n">
        <v>3</v>
      </c>
      <c r="AB353" s="370" t="n">
        <v>3</v>
      </c>
      <c r="AC353" s="370" t="n">
        <v>33</v>
      </c>
      <c r="AD353" s="370" t="n"/>
      <c r="AE353" s="682" t="n"/>
      <c r="AF353" s="683" t="n"/>
      <c r="AG353" s="683" t="n"/>
      <c r="AH353" s="682" t="n"/>
      <c r="AI353" s="683" t="n"/>
      <c r="AJ353" s="682" t="n"/>
      <c r="AK353" s="370" t="n"/>
      <c r="AL353" s="370" t="n"/>
      <c r="AM353" s="370" t="n"/>
      <c r="AN353" s="370" t="n"/>
      <c r="AO353" s="370" t="n"/>
      <c r="AP353" s="370" t="n"/>
      <c r="AQ353" s="370" t="n"/>
      <c r="AR353" s="370" t="n"/>
    </row>
    <row r="354">
      <c r="A354" s="248" t="n">
        <v>7</v>
      </c>
      <c r="B354" s="370" t="n">
        <v>347</v>
      </c>
      <c r="C354" s="254" t="inlineStr">
        <is>
          <t>2011Q</t>
        </is>
      </c>
      <c r="D354" s="245" t="inlineStr">
        <is>
          <t xml:space="preserve">01261-00-013-000 </t>
        </is>
      </c>
      <c r="E354" s="258" t="inlineStr">
        <is>
          <t>Actual</t>
        </is>
      </c>
      <c r="F354" s="259" t="inlineStr">
        <is>
          <t>3737   PEORIA              ST</t>
        </is>
      </c>
      <c r="G354" s="672" t="n">
        <v>44.2</v>
      </c>
      <c r="H354" s="253" t="n">
        <v>9104</v>
      </c>
      <c r="I354" s="255" t="n">
        <v>3</v>
      </c>
      <c r="J354" s="678" t="n">
        <v>10700</v>
      </c>
      <c r="K354" s="679" t="n">
        <v>4.182056074766355</v>
      </c>
      <c r="L354" s="260" t="n">
        <v>0</v>
      </c>
      <c r="M354" s="262" t="n">
        <v>0.2064226334137839</v>
      </c>
      <c r="N354" s="253" t="n">
        <v>1973</v>
      </c>
      <c r="O354" s="250" t="n">
        <v>2344</v>
      </c>
      <c r="Q354" s="245" t="n">
        <v>20</v>
      </c>
      <c r="R354" s="245" t="n">
        <v>10</v>
      </c>
      <c r="S354" s="245" t="n">
        <v>2</v>
      </c>
      <c r="T354" s="249" t="inlineStr">
        <is>
          <t xml:space="preserve">I2   </t>
        </is>
      </c>
      <c r="U354" s="249" t="n">
        <v>398</v>
      </c>
      <c r="V354" s="678" t="n">
        <v>31803</v>
      </c>
      <c r="W354" s="678" t="n">
        <v>32000</v>
      </c>
      <c r="X354" s="356" t="inlineStr">
        <is>
          <t>1.9:1</t>
        </is>
      </c>
      <c r="Y354" s="678" t="n">
        <v>11000</v>
      </c>
      <c r="Z354" s="249" t="inlineStr">
        <is>
          <t xml:space="preserve">C </t>
        </is>
      </c>
      <c r="AC354" s="253" t="n"/>
      <c r="AD354" s="247" t="inlineStr">
        <is>
          <t xml:space="preserve">GOODYEAR            </t>
        </is>
      </c>
      <c r="AE354" s="680" t="n"/>
      <c r="AF354" s="680" t="n"/>
      <c r="AG354" s="680" t="n"/>
      <c r="AH354" s="680" t="n"/>
      <c r="AI354" s="680" t="n"/>
      <c r="AJ354" s="680" t="n"/>
      <c r="AK354" s="680" t="inlineStr">
        <is>
          <t xml:space="preserve">ONLY DATA FOR 2010 LEASE ENTERED.                                 </t>
        </is>
      </c>
      <c r="AM354" s="245" t="inlineStr">
        <is>
          <t> </t>
        </is>
      </c>
    </row>
    <row r="355">
      <c r="A355" s="248" t="n">
        <v>7</v>
      </c>
      <c r="B355" s="370" t="n">
        <v>348</v>
      </c>
      <c r="C355" s="254" t="inlineStr">
        <is>
          <t>2011Q</t>
        </is>
      </c>
      <c r="D355" s="245" t="inlineStr">
        <is>
          <t xml:space="preserve">01261-02-001-000 </t>
        </is>
      </c>
      <c r="E355" s="258" t="inlineStr">
        <is>
          <t>Actual</t>
        </is>
      </c>
      <c r="F355" s="259" t="inlineStr">
        <is>
          <t>3701   PARIS               ST</t>
        </is>
      </c>
      <c r="G355" s="672" t="n">
        <v>44.2</v>
      </c>
      <c r="H355" s="253" t="n">
        <v>9104</v>
      </c>
      <c r="I355" s="255" t="n">
        <v>0</v>
      </c>
      <c r="J355" s="678" t="n">
        <v>12335</v>
      </c>
      <c r="K355" s="679" t="n">
        <v>8.836643696797729</v>
      </c>
      <c r="L355" s="260" t="n">
        <v>0</v>
      </c>
      <c r="M355" s="262" t="n">
        <v>0</v>
      </c>
      <c r="N355" s="253" t="n">
        <v>2006</v>
      </c>
      <c r="O355" s="250" t="n">
        <v>1785</v>
      </c>
      <c r="Q355" s="245" t="n">
        <v>25</v>
      </c>
      <c r="R355" s="245" t="n">
        <v>14</v>
      </c>
      <c r="S355" s="245" t="n">
        <v>1</v>
      </c>
      <c r="T355" s="249" t="inlineStr">
        <is>
          <t xml:space="preserve">I2   </t>
        </is>
      </c>
      <c r="U355" s="249" t="n">
        <v>398</v>
      </c>
      <c r="V355" s="678" t="n">
        <v>42900</v>
      </c>
      <c r="W355" s="678" t="n">
        <v>43000</v>
      </c>
      <c r="X355" s="356" t="inlineStr">
        <is>
          <t>3.5:1</t>
        </is>
      </c>
      <c r="Y355" s="678" t="n">
        <v>12000</v>
      </c>
      <c r="Z355" s="249" t="inlineStr">
        <is>
          <t xml:space="preserve">C </t>
        </is>
      </c>
      <c r="AC355" s="253" t="n"/>
      <c r="AD355" s="247" t="inlineStr">
        <is>
          <t xml:space="preserve">SINGLE TENANT WHSE  </t>
        </is>
      </c>
      <c r="AE355" s="680" t="n"/>
      <c r="AF355" s="680" t="n"/>
      <c r="AG355" s="680" t="n"/>
      <c r="AH355" s="680" t="n"/>
      <c r="AI355" s="680" t="n"/>
      <c r="AJ355" s="680" t="n"/>
      <c r="AK355" s="680" t="inlineStr">
        <is>
          <t>                                                                  </t>
        </is>
      </c>
      <c r="AM355" s="245" t="inlineStr">
        <is>
          <t> </t>
        </is>
      </c>
    </row>
    <row r="356">
      <c r="A356" s="248" t="n">
        <v>7</v>
      </c>
      <c r="B356" s="370" t="n">
        <v>349</v>
      </c>
      <c r="C356" s="254" t="inlineStr">
        <is>
          <t>2011Q</t>
        </is>
      </c>
      <c r="D356" s="245" t="inlineStr">
        <is>
          <t xml:space="preserve">01283-26-005-000 </t>
        </is>
      </c>
      <c r="E356" s="258" t="inlineStr">
        <is>
          <t>Actual</t>
        </is>
      </c>
      <c r="F356" s="259" t="inlineStr">
        <is>
          <t>2997   ULSTER              ST</t>
        </is>
      </c>
      <c r="G356" s="672" t="n">
        <v>44.5</v>
      </c>
      <c r="H356" s="253" t="n">
        <v>9201</v>
      </c>
      <c r="I356" s="255" t="n">
        <v>0</v>
      </c>
      <c r="J356" s="678" t="n">
        <v>89751</v>
      </c>
      <c r="K356" s="679" t="n">
        <v>7.024813094004523</v>
      </c>
      <c r="L356" s="260" t="n">
        <v>0.06</v>
      </c>
      <c r="M356" s="262" t="n">
        <v>0.254855000285495</v>
      </c>
      <c r="N356" s="253" t="n">
        <v>2007</v>
      </c>
      <c r="O356" s="250" t="n">
        <v>0</v>
      </c>
      <c r="Q356" s="245" t="n">
        <v>12</v>
      </c>
      <c r="R356" s="245" t="n">
        <v>1</v>
      </c>
      <c r="S356" s="245" t="n">
        <v>2</v>
      </c>
      <c r="T356" s="249" t="inlineStr">
        <is>
          <t>R30MU</t>
        </is>
      </c>
      <c r="U356" s="249" t="n">
        <v>396</v>
      </c>
      <c r="V356" s="678" t="n">
        <v>71049</v>
      </c>
      <c r="W356" s="678" t="n">
        <v>71000</v>
      </c>
      <c r="X356" s="356" t="inlineStr">
        <is>
          <t>0.8:1</t>
        </is>
      </c>
      <c r="Y356" s="678" t="n">
        <v>90000</v>
      </c>
      <c r="Z356" s="249" t="inlineStr">
        <is>
          <t xml:space="preserve">C </t>
        </is>
      </c>
      <c r="AC356" s="253" t="n"/>
      <c r="AD356" s="247" t="inlineStr">
        <is>
          <t xml:space="preserve">MINI STORAGE/RETAIL </t>
        </is>
      </c>
      <c r="AE356" s="680" t="n"/>
      <c r="AF356" s="680" t="n"/>
      <c r="AG356" s="680" t="n"/>
      <c r="AH356" s="680" t="n"/>
      <c r="AI356" s="680" t="n"/>
      <c r="AJ356" s="680" t="n"/>
      <c r="AK356" s="680" t="inlineStr">
        <is>
          <t xml:space="preserve">WTR/SWER &amp; GAS/ELEC UNDER "GAS/ELEC", SNO REMVL&amp;LNDSCP IN PRKNG   </t>
        </is>
      </c>
      <c r="AM356" s="245" t="inlineStr">
        <is>
          <t> </t>
        </is>
      </c>
    </row>
    <row r="357">
      <c r="A357" s="248" t="n">
        <v>7</v>
      </c>
      <c r="B357" s="370" t="n">
        <v>350</v>
      </c>
      <c r="C357" s="254" t="inlineStr">
        <is>
          <t>2011Q</t>
        </is>
      </c>
      <c r="D357" s="245" t="inlineStr">
        <is>
          <t xml:space="preserve">02131-07-019-000 </t>
        </is>
      </c>
      <c r="E357" s="258" t="inlineStr">
        <is>
          <t>Actual</t>
        </is>
      </c>
      <c r="F357" s="259" t="inlineStr">
        <is>
          <t>5270   STEELE              ST</t>
        </is>
      </c>
      <c r="G357" s="253" t="n">
        <v>44.1</v>
      </c>
      <c r="H357" s="253" t="n">
        <v>9201</v>
      </c>
      <c r="I357" s="255" t="n">
        <v>0</v>
      </c>
      <c r="J357" s="678" t="n">
        <v>6400</v>
      </c>
      <c r="K357" s="679" t="n">
        <v>3.46875</v>
      </c>
      <c r="L357" s="260" t="n">
        <v>0</v>
      </c>
      <c r="M357" s="262" t="n">
        <v>0</v>
      </c>
      <c r="N357" s="253" t="n">
        <v>1972</v>
      </c>
      <c r="O357" s="250" t="n">
        <v>360</v>
      </c>
      <c r="Q357" s="245" t="n">
        <v>15</v>
      </c>
      <c r="R357" s="245" t="n">
        <v>7</v>
      </c>
      <c r="S357" s="245" t="n">
        <v>1</v>
      </c>
      <c r="T357" s="249" t="inlineStr">
        <is>
          <t xml:space="preserve">I1   </t>
        </is>
      </c>
      <c r="U357" s="249" t="n">
        <v>398</v>
      </c>
      <c r="V357" s="678" t="n">
        <v>12750</v>
      </c>
      <c r="W357" s="678" t="n">
        <v>13000</v>
      </c>
      <c r="X357" s="356" t="inlineStr">
        <is>
          <t>2.0:1</t>
        </is>
      </c>
      <c r="Y357" s="678" t="n">
        <v>6000</v>
      </c>
      <c r="Z357" s="249" t="inlineStr">
        <is>
          <t xml:space="preserve">C </t>
        </is>
      </c>
      <c r="AC357" s="253" t="n"/>
      <c r="AD357" s="247" t="inlineStr">
        <is>
          <t>                    </t>
        </is>
      </c>
      <c r="AE357" s="680" t="n"/>
      <c r="AF357" s="680" t="n"/>
      <c r="AG357" s="680" t="n"/>
      <c r="AH357" s="680" t="n"/>
      <c r="AI357" s="680" t="n"/>
      <c r="AJ357" s="680" t="n"/>
      <c r="AK357" s="680" t="inlineStr">
        <is>
          <t xml:space="preserve">MO-TO-MO.                                                         </t>
        </is>
      </c>
      <c r="AM357" s="245" t="inlineStr">
        <is>
          <t> </t>
        </is>
      </c>
    </row>
    <row r="358">
      <c r="A358" s="248" t="n">
        <v>7</v>
      </c>
      <c r="B358" s="370" t="n">
        <v>351</v>
      </c>
      <c r="C358" s="254" t="inlineStr">
        <is>
          <t>2011Q</t>
        </is>
      </c>
      <c r="D358" s="245" t="inlineStr">
        <is>
          <t xml:space="preserve">02132-00-039-000 </t>
        </is>
      </c>
      <c r="E358" s="258" t="inlineStr">
        <is>
          <t>Actual</t>
        </is>
      </c>
      <c r="F358" s="259" t="inlineStr">
        <is>
          <t>3055 E 52ND                AV</t>
        </is>
      </c>
      <c r="G358" s="672" t="n">
        <v>44.2</v>
      </c>
      <c r="H358" s="253" t="n">
        <v>9201</v>
      </c>
      <c r="I358" s="255" t="n">
        <v>0</v>
      </c>
      <c r="J358" s="678" t="n">
        <v>24250</v>
      </c>
      <c r="K358" s="679" t="n">
        <v>3.142268041237113</v>
      </c>
      <c r="L358" s="260" t="n">
        <v>0</v>
      </c>
      <c r="M358" s="262" t="n">
        <v>0.2475590551181102</v>
      </c>
      <c r="N358" s="253" t="n">
        <v>1963</v>
      </c>
      <c r="O358" s="250" t="n">
        <v>2784</v>
      </c>
      <c r="Q358" s="245" t="n">
        <v>14</v>
      </c>
      <c r="R358" s="245" t="n">
        <v>3</v>
      </c>
      <c r="S358" s="245" t="n">
        <v>5</v>
      </c>
      <c r="T358" s="249" t="inlineStr">
        <is>
          <t xml:space="preserve">I1   </t>
        </is>
      </c>
      <c r="U358" s="249" t="n">
        <v>398</v>
      </c>
      <c r="V358" s="678" t="n">
        <v>58000</v>
      </c>
      <c r="W358" s="678" t="n">
        <v>58000</v>
      </c>
      <c r="X358" s="356" t="inlineStr">
        <is>
          <t>2.4:1</t>
        </is>
      </c>
      <c r="Y358" s="678" t="n">
        <v>24000</v>
      </c>
      <c r="Z358" s="249" t="inlineStr">
        <is>
          <t xml:space="preserve">C </t>
        </is>
      </c>
      <c r="AC358" s="253" t="n"/>
      <c r="AD358" s="247" t="inlineStr">
        <is>
          <t xml:space="preserve">DIST/STRGE WHSE     </t>
        </is>
      </c>
      <c r="AE358" s="680" t="n"/>
      <c r="AF358" s="680" t="n"/>
      <c r="AG358" s="680" t="n"/>
      <c r="AH358" s="680" t="n"/>
      <c r="AI358" s="680" t="n"/>
      <c r="AJ358" s="680" t="n"/>
      <c r="AK358" s="680" t="inlineStr">
        <is>
          <t xml:space="preserve">GROSS LEASES &amp; FULL SERVICE EXPENSES ATYPICAL FOR WAREHOUSES.     </t>
        </is>
      </c>
      <c r="AM358" s="245" t="inlineStr">
        <is>
          <t> </t>
        </is>
      </c>
    </row>
    <row r="359">
      <c r="A359" s="248" t="n">
        <v>7</v>
      </c>
      <c r="B359" s="370" t="n">
        <v>352</v>
      </c>
      <c r="C359" s="254" t="inlineStr">
        <is>
          <t>2011Q</t>
        </is>
      </c>
      <c r="D359" s="245" t="inlineStr">
        <is>
          <t xml:space="preserve">02132-00-048-000 </t>
        </is>
      </c>
      <c r="E359" s="258" t="inlineStr">
        <is>
          <t>Actual</t>
        </is>
      </c>
      <c r="F359" s="259" t="inlineStr">
        <is>
          <t>5285   STEELE              ST</t>
        </is>
      </c>
      <c r="G359" s="672" t="n">
        <v>47.1</v>
      </c>
      <c r="H359" s="253" t="n">
        <v>9201</v>
      </c>
      <c r="I359" s="255" t="n">
        <v>0</v>
      </c>
      <c r="J359" s="678" t="n">
        <v>53250</v>
      </c>
      <c r="K359" s="679" t="n">
        <v>2.929577464788732</v>
      </c>
      <c r="L359" s="260" t="n">
        <v>0</v>
      </c>
      <c r="M359" s="262" t="n">
        <v>0</v>
      </c>
      <c r="N359" s="253" t="n">
        <v>1967</v>
      </c>
      <c r="O359" s="250" t="n">
        <v>1360</v>
      </c>
      <c r="Q359" s="245" t="n">
        <v>24</v>
      </c>
      <c r="R359" s="245" t="n">
        <v>7</v>
      </c>
      <c r="S359" s="245" t="n">
        <v>1</v>
      </c>
      <c r="T359" s="249" t="inlineStr">
        <is>
          <t xml:space="preserve">I1   </t>
        </is>
      </c>
      <c r="U359" s="249" t="n">
        <v>401</v>
      </c>
      <c r="V359" s="678" t="n">
        <v>142334</v>
      </c>
      <c r="W359" s="678" t="n">
        <v>140000</v>
      </c>
      <c r="X359" s="356" t="inlineStr">
        <is>
          <t>2.7:1</t>
        </is>
      </c>
      <c r="Y359" s="678" t="n">
        <v>53000</v>
      </c>
      <c r="Z359" s="249" t="inlineStr">
        <is>
          <t xml:space="preserve">C </t>
        </is>
      </c>
      <c r="AC359" s="253" t="n"/>
      <c r="AD359" s="247" t="inlineStr">
        <is>
          <t>RCKY MTN PRC'SN FRMG</t>
        </is>
      </c>
      <c r="AE359" s="680" t="n"/>
      <c r="AF359" s="680" t="n"/>
      <c r="AG359" s="680" t="n"/>
      <c r="AH359" s="680" t="n"/>
      <c r="AI359" s="680" t="n"/>
      <c r="AJ359" s="680" t="n"/>
      <c r="AK359" s="680" t="inlineStr">
        <is>
          <t>                                                                  </t>
        </is>
      </c>
      <c r="AM359" s="245" t="inlineStr">
        <is>
          <t> </t>
        </is>
      </c>
    </row>
    <row r="360">
      <c r="A360" s="248" t="n">
        <v>7</v>
      </c>
      <c r="B360" s="370" t="n">
        <v>353</v>
      </c>
      <c r="C360" s="254" t="inlineStr">
        <is>
          <t>2011Q</t>
        </is>
      </c>
      <c r="D360" s="245" t="inlineStr">
        <is>
          <t xml:space="preserve">02133-00-045-000 </t>
        </is>
      </c>
      <c r="E360" s="258" t="inlineStr">
        <is>
          <t>Actual</t>
        </is>
      </c>
      <c r="F360" s="259" t="inlineStr">
        <is>
          <t>5101   COLUMBINE           ST</t>
        </is>
      </c>
      <c r="G360" s="253" t="n">
        <v>44.1</v>
      </c>
      <c r="H360" s="253" t="n">
        <v>9201</v>
      </c>
      <c r="I360" s="255" t="n">
        <v>0</v>
      </c>
      <c r="J360" s="678" t="n">
        <v>6800</v>
      </c>
      <c r="K360" s="679" t="n">
        <v>8.823529411764707</v>
      </c>
      <c r="L360" s="260" t="n">
        <v>1</v>
      </c>
      <c r="M360" s="262" t="n">
        <v>0.01833333333333333</v>
      </c>
      <c r="N360" s="253" t="n">
        <v>1981</v>
      </c>
      <c r="O360" s="250" t="n">
        <v>2000</v>
      </c>
      <c r="Q360" s="245" t="n">
        <v>16</v>
      </c>
      <c r="R360" s="245" t="n">
        <v>8</v>
      </c>
      <c r="S360" s="245" t="n">
        <v>1</v>
      </c>
      <c r="T360" s="249" t="inlineStr">
        <is>
          <t xml:space="preserve">I2   </t>
        </is>
      </c>
      <c r="U360" s="249" t="n">
        <v>398</v>
      </c>
      <c r="V360" s="678" t="n">
        <v>71169</v>
      </c>
      <c r="W360" s="678" t="n">
        <v>71000</v>
      </c>
      <c r="X360" s="356" t="inlineStr">
        <is>
          <t>10.5:1</t>
        </is>
      </c>
      <c r="Y360" s="678" t="n">
        <v>7000</v>
      </c>
      <c r="Z360" s="249" t="inlineStr">
        <is>
          <t xml:space="preserve">C </t>
        </is>
      </c>
      <c r="AC360" s="253" t="n"/>
      <c r="AD360" s="247" t="inlineStr">
        <is>
          <t xml:space="preserve">DIST WAREHOUSE      </t>
        </is>
      </c>
      <c r="AE360" s="680" t="n"/>
      <c r="AF360" s="680" t="n"/>
      <c r="AG360" s="680" t="n"/>
      <c r="AH360" s="680" t="n"/>
      <c r="AI360" s="680" t="n"/>
      <c r="AJ360" s="680" t="n"/>
      <c r="AK360" s="680" t="inlineStr">
        <is>
          <t xml:space="preserve">VACANCY IS 2009; LEASE BEGAN 02/10.                               </t>
        </is>
      </c>
      <c r="AM360" s="245" t="inlineStr">
        <is>
          <t> </t>
        </is>
      </c>
    </row>
    <row r="361">
      <c r="A361" s="248" t="n">
        <v>7</v>
      </c>
      <c r="B361" s="370" t="n">
        <v>354</v>
      </c>
      <c r="C361" s="254" t="inlineStr">
        <is>
          <t>2011Q</t>
        </is>
      </c>
      <c r="D361" s="245" t="inlineStr">
        <is>
          <t xml:space="preserve">02134-00-158-000 </t>
        </is>
      </c>
      <c r="E361" s="258" t="inlineStr">
        <is>
          <t>Actual</t>
        </is>
      </c>
      <c r="F361" s="259" t="inlineStr">
        <is>
          <t>5105   COOK                ST</t>
        </is>
      </c>
      <c r="G361" s="253" t="n">
        <v>44.1</v>
      </c>
      <c r="H361" s="253" t="n">
        <v>9201</v>
      </c>
      <c r="I361" s="255" t="n">
        <v>0</v>
      </c>
      <c r="J361" s="678" t="n">
        <v>29787</v>
      </c>
      <c r="K361" s="679" t="n">
        <v>5.237184006445765</v>
      </c>
      <c r="L361" s="260" t="n">
        <v>0</v>
      </c>
      <c r="M361" s="262" t="n">
        <v>0</v>
      </c>
      <c r="N361" s="253" t="n">
        <v>1983</v>
      </c>
      <c r="O361" s="250" t="n">
        <v>1063</v>
      </c>
      <c r="Q361" s="245" t="n">
        <v>18</v>
      </c>
      <c r="R361" s="245" t="n">
        <v>10</v>
      </c>
      <c r="S361" s="245" t="n">
        <v>1</v>
      </c>
      <c r="T361" s="249" t="inlineStr">
        <is>
          <t xml:space="preserve">I1   </t>
        </is>
      </c>
      <c r="U361" s="249" t="n">
        <v>398</v>
      </c>
      <c r="V361" s="678" t="n">
        <v>130639</v>
      </c>
      <c r="W361" s="678" t="n">
        <v>130000</v>
      </c>
      <c r="X361" s="356" t="inlineStr">
        <is>
          <t>4.4:1</t>
        </is>
      </c>
      <c r="Y361" s="678" t="n">
        <v>30000</v>
      </c>
      <c r="Z361" s="249" t="inlineStr">
        <is>
          <t xml:space="preserve">C </t>
        </is>
      </c>
      <c r="AC361" s="253" t="n"/>
      <c r="AD361" s="247" t="inlineStr">
        <is>
          <t xml:space="preserve">SAMS PRODUCE        </t>
        </is>
      </c>
      <c r="AE361" s="680" t="n"/>
      <c r="AF361" s="680" t="n"/>
      <c r="AG361" s="680" t="n"/>
      <c r="AH361" s="680" t="n"/>
      <c r="AI361" s="680" t="n"/>
      <c r="AJ361" s="680" t="n"/>
      <c r="AK361" s="680" t="inlineStr">
        <is>
          <t>                                                                  </t>
        </is>
      </c>
      <c r="AM361" s="245" t="inlineStr">
        <is>
          <t> </t>
        </is>
      </c>
    </row>
    <row r="362">
      <c r="A362" s="248" t="n">
        <v>7</v>
      </c>
      <c r="B362" s="370" t="n">
        <v>355</v>
      </c>
      <c r="C362" s="254" t="inlineStr">
        <is>
          <t>2011Q</t>
        </is>
      </c>
      <c r="D362" s="245" t="inlineStr">
        <is>
          <t xml:space="preserve">02134-01-021-000 </t>
        </is>
      </c>
      <c r="E362" s="258" t="inlineStr">
        <is>
          <t>Actual</t>
        </is>
      </c>
      <c r="F362" s="259" t="inlineStr">
        <is>
          <t>4985   COLORADO            BV</t>
        </is>
      </c>
      <c r="G362" s="253" t="n">
        <v>44.1</v>
      </c>
      <c r="H362" s="253" t="n">
        <v>9201</v>
      </c>
      <c r="I362" s="255" t="n">
        <v>5</v>
      </c>
      <c r="J362" s="678" t="n">
        <v>24416</v>
      </c>
      <c r="K362" s="679" t="n">
        <v>3.931847968545216</v>
      </c>
      <c r="L362" s="260" t="n">
        <v>0</v>
      </c>
      <c r="M362" s="262" t="n">
        <v>0.03177083333333333</v>
      </c>
      <c r="N362" s="253" t="n">
        <v>1973</v>
      </c>
      <c r="O362" s="250" t="n">
        <v>1560</v>
      </c>
      <c r="Q362" s="245" t="n">
        <v>17</v>
      </c>
      <c r="R362" s="245" t="n">
        <v>1</v>
      </c>
      <c r="S362" s="245" t="n">
        <v>1</v>
      </c>
      <c r="T362" s="249" t="inlineStr">
        <is>
          <t xml:space="preserve">I1   </t>
        </is>
      </c>
      <c r="U362" s="249" t="n">
        <v>398</v>
      </c>
      <c r="V362" s="678" t="n">
        <v>45515</v>
      </c>
      <c r="W362" s="678" t="n">
        <v>46000</v>
      </c>
      <c r="X362" s="356" t="inlineStr">
        <is>
          <t>1.9:1</t>
        </is>
      </c>
      <c r="Y362" s="678" t="n">
        <v>24000</v>
      </c>
      <c r="Z362" s="249" t="inlineStr">
        <is>
          <t xml:space="preserve">C </t>
        </is>
      </c>
      <c r="AC362" s="253" t="n"/>
      <c r="AD362" s="247" t="inlineStr">
        <is>
          <t xml:space="preserve">FOREE TIRE          </t>
        </is>
      </c>
      <c r="AE362" s="680" t="n"/>
      <c r="AF362" s="680" t="n"/>
      <c r="AG362" s="680" t="n"/>
      <c r="AH362" s="680" t="n"/>
      <c r="AI362" s="680" t="n"/>
      <c r="AJ362" s="680" t="n"/>
      <c r="AK362" s="680" t="inlineStr">
        <is>
          <t>                                                                  </t>
        </is>
      </c>
      <c r="AM362" s="245" t="inlineStr">
        <is>
          <t> </t>
        </is>
      </c>
    </row>
    <row r="363">
      <c r="A363" s="248" t="n">
        <v>7</v>
      </c>
      <c r="B363" s="370" t="n">
        <v>356</v>
      </c>
      <c r="C363" s="254" t="inlineStr">
        <is>
          <t>2011Q</t>
        </is>
      </c>
      <c r="D363" s="245" t="inlineStr">
        <is>
          <t xml:space="preserve">02134-01-045-000 </t>
        </is>
      </c>
      <c r="E363" s="258" t="inlineStr">
        <is>
          <t>Actual</t>
        </is>
      </c>
      <c r="F363" s="259" t="inlineStr">
        <is>
          <t>4916   JACKSON             ST</t>
        </is>
      </c>
      <c r="G363" s="253" t="n">
        <v>44.1</v>
      </c>
      <c r="H363" s="253" t="n">
        <v>9201</v>
      </c>
      <c r="I363" s="255" t="n">
        <v>0</v>
      </c>
      <c r="J363" s="678" t="n">
        <v>9960</v>
      </c>
      <c r="K363" s="679" t="n">
        <v>3.975903614457831</v>
      </c>
      <c r="L363" s="260" t="n">
        <v>0</v>
      </c>
      <c r="M363" s="262" t="n">
        <v>0</v>
      </c>
      <c r="N363" s="253" t="n">
        <v>1956</v>
      </c>
      <c r="O363" s="250" t="n">
        <v>3858</v>
      </c>
      <c r="Q363" s="245" t="n">
        <v>16</v>
      </c>
      <c r="R363" s="245" t="n">
        <v>1</v>
      </c>
      <c r="S363" s="245" t="n">
        <v>1</v>
      </c>
      <c r="T363" s="249" t="inlineStr">
        <is>
          <t xml:space="preserve">I1   </t>
        </is>
      </c>
      <c r="U363" s="249" t="n">
        <v>398</v>
      </c>
      <c r="V363" s="678" t="n">
        <v>17647</v>
      </c>
      <c r="W363" s="678" t="n">
        <v>18000</v>
      </c>
      <c r="X363" s="356" t="inlineStr">
        <is>
          <t>1.8:1</t>
        </is>
      </c>
      <c r="Y363" s="678" t="n">
        <v>10000</v>
      </c>
      <c r="Z363" s="249" t="inlineStr">
        <is>
          <t xml:space="preserve">C </t>
        </is>
      </c>
      <c r="AC363" s="253" t="n"/>
      <c r="AD363" s="247" t="inlineStr">
        <is>
          <t xml:space="preserve">SW ROCKMOUNT        </t>
        </is>
      </c>
      <c r="AE363" s="680" t="n"/>
      <c r="AF363" s="680" t="n"/>
      <c r="AG363" s="680" t="n"/>
      <c r="AH363" s="680" t="n"/>
      <c r="AI363" s="680" t="n"/>
      <c r="AJ363" s="680" t="n"/>
      <c r="AK363" s="680" t="inlineStr">
        <is>
          <t xml:space="preserve">2008 LEASE.                                                       </t>
        </is>
      </c>
      <c r="AM363" s="245" t="inlineStr">
        <is>
          <t> </t>
        </is>
      </c>
    </row>
    <row r="364">
      <c r="A364" s="248" t="n">
        <v>7</v>
      </c>
      <c r="B364" s="370" t="n">
        <v>357</v>
      </c>
      <c r="C364" s="254" t="inlineStr">
        <is>
          <t>2011Q</t>
        </is>
      </c>
      <c r="D364" s="245" t="inlineStr">
        <is>
          <t xml:space="preserve">02141-00-010-000 </t>
        </is>
      </c>
      <c r="E364" s="258" t="inlineStr">
        <is>
          <t>Actual</t>
        </is>
      </c>
      <c r="F364" s="259" t="inlineStr">
        <is>
          <t>5300   FRANKLIN            ST</t>
        </is>
      </c>
      <c r="G364" s="672" t="n">
        <v>45.7</v>
      </c>
      <c r="H364" s="253" t="n">
        <v>9201</v>
      </c>
      <c r="I364" s="255" t="n">
        <v>0</v>
      </c>
      <c r="J364" s="678" t="n">
        <v>31705</v>
      </c>
      <c r="K364" s="679" t="n">
        <v>5.499984229616779</v>
      </c>
      <c r="L364" s="260" t="n">
        <v>0.4</v>
      </c>
      <c r="M364" s="262" t="n">
        <v>0</v>
      </c>
      <c r="N364" s="253" t="n">
        <v>1951</v>
      </c>
      <c r="O364" s="250" t="n">
        <v>5790</v>
      </c>
      <c r="Q364" s="245" t="n">
        <v>17</v>
      </c>
      <c r="R364" s="245" t="n">
        <v>4</v>
      </c>
      <c r="S364" s="245" t="n">
        <v>1</v>
      </c>
      <c r="T364" s="249" t="inlineStr">
        <is>
          <t xml:space="preserve">I2   </t>
        </is>
      </c>
      <c r="U364" s="249" t="n">
        <v>401</v>
      </c>
      <c r="V364" s="678" t="n">
        <v>85400</v>
      </c>
      <c r="W364" s="678" t="n">
        <v>85000</v>
      </c>
      <c r="X364" s="356" t="inlineStr">
        <is>
          <t>2.7:1</t>
        </is>
      </c>
      <c r="Y364" s="678" t="n">
        <v>32000</v>
      </c>
      <c r="Z364" s="249" t="inlineStr">
        <is>
          <t xml:space="preserve">C </t>
        </is>
      </c>
      <c r="AC364" s="253" t="n"/>
      <c r="AD364" s="247" t="inlineStr">
        <is>
          <t>                    </t>
        </is>
      </c>
      <c r="AE364" s="680" t="n"/>
      <c r="AF364" s="680" t="n"/>
      <c r="AG364" s="680" t="n"/>
      <c r="AH364" s="680" t="n"/>
      <c r="AI364" s="680" t="n"/>
      <c r="AJ364" s="680" t="n"/>
      <c r="AK364" s="680" t="inlineStr">
        <is>
          <t>                                                                  </t>
        </is>
      </c>
      <c r="AM364" s="245" t="inlineStr">
        <is>
          <t> </t>
        </is>
      </c>
    </row>
    <row r="365">
      <c r="A365" s="248" t="n">
        <v>7</v>
      </c>
      <c r="B365" s="370" t="n">
        <v>358</v>
      </c>
      <c r="C365" s="254" t="inlineStr">
        <is>
          <t>2011Q</t>
        </is>
      </c>
      <c r="D365" s="245" t="inlineStr">
        <is>
          <t xml:space="preserve">02143-00-030-000 </t>
        </is>
      </c>
      <c r="E365" s="258" t="inlineStr">
        <is>
          <t>Actual</t>
        </is>
      </c>
      <c r="F365" s="259" t="inlineStr">
        <is>
          <t>5040   WASHINGTON          ST</t>
        </is>
      </c>
      <c r="G365" s="253" t="n">
        <v>44.1</v>
      </c>
      <c r="H365" s="253" t="n">
        <v>9201</v>
      </c>
      <c r="I365" s="255" t="n">
        <v>0</v>
      </c>
      <c r="J365" s="678" t="n">
        <v>1200</v>
      </c>
      <c r="K365" s="679" t="n">
        <v>3.333333333333333</v>
      </c>
      <c r="L365" s="260" t="n">
        <v>0</v>
      </c>
      <c r="M365" s="262" t="n">
        <v>0.01675</v>
      </c>
      <c r="N365" s="253" t="n">
        <v>1967</v>
      </c>
      <c r="O365" s="250" t="n">
        <v>116</v>
      </c>
      <c r="Q365" s="245" t="n">
        <v>10</v>
      </c>
      <c r="R365" s="245" t="n">
        <v>7</v>
      </c>
      <c r="S365" s="245" t="n">
        <v>2</v>
      </c>
      <c r="T365" s="249" t="inlineStr">
        <is>
          <t xml:space="preserve">I1   </t>
        </is>
      </c>
      <c r="U365" s="249" t="n">
        <v>398</v>
      </c>
      <c r="V365" s="678" t="n">
        <v>12600</v>
      </c>
      <c r="W365" s="678" t="n">
        <v>13000</v>
      </c>
      <c r="X365" s="356" t="inlineStr">
        <is>
          <t>10.5:1</t>
        </is>
      </c>
      <c r="Y365" s="678" t="n">
        <v>1000</v>
      </c>
      <c r="Z365" s="249" t="inlineStr">
        <is>
          <t xml:space="preserve">C </t>
        </is>
      </c>
      <c r="AC365" s="253" t="n"/>
      <c r="AD365" s="247" t="inlineStr">
        <is>
          <t xml:space="preserve">S-W                 </t>
        </is>
      </c>
      <c r="AE365" s="680" t="n"/>
      <c r="AF365" s="680" t="n"/>
      <c r="AG365" s="680" t="n"/>
      <c r="AH365" s="680" t="n"/>
      <c r="AI365" s="680" t="n"/>
      <c r="AJ365" s="680" t="n"/>
      <c r="AK365" s="680" t="inlineStr">
        <is>
          <t>                                                                  </t>
        </is>
      </c>
      <c r="AM365" s="245" t="inlineStr">
        <is>
          <t> </t>
        </is>
      </c>
    </row>
    <row r="366">
      <c r="A366" s="248" t="n">
        <v>7</v>
      </c>
      <c r="B366" s="370" t="n">
        <v>359</v>
      </c>
      <c r="C366" s="254" t="inlineStr">
        <is>
          <t>2011Q</t>
        </is>
      </c>
      <c r="D366" s="245" t="inlineStr">
        <is>
          <t xml:space="preserve">02143-00-093-000 </t>
        </is>
      </c>
      <c r="E366" s="258" t="inlineStr">
        <is>
          <t>Actual</t>
        </is>
      </c>
      <c r="F366" s="259" t="inlineStr">
        <is>
          <t>770 E 51ST                AV</t>
        </is>
      </c>
      <c r="G366" s="672" t="n">
        <v>44.2</v>
      </c>
      <c r="H366" s="253" t="n">
        <v>9201</v>
      </c>
      <c r="I366" s="255" t="n">
        <v>0</v>
      </c>
      <c r="J366" s="678" t="n">
        <v>2982</v>
      </c>
      <c r="K366" s="679" t="n">
        <v>4.426559356136821</v>
      </c>
      <c r="L366" s="260" t="n">
        <v>0</v>
      </c>
      <c r="M366" s="262" t="n">
        <v>0.08181818181818182</v>
      </c>
      <c r="N366" s="253" t="n">
        <v>1961</v>
      </c>
      <c r="O366" s="250" t="n">
        <v>0</v>
      </c>
      <c r="Q366" s="245" t="n">
        <v>9</v>
      </c>
      <c r="R366" s="245" t="n">
        <v>10</v>
      </c>
      <c r="S366" s="245" t="n">
        <v>1</v>
      </c>
      <c r="T366" s="249" t="inlineStr">
        <is>
          <t xml:space="preserve">I1   </t>
        </is>
      </c>
      <c r="U366" s="249" t="n">
        <v>353</v>
      </c>
      <c r="V366" s="678" t="n">
        <v>6711</v>
      </c>
      <c r="W366" s="678" t="n">
        <v>7000</v>
      </c>
      <c r="X366" s="356" t="inlineStr">
        <is>
          <t>2.3:1</t>
        </is>
      </c>
      <c r="Y366" s="678" t="n">
        <v>3000</v>
      </c>
      <c r="Z366" s="249" t="inlineStr">
        <is>
          <t xml:space="preserve">C </t>
        </is>
      </c>
      <c r="AC366" s="253" t="n"/>
      <c r="AD366" s="247" t="inlineStr">
        <is>
          <t>                    </t>
        </is>
      </c>
      <c r="AE366" s="680" t="n"/>
      <c r="AF366" s="680" t="n"/>
      <c r="AG366" s="680" t="n"/>
      <c r="AH366" s="680" t="n"/>
      <c r="AI366" s="680" t="n"/>
      <c r="AJ366" s="680" t="n"/>
      <c r="AK366" s="680" t="inlineStr">
        <is>
          <t>                                                                  </t>
        </is>
      </c>
      <c r="AM366" s="245" t="inlineStr">
        <is>
          <t> </t>
        </is>
      </c>
    </row>
    <row r="367">
      <c r="A367" s="248" t="n">
        <v>7</v>
      </c>
      <c r="B367" s="370" t="n">
        <v>360</v>
      </c>
      <c r="C367" s="254" t="inlineStr">
        <is>
          <t>2011Q</t>
        </is>
      </c>
      <c r="D367" s="245" t="inlineStr">
        <is>
          <t xml:space="preserve">02143-00-148-000 </t>
        </is>
      </c>
      <c r="E367" s="258" t="inlineStr">
        <is>
          <t>Actual</t>
        </is>
      </c>
      <c r="F367" s="259" t="inlineStr">
        <is>
          <t>5151   FRANKLIN            ST</t>
        </is>
      </c>
      <c r="G367" s="672" t="n">
        <v>44.4</v>
      </c>
      <c r="H367" s="253" t="n">
        <v>9201</v>
      </c>
      <c r="I367" s="255" t="n">
        <v>0</v>
      </c>
      <c r="J367" s="678" t="n">
        <v>143328</v>
      </c>
      <c r="K367" s="679" t="n">
        <v>2.82103985264568</v>
      </c>
      <c r="L367" s="260" t="n">
        <v>0</v>
      </c>
      <c r="M367" s="262" t="n">
        <v>0</v>
      </c>
      <c r="N367" s="253" t="n">
        <v>1980</v>
      </c>
      <c r="O367" s="250" t="n">
        <v>11852</v>
      </c>
      <c r="Q367" s="245" t="n">
        <v>25</v>
      </c>
      <c r="R367" s="245" t="n">
        <v>3</v>
      </c>
      <c r="S367" s="245" t="n">
        <v>1</v>
      </c>
      <c r="T367" s="249" t="inlineStr">
        <is>
          <t xml:space="preserve">I2   </t>
        </is>
      </c>
      <c r="U367" s="249" t="n">
        <v>398</v>
      </c>
      <c r="V367" s="678" t="n">
        <v>286723</v>
      </c>
      <c r="W367" s="678" t="n">
        <v>290000</v>
      </c>
      <c r="X367" s="356" t="inlineStr">
        <is>
          <t>2.0:1</t>
        </is>
      </c>
      <c r="Y367" s="678" t="n">
        <v>140000</v>
      </c>
      <c r="Z367" s="249" t="inlineStr">
        <is>
          <t xml:space="preserve">C </t>
        </is>
      </c>
      <c r="AC367" s="253" t="n"/>
      <c r="AD367" s="247" t="inlineStr">
        <is>
          <t xml:space="preserve">MW                  </t>
        </is>
      </c>
      <c r="AE367" s="680" t="n"/>
      <c r="AF367" s="680" t="n"/>
      <c r="AG367" s="680" t="n"/>
      <c r="AH367" s="680" t="n"/>
      <c r="AI367" s="680" t="n"/>
      <c r="AJ367" s="680" t="n"/>
      <c r="AK367" s="680" t="inlineStr">
        <is>
          <t>                                                                  </t>
        </is>
      </c>
      <c r="AM367" s="245" t="inlineStr">
        <is>
          <t> </t>
        </is>
      </c>
    </row>
    <row r="368">
      <c r="A368" s="248" t="n">
        <v>7</v>
      </c>
      <c r="B368" s="370" t="n">
        <v>361</v>
      </c>
      <c r="C368" s="254" t="inlineStr">
        <is>
          <t>2011Q</t>
        </is>
      </c>
      <c r="D368" s="245" t="inlineStr">
        <is>
          <t xml:space="preserve">02143-00-149-000 </t>
        </is>
      </c>
      <c r="E368" s="258" t="inlineStr">
        <is>
          <t>Actual</t>
        </is>
      </c>
      <c r="F368" s="259" t="inlineStr">
        <is>
          <t>4950   WASHINGTON          ST</t>
        </is>
      </c>
      <c r="G368" s="253" t="n">
        <v>44.1</v>
      </c>
      <c r="H368" s="253" t="n">
        <v>9201</v>
      </c>
      <c r="I368" s="255" t="n">
        <v>0</v>
      </c>
      <c r="J368" s="678" t="n">
        <v>19990</v>
      </c>
      <c r="K368" s="679" t="n">
        <v>4.327163581790895</v>
      </c>
      <c r="L368" s="260" t="n">
        <v>0</v>
      </c>
      <c r="M368" s="262" t="n">
        <v>0</v>
      </c>
      <c r="N368" s="253" t="n">
        <v>1948</v>
      </c>
      <c r="O368" s="250" t="n">
        <v>5730</v>
      </c>
      <c r="Q368" s="245" t="n">
        <v>18</v>
      </c>
      <c r="R368" s="245" t="n">
        <v>1</v>
      </c>
      <c r="S368" s="245" t="n">
        <v>1</v>
      </c>
      <c r="T368" s="249" t="inlineStr">
        <is>
          <t xml:space="preserve">I2   </t>
        </is>
      </c>
      <c r="U368" s="249" t="n">
        <v>398</v>
      </c>
      <c r="V368" s="678" t="n">
        <v>100554</v>
      </c>
      <c r="W368" s="678" t="n">
        <v>101000</v>
      </c>
      <c r="X368" s="356" t="inlineStr">
        <is>
          <t>3.0:1</t>
        </is>
      </c>
      <c r="Y368" s="678" t="n">
        <v>20000</v>
      </c>
      <c r="Z368" s="249" t="inlineStr">
        <is>
          <t xml:space="preserve">C </t>
        </is>
      </c>
      <c r="AC368" s="253" t="n"/>
      <c r="AD368" s="247" t="inlineStr">
        <is>
          <t>                    </t>
        </is>
      </c>
      <c r="AE368" s="680" t="n"/>
      <c r="AF368" s="680" t="n"/>
      <c r="AG368" s="680" t="n"/>
      <c r="AH368" s="680" t="n"/>
      <c r="AI368" s="680" t="n"/>
      <c r="AJ368" s="680" t="n"/>
      <c r="AK368" s="680" t="inlineStr">
        <is>
          <t xml:space="preserve">2008 LEASE; EXPENSES NOT ALLOCABLE BETWEEN OWNER AND TENANT.      </t>
        </is>
      </c>
      <c r="AM368" s="245" t="inlineStr">
        <is>
          <t> </t>
        </is>
      </c>
    </row>
    <row r="369">
      <c r="A369" s="248" t="n">
        <v>7</v>
      </c>
      <c r="B369" s="370" t="n">
        <v>362</v>
      </c>
      <c r="C369" s="254" t="inlineStr">
        <is>
          <t>2011Q</t>
        </is>
      </c>
      <c r="D369" s="245" t="inlineStr">
        <is>
          <t xml:space="preserve">02143-04-026-000 </t>
        </is>
      </c>
      <c r="E369" s="258" t="inlineStr">
        <is>
          <t>Actual</t>
        </is>
      </c>
      <c r="F369" s="259" t="inlineStr">
        <is>
          <t>5171   EMERSON             ST</t>
        </is>
      </c>
      <c r="G369" s="253" t="n">
        <v>44.1</v>
      </c>
      <c r="H369" s="253" t="n">
        <v>9201</v>
      </c>
      <c r="I369" s="255" t="n">
        <v>0</v>
      </c>
      <c r="J369" s="678" t="n">
        <v>5030</v>
      </c>
      <c r="K369" s="679" t="n">
        <v>5.36779324055666</v>
      </c>
      <c r="L369" s="260" t="n">
        <v>0</v>
      </c>
      <c r="M369" s="262" t="n">
        <v>0.008148148148148147</v>
      </c>
      <c r="N369" s="253" t="n">
        <v>1980</v>
      </c>
      <c r="O369" s="250" t="n">
        <v>387</v>
      </c>
      <c r="Q369" s="245" t="n">
        <v>16</v>
      </c>
      <c r="R369" s="245" t="n">
        <v>7</v>
      </c>
      <c r="S369" s="245" t="n">
        <v>1</v>
      </c>
      <c r="T369" s="249" t="inlineStr">
        <is>
          <t xml:space="preserve">I1   </t>
        </is>
      </c>
      <c r="U369" s="249" t="n">
        <v>398</v>
      </c>
      <c r="V369" s="678" t="n">
        <v>18700</v>
      </c>
      <c r="W369" s="678" t="n">
        <v>19000</v>
      </c>
      <c r="X369" s="356" t="inlineStr">
        <is>
          <t>3.7:1</t>
        </is>
      </c>
      <c r="Y369" s="678" t="n">
        <v>5000</v>
      </c>
      <c r="Z369" s="249" t="inlineStr">
        <is>
          <t xml:space="preserve">C </t>
        </is>
      </c>
      <c r="AC369" s="253" t="n"/>
      <c r="AD369" s="247" t="inlineStr">
        <is>
          <t>                    </t>
        </is>
      </c>
      <c r="AE369" s="680" t="n"/>
      <c r="AF369" s="680" t="n"/>
      <c r="AG369" s="680" t="n"/>
      <c r="AH369" s="680" t="n"/>
      <c r="AI369" s="680" t="n"/>
      <c r="AJ369" s="680" t="n"/>
      <c r="AK369" s="680" t="inlineStr">
        <is>
          <t xml:space="preserve">MO-TO-MO                                                          </t>
        </is>
      </c>
      <c r="AM369" s="245" t="inlineStr">
        <is>
          <t> </t>
        </is>
      </c>
    </row>
    <row r="370">
      <c r="A370" s="248" t="n">
        <v>7</v>
      </c>
      <c r="B370" s="370" t="n">
        <v>363</v>
      </c>
      <c r="C370" s="254" t="inlineStr">
        <is>
          <t>2011Q</t>
        </is>
      </c>
      <c r="D370" s="245" t="inlineStr">
        <is>
          <t xml:space="preserve">02144-00-111-000 </t>
        </is>
      </c>
      <c r="E370" s="258" t="inlineStr">
        <is>
          <t>Actual</t>
        </is>
      </c>
      <c r="F370" s="259" t="inlineStr">
        <is>
          <t>5125   RACE                CT</t>
        </is>
      </c>
      <c r="G370" s="672" t="n">
        <v>44.4</v>
      </c>
      <c r="H370" s="253" t="n">
        <v>9201</v>
      </c>
      <c r="I370" s="255" t="n">
        <v>0</v>
      </c>
      <c r="J370" s="678" t="n">
        <v>95948</v>
      </c>
      <c r="K370" s="679" t="n">
        <v>4.450327260599491</v>
      </c>
      <c r="L370" s="260" t="n">
        <v>0</v>
      </c>
      <c r="M370" s="262" t="n">
        <v>0.006693208430913349</v>
      </c>
      <c r="N370" s="253" t="n">
        <v>1979</v>
      </c>
      <c r="O370" s="250" t="n">
        <v>677</v>
      </c>
      <c r="Q370" s="245" t="n">
        <v>21</v>
      </c>
      <c r="R370" s="245" t="n">
        <v>3</v>
      </c>
      <c r="S370" s="245" t="n">
        <v>2</v>
      </c>
      <c r="T370" s="249" t="inlineStr">
        <is>
          <t xml:space="preserve">I2   </t>
        </is>
      </c>
      <c r="U370" s="249" t="n">
        <v>398</v>
      </c>
      <c r="V370" s="678" t="n">
        <v>416941</v>
      </c>
      <c r="W370" s="678" t="n">
        <v>420000</v>
      </c>
      <c r="X370" s="356" t="inlineStr">
        <is>
          <t>3.1:1</t>
        </is>
      </c>
      <c r="Y370" s="678" t="n">
        <v>96000</v>
      </c>
      <c r="Z370" s="249" t="inlineStr">
        <is>
          <t xml:space="preserve">C </t>
        </is>
      </c>
      <c r="AC370" s="253" t="n"/>
      <c r="AD370" s="247" t="inlineStr">
        <is>
          <t xml:space="preserve">DIST/MANU           </t>
        </is>
      </c>
      <c r="AE370" s="680" t="n"/>
      <c r="AF370" s="680" t="n"/>
      <c r="AG370" s="680" t="n"/>
      <c r="AH370" s="680" t="n"/>
      <c r="AI370" s="680" t="n"/>
      <c r="AJ370" s="680" t="n"/>
      <c r="AK370" s="680" t="inlineStr">
        <is>
          <t xml:space="preserve">INFO PERTAINS THE UNIT LEASED DURING THE BASE PERIOD ONLY.        </t>
        </is>
      </c>
      <c r="AM370" s="245" t="inlineStr">
        <is>
          <t> </t>
        </is>
      </c>
    </row>
    <row r="371">
      <c r="A371" s="248" t="n">
        <v>7</v>
      </c>
      <c r="B371" s="370" t="n">
        <v>364</v>
      </c>
      <c r="C371" s="254" t="inlineStr">
        <is>
          <t>2011Q</t>
        </is>
      </c>
      <c r="D371" s="245" t="inlineStr">
        <is>
          <t xml:space="preserve">02153-00-014-000 </t>
        </is>
      </c>
      <c r="E371" s="258" t="inlineStr">
        <is>
          <t>Actual</t>
        </is>
      </c>
      <c r="F371" s="259" t="inlineStr">
        <is>
          <t>555 W 48TH                AV</t>
        </is>
      </c>
      <c r="G371" s="672" t="n">
        <v>44.4</v>
      </c>
      <c r="H371" s="253" t="n">
        <v>9208</v>
      </c>
      <c r="I371" s="255" t="n">
        <v>0</v>
      </c>
      <c r="J371" s="678" t="n">
        <v>109323</v>
      </c>
      <c r="K371" s="679" t="n">
        <v>8.794992819443301</v>
      </c>
      <c r="L371" s="260" t="n">
        <v>0.26</v>
      </c>
      <c r="M371" s="262" t="n">
        <v>0.2539617990733181</v>
      </c>
      <c r="N371" s="253" t="n">
        <v>1955</v>
      </c>
      <c r="O371" s="250" t="n">
        <v>27857</v>
      </c>
      <c r="Q371" s="245" t="n">
        <v>20</v>
      </c>
      <c r="R371" s="245" t="n">
        <v>1</v>
      </c>
      <c r="S371" s="245" t="n">
        <v>5</v>
      </c>
      <c r="T371" s="249" t="inlineStr">
        <is>
          <t xml:space="preserve">I2   </t>
        </is>
      </c>
      <c r="U371" s="249" t="n">
        <v>398</v>
      </c>
      <c r="V371" s="678" t="n">
        <v>240000</v>
      </c>
      <c r="W371" s="678" t="n">
        <v>240000</v>
      </c>
      <c r="X371" s="356" t="inlineStr">
        <is>
          <t>2.2:1</t>
        </is>
      </c>
      <c r="Y371" s="678" t="n">
        <v>110000</v>
      </c>
      <c r="Z371" s="249" t="inlineStr">
        <is>
          <t xml:space="preserve">C </t>
        </is>
      </c>
      <c r="AC371" s="253" t="n"/>
      <c r="AD371" s="247" t="inlineStr">
        <is>
          <t>M-W-LINCOLN BUS PARK</t>
        </is>
      </c>
      <c r="AE371" s="680" t="n"/>
      <c r="AF371" s="680" t="n"/>
      <c r="AG371" s="680" t="n"/>
      <c r="AH371" s="680" t="n"/>
      <c r="AI371" s="680" t="n"/>
      <c r="AJ371" s="680" t="n"/>
      <c r="AK371" s="680" t="inlineStr">
        <is>
          <t xml:space="preserve">FULL EXPENSE RECOVERY MAKES THESE EFFECTIVELY NET LEASES.         </t>
        </is>
      </c>
      <c r="AM371" s="245" t="inlineStr">
        <is>
          <t> </t>
        </is>
      </c>
    </row>
    <row r="372">
      <c r="A372" s="248" t="n">
        <v>7</v>
      </c>
      <c r="B372" s="370" t="n">
        <v>365</v>
      </c>
      <c r="C372" s="254" t="inlineStr">
        <is>
          <t>2011Q</t>
        </is>
      </c>
      <c r="D372" s="245" t="inlineStr">
        <is>
          <t xml:space="preserve">02153-09-014-000 </t>
        </is>
      </c>
      <c r="E372" s="258" t="inlineStr">
        <is>
          <t>Actual</t>
        </is>
      </c>
      <c r="F372" s="259" t="inlineStr">
        <is>
          <t>4855   BROADWAY            ST</t>
        </is>
      </c>
      <c r="G372" s="672" t="n">
        <v>44.2</v>
      </c>
      <c r="H372" s="253" t="n">
        <v>9201</v>
      </c>
      <c r="I372" s="255" t="n">
        <v>0</v>
      </c>
      <c r="J372" s="678" t="n">
        <v>14000</v>
      </c>
      <c r="K372" s="679" t="n">
        <v>3.857142857142857</v>
      </c>
      <c r="L372" s="260" t="n">
        <v>0</v>
      </c>
      <c r="M372" s="262" t="n">
        <v>0.1868333333333333</v>
      </c>
      <c r="N372" s="253" t="n">
        <v>1968</v>
      </c>
      <c r="O372" s="250" t="n">
        <v>1143</v>
      </c>
      <c r="Q372" s="245" t="n">
        <v>18</v>
      </c>
      <c r="R372" s="245" t="n">
        <v>10</v>
      </c>
      <c r="S372" s="245" t="n">
        <v>2</v>
      </c>
      <c r="T372" s="249" t="inlineStr">
        <is>
          <t xml:space="preserve">I1   </t>
        </is>
      </c>
      <c r="U372" s="249" t="n">
        <v>398</v>
      </c>
      <c r="V372" s="678" t="n">
        <v>24000</v>
      </c>
      <c r="W372" s="678" t="n">
        <v>24000</v>
      </c>
      <c r="X372" s="356" t="inlineStr">
        <is>
          <t>1.7:1</t>
        </is>
      </c>
      <c r="Y372" s="678" t="n">
        <v>14000</v>
      </c>
      <c r="Z372" s="249" t="inlineStr">
        <is>
          <t xml:space="preserve">C </t>
        </is>
      </c>
      <c r="AC372" s="253" t="n"/>
      <c r="AD372" s="247" t="inlineStr">
        <is>
          <t>                    </t>
        </is>
      </c>
      <c r="AE372" s="680" t="n"/>
      <c r="AF372" s="680" t="n"/>
      <c r="AG372" s="680" t="n"/>
      <c r="AH372" s="680" t="n"/>
      <c r="AI372" s="680" t="n"/>
      <c r="AJ372" s="680" t="n"/>
      <c r="AK372" s="680" t="inlineStr">
        <is>
          <t>GROSS LEASE BASIS IS ATYPICAL FOR WAREHOUSES - OWNER EXP TOO HIGH.</t>
        </is>
      </c>
      <c r="AM372" s="245" t="inlineStr">
        <is>
          <t> </t>
        </is>
      </c>
    </row>
    <row r="373">
      <c r="A373" s="248" t="n">
        <v>7</v>
      </c>
      <c r="B373" s="370" t="n">
        <v>366</v>
      </c>
      <c r="C373" s="254" t="inlineStr">
        <is>
          <t>2011Q</t>
        </is>
      </c>
      <c r="D373" s="245" t="inlineStr">
        <is>
          <t xml:space="preserve">02154-00-046-000 </t>
        </is>
      </c>
      <c r="E373" s="258" t="inlineStr">
        <is>
          <t>Actual</t>
        </is>
      </c>
      <c r="F373" s="259" t="inlineStr">
        <is>
          <t>5005   WASHINGTON          ST</t>
        </is>
      </c>
      <c r="G373" s="253" t="n">
        <v>44.1</v>
      </c>
      <c r="H373" s="253" t="n">
        <v>9201</v>
      </c>
      <c r="I373" s="255" t="n">
        <v>0</v>
      </c>
      <c r="J373" s="678" t="n">
        <v>38845</v>
      </c>
      <c r="K373" s="679" t="n">
        <v>7.723001673317029</v>
      </c>
      <c r="L373" s="260" t="n">
        <v>0</v>
      </c>
      <c r="M373" s="262" t="n">
        <v>0</v>
      </c>
      <c r="N373" s="253" t="n">
        <v>1991</v>
      </c>
      <c r="O373" s="250" t="n">
        <v>7755</v>
      </c>
      <c r="Q373" s="245" t="n">
        <v>28</v>
      </c>
      <c r="R373" s="245" t="n">
        <v>3</v>
      </c>
      <c r="S373" s="245" t="n">
        <v>1</v>
      </c>
      <c r="T373" s="249" t="inlineStr">
        <is>
          <t xml:space="preserve">I1   </t>
        </is>
      </c>
      <c r="U373" s="249" t="n">
        <v>398</v>
      </c>
      <c r="V373" s="678" t="n">
        <v>87200</v>
      </c>
      <c r="W373" s="678" t="n">
        <v>87000</v>
      </c>
      <c r="X373" s="356" t="inlineStr">
        <is>
          <t>2.2:1</t>
        </is>
      </c>
      <c r="Y373" s="678" t="n">
        <v>39000</v>
      </c>
      <c r="Z373" s="249" t="inlineStr">
        <is>
          <t xml:space="preserve">C </t>
        </is>
      </c>
      <c r="AC373" s="253" t="n"/>
      <c r="AD373" s="247" t="inlineStr">
        <is>
          <t xml:space="preserve">S-W REST SOURCE     </t>
        </is>
      </c>
      <c r="AE373" s="680" t="n"/>
      <c r="AF373" s="680" t="n"/>
      <c r="AG373" s="680" t="n"/>
      <c r="AH373" s="680" t="n"/>
      <c r="AI373" s="680" t="n"/>
      <c r="AJ373" s="680" t="n"/>
      <c r="AK373" s="680" t="inlineStr">
        <is>
          <t xml:space="preserve">LEASE COMMENCEMENT UNKNOWN.                                       </t>
        </is>
      </c>
      <c r="AM373" s="245" t="inlineStr">
        <is>
          <t> </t>
        </is>
      </c>
    </row>
    <row r="374">
      <c r="A374" s="248" t="n">
        <v>7</v>
      </c>
      <c r="B374" s="370" t="n">
        <v>367</v>
      </c>
      <c r="C374" s="254" t="inlineStr">
        <is>
          <t>2011Q</t>
        </is>
      </c>
      <c r="D374" s="245" t="inlineStr">
        <is>
          <t xml:space="preserve">02154-17-014-000 </t>
        </is>
      </c>
      <c r="E374" s="258" t="inlineStr">
        <is>
          <t>Actual</t>
        </is>
      </c>
      <c r="F374" s="259" t="inlineStr">
        <is>
          <t>4850   BROADWAY            ST</t>
        </is>
      </c>
      <c r="G374" s="672" t="n">
        <v>46.2</v>
      </c>
      <c r="H374" s="253" t="n">
        <v>9201</v>
      </c>
      <c r="I374" s="255" t="n">
        <v>0</v>
      </c>
      <c r="J374" s="678" t="n">
        <v>10354</v>
      </c>
      <c r="K374" s="679" t="n">
        <v>4.339289163608267</v>
      </c>
      <c r="L374" s="260" t="n">
        <v>0</v>
      </c>
      <c r="M374" s="262" t="n">
        <v>0.1744530258852857</v>
      </c>
      <c r="N374" s="253" t="n">
        <v>1967</v>
      </c>
      <c r="O374" s="250" t="n">
        <v>3374</v>
      </c>
      <c r="Q374" s="245" t="n">
        <v>17</v>
      </c>
      <c r="R374" s="245" t="n">
        <v>14</v>
      </c>
      <c r="S374" s="245" t="n">
        <v>3</v>
      </c>
      <c r="T374" s="249" t="inlineStr">
        <is>
          <t xml:space="preserve">I1   </t>
        </is>
      </c>
      <c r="U374" s="249" t="n">
        <v>401</v>
      </c>
      <c r="V374" s="678" t="n">
        <v>21063</v>
      </c>
      <c r="W374" s="678" t="n">
        <v>21000</v>
      </c>
      <c r="X374" s="356" t="inlineStr">
        <is>
          <t>2.0:1</t>
        </is>
      </c>
      <c r="Y374" s="678" t="n">
        <v>10000</v>
      </c>
      <c r="Z374" s="249" t="inlineStr">
        <is>
          <t xml:space="preserve">C </t>
        </is>
      </c>
      <c r="AC374" s="253" t="n"/>
      <c r="AD374" s="247" t="inlineStr">
        <is>
          <t>                    </t>
        </is>
      </c>
      <c r="AE374" s="680" t="n"/>
      <c r="AF374" s="680" t="n"/>
      <c r="AG374" s="680" t="n"/>
      <c r="AH374" s="680" t="n"/>
      <c r="AI374" s="680" t="n"/>
      <c r="AJ374" s="680" t="n"/>
      <c r="AK374" s="680" t="inlineStr">
        <is>
          <t xml:space="preserve">GROSS LEASE BASIS IS ATYPICAL FOR WHSES - OWNER EXP TOO HIGH.     </t>
        </is>
      </c>
      <c r="AM374" s="245" t="inlineStr">
        <is>
          <t> </t>
        </is>
      </c>
    </row>
    <row r="375">
      <c r="A375" s="248" t="n">
        <v>7</v>
      </c>
      <c r="B375" s="370" t="n">
        <v>368</v>
      </c>
      <c r="C375" s="254" t="inlineStr">
        <is>
          <t>2011Q</t>
        </is>
      </c>
      <c r="D375" s="245" t="inlineStr">
        <is>
          <t xml:space="preserve">02154-23-037-000 </t>
        </is>
      </c>
      <c r="E375" s="258" t="inlineStr">
        <is>
          <t>Actual</t>
        </is>
      </c>
      <c r="F375" s="259" t="inlineStr">
        <is>
          <t>4895   WASHINGTON          ST</t>
        </is>
      </c>
      <c r="G375" s="672" t="n">
        <v>44.2</v>
      </c>
      <c r="H375" s="253" t="n">
        <v>9201</v>
      </c>
      <c r="I375" s="255" t="n">
        <v>0</v>
      </c>
      <c r="J375" s="678" t="n">
        <v>13881</v>
      </c>
      <c r="K375" s="679" t="n">
        <v>2.434983070383978</v>
      </c>
      <c r="L375" s="260" t="n">
        <v>0</v>
      </c>
      <c r="M375" s="262" t="n">
        <v>0</v>
      </c>
      <c r="N375" s="253" t="n">
        <v>1950</v>
      </c>
      <c r="O375" s="250" t="n">
        <v>3456</v>
      </c>
      <c r="Q375" s="245" t="n">
        <v>14</v>
      </c>
      <c r="R375" s="245" t="n">
        <v>8</v>
      </c>
      <c r="S375" s="245" t="n">
        <v>1</v>
      </c>
      <c r="T375" s="249" t="inlineStr">
        <is>
          <t xml:space="preserve">I1   </t>
        </is>
      </c>
      <c r="U375" s="249" t="n">
        <v>398</v>
      </c>
      <c r="V375" s="678" t="n">
        <v>28675</v>
      </c>
      <c r="W375" s="678" t="n">
        <v>29000</v>
      </c>
      <c r="X375" s="356" t="inlineStr">
        <is>
          <t>2.1:1</t>
        </is>
      </c>
      <c r="Y375" s="678" t="n">
        <v>14000</v>
      </c>
      <c r="Z375" s="249" t="inlineStr">
        <is>
          <t xml:space="preserve">C </t>
        </is>
      </c>
      <c r="AC375" s="253" t="n"/>
      <c r="AD375" s="247" t="inlineStr">
        <is>
          <t>MILE HI AUTO ELECTRI</t>
        </is>
      </c>
      <c r="AE375" s="680" t="n"/>
      <c r="AF375" s="680" t="n"/>
      <c r="AG375" s="680" t="n"/>
      <c r="AH375" s="680" t="n"/>
      <c r="AI375" s="680" t="n"/>
      <c r="AJ375" s="680" t="n"/>
      <c r="AK375" s="680" t="inlineStr">
        <is>
          <t xml:space="preserve">2010 LEASE; WHO PAYS WHAT ARE GUESSES BASED ON MKT &amp; LOCATION.    </t>
        </is>
      </c>
      <c r="AM375" s="245" t="inlineStr">
        <is>
          <t> </t>
        </is>
      </c>
    </row>
    <row r="376">
      <c r="A376" s="248" t="n">
        <v>7</v>
      </c>
      <c r="B376" s="370" t="n">
        <v>369</v>
      </c>
      <c r="C376" s="254" t="inlineStr">
        <is>
          <t>2011Q</t>
        </is>
      </c>
      <c r="D376" s="245" t="inlineStr">
        <is>
          <t xml:space="preserve">02154-23-038-000 </t>
        </is>
      </c>
      <c r="E376" s="258" t="inlineStr">
        <is>
          <t>Actual</t>
        </is>
      </c>
      <c r="F376" s="259" t="inlineStr">
        <is>
          <t>650 E 49TH                AV</t>
        </is>
      </c>
      <c r="G376" s="253" t="n">
        <v>44.1</v>
      </c>
      <c r="H376" s="253" t="n">
        <v>9201</v>
      </c>
      <c r="I376" s="255" t="n">
        <v>0</v>
      </c>
      <c r="J376" s="678" t="n">
        <v>6000</v>
      </c>
      <c r="K376" s="679" t="n">
        <v>8</v>
      </c>
      <c r="L376" s="260" t="n">
        <v>0</v>
      </c>
      <c r="M376" s="262" t="n">
        <v>0.082125</v>
      </c>
      <c r="N376" s="253" t="n">
        <v>1980</v>
      </c>
      <c r="O376" s="250" t="n">
        <v>702</v>
      </c>
      <c r="Q376" s="245" t="n">
        <v>14</v>
      </c>
      <c r="R376" s="245" t="n">
        <v>7</v>
      </c>
      <c r="S376" s="245" t="n">
        <v>1</v>
      </c>
      <c r="T376" s="249" t="inlineStr">
        <is>
          <t xml:space="preserve">I1   </t>
        </is>
      </c>
      <c r="U376" s="249" t="n">
        <v>398</v>
      </c>
      <c r="V376" s="678" t="n">
        <v>19115</v>
      </c>
      <c r="W376" s="678" t="n">
        <v>19000</v>
      </c>
      <c r="X376" s="356" t="inlineStr">
        <is>
          <t>3.2:1</t>
        </is>
      </c>
      <c r="Y376" s="678" t="n">
        <v>6000</v>
      </c>
      <c r="Z376" s="249" t="inlineStr">
        <is>
          <t xml:space="preserve">C </t>
        </is>
      </c>
      <c r="AC376" s="253" t="n"/>
      <c r="AD376" s="247" t="inlineStr">
        <is>
          <t>                    </t>
        </is>
      </c>
      <c r="AE376" s="680" t="n"/>
      <c r="AF376" s="680" t="n"/>
      <c r="AG376" s="680" t="n"/>
      <c r="AH376" s="680" t="n"/>
      <c r="AI376" s="680" t="n"/>
      <c r="AJ376" s="680" t="n"/>
      <c r="AK376" s="680" t="inlineStr">
        <is>
          <t xml:space="preserve">2008 LEASE.                                                       </t>
        </is>
      </c>
      <c r="AM376" s="245" t="inlineStr">
        <is>
          <t> </t>
        </is>
      </c>
    </row>
    <row r="377">
      <c r="A377" s="248" t="n">
        <v>7</v>
      </c>
      <c r="B377" s="370" t="n">
        <v>370</v>
      </c>
      <c r="C377" s="254" t="inlineStr">
        <is>
          <t>2011Q</t>
        </is>
      </c>
      <c r="D377" s="245" t="inlineStr">
        <is>
          <t xml:space="preserve">02164-09-030-000 </t>
        </is>
      </c>
      <c r="E377" s="258" t="inlineStr">
        <is>
          <t>Actual</t>
        </is>
      </c>
      <c r="F377" s="259" t="inlineStr">
        <is>
          <t>4900   OSAGE               ST</t>
        </is>
      </c>
      <c r="G377" s="672" t="n">
        <v>44.4</v>
      </c>
      <c r="H377" s="253" t="n">
        <v>9208</v>
      </c>
      <c r="I377" s="255" t="n">
        <v>0</v>
      </c>
      <c r="J377" s="678" t="n">
        <v>176800</v>
      </c>
      <c r="K377" s="679" t="n">
        <v>5.49</v>
      </c>
      <c r="L377" s="260" t="n">
        <v>0</v>
      </c>
      <c r="M377" s="262" t="n">
        <v>0.04849278172807585</v>
      </c>
      <c r="N377" s="253" t="n">
        <v>2003</v>
      </c>
      <c r="O377" s="250" t="n">
        <v>21717</v>
      </c>
      <c r="Q377" s="245" t="n">
        <v>42</v>
      </c>
      <c r="R377" s="245" t="n">
        <v>14</v>
      </c>
      <c r="S377" s="245" t="n">
        <v>8</v>
      </c>
      <c r="T377" s="249" t="inlineStr">
        <is>
          <t xml:space="preserve">I0   </t>
        </is>
      </c>
      <c r="U377" s="249" t="n">
        <v>398</v>
      </c>
      <c r="V377" s="678" t="n">
        <v>383884</v>
      </c>
      <c r="W377" s="678" t="n">
        <v>380000</v>
      </c>
      <c r="X377" s="356" t="inlineStr">
        <is>
          <t>2.2:1</t>
        </is>
      </c>
      <c r="Y377" s="678" t="n">
        <v>180000</v>
      </c>
      <c r="Z377" s="249" t="inlineStr">
        <is>
          <t xml:space="preserve">C </t>
        </is>
      </c>
      <c r="AC377" s="253" t="n"/>
      <c r="AD377" s="247" t="inlineStr">
        <is>
          <t>CENTERPARK M-T WHSE.</t>
        </is>
      </c>
      <c r="AE377" s="680" t="n"/>
      <c r="AF377" s="680" t="n"/>
      <c r="AG377" s="680" t="n"/>
      <c r="AH377" s="680" t="n"/>
      <c r="AI377" s="680" t="n"/>
      <c r="AJ377" s="680" t="n"/>
      <c r="AK377" s="370" t="inlineStr">
        <is>
          <t>3% exp ratio represents the owner's non-reimbursable expenses - CAM = $2.16 PSF Exp = $2.34 PSF</t>
        </is>
      </c>
      <c r="AM377" s="245" t="inlineStr">
        <is>
          <t> </t>
        </is>
      </c>
    </row>
    <row r="378">
      <c r="A378" s="248" t="n">
        <v>7</v>
      </c>
      <c r="B378" s="370" t="n">
        <v>371</v>
      </c>
      <c r="C378" s="369" t="inlineStr">
        <is>
          <t>2011W</t>
        </is>
      </c>
      <c r="D378" s="370" t="inlineStr">
        <is>
          <t>02164-09-031-000</t>
        </is>
      </c>
      <c r="E378" s="369" t="inlineStr">
        <is>
          <t>Actual</t>
        </is>
      </c>
      <c r="F378" s="370" t="inlineStr">
        <is>
          <t>5000 Osage St</t>
        </is>
      </c>
      <c r="G378" s="371" t="inlineStr">
        <is>
          <t>44.4</t>
        </is>
      </c>
      <c r="H378" s="370" t="n">
        <v>9208</v>
      </c>
      <c r="I378" s="369" t="n">
        <v>0</v>
      </c>
      <c r="J378" s="372" t="n">
        <v>176800</v>
      </c>
      <c r="K378" s="681" t="n">
        <v>5.89</v>
      </c>
      <c r="L378" s="374" t="n">
        <v>0</v>
      </c>
      <c r="M378" s="374" t="n">
        <v>0.06</v>
      </c>
      <c r="N378" s="370" t="n">
        <v>2005</v>
      </c>
      <c r="O378" s="369" t="inlineStr">
        <is>
          <t>I0</t>
        </is>
      </c>
      <c r="P378" s="370" t="n">
        <v>398</v>
      </c>
      <c r="Q378" s="372" t="n">
        <v>379708</v>
      </c>
      <c r="R378" s="372">
        <f>MROUND(Q378,1000)</f>
        <v/>
      </c>
      <c r="S378" s="375" t="inlineStr">
        <is>
          <t>2.1:1</t>
        </is>
      </c>
      <c r="T378" s="372">
        <f>MROUND(J378,1000)</f>
        <v/>
      </c>
      <c r="U378" s="370" t="inlineStr">
        <is>
          <t>C</t>
        </is>
      </c>
      <c r="V378" s="370" t="n">
        <v>3</v>
      </c>
      <c r="W378" s="370" t="n">
        <v>3</v>
      </c>
      <c r="X378" s="370" t="n">
        <v>33</v>
      </c>
      <c r="Y378" s="370" t="inlineStr">
        <is>
          <t>Centerpark Warehouse</t>
        </is>
      </c>
      <c r="Z378" s="682" t="n"/>
      <c r="AA378" s="683" t="n"/>
      <c r="AB378" s="683" t="n"/>
      <c r="AC378" s="253" t="n"/>
      <c r="AD378" s="247" t="n"/>
      <c r="AE378" s="680" t="n"/>
      <c r="AF378" s="680" t="n"/>
      <c r="AG378" s="680" t="n"/>
      <c r="AH378" s="680" t="n"/>
      <c r="AI378" s="680" t="n"/>
      <c r="AJ378" s="680" t="n"/>
      <c r="AK378" s="370" t="inlineStr">
        <is>
          <t>6% exp ratio represents the owner's non-reimbursable expenses - CAM = $2.19 PSF Exp = $2.50 PSF</t>
        </is>
      </c>
    </row>
    <row r="379">
      <c r="A379" s="248" t="n">
        <v>7</v>
      </c>
      <c r="B379" s="370" t="n">
        <v>372</v>
      </c>
      <c r="C379" s="254" t="inlineStr">
        <is>
          <t>2011Q</t>
        </is>
      </c>
      <c r="D379" s="245" t="inlineStr">
        <is>
          <t xml:space="preserve">02164-09-032-000 </t>
        </is>
      </c>
      <c r="E379" s="258" t="inlineStr">
        <is>
          <t>Actual</t>
        </is>
      </c>
      <c r="F379" s="259" t="inlineStr">
        <is>
          <t>5050   OSAGE               ST</t>
        </is>
      </c>
      <c r="G379" s="672" t="n">
        <v>44.2</v>
      </c>
      <c r="H379" s="253" t="n">
        <v>9208</v>
      </c>
      <c r="I379" s="255" t="n">
        <v>0</v>
      </c>
      <c r="J379" s="678" t="n">
        <v>78000</v>
      </c>
      <c r="K379" s="679" t="n">
        <v>6.15</v>
      </c>
      <c r="L379" s="260" t="n">
        <v>0.07000000000000001</v>
      </c>
      <c r="M379" s="262" t="n">
        <v>0.3336556776556777</v>
      </c>
      <c r="N379" s="253" t="n">
        <v>2005</v>
      </c>
      <c r="O379" s="250" t="n">
        <v>8008</v>
      </c>
      <c r="Q379" s="245" t="n">
        <v>36</v>
      </c>
      <c r="R379" s="245" t="n">
        <v>14</v>
      </c>
      <c r="S379" s="245" t="n">
        <v>5</v>
      </c>
      <c r="T379" s="249" t="inlineStr">
        <is>
          <t xml:space="preserve">I0   </t>
        </is>
      </c>
      <c r="U379" s="249" t="n">
        <v>398</v>
      </c>
      <c r="V379" s="678" t="n">
        <v>209231</v>
      </c>
      <c r="W379" s="678" t="n">
        <v>210000</v>
      </c>
      <c r="X379" s="356" t="inlineStr">
        <is>
          <t>2.7:1</t>
        </is>
      </c>
      <c r="Y379" s="678" t="n">
        <v>78000</v>
      </c>
      <c r="Z379" s="249" t="inlineStr">
        <is>
          <t xml:space="preserve">C </t>
        </is>
      </c>
      <c r="AC379" s="253" t="n"/>
      <c r="AD379" s="247" t="inlineStr">
        <is>
          <t xml:space="preserve">CENTERPARK M-T WHSE </t>
        </is>
      </c>
      <c r="AE379" s="680" t="n"/>
      <c r="AF379" s="680" t="n"/>
      <c r="AG379" s="680" t="n"/>
      <c r="AH379" s="680" t="n"/>
      <c r="AI379" s="680" t="n"/>
      <c r="AJ379" s="680" t="n"/>
      <c r="AK379" s="370" t="inlineStr">
        <is>
          <t>6% exp ratio represents the owner's non-reimbursable expenses - CAM = $2.58 PSF Exp = $2.95 PSF</t>
        </is>
      </c>
      <c r="AM379" s="245" t="inlineStr">
        <is>
          <t> </t>
        </is>
      </c>
    </row>
    <row r="380">
      <c r="A380" s="248" t="n">
        <v>7</v>
      </c>
      <c r="B380" s="370" t="n">
        <v>373</v>
      </c>
      <c r="C380" s="254" t="inlineStr">
        <is>
          <t>2011Q</t>
        </is>
      </c>
      <c r="D380" s="245" t="inlineStr">
        <is>
          <t xml:space="preserve">02194-28-018-000 </t>
        </is>
      </c>
      <c r="E380" s="258" t="inlineStr">
        <is>
          <t>Actual</t>
        </is>
      </c>
      <c r="F380" s="259" t="inlineStr">
        <is>
          <t>3868   TENNYSON            ST</t>
        </is>
      </c>
      <c r="G380" s="672" t="n">
        <v>44.2</v>
      </c>
      <c r="H380" s="253" t="n">
        <v>9208</v>
      </c>
      <c r="I380" s="255" t="n">
        <v>3</v>
      </c>
      <c r="J380" s="678" t="n">
        <v>4240</v>
      </c>
      <c r="K380" s="679" t="n">
        <v>2.877358490566038</v>
      </c>
      <c r="L380" s="260" t="n">
        <v>0</v>
      </c>
      <c r="M380" s="262" t="n">
        <v>0.005081967213114754</v>
      </c>
      <c r="N380" s="253" t="n">
        <v>1972</v>
      </c>
      <c r="O380" s="250" t="n">
        <v>640</v>
      </c>
      <c r="Q380" s="245" t="n">
        <v>14</v>
      </c>
      <c r="R380" s="245" t="n">
        <v>3</v>
      </c>
      <c r="S380" s="245" t="n">
        <v>1</v>
      </c>
      <c r="T380" s="249" t="inlineStr">
        <is>
          <t xml:space="preserve">B4   </t>
        </is>
      </c>
      <c r="U380" s="249" t="n">
        <v>398</v>
      </c>
      <c r="V380" s="678" t="n">
        <v>9518</v>
      </c>
      <c r="W380" s="678" t="n">
        <v>10000</v>
      </c>
      <c r="X380" s="356" t="inlineStr">
        <is>
          <t>2.2:1</t>
        </is>
      </c>
      <c r="Y380" s="678" t="n">
        <v>4000</v>
      </c>
      <c r="Z380" s="249" t="inlineStr">
        <is>
          <t xml:space="preserve">C </t>
        </is>
      </c>
      <c r="AC380" s="253" t="n"/>
      <c r="AD380" s="247" t="inlineStr">
        <is>
          <t xml:space="preserve">S-W TULLAR ELECTRIC </t>
        </is>
      </c>
      <c r="AE380" s="680" t="n"/>
      <c r="AF380" s="680" t="n"/>
      <c r="AG380" s="680" t="n"/>
      <c r="AH380" s="680" t="n"/>
      <c r="AI380" s="680" t="n"/>
      <c r="AJ380" s="680" t="n"/>
      <c r="AK380" s="680" t="inlineStr">
        <is>
          <t xml:space="preserve">2006 LEASE.                                                       </t>
        </is>
      </c>
      <c r="AM380" s="245" t="inlineStr">
        <is>
          <t> </t>
        </is>
      </c>
    </row>
    <row r="381">
      <c r="A381" s="248" t="n">
        <v>7</v>
      </c>
      <c r="B381" s="370" t="n">
        <v>374</v>
      </c>
      <c r="C381" s="254" t="inlineStr">
        <is>
          <t>2011Q</t>
        </is>
      </c>
      <c r="D381" s="245" t="inlineStr">
        <is>
          <t xml:space="preserve">02211-12-011-000 </t>
        </is>
      </c>
      <c r="E381" s="258" t="inlineStr">
        <is>
          <t>Actual</t>
        </is>
      </c>
      <c r="F381" s="259" t="inlineStr">
        <is>
          <t>1100 W 47TH                AV</t>
        </is>
      </c>
      <c r="G381" s="672" t="n">
        <v>44.2</v>
      </c>
      <c r="H381" s="253" t="n">
        <v>9208</v>
      </c>
      <c r="I381" s="255" t="n">
        <v>0</v>
      </c>
      <c r="J381" s="678" t="n">
        <v>50974</v>
      </c>
      <c r="K381" s="679" t="n">
        <v>4.035469062659395</v>
      </c>
      <c r="L381" s="260" t="n">
        <v>0</v>
      </c>
      <c r="M381" s="262" t="n">
        <v>0</v>
      </c>
      <c r="N381" s="253" t="n">
        <v>1973</v>
      </c>
      <c r="O381" s="250" t="n">
        <v>3604</v>
      </c>
      <c r="Q381" s="245" t="n">
        <v>12</v>
      </c>
      <c r="R381" s="245" t="n">
        <v>3</v>
      </c>
      <c r="S381" s="245" t="n">
        <v>1</v>
      </c>
      <c r="T381" s="249" t="inlineStr">
        <is>
          <t xml:space="preserve">I1   </t>
        </is>
      </c>
      <c r="U381" s="249" t="n">
        <v>398</v>
      </c>
      <c r="V381" s="678" t="n">
        <v>80115</v>
      </c>
      <c r="W381" s="678" t="n">
        <v>80000</v>
      </c>
      <c r="X381" s="356" t="inlineStr">
        <is>
          <t>1.6:1</t>
        </is>
      </c>
      <c r="Y381" s="678" t="n">
        <v>51000</v>
      </c>
      <c r="Z381" s="249" t="inlineStr">
        <is>
          <t xml:space="preserve">B </t>
        </is>
      </c>
      <c r="AC381" s="253" t="n"/>
      <c r="AD381" s="247" t="inlineStr">
        <is>
          <t>                    </t>
        </is>
      </c>
      <c r="AE381" s="680" t="n"/>
      <c r="AF381" s="680" t="n"/>
      <c r="AG381" s="680" t="n"/>
      <c r="AH381" s="680" t="n"/>
      <c r="AI381" s="680" t="n"/>
      <c r="AJ381" s="680" t="n"/>
      <c r="AK381" s="680" t="inlineStr">
        <is>
          <t xml:space="preserve">2010 DATA ENTERED.                                                </t>
        </is>
      </c>
      <c r="AM381" s="245" t="inlineStr">
        <is>
          <t> </t>
        </is>
      </c>
    </row>
    <row r="382">
      <c r="A382" s="248" t="n">
        <v>7</v>
      </c>
      <c r="B382" s="370" t="n">
        <v>375</v>
      </c>
      <c r="C382" s="254" t="inlineStr">
        <is>
          <t>2011Q</t>
        </is>
      </c>
      <c r="D382" s="245" t="inlineStr">
        <is>
          <t xml:space="preserve">02211-13-022-000 </t>
        </is>
      </c>
      <c r="E382" s="258" t="inlineStr">
        <is>
          <t>Actual</t>
        </is>
      </c>
      <c r="F382" s="259" t="inlineStr">
        <is>
          <t>1051 W 46TH                AV</t>
        </is>
      </c>
      <c r="G382" s="253" t="n">
        <v>44.1</v>
      </c>
      <c r="H382" s="253" t="n">
        <v>9208</v>
      </c>
      <c r="I382" s="255" t="n">
        <v>0</v>
      </c>
      <c r="J382" s="678" t="n">
        <v>4008</v>
      </c>
      <c r="K382" s="679" t="n">
        <v>6.736526946107785</v>
      </c>
      <c r="L382" s="260" t="n">
        <v>0</v>
      </c>
      <c r="M382" s="262" t="n">
        <v>0.1393703703703704</v>
      </c>
      <c r="N382" s="253" t="n">
        <v>1980</v>
      </c>
      <c r="O382" s="250" t="n">
        <v>484</v>
      </c>
      <c r="Q382" s="245" t="n">
        <v>17</v>
      </c>
      <c r="R382" s="245" t="n">
        <v>3</v>
      </c>
      <c r="S382" s="245" t="n">
        <v>1</v>
      </c>
      <c r="T382" s="249" t="inlineStr">
        <is>
          <t xml:space="preserve">I1   </t>
        </is>
      </c>
      <c r="U382" s="249" t="n">
        <v>398</v>
      </c>
      <c r="V382" s="678" t="n">
        <v>6625</v>
      </c>
      <c r="W382" s="678" t="n">
        <v>7000</v>
      </c>
      <c r="X382" s="356" t="inlineStr">
        <is>
          <t>1.7:1</t>
        </is>
      </c>
      <c r="Y382" s="678" t="n">
        <v>4000</v>
      </c>
      <c r="Z382" s="249" t="inlineStr">
        <is>
          <t xml:space="preserve">C </t>
        </is>
      </c>
      <c r="AC382" s="253" t="n"/>
      <c r="AD382" s="247" t="inlineStr">
        <is>
          <t xml:space="preserve">MILE HIGH DOOR SEAL </t>
        </is>
      </c>
      <c r="AE382" s="680" t="n"/>
      <c r="AF382" s="680" t="n"/>
      <c r="AG382" s="680" t="n"/>
      <c r="AH382" s="680" t="n"/>
      <c r="AI382" s="680" t="n"/>
      <c r="AJ382" s="680" t="n"/>
      <c r="AK382" s="680" t="inlineStr">
        <is>
          <t>                                                                  </t>
        </is>
      </c>
      <c r="AM382" s="245" t="inlineStr">
        <is>
          <t> </t>
        </is>
      </c>
    </row>
    <row r="383">
      <c r="A383" s="248" t="n">
        <v>7</v>
      </c>
      <c r="B383" s="370" t="n">
        <v>376</v>
      </c>
      <c r="C383" s="254" t="inlineStr">
        <is>
          <t>2011Q</t>
        </is>
      </c>
      <c r="D383" s="245" t="inlineStr">
        <is>
          <t xml:space="preserve">02211-22-014-000 </t>
        </is>
      </c>
      <c r="E383" s="258" t="inlineStr">
        <is>
          <t>Actual</t>
        </is>
      </c>
      <c r="F383" s="259" t="inlineStr">
        <is>
          <t>4414   JASON               ST</t>
        </is>
      </c>
      <c r="G383" s="253" t="n">
        <v>44.1</v>
      </c>
      <c r="H383" s="253" t="n">
        <v>9208</v>
      </c>
      <c r="I383" s="255" t="n">
        <v>0</v>
      </c>
      <c r="J383" s="678" t="n">
        <v>4130</v>
      </c>
      <c r="K383" s="679" t="n">
        <v>8.716707021791768</v>
      </c>
      <c r="L383" s="260" t="n">
        <v>0</v>
      </c>
      <c r="M383" s="262" t="n">
        <v>0</v>
      </c>
      <c r="N383" s="253" t="n">
        <v>1973</v>
      </c>
      <c r="O383" s="250" t="n">
        <v>1475</v>
      </c>
      <c r="Q383" s="245" t="n">
        <v>14</v>
      </c>
      <c r="R383" s="245" t="n">
        <v>3</v>
      </c>
      <c r="S383" s="245" t="n">
        <v>1</v>
      </c>
      <c r="T383" s="249" t="inlineStr">
        <is>
          <t xml:space="preserve">I1   </t>
        </is>
      </c>
      <c r="U383" s="249" t="n">
        <v>401</v>
      </c>
      <c r="V383" s="678" t="n">
        <v>6250</v>
      </c>
      <c r="W383" s="678" t="n">
        <v>6000</v>
      </c>
      <c r="X383" s="356" t="inlineStr">
        <is>
          <t>1.5:1</t>
        </is>
      </c>
      <c r="Y383" s="678" t="n">
        <v>4000</v>
      </c>
      <c r="Z383" s="249" t="inlineStr">
        <is>
          <t xml:space="preserve">C </t>
        </is>
      </c>
      <c r="AC383" s="253" t="n"/>
      <c r="AD383" s="247" t="inlineStr">
        <is>
          <t xml:space="preserve">S-W                 </t>
        </is>
      </c>
      <c r="AE383" s="680" t="n"/>
      <c r="AF383" s="680" t="n"/>
      <c r="AG383" s="680" t="n"/>
      <c r="AH383" s="680" t="n"/>
      <c r="AI383" s="680" t="n"/>
      <c r="AJ383" s="680" t="n"/>
      <c r="AK383" s="680" t="inlineStr">
        <is>
          <t>                                                                  </t>
        </is>
      </c>
      <c r="AM383" s="245" t="inlineStr">
        <is>
          <t> </t>
        </is>
      </c>
    </row>
    <row r="384">
      <c r="A384" s="248" t="n">
        <v>7</v>
      </c>
      <c r="B384" s="370" t="n">
        <v>377</v>
      </c>
      <c r="C384" s="254" t="inlineStr">
        <is>
          <t>2011Q</t>
        </is>
      </c>
      <c r="D384" s="245" t="inlineStr">
        <is>
          <t xml:space="preserve">02212-36-006-000 </t>
        </is>
      </c>
      <c r="E384" s="258" t="inlineStr">
        <is>
          <t>Actual</t>
        </is>
      </c>
      <c r="F384" s="259" t="inlineStr">
        <is>
          <t>2139 W 44TH                AV</t>
        </is>
      </c>
      <c r="G384" s="672" t="n">
        <v>46.1</v>
      </c>
      <c r="H384" s="253" t="n">
        <v>9208</v>
      </c>
      <c r="I384" s="255" t="n">
        <v>0</v>
      </c>
      <c r="J384" s="678" t="n">
        <v>1925</v>
      </c>
      <c r="K384" s="679" t="n">
        <v>5.584415584415584</v>
      </c>
      <c r="L384" s="260" t="n">
        <v>0</v>
      </c>
      <c r="M384" s="262" t="n">
        <v>0</v>
      </c>
      <c r="N384" s="253" t="n">
        <v>1961</v>
      </c>
      <c r="O384" s="250" t="n">
        <v>0</v>
      </c>
      <c r="Q384" s="245" t="n">
        <v>17</v>
      </c>
      <c r="R384" s="245" t="n">
        <v>3</v>
      </c>
      <c r="S384" s="245" t="n">
        <v>1</v>
      </c>
      <c r="T384" s="249" t="inlineStr">
        <is>
          <t xml:space="preserve">R2   </t>
        </is>
      </c>
      <c r="U384" s="249" t="n">
        <v>401</v>
      </c>
      <c r="V384" s="678" t="n">
        <v>5940</v>
      </c>
      <c r="W384" s="678" t="n">
        <v>6000</v>
      </c>
      <c r="X384" s="356" t="inlineStr">
        <is>
          <t>3.1:1</t>
        </is>
      </c>
      <c r="Y384" s="678" t="n">
        <v>2000</v>
      </c>
      <c r="Z384" s="249" t="inlineStr">
        <is>
          <t xml:space="preserve">C </t>
        </is>
      </c>
      <c r="AC384" s="253" t="n"/>
      <c r="AD384" s="247" t="inlineStr">
        <is>
          <t>                    </t>
        </is>
      </c>
      <c r="AE384" s="680" t="n"/>
      <c r="AF384" s="680" t="n"/>
      <c r="AG384" s="680" t="n"/>
      <c r="AH384" s="680" t="n"/>
      <c r="AI384" s="680" t="n"/>
      <c r="AJ384" s="680" t="n"/>
      <c r="AK384" s="680" t="inlineStr">
        <is>
          <t xml:space="preserve">LEASE COMMENCEMENT UNKNOWN.                                       </t>
        </is>
      </c>
      <c r="AM384" s="245" t="inlineStr">
        <is>
          <t> </t>
        </is>
      </c>
    </row>
    <row r="385">
      <c r="A385" s="248" t="n">
        <v>7</v>
      </c>
      <c r="B385" s="370" t="n">
        <v>378</v>
      </c>
      <c r="C385" s="254" t="inlineStr">
        <is>
          <t>2011Q</t>
        </is>
      </c>
      <c r="D385" s="245" t="inlineStr">
        <is>
          <t xml:space="preserve">02214-18-011-000 </t>
        </is>
      </c>
      <c r="E385" s="258" t="inlineStr">
        <is>
          <t>Actual</t>
        </is>
      </c>
      <c r="F385" s="259" t="inlineStr">
        <is>
          <t>4101   INCA                ST</t>
        </is>
      </c>
      <c r="G385" s="253" t="n">
        <v>44.1</v>
      </c>
      <c r="H385" s="253" t="n">
        <v>9208</v>
      </c>
      <c r="I385" s="255" t="n">
        <v>0</v>
      </c>
      <c r="J385" s="678" t="n">
        <v>2320</v>
      </c>
      <c r="K385" s="679" t="n">
        <v>7.758620689655173</v>
      </c>
      <c r="L385" s="260" t="n">
        <v>0</v>
      </c>
      <c r="M385" s="262" t="n">
        <v>0.1388888888888889</v>
      </c>
      <c r="N385" s="253" t="n">
        <v>1935</v>
      </c>
      <c r="O385" s="250" t="n">
        <v>1021</v>
      </c>
      <c r="Q385" s="245" t="n">
        <v>17</v>
      </c>
      <c r="R385" s="245" t="n">
        <v>1</v>
      </c>
      <c r="S385" s="245" t="n">
        <v>1</v>
      </c>
      <c r="T385" s="249" t="inlineStr">
        <is>
          <t xml:space="preserve">I1   </t>
        </is>
      </c>
      <c r="U385" s="249" t="n">
        <v>398</v>
      </c>
      <c r="V385" s="678" t="n">
        <v>12500</v>
      </c>
      <c r="W385" s="678" t="n">
        <v>13000</v>
      </c>
      <c r="X385" s="356" t="inlineStr">
        <is>
          <t>5.4:1</t>
        </is>
      </c>
      <c r="Y385" s="678" t="n">
        <v>2000</v>
      </c>
      <c r="Z385" s="249" t="inlineStr">
        <is>
          <t xml:space="preserve">C </t>
        </is>
      </c>
      <c r="AC385" s="253" t="n"/>
      <c r="AD385" s="247" t="inlineStr">
        <is>
          <t>S-W COM CITY ELECTRC</t>
        </is>
      </c>
      <c r="AE385" s="680" t="n"/>
      <c r="AF385" s="680" t="n"/>
      <c r="AG385" s="680" t="n"/>
      <c r="AH385" s="680" t="n"/>
      <c r="AI385" s="680" t="n"/>
      <c r="AJ385" s="680" t="n"/>
      <c r="AK385" s="680" t="inlineStr">
        <is>
          <t>                                                                  </t>
        </is>
      </c>
      <c r="AM385" s="245" t="inlineStr">
        <is>
          <t> </t>
        </is>
      </c>
    </row>
    <row r="386">
      <c r="A386" s="248" t="n">
        <v>7</v>
      </c>
      <c r="B386" s="370" t="n">
        <v>379</v>
      </c>
      <c r="C386" s="254" t="inlineStr">
        <is>
          <t>2011Q</t>
        </is>
      </c>
      <c r="D386" s="245" t="inlineStr">
        <is>
          <t xml:space="preserve">02214-44-001-000 </t>
        </is>
      </c>
      <c r="E386" s="258" t="inlineStr">
        <is>
          <t>Actual</t>
        </is>
      </c>
      <c r="F386" s="259" t="inlineStr">
        <is>
          <t>3850   MARIPOSA            ST</t>
        </is>
      </c>
      <c r="G386" s="253" t="n">
        <v>44.1</v>
      </c>
      <c r="H386" s="253" t="n">
        <v>9208</v>
      </c>
      <c r="I386" s="255" t="n">
        <v>0</v>
      </c>
      <c r="J386" s="678" t="n">
        <v>5980</v>
      </c>
      <c r="K386" s="679" t="n">
        <v>10.03344481605351</v>
      </c>
      <c r="L386" s="260" t="n">
        <v>0</v>
      </c>
      <c r="M386" s="262" t="n">
        <v>0.03913333333333333</v>
      </c>
      <c r="N386" s="253" t="n">
        <v>1955</v>
      </c>
      <c r="O386" s="250" t="n">
        <v>1552</v>
      </c>
      <c r="Q386" s="245" t="n">
        <v>13</v>
      </c>
      <c r="R386" s="245" t="n">
        <v>1</v>
      </c>
      <c r="S386" s="245" t="n">
        <v>1</v>
      </c>
      <c r="T386" s="249" t="inlineStr">
        <is>
          <t xml:space="preserve">B4   </t>
        </is>
      </c>
      <c r="U386" s="249" t="n">
        <v>398</v>
      </c>
      <c r="V386" s="678" t="n">
        <v>12535</v>
      </c>
      <c r="W386" s="678" t="n">
        <v>13000</v>
      </c>
      <c r="X386" s="356" t="inlineStr">
        <is>
          <t>2.1:1</t>
        </is>
      </c>
      <c r="Y386" s="678" t="n">
        <v>6000</v>
      </c>
      <c r="Z386" s="249" t="inlineStr">
        <is>
          <t xml:space="preserve">C </t>
        </is>
      </c>
      <c r="AC386" s="253" t="n"/>
      <c r="AD386" s="247" t="inlineStr">
        <is>
          <t>                    </t>
        </is>
      </c>
      <c r="AE386" s="680" t="n"/>
      <c r="AF386" s="680" t="n"/>
      <c r="AG386" s="680" t="n"/>
      <c r="AH386" s="680" t="n"/>
      <c r="AI386" s="680" t="n"/>
      <c r="AJ386" s="680" t="n"/>
      <c r="AK386" s="680" t="inlineStr">
        <is>
          <t>                                                                  </t>
        </is>
      </c>
      <c r="AM386" s="245" t="inlineStr">
        <is>
          <t> </t>
        </is>
      </c>
    </row>
    <row r="387">
      <c r="A387" s="248" t="n">
        <v>7</v>
      </c>
      <c r="B387" s="370" t="n">
        <v>380</v>
      </c>
      <c r="C387" s="254" t="inlineStr">
        <is>
          <t>2011Q</t>
        </is>
      </c>
      <c r="D387" s="245" t="inlineStr">
        <is>
          <t xml:space="preserve">02222-07-003-000 </t>
        </is>
      </c>
      <c r="E387" s="258" t="inlineStr">
        <is>
          <t>Actual</t>
        </is>
      </c>
      <c r="F387" s="259" t="inlineStr">
        <is>
          <t>4771   FOX                 ST</t>
        </is>
      </c>
      <c r="G387" s="672" t="n">
        <v>44.2</v>
      </c>
      <c r="H387" s="253" t="n">
        <v>9208</v>
      </c>
      <c r="I387" s="255" t="n">
        <v>0</v>
      </c>
      <c r="J387" s="678" t="n">
        <v>8770</v>
      </c>
      <c r="K387" s="679" t="n">
        <v>4.789053591790194</v>
      </c>
      <c r="L387" s="260" t="n">
        <v>0</v>
      </c>
      <c r="M387" s="262" t="n">
        <v>0</v>
      </c>
      <c r="N387" s="253" t="n">
        <v>1965</v>
      </c>
      <c r="O387" s="250" t="n">
        <v>2760</v>
      </c>
      <c r="Q387" s="245" t="n">
        <v>14</v>
      </c>
      <c r="R387" s="245" t="n">
        <v>7</v>
      </c>
      <c r="S387" s="245" t="n">
        <v>1</v>
      </c>
      <c r="T387" s="249" t="inlineStr">
        <is>
          <t xml:space="preserve">I2   </t>
        </is>
      </c>
      <c r="U387" s="249" t="n">
        <v>398</v>
      </c>
      <c r="V387" s="678" t="n">
        <v>40700</v>
      </c>
      <c r="W387" s="678" t="n">
        <v>41000</v>
      </c>
      <c r="X387" s="356" t="inlineStr">
        <is>
          <t>4.6:1</t>
        </is>
      </c>
      <c r="Y387" s="678" t="n">
        <v>9000</v>
      </c>
      <c r="Z387" s="249" t="inlineStr">
        <is>
          <t xml:space="preserve">C </t>
        </is>
      </c>
      <c r="AC387" s="253" t="n"/>
      <c r="AD387" s="247" t="inlineStr">
        <is>
          <t>                    </t>
        </is>
      </c>
      <c r="AE387" s="680" t="n"/>
      <c r="AF387" s="680" t="n"/>
      <c r="AG387" s="680" t="n"/>
      <c r="AH387" s="680" t="n"/>
      <c r="AI387" s="680" t="n"/>
      <c r="AJ387" s="680" t="n"/>
      <c r="AK387" s="680" t="inlineStr">
        <is>
          <t xml:space="preserve">YEAR-TO-YEAR LEASE ASSUMED TO BE UPDATED YEAR-BY-YEAR             </t>
        </is>
      </c>
      <c r="AM387" s="245" t="inlineStr">
        <is>
          <t> </t>
        </is>
      </c>
    </row>
    <row r="388">
      <c r="A388" s="248" t="n">
        <v>7</v>
      </c>
      <c r="B388" s="370" t="n">
        <v>381</v>
      </c>
      <c r="C388" s="254" t="inlineStr">
        <is>
          <t>2011Q</t>
        </is>
      </c>
      <c r="D388" s="245" t="inlineStr">
        <is>
          <t xml:space="preserve">02223-12-011-000 </t>
        </is>
      </c>
      <c r="E388" s="258" t="inlineStr">
        <is>
          <t>Actual</t>
        </is>
      </c>
      <c r="F388" s="259" t="inlineStr">
        <is>
          <t>4242   FOX                 ST</t>
        </is>
      </c>
      <c r="G388" s="253" t="n">
        <v>44.1</v>
      </c>
      <c r="H388" s="253" t="n">
        <v>9208</v>
      </c>
      <c r="I388" s="255" t="n">
        <v>0</v>
      </c>
      <c r="J388" s="678" t="n">
        <v>1000</v>
      </c>
      <c r="K388" s="679" t="n">
        <v>10.38</v>
      </c>
      <c r="L388" s="260" t="n">
        <v>0</v>
      </c>
      <c r="M388" s="262" t="n">
        <v>0.1883429672447013</v>
      </c>
      <c r="N388" s="253" t="n">
        <v>1955</v>
      </c>
      <c r="O388" s="250" t="n">
        <v>380</v>
      </c>
      <c r="Q388" s="245" t="n">
        <v>14</v>
      </c>
      <c r="R388" s="245" t="n">
        <v>3</v>
      </c>
      <c r="S388" s="245" t="n">
        <v>1</v>
      </c>
      <c r="T388" s="249" t="inlineStr">
        <is>
          <t xml:space="preserve">I1   </t>
        </is>
      </c>
      <c r="U388" s="249" t="n">
        <v>398</v>
      </c>
      <c r="V388" s="678" t="n">
        <v>9370</v>
      </c>
      <c r="W388" s="678" t="n">
        <v>9000</v>
      </c>
      <c r="X388" s="356" t="inlineStr">
        <is>
          <t>1.7:1</t>
        </is>
      </c>
      <c r="Y388" s="678" t="n">
        <v>1000</v>
      </c>
      <c r="Z388" s="249" t="inlineStr">
        <is>
          <t xml:space="preserve">C </t>
        </is>
      </c>
      <c r="AC388" s="253" t="n"/>
      <c r="AD388" s="247" t="inlineStr">
        <is>
          <t>                    </t>
        </is>
      </c>
      <c r="AE388" s="680" t="n"/>
      <c r="AF388" s="680" t="n"/>
      <c r="AG388" s="680" t="n"/>
      <c r="AH388" s="680" t="n"/>
      <c r="AI388" s="680" t="n"/>
      <c r="AJ388" s="680" t="n"/>
      <c r="AK388" s="680" t="inlineStr">
        <is>
          <t xml:space="preserve">ONLY DATA FOR 2009 LEASE HAS BEEN ENTERED.                        </t>
        </is>
      </c>
      <c r="AM388" s="245" t="inlineStr">
        <is>
          <t> </t>
        </is>
      </c>
    </row>
    <row r="389">
      <c r="A389" s="248" t="n">
        <v>7</v>
      </c>
      <c r="B389" s="370" t="n">
        <v>382</v>
      </c>
      <c r="C389" s="254" t="inlineStr">
        <is>
          <t>2011Q</t>
        </is>
      </c>
      <c r="D389" s="245" t="inlineStr">
        <is>
          <t xml:space="preserve">02223-19-009-000 </t>
        </is>
      </c>
      <c r="E389" s="258" t="inlineStr">
        <is>
          <t>Actual</t>
        </is>
      </c>
      <c r="F389" s="259" t="inlineStr">
        <is>
          <t>450 W 42ND                AV</t>
        </is>
      </c>
      <c r="G389" s="253" t="n">
        <v>44.1</v>
      </c>
      <c r="H389" s="253" t="n">
        <v>9208</v>
      </c>
      <c r="I389" s="255" t="n">
        <v>0</v>
      </c>
      <c r="J389" s="678" t="n">
        <v>6144</v>
      </c>
      <c r="K389" s="679" t="n">
        <v>5.78515625</v>
      </c>
      <c r="L389" s="260" t="n">
        <v>0</v>
      </c>
      <c r="M389" s="262" t="n">
        <v>0</v>
      </c>
      <c r="N389" s="253" t="n">
        <v>1973</v>
      </c>
      <c r="O389" s="250" t="n">
        <v>1593</v>
      </c>
      <c r="Q389" s="245" t="n">
        <v>14</v>
      </c>
      <c r="R389" s="245" t="n">
        <v>14</v>
      </c>
      <c r="S389" s="245" t="n">
        <v>1</v>
      </c>
      <c r="T389" s="249" t="inlineStr">
        <is>
          <t xml:space="preserve">I1   </t>
        </is>
      </c>
      <c r="U389" s="249" t="n">
        <v>398</v>
      </c>
      <c r="V389" s="678" t="n">
        <v>30805</v>
      </c>
      <c r="W389" s="678" t="n">
        <v>31000</v>
      </c>
      <c r="X389" s="356" t="inlineStr">
        <is>
          <t>5.0:1</t>
        </is>
      </c>
      <c r="Y389" s="678" t="n">
        <v>6000</v>
      </c>
      <c r="Z389" s="249" t="inlineStr">
        <is>
          <t xml:space="preserve">C </t>
        </is>
      </c>
      <c r="AC389" s="253" t="n"/>
      <c r="AD389" s="247" t="inlineStr">
        <is>
          <t xml:space="preserve">SHERMAN WILLIAMS    </t>
        </is>
      </c>
      <c r="AE389" s="680" t="n"/>
      <c r="AF389" s="680" t="n"/>
      <c r="AG389" s="680" t="n"/>
      <c r="AH389" s="680" t="n"/>
      <c r="AI389" s="680" t="n"/>
      <c r="AJ389" s="680" t="n"/>
      <c r="AK389" s="680" t="inlineStr">
        <is>
          <t>                                                                  </t>
        </is>
      </c>
      <c r="AM389" s="245" t="inlineStr">
        <is>
          <t> </t>
        </is>
      </c>
    </row>
    <row r="390">
      <c r="A390" s="248" t="n">
        <v>7</v>
      </c>
      <c r="B390" s="370" t="n">
        <v>383</v>
      </c>
      <c r="C390" s="254" t="inlineStr">
        <is>
          <t>2011Q</t>
        </is>
      </c>
      <c r="D390" s="245" t="inlineStr">
        <is>
          <t xml:space="preserve">02223-24-018-000 </t>
        </is>
      </c>
      <c r="E390" s="258" t="inlineStr">
        <is>
          <t>Actual</t>
        </is>
      </c>
      <c r="F390" s="259" t="inlineStr">
        <is>
          <t>4001   FOX                 ST</t>
        </is>
      </c>
      <c r="G390" s="672" t="n">
        <v>44.2</v>
      </c>
      <c r="H390" s="253" t="n">
        <v>9208</v>
      </c>
      <c r="I390" s="255" t="n">
        <v>0</v>
      </c>
      <c r="J390" s="678" t="n">
        <v>8000</v>
      </c>
      <c r="K390" s="679" t="n">
        <v>16.455875</v>
      </c>
      <c r="L390" s="260" t="n">
        <v>0</v>
      </c>
      <c r="M390" s="262" t="n">
        <v>0</v>
      </c>
      <c r="N390" s="253" t="n">
        <v>1967</v>
      </c>
      <c r="O390" s="250" t="n">
        <v>3131</v>
      </c>
      <c r="Q390" s="245" t="n">
        <v>16</v>
      </c>
      <c r="R390" s="245" t="n">
        <v>3</v>
      </c>
      <c r="S390" s="245" t="n">
        <v>1</v>
      </c>
      <c r="T390" s="249" t="inlineStr">
        <is>
          <t xml:space="preserve">I1   </t>
        </is>
      </c>
      <c r="U390" s="249" t="n">
        <v>398</v>
      </c>
      <c r="V390" s="678" t="n">
        <v>18620</v>
      </c>
      <c r="W390" s="678" t="n">
        <v>19000</v>
      </c>
      <c r="X390" s="356" t="inlineStr">
        <is>
          <t>2.3:1</t>
        </is>
      </c>
      <c r="Y390" s="678" t="n">
        <v>8000</v>
      </c>
      <c r="Z390" s="249" t="inlineStr">
        <is>
          <t xml:space="preserve">C </t>
        </is>
      </c>
      <c r="AC390" s="253" t="n"/>
      <c r="AD390" s="247" t="inlineStr">
        <is>
          <t xml:space="preserve">BUDGET COFFEE       </t>
        </is>
      </c>
      <c r="AE390" s="680" t="n"/>
      <c r="AF390" s="680" t="n"/>
      <c r="AG390" s="680" t="n"/>
      <c r="AH390" s="680" t="n"/>
      <c r="AI390" s="680" t="n"/>
      <c r="AJ390" s="680" t="n"/>
      <c r="AK390" s="680" t="inlineStr">
        <is>
          <t xml:space="preserve">2008 LEASE.                                                       </t>
        </is>
      </c>
      <c r="AM390" s="245" t="inlineStr">
        <is>
          <t> </t>
        </is>
      </c>
    </row>
    <row r="391">
      <c r="A391" s="248" t="n">
        <v>7</v>
      </c>
      <c r="B391" s="370" t="n">
        <v>384</v>
      </c>
      <c r="C391" s="254" t="inlineStr">
        <is>
          <t>2011Q</t>
        </is>
      </c>
      <c r="D391" s="245" t="inlineStr">
        <is>
          <t xml:space="preserve">02231-29-003-000 </t>
        </is>
      </c>
      <c r="E391" s="258" t="inlineStr">
        <is>
          <t>Actual</t>
        </is>
      </c>
      <c r="F391" s="259" t="inlineStr">
        <is>
          <t>4391   YORK                ST</t>
        </is>
      </c>
      <c r="G391" s="672" t="n">
        <v>44.2</v>
      </c>
      <c r="H391" s="253" t="n">
        <v>9201</v>
      </c>
      <c r="I391" s="255" t="n">
        <v>0</v>
      </c>
      <c r="J391" s="678" t="n">
        <v>31747</v>
      </c>
      <c r="K391" s="679" t="n">
        <v>5.342489054083851</v>
      </c>
      <c r="L391" s="260" t="n">
        <v>0</v>
      </c>
      <c r="M391" s="262" t="n">
        <v>0.04421961228243951</v>
      </c>
      <c r="N391" s="253" t="n">
        <v>1986</v>
      </c>
      <c r="O391" s="250" t="n">
        <v>2236</v>
      </c>
      <c r="Q391" s="245" t="n">
        <v>23</v>
      </c>
      <c r="R391" s="245" t="n">
        <v>10</v>
      </c>
      <c r="S391" s="245" t="n">
        <v>1</v>
      </c>
      <c r="T391" s="249" t="inlineStr">
        <is>
          <t xml:space="preserve">I1   </t>
        </is>
      </c>
      <c r="U391" s="249" t="n">
        <v>398</v>
      </c>
      <c r="V391" s="678" t="n">
        <v>74800</v>
      </c>
      <c r="W391" s="678" t="n">
        <v>75000</v>
      </c>
      <c r="X391" s="356" t="inlineStr">
        <is>
          <t>2.4:1</t>
        </is>
      </c>
      <c r="Y391" s="678" t="n">
        <v>32000</v>
      </c>
      <c r="Z391" s="249" t="inlineStr">
        <is>
          <t xml:space="preserve">C </t>
        </is>
      </c>
      <c r="AC391" s="253" t="n"/>
      <c r="AD391" s="247" t="inlineStr">
        <is>
          <t xml:space="preserve">ALUMINUM SUPPLY CO  </t>
        </is>
      </c>
      <c r="AE391" s="680" t="n"/>
      <c r="AF391" s="680" t="n"/>
      <c r="AG391" s="680" t="n"/>
      <c r="AH391" s="680" t="n"/>
      <c r="AI391" s="680" t="n"/>
      <c r="AJ391" s="680" t="n"/>
      <c r="AK391" s="680" t="inlineStr">
        <is>
          <t>                                                                  </t>
        </is>
      </c>
      <c r="AM391" s="245" t="inlineStr">
        <is>
          <t> </t>
        </is>
      </c>
    </row>
    <row r="392">
      <c r="A392" s="248" t="n">
        <v>7</v>
      </c>
      <c r="B392" s="370" t="n">
        <v>385</v>
      </c>
      <c r="C392" s="254" t="inlineStr">
        <is>
          <t>2011Q</t>
        </is>
      </c>
      <c r="D392" s="245" t="inlineStr">
        <is>
          <t xml:space="preserve">02232-00-128-000 </t>
        </is>
      </c>
      <c r="E392" s="258" t="inlineStr">
        <is>
          <t>Actual</t>
        </is>
      </c>
      <c r="F392" s="259" t="inlineStr">
        <is>
          <t>4699   MARION              ST</t>
        </is>
      </c>
      <c r="G392" s="253" t="n">
        <v>44.1</v>
      </c>
      <c r="H392" s="253" t="n">
        <v>9201</v>
      </c>
      <c r="I392" s="255" t="n">
        <v>0</v>
      </c>
      <c r="J392" s="678" t="n">
        <v>10672</v>
      </c>
      <c r="K392" s="679" t="n">
        <v>8.622188905547226</v>
      </c>
      <c r="L392" s="260" t="n">
        <v>0</v>
      </c>
      <c r="M392" s="262" t="n">
        <v>0.01412797774300122</v>
      </c>
      <c r="N392" s="253" t="n">
        <v>1917</v>
      </c>
      <c r="O392" s="250" t="n">
        <v>4085</v>
      </c>
      <c r="Q392" s="245" t="n">
        <v>14</v>
      </c>
      <c r="R392" s="245" t="n">
        <v>1</v>
      </c>
      <c r="S392" s="245" t="n">
        <v>1</v>
      </c>
      <c r="T392" s="249" t="inlineStr">
        <is>
          <t xml:space="preserve">I2   </t>
        </is>
      </c>
      <c r="U392" s="249" t="n">
        <v>398</v>
      </c>
      <c r="V392" s="678" t="n">
        <v>47800</v>
      </c>
      <c r="W392" s="678" t="n">
        <v>48000</v>
      </c>
      <c r="X392" s="356" t="inlineStr">
        <is>
          <t>4.5:1</t>
        </is>
      </c>
      <c r="Y392" s="678" t="n">
        <v>11000</v>
      </c>
      <c r="Z392" s="249" t="inlineStr">
        <is>
          <t xml:space="preserve">C </t>
        </is>
      </c>
      <c r="AC392" s="253" t="n"/>
      <c r="AD392" s="247" t="inlineStr">
        <is>
          <t xml:space="preserve">WHSE/KM CONSESSIONS </t>
        </is>
      </c>
      <c r="AE392" s="680" t="n"/>
      <c r="AF392" s="680" t="n"/>
      <c r="AG392" s="680" t="n"/>
      <c r="AH392" s="680" t="n"/>
      <c r="AI392" s="680" t="n"/>
      <c r="AJ392" s="680" t="n"/>
      <c r="AK392" s="680" t="inlineStr">
        <is>
          <t xml:space="preserve">LEASE COMMENCEMENT UNKNOWN.                                       </t>
        </is>
      </c>
      <c r="AM392" s="245" t="inlineStr">
        <is>
          <t> </t>
        </is>
      </c>
    </row>
    <row r="393">
      <c r="A393" s="248" t="n">
        <v>7</v>
      </c>
      <c r="B393" s="370" t="n">
        <v>386</v>
      </c>
      <c r="C393" s="254" t="inlineStr">
        <is>
          <t>2011Q</t>
        </is>
      </c>
      <c r="D393" s="245" t="inlineStr">
        <is>
          <t xml:space="preserve">02233-15-033-000 </t>
        </is>
      </c>
      <c r="E393" s="258" t="inlineStr">
        <is>
          <t>Actual</t>
        </is>
      </c>
      <c r="F393" s="259" t="inlineStr">
        <is>
          <t>3963   WALNUT              ST</t>
        </is>
      </c>
      <c r="G393" s="253" t="n">
        <v>44.1</v>
      </c>
      <c r="H393" s="253" t="n">
        <v>9210</v>
      </c>
      <c r="I393" s="255" t="n">
        <v>0</v>
      </c>
      <c r="J393" s="678" t="n">
        <v>13874</v>
      </c>
      <c r="K393" s="679" t="n">
        <v>3.488539714574023</v>
      </c>
      <c r="L393" s="260" t="n">
        <v>0</v>
      </c>
      <c r="M393" s="262" t="n">
        <v>0.03568181818181818</v>
      </c>
      <c r="N393" s="253" t="n">
        <v>1953</v>
      </c>
      <c r="O393" s="250" t="n">
        <v>560</v>
      </c>
      <c r="Q393" s="245" t="n">
        <v>15</v>
      </c>
      <c r="R393" s="245" t="n">
        <v>3</v>
      </c>
      <c r="S393" s="245" t="n">
        <v>1</v>
      </c>
      <c r="T393" s="249" t="inlineStr">
        <is>
          <t xml:space="preserve">I1   </t>
        </is>
      </c>
      <c r="U393" s="249" t="n">
        <v>398</v>
      </c>
      <c r="V393" s="678" t="n">
        <v>18750</v>
      </c>
      <c r="W393" s="678" t="n">
        <v>19000</v>
      </c>
      <c r="X393" s="356" t="inlineStr">
        <is>
          <t>1.4:1</t>
        </is>
      </c>
      <c r="Y393" s="678" t="n">
        <v>14000</v>
      </c>
      <c r="Z393" s="249" t="inlineStr">
        <is>
          <t xml:space="preserve">C </t>
        </is>
      </c>
      <c r="AC393" s="253" t="n"/>
      <c r="AD393" s="247" t="inlineStr">
        <is>
          <t>                    </t>
        </is>
      </c>
      <c r="AE393" s="680" t="n"/>
      <c r="AF393" s="680" t="n"/>
      <c r="AG393" s="680" t="n"/>
      <c r="AH393" s="680" t="n"/>
      <c r="AI393" s="680" t="n"/>
      <c r="AJ393" s="680" t="n"/>
      <c r="AK393" s="680" t="inlineStr">
        <is>
          <t xml:space="preserve">2008 LEASE.                                                       </t>
        </is>
      </c>
      <c r="AM393" s="245" t="inlineStr">
        <is>
          <t> </t>
        </is>
      </c>
    </row>
    <row r="394">
      <c r="A394" s="248" t="n">
        <v>7</v>
      </c>
      <c r="B394" s="370" t="n">
        <v>387</v>
      </c>
      <c r="C394" s="254" t="inlineStr">
        <is>
          <t>2011Q</t>
        </is>
      </c>
      <c r="D394" s="245" t="inlineStr">
        <is>
          <t xml:space="preserve">02234-00-013-000 </t>
        </is>
      </c>
      <c r="E394" s="258" t="inlineStr">
        <is>
          <t>Actual</t>
        </is>
      </c>
      <c r="F394" s="259" t="inlineStr">
        <is>
          <t>3975   YORK                ST</t>
        </is>
      </c>
      <c r="G394" s="672" t="n">
        <v>47.1</v>
      </c>
      <c r="H394" s="253" t="n">
        <v>9201</v>
      </c>
      <c r="I394" s="255" t="n">
        <v>0</v>
      </c>
      <c r="J394" s="678" t="n">
        <v>20773</v>
      </c>
      <c r="K394" s="679" t="n">
        <v>5.199056467529966</v>
      </c>
      <c r="L394" s="260" t="n">
        <v>0</v>
      </c>
      <c r="M394" s="262" t="n">
        <v>0</v>
      </c>
      <c r="N394" s="253" t="n">
        <v>1949</v>
      </c>
      <c r="O394" s="250" t="n">
        <v>2655</v>
      </c>
      <c r="Q394" s="245" t="n">
        <v>18</v>
      </c>
      <c r="R394" s="245" t="n">
        <v>1</v>
      </c>
      <c r="S394" s="245" t="n">
        <v>1</v>
      </c>
      <c r="T394" s="249" t="inlineStr">
        <is>
          <t xml:space="preserve">I2   </t>
        </is>
      </c>
      <c r="U394" s="249" t="n">
        <v>401</v>
      </c>
      <c r="V394" s="678" t="n">
        <v>190793</v>
      </c>
      <c r="W394" s="678" t="n">
        <v>190000</v>
      </c>
      <c r="X394" s="356" t="inlineStr">
        <is>
          <t>9.2:1</t>
        </is>
      </c>
      <c r="Y394" s="678" t="n">
        <v>21000</v>
      </c>
      <c r="Z394" s="249" t="inlineStr">
        <is>
          <t xml:space="preserve">C </t>
        </is>
      </c>
      <c r="AC394" s="253" t="n"/>
      <c r="AD394" s="247" t="inlineStr">
        <is>
          <t xml:space="preserve">FELIX'S TOWING      </t>
        </is>
      </c>
      <c r="AE394" s="680" t="n"/>
      <c r="AF394" s="680" t="n"/>
      <c r="AG394" s="680" t="n"/>
      <c r="AH394" s="680" t="n"/>
      <c r="AI394" s="680" t="n"/>
      <c r="AJ394" s="680" t="n"/>
      <c r="AK394" s="680" t="inlineStr">
        <is>
          <t xml:space="preserve">LAND LEASE CHECKED BUT OBVIOUSLY HAS TO INCLUDE THE BLDG.         </t>
        </is>
      </c>
      <c r="AM394" s="245" t="inlineStr">
        <is>
          <t> </t>
        </is>
      </c>
    </row>
    <row r="395">
      <c r="A395" s="248" t="n">
        <v>7</v>
      </c>
      <c r="B395" s="370" t="n">
        <v>388</v>
      </c>
      <c r="C395" s="254" t="inlineStr">
        <is>
          <t>2011Q</t>
        </is>
      </c>
      <c r="D395" s="245" t="inlineStr">
        <is>
          <t xml:space="preserve">02242-25-009-000 </t>
        </is>
      </c>
      <c r="E395" s="258" t="inlineStr">
        <is>
          <t>Actual</t>
        </is>
      </c>
      <c r="F395" s="259" t="inlineStr">
        <is>
          <t>4570   COLUMBINE           ST</t>
        </is>
      </c>
      <c r="G395" s="253" t="n">
        <v>44.1</v>
      </c>
      <c r="H395" s="253" t="n">
        <v>9201</v>
      </c>
      <c r="I395" s="255" t="n">
        <v>0</v>
      </c>
      <c r="J395" s="678" t="n">
        <v>8960</v>
      </c>
      <c r="K395" s="679" t="n">
        <v>6.361607142857143</v>
      </c>
      <c r="L395" s="260" t="n">
        <v>0</v>
      </c>
      <c r="M395" s="262" t="n">
        <v>0.09356140350877193</v>
      </c>
      <c r="N395" s="253" t="n">
        <v>1974</v>
      </c>
      <c r="O395" s="250" t="n">
        <v>2400</v>
      </c>
      <c r="Q395" s="245" t="n">
        <v>15</v>
      </c>
      <c r="R395" s="245" t="n">
        <v>3</v>
      </c>
      <c r="S395" s="245" t="n">
        <v>1</v>
      </c>
      <c r="T395" s="249" t="inlineStr">
        <is>
          <t xml:space="preserve">PUD  </t>
        </is>
      </c>
      <c r="U395" s="249" t="n">
        <v>398</v>
      </c>
      <c r="V395" s="678" t="n">
        <v>31000</v>
      </c>
      <c r="W395" s="678" t="n">
        <v>31000</v>
      </c>
      <c r="X395" s="356" t="inlineStr">
        <is>
          <t>3.5:1</t>
        </is>
      </c>
      <c r="Y395" s="678" t="n">
        <v>9000</v>
      </c>
      <c r="Z395" s="249" t="inlineStr">
        <is>
          <t xml:space="preserve">C </t>
        </is>
      </c>
      <c r="AC395" s="253" t="n"/>
      <c r="AD395" s="247" t="inlineStr">
        <is>
          <t>S-W CONLEY EQUIP CO.</t>
        </is>
      </c>
      <c r="AE395" s="680" t="n"/>
      <c r="AF395" s="680" t="n"/>
      <c r="AG395" s="680" t="n"/>
      <c r="AH395" s="680" t="n"/>
      <c r="AI395" s="680" t="n"/>
      <c r="AJ395" s="680" t="n"/>
      <c r="AK395" s="680" t="inlineStr">
        <is>
          <t>                                                                  </t>
        </is>
      </c>
      <c r="AM395" s="245" t="inlineStr">
        <is>
          <t> </t>
        </is>
      </c>
    </row>
    <row r="396">
      <c r="A396" s="248" t="n">
        <v>7</v>
      </c>
      <c r="B396" s="370" t="n">
        <v>389</v>
      </c>
      <c r="C396" s="254" t="inlineStr">
        <is>
          <t>2011Q</t>
        </is>
      </c>
      <c r="D396" s="245" t="inlineStr">
        <is>
          <t xml:space="preserve">02243-01-012-000 </t>
        </is>
      </c>
      <c r="E396" s="258" t="inlineStr">
        <is>
          <t>Actual</t>
        </is>
      </c>
      <c r="F396" s="259" t="inlineStr">
        <is>
          <t>3100 E 43RD                AV</t>
        </is>
      </c>
      <c r="G396" s="672" t="n">
        <v>47.2</v>
      </c>
      <c r="H396" s="253" t="n">
        <v>9201</v>
      </c>
      <c r="I396" s="255" t="n">
        <v>0</v>
      </c>
      <c r="J396" s="678" t="n">
        <v>33001</v>
      </c>
      <c r="K396" s="679" t="n">
        <v>4.545316808581558</v>
      </c>
      <c r="L396" s="260" t="n">
        <v>0</v>
      </c>
      <c r="M396" s="262" t="n">
        <v>0</v>
      </c>
      <c r="N396" s="253" t="n">
        <v>1958</v>
      </c>
      <c r="O396" s="250" t="n">
        <v>1215</v>
      </c>
      <c r="Q396" s="245" t="n">
        <v>13</v>
      </c>
      <c r="R396" s="245" t="n">
        <v>3</v>
      </c>
      <c r="S396" s="245" t="n">
        <v>1</v>
      </c>
      <c r="T396" s="249" t="inlineStr">
        <is>
          <t xml:space="preserve">I1   </t>
        </is>
      </c>
      <c r="U396" s="249" t="n">
        <v>401</v>
      </c>
      <c r="V396" s="678" t="n">
        <v>36515</v>
      </c>
      <c r="W396" s="678" t="n">
        <v>37000</v>
      </c>
      <c r="X396" s="356" t="inlineStr">
        <is>
          <t>1.1:1</t>
        </is>
      </c>
      <c r="Y396" s="678" t="n">
        <v>33000</v>
      </c>
      <c r="Z396" s="249" t="inlineStr">
        <is>
          <t xml:space="preserve">C </t>
        </is>
      </c>
      <c r="AC396" s="253" t="n"/>
      <c r="AD396" s="247" t="inlineStr">
        <is>
          <t>DENVER METAL FINSHNG</t>
        </is>
      </c>
      <c r="AE396" s="680" t="n"/>
      <c r="AF396" s="680" t="n"/>
      <c r="AG396" s="680" t="n"/>
      <c r="AH396" s="680" t="n"/>
      <c r="AI396" s="680" t="n"/>
      <c r="AJ396" s="680" t="n"/>
      <c r="AK396" s="680" t="inlineStr">
        <is>
          <t xml:space="preserve">DATE OF LEASE COMMENCEMENT UNKNOWN                                </t>
        </is>
      </c>
      <c r="AM396" s="245" t="inlineStr">
        <is>
          <t> </t>
        </is>
      </c>
    </row>
    <row r="397">
      <c r="A397" s="248" t="n">
        <v>7</v>
      </c>
      <c r="B397" s="370" t="n">
        <v>390</v>
      </c>
      <c r="C397" s="254" t="inlineStr">
        <is>
          <t>2011Q</t>
        </is>
      </c>
      <c r="D397" s="245" t="inlineStr">
        <is>
          <t xml:space="preserve">02243-06-001-000 </t>
        </is>
      </c>
      <c r="E397" s="258" t="inlineStr">
        <is>
          <t>Actual</t>
        </is>
      </c>
      <c r="F397" s="259" t="inlineStr">
        <is>
          <t>4242   ELIZABETH           ST</t>
        </is>
      </c>
      <c r="G397" s="672" t="n">
        <v>47.2</v>
      </c>
      <c r="H397" s="253" t="n">
        <v>9201</v>
      </c>
      <c r="I397" s="255" t="n">
        <v>0</v>
      </c>
      <c r="J397" s="678" t="n">
        <v>18566</v>
      </c>
      <c r="K397" s="679" t="n">
        <v>2.843908219325649</v>
      </c>
      <c r="L397" s="260" t="n">
        <v>1</v>
      </c>
      <c r="M397" s="262" t="n">
        <v>0.1050189393939394</v>
      </c>
      <c r="N397" s="253" t="n">
        <v>1950</v>
      </c>
      <c r="O397" s="250" t="n">
        <v>1000</v>
      </c>
      <c r="Q397" s="245" t="n">
        <v>18</v>
      </c>
      <c r="R397" s="245" t="n">
        <v>10</v>
      </c>
      <c r="S397" s="245" t="n">
        <v>1</v>
      </c>
      <c r="T397" s="249" t="inlineStr">
        <is>
          <t xml:space="preserve">I1   </t>
        </is>
      </c>
      <c r="U397" s="249" t="n">
        <v>401</v>
      </c>
      <c r="V397" s="678" t="n">
        <v>32937</v>
      </c>
      <c r="W397" s="678" t="n">
        <v>33000</v>
      </c>
      <c r="X397" s="356" t="inlineStr">
        <is>
          <t>1.8:1</t>
        </is>
      </c>
      <c r="Y397" s="678" t="n">
        <v>19000</v>
      </c>
      <c r="Z397" s="249" t="inlineStr">
        <is>
          <t xml:space="preserve">C </t>
        </is>
      </c>
      <c r="AC397" s="253" t="n"/>
      <c r="AD397" s="247" t="inlineStr">
        <is>
          <t>                    </t>
        </is>
      </c>
      <c r="AE397" s="680" t="n"/>
      <c r="AF397" s="680" t="n"/>
      <c r="AG397" s="680" t="n"/>
      <c r="AH397" s="680" t="n"/>
      <c r="AI397" s="680" t="n"/>
      <c r="AJ397" s="680" t="n"/>
      <c r="AK397" s="680" t="inlineStr">
        <is>
          <t xml:space="preserve">2008 LEASE; I/E DATA IS FROM 2009; VACANCY IS 2010.               </t>
        </is>
      </c>
      <c r="AM397" s="245" t="inlineStr">
        <is>
          <t> </t>
        </is>
      </c>
    </row>
    <row r="398">
      <c r="A398" s="248" t="n">
        <v>7</v>
      </c>
      <c r="B398" s="370" t="n">
        <v>391</v>
      </c>
      <c r="C398" s="254" t="inlineStr">
        <is>
          <t>2011Q</t>
        </is>
      </c>
      <c r="D398" s="245" t="inlineStr">
        <is>
          <t xml:space="preserve">02243-08-007-000 </t>
        </is>
      </c>
      <c r="E398" s="258" t="inlineStr">
        <is>
          <t>Actual</t>
        </is>
      </c>
      <c r="F398" s="259" t="inlineStr">
        <is>
          <t>4215   COLUMBINE           ST</t>
        </is>
      </c>
      <c r="G398" s="253" t="n">
        <v>44.1</v>
      </c>
      <c r="H398" s="253" t="n">
        <v>9201</v>
      </c>
      <c r="I398" s="255" t="n">
        <v>0</v>
      </c>
      <c r="J398" s="678" t="n">
        <v>1500</v>
      </c>
      <c r="K398" s="679" t="n">
        <v>8.106666666666667</v>
      </c>
      <c r="L398" s="260" t="n">
        <v>0</v>
      </c>
      <c r="M398" s="262" t="n">
        <v>0</v>
      </c>
      <c r="N398" s="253" t="n">
        <v>1930</v>
      </c>
      <c r="O398" s="250" t="n">
        <v>0</v>
      </c>
      <c r="Q398" s="245" t="n">
        <v>15</v>
      </c>
      <c r="R398" s="245" t="n">
        <v>7</v>
      </c>
      <c r="S398" s="245" t="n">
        <v>1</v>
      </c>
      <c r="T398" s="249" t="inlineStr">
        <is>
          <t xml:space="preserve">I1   </t>
        </is>
      </c>
      <c r="U398" s="249" t="n">
        <v>399</v>
      </c>
      <c r="V398" s="678" t="n">
        <v>8100</v>
      </c>
      <c r="W398" s="678" t="n">
        <v>8000</v>
      </c>
      <c r="X398" s="356" t="inlineStr">
        <is>
          <t>2.3:1</t>
        </is>
      </c>
      <c r="Y398" s="678" t="n">
        <v>2000</v>
      </c>
      <c r="Z398" s="249" t="inlineStr">
        <is>
          <t xml:space="preserve">C </t>
        </is>
      </c>
      <c r="AC398" s="253" t="n"/>
      <c r="AD398" s="247" t="inlineStr">
        <is>
          <t>                    </t>
        </is>
      </c>
      <c r="AE398" s="680" t="n"/>
      <c r="AF398" s="680" t="n"/>
      <c r="AG398" s="680" t="n"/>
      <c r="AH398" s="680" t="n"/>
      <c r="AI398" s="680" t="n"/>
      <c r="AJ398" s="680" t="n"/>
      <c r="AK398" s="680" t="inlineStr">
        <is>
          <t>USED ONLY LEASED AREA OF BLDG; CAN'T BREAKOUT EXP BETWEEN OWN/TENS</t>
        </is>
      </c>
      <c r="AM398" s="245" t="inlineStr">
        <is>
          <t> </t>
        </is>
      </c>
    </row>
    <row r="399">
      <c r="A399" s="248" t="n">
        <v>7</v>
      </c>
      <c r="B399" s="370" t="n">
        <v>392</v>
      </c>
      <c r="C399" s="254" t="inlineStr">
        <is>
          <t>2011Q</t>
        </is>
      </c>
      <c r="D399" s="245" t="inlineStr">
        <is>
          <t xml:space="preserve">02243-15-009-000 </t>
        </is>
      </c>
      <c r="E399" s="258" t="inlineStr">
        <is>
          <t>Actual</t>
        </is>
      </c>
      <c r="F399" s="259" t="inlineStr">
        <is>
          <t>3115 E 40TH                AV</t>
        </is>
      </c>
      <c r="G399" s="672" t="n">
        <v>44.2</v>
      </c>
      <c r="H399" s="253" t="n">
        <v>9201</v>
      </c>
      <c r="I399" s="255" t="n">
        <v>0</v>
      </c>
      <c r="J399" s="678" t="n">
        <v>16650</v>
      </c>
      <c r="K399" s="679" t="n">
        <v>3.45945945945946</v>
      </c>
      <c r="L399" s="260" t="n">
        <v>0</v>
      </c>
      <c r="M399" s="262" t="n">
        <v>0</v>
      </c>
      <c r="N399" s="253" t="n">
        <v>1964</v>
      </c>
      <c r="O399" s="250" t="n">
        <v>0</v>
      </c>
      <c r="Q399" s="245" t="n">
        <v>14</v>
      </c>
      <c r="R399" s="245" t="n">
        <v>3</v>
      </c>
      <c r="S399" s="245" t="n">
        <v>1</v>
      </c>
      <c r="T399" s="249" t="inlineStr">
        <is>
          <t xml:space="preserve">I1   </t>
        </is>
      </c>
      <c r="U399" s="249" t="n">
        <v>398</v>
      </c>
      <c r="V399" s="678" t="n">
        <v>32214</v>
      </c>
      <c r="W399" s="678" t="n">
        <v>32000</v>
      </c>
      <c r="X399" s="356" t="inlineStr">
        <is>
          <t>1.9:1</t>
        </is>
      </c>
      <c r="Y399" s="678" t="n">
        <v>17000</v>
      </c>
      <c r="Z399" s="249" t="inlineStr">
        <is>
          <t xml:space="preserve">C </t>
        </is>
      </c>
      <c r="AC399" s="253" t="n"/>
      <c r="AD399" s="247" t="inlineStr">
        <is>
          <t>                    </t>
        </is>
      </c>
      <c r="AE399" s="680" t="n"/>
      <c r="AF399" s="680" t="n"/>
      <c r="AG399" s="680" t="n"/>
      <c r="AH399" s="680" t="n"/>
      <c r="AI399" s="680" t="n"/>
      <c r="AJ399" s="680" t="n"/>
      <c r="AK399" s="680" t="inlineStr">
        <is>
          <t>                                                                  </t>
        </is>
      </c>
      <c r="AM399" s="245" t="inlineStr">
        <is>
          <t> </t>
        </is>
      </c>
    </row>
    <row r="400">
      <c r="A400" s="248" t="n">
        <v>7</v>
      </c>
      <c r="B400" s="370" t="n">
        <v>393</v>
      </c>
      <c r="C400" s="254" t="inlineStr">
        <is>
          <t>2011Q</t>
        </is>
      </c>
      <c r="D400" s="245" t="inlineStr">
        <is>
          <t xml:space="preserve">02271-00-019-000 </t>
        </is>
      </c>
      <c r="E400" s="258" t="inlineStr">
        <is>
          <t>Actual</t>
        </is>
      </c>
      <c r="F400" s="259" t="inlineStr">
        <is>
          <t>3325   BRIGHTON            BV</t>
        </is>
      </c>
      <c r="G400" s="253" t="n">
        <v>44.1</v>
      </c>
      <c r="H400" s="253" t="n">
        <v>9210</v>
      </c>
      <c r="I400" s="255" t="n">
        <v>0</v>
      </c>
      <c r="J400" s="678" t="n">
        <v>3000</v>
      </c>
      <c r="K400" s="679" t="n">
        <v>5.84</v>
      </c>
      <c r="L400" s="260" t="n">
        <v>0</v>
      </c>
      <c r="M400" s="262" t="n">
        <v>0.2164954337899543</v>
      </c>
      <c r="N400" s="253" t="n">
        <v>1948</v>
      </c>
      <c r="O400" s="250" t="n">
        <v>1800</v>
      </c>
      <c r="Q400" s="245" t="n">
        <v>15</v>
      </c>
      <c r="R400" s="245" t="n">
        <v>1</v>
      </c>
      <c r="S400" s="245" t="n">
        <v>1</v>
      </c>
      <c r="T400" s="249" t="inlineStr">
        <is>
          <t xml:space="preserve">I2   </t>
        </is>
      </c>
      <c r="U400" s="249" t="n">
        <v>398</v>
      </c>
      <c r="V400" s="678" t="n">
        <v>18830</v>
      </c>
      <c r="W400" s="678" t="n">
        <v>19000</v>
      </c>
      <c r="X400" s="356" t="inlineStr">
        <is>
          <t>2.5:1</t>
        </is>
      </c>
      <c r="Y400" s="678" t="n">
        <v>3000</v>
      </c>
      <c r="Z400" s="249" t="inlineStr">
        <is>
          <t xml:space="preserve">C </t>
        </is>
      </c>
      <c r="AC400" s="253" t="n"/>
      <c r="AD400" s="247" t="inlineStr">
        <is>
          <t>PYRAMID PRINT&amp;GRPHCS</t>
        </is>
      </c>
      <c r="AE400" s="680" t="n"/>
      <c r="AF400" s="680" t="n"/>
      <c r="AG400" s="680" t="n"/>
      <c r="AH400" s="680" t="n"/>
      <c r="AI400" s="680" t="n"/>
      <c r="AJ400" s="680" t="n"/>
      <c r="AK400" s="680" t="inlineStr">
        <is>
          <t xml:space="preserve">2008 LEASE; EXPENSES ALLOCATED TO THE 3000 SF LEASED.             </t>
        </is>
      </c>
      <c r="AM400" s="245" t="inlineStr">
        <is>
          <t> </t>
        </is>
      </c>
    </row>
    <row r="401">
      <c r="A401" s="248" t="n">
        <v>7</v>
      </c>
      <c r="B401" s="370" t="n">
        <v>394</v>
      </c>
      <c r="C401" s="254" t="inlineStr">
        <is>
          <t>2011Q</t>
        </is>
      </c>
      <c r="D401" s="245" t="inlineStr">
        <is>
          <t xml:space="preserve">02271-03-032-000 </t>
        </is>
      </c>
      <c r="E401" s="258" t="inlineStr">
        <is>
          <t>Actual</t>
        </is>
      </c>
      <c r="F401" s="259" t="inlineStr">
        <is>
          <t>3765   BLAKE               ST</t>
        </is>
      </c>
      <c r="G401" s="672" t="n">
        <v>47.1</v>
      </c>
      <c r="H401" s="253" t="n">
        <v>9210</v>
      </c>
      <c r="I401" s="255" t="n">
        <v>0</v>
      </c>
      <c r="J401" s="678" t="n">
        <v>17074</v>
      </c>
      <c r="K401" s="679" t="n">
        <v>3.514115028698606</v>
      </c>
      <c r="L401" s="260" t="n">
        <v>0</v>
      </c>
      <c r="M401" s="262" t="n">
        <v>0.05833333333333333</v>
      </c>
      <c r="N401" s="253" t="n">
        <v>1951</v>
      </c>
      <c r="O401" s="250" t="n">
        <v>982</v>
      </c>
      <c r="Q401" s="245" t="n">
        <v>12</v>
      </c>
      <c r="R401" s="245" t="n">
        <v>3</v>
      </c>
      <c r="S401" s="245" t="n">
        <v>1</v>
      </c>
      <c r="T401" s="249" t="inlineStr">
        <is>
          <t xml:space="preserve">I1   </t>
        </is>
      </c>
      <c r="U401" s="249" t="n">
        <v>401</v>
      </c>
      <c r="V401" s="678" t="n">
        <v>20037</v>
      </c>
      <c r="W401" s="678" t="n">
        <v>20000</v>
      </c>
      <c r="X401" s="356" t="inlineStr">
        <is>
          <t>1.2:1</t>
        </is>
      </c>
      <c r="Y401" s="678" t="n">
        <v>17000</v>
      </c>
      <c r="Z401" s="249" t="inlineStr">
        <is>
          <t xml:space="preserve">C </t>
        </is>
      </c>
      <c r="AC401" s="253" t="n"/>
      <c r="AD401" s="247" t="inlineStr">
        <is>
          <t xml:space="preserve">MW                  </t>
        </is>
      </c>
      <c r="AE401" s="680" t="n"/>
      <c r="AF401" s="680" t="n"/>
      <c r="AG401" s="680" t="n"/>
      <c r="AH401" s="680" t="n"/>
      <c r="AI401" s="680" t="n"/>
      <c r="AJ401" s="680" t="n"/>
      <c r="AK401" s="680" t="inlineStr">
        <is>
          <t xml:space="preserve">MONTH-TO-MONTH LEASE.                                             </t>
        </is>
      </c>
      <c r="AM401" s="245" t="inlineStr">
        <is>
          <t> </t>
        </is>
      </c>
    </row>
    <row r="402">
      <c r="A402" s="248" t="n">
        <v>7</v>
      </c>
      <c r="B402" s="370" t="n">
        <v>395</v>
      </c>
      <c r="C402" s="254" t="inlineStr">
        <is>
          <t>2011Q</t>
        </is>
      </c>
      <c r="D402" s="245" t="inlineStr">
        <is>
          <t xml:space="preserve">02271-12-020-000 </t>
        </is>
      </c>
      <c r="E402" s="258" t="inlineStr">
        <is>
          <t>Actual</t>
        </is>
      </c>
      <c r="F402" s="259" t="inlineStr">
        <is>
          <t>3551   BRIGHTON            BV</t>
        </is>
      </c>
      <c r="G402" s="672" t="n">
        <v>44.2</v>
      </c>
      <c r="H402" s="253" t="n">
        <v>9210</v>
      </c>
      <c r="I402" s="255" t="n">
        <v>0</v>
      </c>
      <c r="J402" s="678" t="n">
        <v>5340</v>
      </c>
      <c r="K402" s="679" t="n">
        <v>5.842696629213483</v>
      </c>
      <c r="L402" s="260" t="n">
        <v>0</v>
      </c>
      <c r="M402" s="262" t="n">
        <v>0.2656089743589743</v>
      </c>
      <c r="N402" s="253" t="n">
        <v>1955</v>
      </c>
      <c r="O402" s="250" t="n">
        <v>2960</v>
      </c>
      <c r="Q402" s="245" t="n">
        <v>16</v>
      </c>
      <c r="R402" s="245" t="n">
        <v>3</v>
      </c>
      <c r="S402" s="245" t="n">
        <v>1</v>
      </c>
      <c r="T402" s="249" t="inlineStr">
        <is>
          <t xml:space="preserve">I1   </t>
        </is>
      </c>
      <c r="U402" s="249" t="n">
        <v>398</v>
      </c>
      <c r="V402" s="678" t="n">
        <v>6250</v>
      </c>
      <c r="W402" s="678" t="n">
        <v>6000</v>
      </c>
      <c r="X402" s="356" t="inlineStr">
        <is>
          <t>1.2:1</t>
        </is>
      </c>
      <c r="Y402" s="678" t="n">
        <v>5000</v>
      </c>
      <c r="Z402" s="249" t="inlineStr">
        <is>
          <t xml:space="preserve">C </t>
        </is>
      </c>
      <c r="AC402" s="253" t="n"/>
      <c r="AD402" s="247" t="inlineStr">
        <is>
          <t>                    </t>
        </is>
      </c>
      <c r="AE402" s="680" t="n"/>
      <c r="AF402" s="680" t="n"/>
      <c r="AG402" s="680" t="n"/>
      <c r="AH402" s="680" t="n"/>
      <c r="AI402" s="680" t="n"/>
      <c r="AJ402" s="680" t="n"/>
      <c r="AK402" s="680" t="inlineStr">
        <is>
          <t xml:space="preserve">LEASE COMMENCEMENT UNKNOWN.                                       </t>
        </is>
      </c>
      <c r="AM402" s="245" t="inlineStr">
        <is>
          <t> </t>
        </is>
      </c>
    </row>
    <row r="403">
      <c r="A403" s="248" t="n">
        <v>7</v>
      </c>
      <c r="B403" s="370" t="n">
        <v>396</v>
      </c>
      <c r="C403" s="254" t="inlineStr">
        <is>
          <t>2011Q</t>
        </is>
      </c>
      <c r="D403" s="245" t="inlineStr">
        <is>
          <t xml:space="preserve">02271-12-021-000 </t>
        </is>
      </c>
      <c r="E403" s="258" t="inlineStr">
        <is>
          <t>Actual</t>
        </is>
      </c>
      <c r="F403" s="259" t="inlineStr">
        <is>
          <t>3559   BRIGHTON            BV</t>
        </is>
      </c>
      <c r="G403" s="672" t="n">
        <v>44.2</v>
      </c>
      <c r="H403" s="253" t="n">
        <v>9210</v>
      </c>
      <c r="I403" s="255" t="n">
        <v>0</v>
      </c>
      <c r="J403" s="678" t="n">
        <v>5015</v>
      </c>
      <c r="K403" s="679" t="n">
        <v>5.931804586241276</v>
      </c>
      <c r="L403" s="260" t="n">
        <v>0</v>
      </c>
      <c r="M403" s="262" t="n">
        <v>0</v>
      </c>
      <c r="N403" s="253" t="n">
        <v>1950</v>
      </c>
      <c r="O403" s="250" t="n">
        <v>0</v>
      </c>
      <c r="Q403" s="245" t="n">
        <v>14</v>
      </c>
      <c r="R403" s="245" t="n">
        <v>3</v>
      </c>
      <c r="S403" s="245" t="n">
        <v>2</v>
      </c>
      <c r="T403" s="249" t="inlineStr">
        <is>
          <t xml:space="preserve">I1   </t>
        </is>
      </c>
      <c r="U403" s="249" t="n">
        <v>398</v>
      </c>
      <c r="V403" s="678" t="n">
        <v>6250</v>
      </c>
      <c r="W403" s="678" t="n">
        <v>6000</v>
      </c>
      <c r="X403" s="356" t="inlineStr">
        <is>
          <t>1.2:1</t>
        </is>
      </c>
      <c r="Y403" s="678" t="n">
        <v>5000</v>
      </c>
      <c r="Z403" s="249" t="inlineStr">
        <is>
          <t xml:space="preserve">C </t>
        </is>
      </c>
      <c r="AC403" s="253" t="n"/>
      <c r="AD403" s="247" t="inlineStr">
        <is>
          <t xml:space="preserve">5280 DESIGNS        </t>
        </is>
      </c>
      <c r="AE403" s="680" t="n"/>
      <c r="AF403" s="680" t="n"/>
      <c r="AG403" s="680" t="n"/>
      <c r="AH403" s="680" t="n"/>
      <c r="AI403" s="680" t="n"/>
      <c r="AJ403" s="680" t="n"/>
      <c r="AK403" s="680" t="inlineStr">
        <is>
          <t xml:space="preserve">EXPENSES UNABLE TO PRORATE OR DEFINE = NOT ENTERED.               </t>
        </is>
      </c>
      <c r="AM403" s="245" t="inlineStr">
        <is>
          <t> </t>
        </is>
      </c>
    </row>
    <row r="404">
      <c r="A404" s="248" t="n">
        <v>7</v>
      </c>
      <c r="B404" s="370" t="n">
        <v>397</v>
      </c>
      <c r="C404" s="254" t="inlineStr">
        <is>
          <t>2011Q</t>
        </is>
      </c>
      <c r="D404" s="245" t="inlineStr">
        <is>
          <t xml:space="preserve">02271-13-026-000 </t>
        </is>
      </c>
      <c r="E404" s="258" t="inlineStr">
        <is>
          <t>Actual</t>
        </is>
      </c>
      <c r="F404" s="259" t="inlineStr">
        <is>
          <t>3595   WYNKOOP             ST</t>
        </is>
      </c>
      <c r="G404" s="253" t="n">
        <v>44.1</v>
      </c>
      <c r="H404" s="253" t="n">
        <v>9210</v>
      </c>
      <c r="I404" s="255" t="n">
        <v>0</v>
      </c>
      <c r="J404" s="678" t="n">
        <v>4820</v>
      </c>
      <c r="K404" s="679" t="n">
        <v>8.921161825726141</v>
      </c>
      <c r="L404" s="260" t="n">
        <v>1</v>
      </c>
      <c r="M404" s="262" t="n">
        <v>0</v>
      </c>
      <c r="N404" s="253" t="n">
        <v>1978</v>
      </c>
      <c r="O404" s="250" t="n">
        <v>1000</v>
      </c>
      <c r="Q404" s="245" t="n">
        <v>16</v>
      </c>
      <c r="R404" s="245" t="n">
        <v>7</v>
      </c>
      <c r="S404" s="245" t="n">
        <v>1</v>
      </c>
      <c r="T404" s="249" t="inlineStr">
        <is>
          <t xml:space="preserve">I1   </t>
        </is>
      </c>
      <c r="U404" s="249" t="n">
        <v>398</v>
      </c>
      <c r="V404" s="678" t="n">
        <v>15625</v>
      </c>
      <c r="W404" s="678" t="n">
        <v>16000</v>
      </c>
      <c r="X404" s="356" t="inlineStr">
        <is>
          <t>3.2:1</t>
        </is>
      </c>
      <c r="Y404" s="678" t="n">
        <v>5000</v>
      </c>
      <c r="Z404" s="249" t="inlineStr">
        <is>
          <t xml:space="preserve">B </t>
        </is>
      </c>
      <c r="AC404" s="253" t="n"/>
      <c r="AD404" s="247" t="inlineStr">
        <is>
          <t>                    </t>
        </is>
      </c>
      <c r="AE404" s="680" t="n"/>
      <c r="AF404" s="680" t="n"/>
      <c r="AG404" s="680" t="n"/>
      <c r="AH404" s="680" t="n"/>
      <c r="AI404" s="680" t="n"/>
      <c r="AJ404" s="680" t="n"/>
      <c r="AK404" s="680" t="inlineStr">
        <is>
          <t>                                                                  </t>
        </is>
      </c>
      <c r="AM404" s="245" t="inlineStr">
        <is>
          <t> </t>
        </is>
      </c>
    </row>
    <row r="405">
      <c r="A405" s="248" t="n">
        <v>7</v>
      </c>
      <c r="B405" s="370" t="n">
        <v>398</v>
      </c>
      <c r="C405" s="254" t="inlineStr">
        <is>
          <t>2011Q</t>
        </is>
      </c>
      <c r="D405" s="245" t="inlineStr">
        <is>
          <t xml:space="preserve">02271-18-022-000 </t>
        </is>
      </c>
      <c r="E405" s="258" t="inlineStr">
        <is>
          <t>Actual</t>
        </is>
      </c>
      <c r="F405" s="259" t="inlineStr">
        <is>
          <t>3400   WALNUT              ST</t>
        </is>
      </c>
      <c r="G405" s="672" t="inlineStr">
        <is>
          <t>44.M</t>
        </is>
      </c>
      <c r="H405" s="253" t="n">
        <v>9210</v>
      </c>
      <c r="I405" s="255" t="n">
        <v>0</v>
      </c>
      <c r="J405" s="678" t="n">
        <v>21350</v>
      </c>
      <c r="K405" s="679" t="n">
        <v>7.566042154566745</v>
      </c>
      <c r="L405" s="260" t="n">
        <v>0</v>
      </c>
      <c r="M405" s="262" t="n">
        <v>0.2724486953291856</v>
      </c>
      <c r="N405" s="253" t="n">
        <v>1950</v>
      </c>
      <c r="O405" s="250" t="n">
        <v>0</v>
      </c>
      <c r="Q405" s="245" t="n">
        <v>11</v>
      </c>
      <c r="R405" s="245" t="n">
        <v>1</v>
      </c>
      <c r="S405" s="245" t="n">
        <v>85</v>
      </c>
      <c r="T405" s="249" t="inlineStr">
        <is>
          <t xml:space="preserve">I2   </t>
        </is>
      </c>
      <c r="U405" s="249" t="n">
        <v>396</v>
      </c>
      <c r="V405" s="678" t="n">
        <v>31250</v>
      </c>
      <c r="W405" s="678" t="n">
        <v>31000</v>
      </c>
      <c r="X405" s="356" t="inlineStr">
        <is>
          <t>1.5:1</t>
        </is>
      </c>
      <c r="Y405" s="678" t="n">
        <v>21000</v>
      </c>
      <c r="Z405" s="249" t="inlineStr">
        <is>
          <t xml:space="preserve">C </t>
        </is>
      </c>
      <c r="AC405" s="253" t="n"/>
      <c r="AD405" s="247" t="inlineStr">
        <is>
          <t xml:space="preserve">DOWNTOWN SELF STRG  </t>
        </is>
      </c>
      <c r="AE405" s="680" t="n"/>
      <c r="AF405" s="680" t="n"/>
      <c r="AG405" s="680" t="n"/>
      <c r="AH405" s="680" t="n"/>
      <c r="AI405" s="680" t="n"/>
      <c r="AJ405" s="680" t="n"/>
      <c r="AK405" s="680" t="inlineStr">
        <is>
          <t xml:space="preserve">INT MTC WAS AMTZED FOR 10YRS                                      </t>
        </is>
      </c>
      <c r="AM405" s="245" t="inlineStr">
        <is>
          <t> </t>
        </is>
      </c>
    </row>
    <row r="406">
      <c r="A406" s="248" t="n">
        <v>7</v>
      </c>
      <c r="B406" s="370" t="n">
        <v>399</v>
      </c>
      <c r="C406" s="254" t="inlineStr">
        <is>
          <t>2011Q</t>
        </is>
      </c>
      <c r="D406" s="245" t="inlineStr">
        <is>
          <t xml:space="preserve">02271-22-005-000 </t>
        </is>
      </c>
      <c r="E406" s="258" t="inlineStr">
        <is>
          <t>Actual</t>
        </is>
      </c>
      <c r="F406" s="259" t="inlineStr">
        <is>
          <t>3430   BRIGHTON            BV</t>
        </is>
      </c>
      <c r="G406" s="253" t="n">
        <v>44.1</v>
      </c>
      <c r="H406" s="253" t="n">
        <v>9210</v>
      </c>
      <c r="I406" s="255" t="n">
        <v>0</v>
      </c>
      <c r="J406" s="678" t="n">
        <v>6500</v>
      </c>
      <c r="K406" s="679" t="n">
        <v>2.953846153846154</v>
      </c>
      <c r="L406" s="260" t="n">
        <v>0</v>
      </c>
      <c r="M406" s="262" t="n">
        <v>0</v>
      </c>
      <c r="N406" s="253" t="n">
        <v>1931</v>
      </c>
      <c r="O406" s="250" t="n">
        <v>180</v>
      </c>
      <c r="Q406" s="245" t="n">
        <v>14</v>
      </c>
      <c r="R406" s="245" t="n">
        <v>7</v>
      </c>
      <c r="S406" s="245" t="n">
        <v>1</v>
      </c>
      <c r="T406" s="249" t="inlineStr">
        <is>
          <t xml:space="preserve">I2   </t>
        </is>
      </c>
      <c r="U406" s="249" t="n">
        <v>398</v>
      </c>
      <c r="V406" s="678" t="n">
        <v>12500</v>
      </c>
      <c r="W406" s="678" t="n">
        <v>13000</v>
      </c>
      <c r="X406" s="356" t="inlineStr">
        <is>
          <t>1.7:1</t>
        </is>
      </c>
      <c r="Y406" s="678" t="n">
        <v>7000</v>
      </c>
      <c r="Z406" s="249" t="inlineStr">
        <is>
          <t xml:space="preserve">C </t>
        </is>
      </c>
      <c r="AC406" s="253" t="n"/>
      <c r="AD406" s="247" t="inlineStr">
        <is>
          <t xml:space="preserve">SANTA FE HTG &amp; AC   </t>
        </is>
      </c>
      <c r="AE406" s="680" t="n"/>
      <c r="AF406" s="680" t="n"/>
      <c r="AG406" s="680" t="n"/>
      <c r="AH406" s="680" t="n"/>
      <c r="AI406" s="680" t="n"/>
      <c r="AJ406" s="680" t="n"/>
      <c r="AK406" s="680" t="inlineStr">
        <is>
          <t xml:space="preserve">OWNER EXPENSES WAY TOO HIGH = NOT ENTERED.                        </t>
        </is>
      </c>
      <c r="AM406" s="245" t="inlineStr">
        <is>
          <t> </t>
        </is>
      </c>
    </row>
    <row r="407">
      <c r="A407" s="248" t="n">
        <v>7</v>
      </c>
      <c r="B407" s="370" t="n">
        <v>400</v>
      </c>
      <c r="C407" s="254" t="inlineStr">
        <is>
          <t>2011Q</t>
        </is>
      </c>
      <c r="D407" s="245" t="inlineStr">
        <is>
          <t xml:space="preserve">02275-00-023-000 </t>
        </is>
      </c>
      <c r="E407" s="258" t="inlineStr">
        <is>
          <t>Actual</t>
        </is>
      </c>
      <c r="F407" s="259" t="inlineStr">
        <is>
          <t>3150   BRIGHTON            BV</t>
        </is>
      </c>
      <c r="G407" s="672" t="n">
        <v>44.2</v>
      </c>
      <c r="H407" s="253" t="n">
        <v>9210</v>
      </c>
      <c r="I407" s="255" t="n">
        <v>0</v>
      </c>
      <c r="J407" s="678" t="n">
        <v>7500</v>
      </c>
      <c r="K407" s="679" t="n">
        <v>4.8</v>
      </c>
      <c r="L407" s="260" t="n">
        <v>0</v>
      </c>
      <c r="M407" s="262" t="n">
        <v>0</v>
      </c>
      <c r="N407" s="253" t="n">
        <v>1968</v>
      </c>
      <c r="O407" s="250" t="n">
        <v>2908</v>
      </c>
      <c r="Q407" s="245" t="n">
        <v>15</v>
      </c>
      <c r="R407" s="245" t="n">
        <v>1</v>
      </c>
      <c r="S407" s="245" t="n">
        <v>1</v>
      </c>
      <c r="T407" s="249" t="inlineStr">
        <is>
          <t xml:space="preserve">I2   </t>
        </is>
      </c>
      <c r="U407" s="249" t="n">
        <v>398</v>
      </c>
      <c r="V407" s="678" t="n">
        <v>21452</v>
      </c>
      <c r="W407" s="678" t="n">
        <v>21000</v>
      </c>
      <c r="X407" s="356" t="inlineStr">
        <is>
          <t>2.9:1</t>
        </is>
      </c>
      <c r="Y407" s="678" t="n">
        <v>8000</v>
      </c>
      <c r="Z407" s="249" t="inlineStr">
        <is>
          <t xml:space="preserve">C </t>
        </is>
      </c>
      <c r="AC407" s="253" t="n"/>
      <c r="AD407" s="247" t="inlineStr">
        <is>
          <t xml:space="preserve">DOGGIE DAY CARE     </t>
        </is>
      </c>
      <c r="AE407" s="680" t="n"/>
      <c r="AF407" s="680" t="n"/>
      <c r="AG407" s="680" t="n"/>
      <c r="AH407" s="680" t="n"/>
      <c r="AI407" s="680" t="n"/>
      <c r="AJ407" s="680" t="n"/>
      <c r="AK407" s="680" t="inlineStr">
        <is>
          <t xml:space="preserve">2008 LEASE; OWNER EXPENSES EXCESSIVE = NOT ENTERED.               </t>
        </is>
      </c>
      <c r="AM407" s="245" t="inlineStr">
        <is>
          <t> </t>
        </is>
      </c>
    </row>
    <row r="408">
      <c r="A408" s="248" t="n">
        <v>7</v>
      </c>
      <c r="B408" s="370" t="n">
        <v>401</v>
      </c>
      <c r="C408" s="254" t="inlineStr">
        <is>
          <t>2011Q</t>
        </is>
      </c>
      <c r="D408" s="245" t="inlineStr">
        <is>
          <t xml:space="preserve">02275-01-020-000 </t>
        </is>
      </c>
      <c r="E408" s="258" t="inlineStr">
        <is>
          <t>Actual</t>
        </is>
      </c>
      <c r="F408" s="259" t="inlineStr">
        <is>
          <t>3244   WALNUT              ST</t>
        </is>
      </c>
      <c r="G408" s="672" t="n">
        <v>47.2</v>
      </c>
      <c r="H408" s="253" t="n">
        <v>9210</v>
      </c>
      <c r="I408" s="255" t="n">
        <v>0</v>
      </c>
      <c r="J408" s="678" t="n">
        <v>26000</v>
      </c>
      <c r="K408" s="679" t="n">
        <v>2.653846153846154</v>
      </c>
      <c r="L408" s="260" t="n">
        <v>0</v>
      </c>
      <c r="M408" s="262" t="n">
        <v>0</v>
      </c>
      <c r="N408" s="253" t="n">
        <v>1937</v>
      </c>
      <c r="O408" s="250" t="n">
        <v>1600</v>
      </c>
      <c r="Q408" s="245" t="n">
        <v>14</v>
      </c>
      <c r="R408" s="245" t="n">
        <v>1</v>
      </c>
      <c r="S408" s="245" t="n">
        <v>1</v>
      </c>
      <c r="T408" s="249" t="inlineStr">
        <is>
          <t>I2 I1</t>
        </is>
      </c>
      <c r="U408" s="249" t="n">
        <v>401</v>
      </c>
      <c r="V408" s="678" t="n">
        <v>50025</v>
      </c>
      <c r="W408" s="678" t="n">
        <v>50000</v>
      </c>
      <c r="X408" s="356" t="inlineStr">
        <is>
          <t>1.7:1</t>
        </is>
      </c>
      <c r="Y408" s="678" t="n">
        <v>26000</v>
      </c>
      <c r="Z408" s="249" t="inlineStr">
        <is>
          <t xml:space="preserve">C </t>
        </is>
      </c>
      <c r="AC408" s="253" t="n"/>
      <c r="AD408" s="247" t="inlineStr">
        <is>
          <t xml:space="preserve">DENVER HARDWARE     </t>
        </is>
      </c>
      <c r="AE408" s="680" t="n"/>
      <c r="AF408" s="680" t="n"/>
      <c r="AG408" s="680" t="n"/>
      <c r="AH408" s="680" t="n"/>
      <c r="AI408" s="680" t="n"/>
      <c r="AJ408" s="680" t="n"/>
      <c r="AK408" s="680" t="inlineStr">
        <is>
          <t xml:space="preserve">MO-TO-MO LEASES; INCLUDES PARCEL -018; YOC'S AS OLD AS 1885.      </t>
        </is>
      </c>
      <c r="AM408" s="245" t="inlineStr">
        <is>
          <t> </t>
        </is>
      </c>
    </row>
    <row r="409">
      <c r="A409" s="248" t="n">
        <v>7</v>
      </c>
      <c r="B409" s="370" t="n">
        <v>402</v>
      </c>
      <c r="C409" s="254" t="inlineStr">
        <is>
          <t>2011Q</t>
        </is>
      </c>
      <c r="D409" s="245" t="inlineStr">
        <is>
          <t xml:space="preserve">02275-12-015-000 </t>
        </is>
      </c>
      <c r="E409" s="258" t="inlineStr">
        <is>
          <t>Actual</t>
        </is>
      </c>
      <c r="F409" s="259" t="inlineStr">
        <is>
          <t>2975   WALNUT              ST</t>
        </is>
      </c>
      <c r="G409" s="253" t="n">
        <v>44.1</v>
      </c>
      <c r="H409" s="253" t="n">
        <v>9210</v>
      </c>
      <c r="I409" s="255" t="n">
        <v>0</v>
      </c>
      <c r="J409" s="678" t="n">
        <v>20196</v>
      </c>
      <c r="K409" s="679" t="n">
        <v>5.438502673796791</v>
      </c>
      <c r="L409" s="260" t="n">
        <v>0</v>
      </c>
      <c r="M409" s="262" t="n">
        <v>0.07820750937761754</v>
      </c>
      <c r="N409" s="253" t="n">
        <v>1973</v>
      </c>
      <c r="O409" s="250" t="n">
        <v>18501</v>
      </c>
      <c r="Q409" s="245" t="n">
        <v>20</v>
      </c>
      <c r="R409" s="245" t="n">
        <v>3</v>
      </c>
      <c r="S409" s="245" t="n">
        <v>1</v>
      </c>
      <c r="T409" s="249" t="inlineStr">
        <is>
          <t xml:space="preserve">I2   </t>
        </is>
      </c>
      <c r="U409" s="249" t="n">
        <v>398</v>
      </c>
      <c r="V409" s="678" t="n">
        <v>31287</v>
      </c>
      <c r="W409" s="678" t="n">
        <v>31000</v>
      </c>
      <c r="X409" s="356" t="inlineStr">
        <is>
          <t>1.5:1</t>
        </is>
      </c>
      <c r="Y409" s="678" t="n">
        <v>20000</v>
      </c>
      <c r="Z409" s="249" t="inlineStr">
        <is>
          <t xml:space="preserve">C </t>
        </is>
      </c>
      <c r="AC409" s="253" t="n"/>
      <c r="AD409" s="247" t="inlineStr">
        <is>
          <t>                    </t>
        </is>
      </c>
      <c r="AE409" s="680" t="n"/>
      <c r="AF409" s="680" t="n"/>
      <c r="AG409" s="680" t="n"/>
      <c r="AH409" s="680" t="n"/>
      <c r="AI409" s="680" t="n"/>
      <c r="AJ409" s="680" t="n"/>
      <c r="AK409" s="680" t="inlineStr">
        <is>
          <t>                                                                  </t>
        </is>
      </c>
      <c r="AM409" s="245" t="inlineStr">
        <is>
          <t> </t>
        </is>
      </c>
    </row>
    <row r="410">
      <c r="A410" s="248" t="n">
        <v>7</v>
      </c>
      <c r="B410" s="370" t="n">
        <v>403</v>
      </c>
      <c r="C410" s="254" t="inlineStr">
        <is>
          <t>2011Q</t>
        </is>
      </c>
      <c r="D410" s="245" t="inlineStr">
        <is>
          <t xml:space="preserve">02275-13-030-000 </t>
        </is>
      </c>
      <c r="E410" s="258" t="inlineStr">
        <is>
          <t>Actual</t>
        </is>
      </c>
      <c r="F410" s="259" t="inlineStr">
        <is>
          <t>2964   WALNUT              ST</t>
        </is>
      </c>
      <c r="G410" s="253" t="n">
        <v>44.1</v>
      </c>
      <c r="H410" s="253" t="n">
        <v>9210</v>
      </c>
      <c r="I410" s="255" t="n">
        <v>0</v>
      </c>
      <c r="J410" s="678" t="n">
        <v>3444</v>
      </c>
      <c r="K410" s="679" t="n">
        <v>2.271777003484321</v>
      </c>
      <c r="L410" s="260" t="n">
        <v>0</v>
      </c>
      <c r="M410" s="262" t="n">
        <v>0</v>
      </c>
      <c r="N410" s="253" t="n">
        <v>1958</v>
      </c>
      <c r="O410" s="250" t="n">
        <v>700</v>
      </c>
      <c r="Q410" s="245" t="n">
        <v>13</v>
      </c>
      <c r="R410" s="245" t="n">
        <v>7</v>
      </c>
      <c r="S410" s="245" t="n">
        <v>1</v>
      </c>
      <c r="T410" s="249" t="inlineStr">
        <is>
          <t xml:space="preserve">I2   </t>
        </is>
      </c>
      <c r="U410" s="249" t="n">
        <v>398</v>
      </c>
      <c r="V410" s="678" t="n">
        <v>15644</v>
      </c>
      <c r="W410" s="678" t="n">
        <v>16000</v>
      </c>
      <c r="X410" s="356" t="inlineStr">
        <is>
          <t>4.5:1</t>
        </is>
      </c>
      <c r="Y410" s="678" t="n">
        <v>3000</v>
      </c>
      <c r="Z410" s="249" t="inlineStr">
        <is>
          <t xml:space="preserve">C </t>
        </is>
      </c>
      <c r="AC410" s="253" t="n"/>
      <c r="AD410" s="247" t="inlineStr">
        <is>
          <t xml:space="preserve">S-W                 </t>
        </is>
      </c>
      <c r="AE410" s="680" t="n"/>
      <c r="AF410" s="680" t="n"/>
      <c r="AG410" s="680" t="n"/>
      <c r="AH410" s="680" t="n"/>
      <c r="AI410" s="680" t="n"/>
      <c r="AJ410" s="680" t="n"/>
      <c r="AK410" s="680" t="inlineStr">
        <is>
          <t>                                                                  </t>
        </is>
      </c>
      <c r="AM410" s="245" t="inlineStr">
        <is>
          <t> </t>
        </is>
      </c>
    </row>
    <row r="411">
      <c r="A411" s="248" t="n">
        <v>7</v>
      </c>
      <c r="B411" s="370" t="n">
        <v>404</v>
      </c>
      <c r="C411" s="254" t="inlineStr">
        <is>
          <t>2011Q</t>
        </is>
      </c>
      <c r="D411" s="245" t="inlineStr">
        <is>
          <t xml:space="preserve">02275-14-021-000 </t>
        </is>
      </c>
      <c r="E411" s="258" t="inlineStr">
        <is>
          <t>Actual</t>
        </is>
      </c>
      <c r="F411" s="259" t="inlineStr">
        <is>
          <t>2860   WALNUT              ST</t>
        </is>
      </c>
      <c r="G411" s="253" t="n">
        <v>44.1</v>
      </c>
      <c r="H411" s="253" t="n">
        <v>9210</v>
      </c>
      <c r="I411" s="255" t="n">
        <v>0</v>
      </c>
      <c r="J411" s="678" t="n">
        <v>4141</v>
      </c>
      <c r="K411" s="679" t="n">
        <v>5.390002414875634</v>
      </c>
      <c r="L411" s="260" t="n">
        <v>0</v>
      </c>
      <c r="M411" s="262" t="n">
        <v>0.004659498207885305</v>
      </c>
      <c r="N411" s="253" t="n">
        <v>1937</v>
      </c>
      <c r="O411" s="250" t="n">
        <v>0</v>
      </c>
      <c r="Q411" s="245" t="n">
        <v>13</v>
      </c>
      <c r="R411" s="245" t="n">
        <v>3</v>
      </c>
      <c r="S411" s="245" t="n">
        <v>1</v>
      </c>
      <c r="T411" s="249" t="inlineStr">
        <is>
          <t xml:space="preserve">I2   </t>
        </is>
      </c>
      <c r="U411" s="249" t="n">
        <v>398</v>
      </c>
      <c r="V411" s="678" t="n">
        <v>12530</v>
      </c>
      <c r="W411" s="678" t="n">
        <v>13000</v>
      </c>
      <c r="X411" s="356" t="inlineStr">
        <is>
          <t>3.0:1</t>
        </is>
      </c>
      <c r="Y411" s="678" t="n">
        <v>4000</v>
      </c>
      <c r="Z411" s="249" t="inlineStr">
        <is>
          <t xml:space="preserve">C </t>
        </is>
      </c>
      <c r="AC411" s="253" t="n"/>
      <c r="AD411" s="247" t="inlineStr">
        <is>
          <t xml:space="preserve">S-W                 </t>
        </is>
      </c>
      <c r="AE411" s="680" t="n"/>
      <c r="AF411" s="680" t="n"/>
      <c r="AG411" s="680" t="n"/>
      <c r="AH411" s="680" t="n"/>
      <c r="AI411" s="680" t="n"/>
      <c r="AJ411" s="680" t="n"/>
      <c r="AK411" s="680" t="inlineStr">
        <is>
          <t>                                                                  </t>
        </is>
      </c>
      <c r="AM411" s="245" t="inlineStr">
        <is>
          <t> </t>
        </is>
      </c>
    </row>
    <row r="412">
      <c r="A412" s="248" t="n">
        <v>7</v>
      </c>
      <c r="B412" s="370" t="n">
        <v>405</v>
      </c>
      <c r="C412" s="369" t="inlineStr">
        <is>
          <t>2011W</t>
        </is>
      </c>
      <c r="D412" s="370" t="inlineStr">
        <is>
          <t>02276-22-020-000</t>
        </is>
      </c>
      <c r="E412" s="369" t="inlineStr">
        <is>
          <t>Actual</t>
        </is>
      </c>
      <c r="F412" s="370" t="inlineStr">
        <is>
          <t>2728 Larimer</t>
        </is>
      </c>
      <c r="G412" s="371" t="inlineStr">
        <is>
          <t>42.1/44.1</t>
        </is>
      </c>
      <c r="H412" s="370" t="n">
        <v>9210</v>
      </c>
      <c r="I412" s="369" t="n">
        <v>0</v>
      </c>
      <c r="J412" s="372" t="n">
        <v>14766</v>
      </c>
      <c r="K412" s="681" t="n">
        <v>5.6</v>
      </c>
      <c r="L412" s="374" t="n">
        <v>0</v>
      </c>
      <c r="M412" s="374" t="n">
        <v>0.1</v>
      </c>
      <c r="N412" s="370" t="n">
        <v>1967</v>
      </c>
      <c r="O412" s="369" t="inlineStr">
        <is>
          <t>I1</t>
        </is>
      </c>
      <c r="P412" s="370" t="n">
        <v>401</v>
      </c>
      <c r="Q412" s="372" t="n">
        <v>21960</v>
      </c>
      <c r="R412" s="372">
        <f>MROUND(Q412,1000)</f>
        <v/>
      </c>
      <c r="S412" s="375" t="inlineStr">
        <is>
          <t>1.49:1</t>
        </is>
      </c>
      <c r="T412" s="372">
        <f>MROUND(J412,1000)</f>
        <v/>
      </c>
      <c r="U412" s="370" t="inlineStr">
        <is>
          <t>B</t>
        </is>
      </c>
      <c r="V412" s="370" t="n">
        <v>3</v>
      </c>
      <c r="W412" s="370" t="n">
        <v>3</v>
      </c>
      <c r="X412" s="370" t="n">
        <v>33</v>
      </c>
      <c r="Y412" s="370" t="n"/>
      <c r="Z412" s="682" t="n"/>
      <c r="AA412" s="683" t="n"/>
      <c r="AB412" s="683" t="n"/>
      <c r="AC412" s="682" t="n"/>
      <c r="AD412" s="683" t="n"/>
      <c r="AE412" s="682" t="n"/>
      <c r="AF412" s="370" t="n"/>
      <c r="AG412" s="370" t="n"/>
      <c r="AH412" s="680" t="n"/>
      <c r="AI412" s="680" t="n"/>
      <c r="AJ412" s="680" t="n"/>
      <c r="AK412" s="680" t="n"/>
    </row>
    <row r="413">
      <c r="A413" s="248" t="n">
        <v>7</v>
      </c>
      <c r="B413" s="370" t="n">
        <v>406</v>
      </c>
      <c r="C413" s="254" t="inlineStr">
        <is>
          <t>2011Q</t>
        </is>
      </c>
      <c r="D413" s="245" t="inlineStr">
        <is>
          <t xml:space="preserve">02277-00-010-000 </t>
        </is>
      </c>
      <c r="E413" s="258" t="inlineStr">
        <is>
          <t>Actual</t>
        </is>
      </c>
      <c r="F413" s="259" t="inlineStr">
        <is>
          <t>2501   BLAKE               ST</t>
        </is>
      </c>
      <c r="G413" s="253" t="n">
        <v>44.1</v>
      </c>
      <c r="H413" s="253" t="n">
        <v>9202</v>
      </c>
      <c r="I413" s="255" t="n">
        <v>0</v>
      </c>
      <c r="J413" s="678" t="n">
        <v>28647</v>
      </c>
      <c r="K413" s="679" t="n">
        <v>15.42918979299752</v>
      </c>
      <c r="L413" s="260" t="n">
        <v>0</v>
      </c>
      <c r="M413" s="262" t="n">
        <v>0.009954751131221719</v>
      </c>
      <c r="N413" s="253" t="n">
        <v>1956</v>
      </c>
      <c r="O413" s="250" t="n">
        <v>0</v>
      </c>
      <c r="P413" s="250" t="n">
        <v>14952</v>
      </c>
      <c r="Q413" s="245" t="n">
        <v>22</v>
      </c>
      <c r="R413" s="245" t="n">
        <v>1</v>
      </c>
      <c r="S413" s="245" t="n">
        <v>1</v>
      </c>
      <c r="T413" s="249" t="inlineStr">
        <is>
          <t xml:space="preserve">I2   </t>
        </is>
      </c>
      <c r="U413" s="249" t="n">
        <v>398</v>
      </c>
      <c r="V413" s="678" t="n">
        <v>42092</v>
      </c>
      <c r="W413" s="678" t="n">
        <v>42000</v>
      </c>
      <c r="X413" s="356" t="inlineStr">
        <is>
          <t>1.5:1</t>
        </is>
      </c>
      <c r="Y413" s="678" t="n">
        <v>29000</v>
      </c>
      <c r="Z413" s="249" t="inlineStr">
        <is>
          <t xml:space="preserve">C </t>
        </is>
      </c>
      <c r="AC413" s="253" t="n"/>
      <c r="AD413" s="247" t="inlineStr">
        <is>
          <t xml:space="preserve">SPACES THAT WORK    </t>
        </is>
      </c>
      <c r="AE413" s="680" t="n"/>
      <c r="AF413" s="680" t="n"/>
      <c r="AG413" s="680" t="n"/>
      <c r="AH413" s="680" t="n"/>
      <c r="AI413" s="680" t="n"/>
      <c r="AJ413" s="680" t="n"/>
      <c r="AK413" s="680" t="inlineStr">
        <is>
          <t xml:space="preserve">2008 LEASE.                                                       </t>
        </is>
      </c>
      <c r="AM413" s="245" t="inlineStr">
        <is>
          <t> </t>
        </is>
      </c>
    </row>
    <row r="414">
      <c r="A414" s="248" t="n">
        <v>7</v>
      </c>
      <c r="B414" s="370" t="n">
        <v>407</v>
      </c>
      <c r="C414" s="254" t="inlineStr">
        <is>
          <t>2011Q</t>
        </is>
      </c>
      <c r="D414" s="245" t="inlineStr">
        <is>
          <t xml:space="preserve">02281-03-008-000 </t>
        </is>
      </c>
      <c r="E414" s="258" t="inlineStr">
        <is>
          <t>Actual</t>
        </is>
      </c>
      <c r="F414" s="259" t="inlineStr">
        <is>
          <t>3725   JASON               ST</t>
        </is>
      </c>
      <c r="G414" s="672" t="n">
        <v>47.1</v>
      </c>
      <c r="H414" s="253" t="n">
        <v>9208</v>
      </c>
      <c r="I414" s="255" t="n">
        <v>0</v>
      </c>
      <c r="J414" s="678" t="n">
        <v>5760</v>
      </c>
      <c r="K414" s="679" t="n">
        <v>3.125</v>
      </c>
      <c r="L414" s="260" t="n">
        <v>0</v>
      </c>
      <c r="M414" s="262" t="n">
        <v>0</v>
      </c>
      <c r="N414" s="253" t="n">
        <v>1971</v>
      </c>
      <c r="O414" s="250" t="n">
        <v>992</v>
      </c>
      <c r="Q414" s="245" t="n">
        <v>15</v>
      </c>
      <c r="R414" s="245" t="n">
        <v>7</v>
      </c>
      <c r="S414" s="245" t="n">
        <v>1</v>
      </c>
      <c r="T414" s="249" t="inlineStr">
        <is>
          <t xml:space="preserve">I0   </t>
        </is>
      </c>
      <c r="U414" s="249" t="n">
        <v>401</v>
      </c>
      <c r="V414" s="678" t="n">
        <v>18750</v>
      </c>
      <c r="W414" s="678" t="n">
        <v>19000</v>
      </c>
      <c r="X414" s="356" t="inlineStr">
        <is>
          <t>3.3:1</t>
        </is>
      </c>
      <c r="Y414" s="678" t="n">
        <v>6000</v>
      </c>
      <c r="Z414" s="249" t="inlineStr">
        <is>
          <t xml:space="preserve">C </t>
        </is>
      </c>
      <c r="AC414" s="253" t="n"/>
      <c r="AD414" s="247" t="inlineStr">
        <is>
          <t xml:space="preserve">SILVER STATE FOODS  </t>
        </is>
      </c>
      <c r="AE414" s="680" t="n"/>
      <c r="AF414" s="680" t="n"/>
      <c r="AG414" s="680" t="n"/>
      <c r="AH414" s="680" t="n"/>
      <c r="AI414" s="680" t="n"/>
      <c r="AJ414" s="680" t="n"/>
      <c r="AK414" s="680" t="inlineStr">
        <is>
          <t>                                                                  </t>
        </is>
      </c>
      <c r="AM414" s="245" t="inlineStr">
        <is>
          <t> </t>
        </is>
      </c>
    </row>
    <row r="415">
      <c r="A415" s="248" t="n">
        <v>7</v>
      </c>
      <c r="B415" s="370" t="n">
        <v>408</v>
      </c>
      <c r="C415" s="254" t="inlineStr">
        <is>
          <t>2011Q</t>
        </is>
      </c>
      <c r="D415" s="245" t="inlineStr">
        <is>
          <t xml:space="preserve">02281-04-010-000 </t>
        </is>
      </c>
      <c r="E415" s="258" t="inlineStr">
        <is>
          <t>Actual</t>
        </is>
      </c>
      <c r="F415" s="259" t="inlineStr">
        <is>
          <t>3737   KALAMATH            ST</t>
        </is>
      </c>
      <c r="G415" s="253" t="n">
        <v>44.1</v>
      </c>
      <c r="H415" s="253" t="n">
        <v>9208</v>
      </c>
      <c r="I415" s="255" t="n">
        <v>0</v>
      </c>
      <c r="J415" s="678" t="n">
        <v>3200</v>
      </c>
      <c r="K415" s="679" t="n">
        <v>12.65625</v>
      </c>
      <c r="L415" s="260" t="n">
        <v>0</v>
      </c>
      <c r="M415" s="262" t="n">
        <v>0</v>
      </c>
      <c r="N415" s="253" t="n">
        <v>1953</v>
      </c>
      <c r="O415" s="250" t="n">
        <v>180</v>
      </c>
      <c r="Q415" s="245" t="n">
        <v>14</v>
      </c>
      <c r="R415" s="245" t="n">
        <v>3</v>
      </c>
      <c r="S415" s="245" t="n">
        <v>1</v>
      </c>
      <c r="T415" s="249" t="inlineStr">
        <is>
          <t xml:space="preserve">B4   </t>
        </is>
      </c>
      <c r="U415" s="249" t="n">
        <v>398</v>
      </c>
      <c r="V415" s="678" t="n">
        <v>14062</v>
      </c>
      <c r="W415" s="678" t="n">
        <v>14000</v>
      </c>
      <c r="X415" s="356" t="inlineStr">
        <is>
          <t>4.4:1</t>
        </is>
      </c>
      <c r="Y415" s="678" t="n">
        <v>3000</v>
      </c>
      <c r="Z415" s="249" t="inlineStr">
        <is>
          <t xml:space="preserve">C </t>
        </is>
      </c>
      <c r="AC415" s="253" t="n"/>
      <c r="AD415" s="247" t="inlineStr">
        <is>
          <t xml:space="preserve">S-W                 </t>
        </is>
      </c>
      <c r="AE415" s="680" t="n"/>
      <c r="AF415" s="680" t="n"/>
      <c r="AG415" s="680" t="n"/>
      <c r="AH415" s="680" t="n"/>
      <c r="AI415" s="680" t="n"/>
      <c r="AJ415" s="680" t="n"/>
      <c r="AK415" s="680" t="inlineStr">
        <is>
          <t xml:space="preserve">LEASE COMMENCEMENT DATA UNKNOWN.                                  </t>
        </is>
      </c>
      <c r="AM415" s="245" t="inlineStr">
        <is>
          <t> </t>
        </is>
      </c>
    </row>
    <row r="416">
      <c r="A416" s="248" t="n">
        <v>7</v>
      </c>
      <c r="B416" s="370" t="n">
        <v>409</v>
      </c>
      <c r="C416" s="254" t="inlineStr">
        <is>
          <t>2011Q</t>
        </is>
      </c>
      <c r="D416" s="245" t="inlineStr">
        <is>
          <t xml:space="preserve">02281-07-005-000 </t>
        </is>
      </c>
      <c r="E416" s="258" t="inlineStr">
        <is>
          <t>Actual</t>
        </is>
      </c>
      <c r="F416" s="259" t="inlineStr">
        <is>
          <t>3700   OSAGE               ST</t>
        </is>
      </c>
      <c r="G416" s="253" t="n">
        <v>44.1</v>
      </c>
      <c r="H416" s="253" t="n">
        <v>9208</v>
      </c>
      <c r="I416" s="255" t="n">
        <v>0</v>
      </c>
      <c r="J416" s="678" t="n">
        <v>5920</v>
      </c>
      <c r="K416" s="679" t="n">
        <v>8.108108108108109</v>
      </c>
      <c r="L416" s="260" t="n">
        <v>0</v>
      </c>
      <c r="M416" s="262" t="n">
        <v>0.075</v>
      </c>
      <c r="N416" s="253" t="n">
        <v>1904</v>
      </c>
      <c r="O416" s="250" t="n">
        <v>468</v>
      </c>
      <c r="P416" s="250" t="n">
        <v>1000</v>
      </c>
      <c r="Q416" s="245" t="n">
        <v>12</v>
      </c>
      <c r="R416" s="245" t="n">
        <v>1</v>
      </c>
      <c r="S416" s="245" t="n">
        <v>1</v>
      </c>
      <c r="T416" s="249" t="inlineStr">
        <is>
          <t xml:space="preserve">B2   </t>
        </is>
      </c>
      <c r="U416" s="249" t="n">
        <v>398</v>
      </c>
      <c r="V416" s="678" t="n">
        <v>6237</v>
      </c>
      <c r="W416" s="678" t="n">
        <v>6000</v>
      </c>
      <c r="X416" s="356" t="inlineStr">
        <is>
          <t>1.1:1</t>
        </is>
      </c>
      <c r="Y416" s="678" t="n">
        <v>6000</v>
      </c>
      <c r="Z416" s="249" t="inlineStr">
        <is>
          <t xml:space="preserve">C </t>
        </is>
      </c>
      <c r="AC416" s="253" t="n"/>
      <c r="AD416" s="247" t="inlineStr">
        <is>
          <t>                    </t>
        </is>
      </c>
      <c r="AE416" s="680" t="n"/>
      <c r="AF416" s="680" t="n"/>
      <c r="AG416" s="680" t="n"/>
      <c r="AH416" s="680" t="n"/>
      <c r="AI416" s="680" t="n"/>
      <c r="AJ416" s="680" t="n"/>
      <c r="AK416" s="680" t="inlineStr">
        <is>
          <t>                                                                  </t>
        </is>
      </c>
      <c r="AM416" s="245" t="inlineStr">
        <is>
          <t> </t>
        </is>
      </c>
    </row>
    <row r="417">
      <c r="A417" s="248" t="n">
        <v>7</v>
      </c>
      <c r="B417" s="370" t="n">
        <v>410</v>
      </c>
      <c r="C417" s="254" t="inlineStr">
        <is>
          <t>2011Q</t>
        </is>
      </c>
      <c r="D417" s="245" t="inlineStr">
        <is>
          <t xml:space="preserve">02281-27-013-000 </t>
        </is>
      </c>
      <c r="E417" s="258" t="inlineStr">
        <is>
          <t>Actual</t>
        </is>
      </c>
      <c r="F417" s="259" t="inlineStr">
        <is>
          <t>4400   MARIPOSA            ST</t>
        </is>
      </c>
      <c r="G417" s="253" t="n">
        <v>44.1</v>
      </c>
      <c r="H417" s="253" t="n">
        <v>9208</v>
      </c>
      <c r="I417" s="255" t="n">
        <v>0</v>
      </c>
      <c r="J417" s="678" t="n">
        <v>8142</v>
      </c>
      <c r="K417" s="679" t="n">
        <v>11.05379513633014</v>
      </c>
      <c r="L417" s="260" t="n">
        <v>0</v>
      </c>
      <c r="M417" s="262" t="n">
        <v>0.02777777777777778</v>
      </c>
      <c r="N417" s="253" t="n">
        <v>1966</v>
      </c>
      <c r="O417" s="250" t="n">
        <v>0</v>
      </c>
      <c r="P417" s="250" t="n">
        <v>6090</v>
      </c>
      <c r="Q417" s="245" t="n">
        <v>14</v>
      </c>
      <c r="R417" s="245" t="n">
        <v>3</v>
      </c>
      <c r="S417" s="245" t="n">
        <v>1</v>
      </c>
      <c r="T417" s="249" t="inlineStr">
        <is>
          <t xml:space="preserve">PRV  </t>
        </is>
      </c>
      <c r="U417" s="249" t="n">
        <v>398</v>
      </c>
      <c r="V417" s="678" t="n">
        <v>9375</v>
      </c>
      <c r="W417" s="678" t="n">
        <v>9000</v>
      </c>
      <c r="X417" s="356" t="inlineStr">
        <is>
          <t>1.2:1</t>
        </is>
      </c>
      <c r="Y417" s="678" t="n">
        <v>8000</v>
      </c>
      <c r="Z417" s="249" t="inlineStr">
        <is>
          <t xml:space="preserve">C </t>
        </is>
      </c>
      <c r="AC417" s="253" t="n"/>
      <c r="AD417" s="247" t="inlineStr">
        <is>
          <t>                    </t>
        </is>
      </c>
      <c r="AE417" s="680" t="n"/>
      <c r="AF417" s="680" t="n"/>
      <c r="AG417" s="680" t="n"/>
      <c r="AH417" s="680" t="n"/>
      <c r="AI417" s="680" t="n"/>
      <c r="AJ417" s="680" t="n"/>
      <c r="AK417" s="680" t="inlineStr">
        <is>
          <t>                                                                  </t>
        </is>
      </c>
      <c r="AM417" s="245" t="inlineStr">
        <is>
          <t> </t>
        </is>
      </c>
    </row>
    <row r="418">
      <c r="A418" s="248" t="n">
        <v>7</v>
      </c>
      <c r="B418" s="370" t="n">
        <v>411</v>
      </c>
      <c r="C418" s="254" t="inlineStr">
        <is>
          <t>2011Q</t>
        </is>
      </c>
      <c r="D418" s="245" t="inlineStr">
        <is>
          <t xml:space="preserve">02283-23-024-000 </t>
        </is>
      </c>
      <c r="E418" s="258" t="inlineStr">
        <is>
          <t>Actual</t>
        </is>
      </c>
      <c r="F418" s="259" t="inlineStr">
        <is>
          <t>2226 W 29TH                AV</t>
        </is>
      </c>
      <c r="G418" s="253" t="n">
        <v>44.1</v>
      </c>
      <c r="H418" s="253" t="n">
        <v>9208</v>
      </c>
      <c r="I418" s="255" t="n">
        <v>0</v>
      </c>
      <c r="J418" s="678" t="n">
        <v>1800</v>
      </c>
      <c r="K418" s="679" t="n">
        <v>5.333333333333333</v>
      </c>
      <c r="L418" s="260" t="n">
        <v>0</v>
      </c>
      <c r="M418" s="262" t="n">
        <v>0</v>
      </c>
      <c r="N418" s="253" t="n">
        <v>1972</v>
      </c>
      <c r="O418" s="250" t="n">
        <v>2148</v>
      </c>
      <c r="Q418" s="245" t="n">
        <v>12</v>
      </c>
      <c r="R418" s="245" t="n">
        <v>7</v>
      </c>
      <c r="S418" s="245" t="n">
        <v>1</v>
      </c>
      <c r="T418" s="249" t="inlineStr">
        <is>
          <t xml:space="preserve">PRV  </t>
        </is>
      </c>
      <c r="U418" s="249" t="n">
        <v>398</v>
      </c>
      <c r="V418" s="678" t="n">
        <v>18075</v>
      </c>
      <c r="W418" s="678" t="n">
        <v>18000</v>
      </c>
      <c r="X418" s="356" t="inlineStr">
        <is>
          <t>1.7:1</t>
        </is>
      </c>
      <c r="Y418" s="678" t="n">
        <v>2000</v>
      </c>
      <c r="Z418" s="249" t="inlineStr">
        <is>
          <t xml:space="preserve">C </t>
        </is>
      </c>
      <c r="AC418" s="253" t="n"/>
      <c r="AD418" s="247" t="inlineStr">
        <is>
          <t>                    </t>
        </is>
      </c>
      <c r="AE418" s="680" t="n"/>
      <c r="AF418" s="680" t="n"/>
      <c r="AG418" s="680" t="n"/>
      <c r="AH418" s="680" t="n"/>
      <c r="AI418" s="680" t="n"/>
      <c r="AJ418" s="680" t="n"/>
      <c r="AK418" s="680" t="inlineStr">
        <is>
          <t xml:space="preserve">1800 SF LEASED OUT OF A 10,408 SF BLDG.                           </t>
        </is>
      </c>
      <c r="AM418" s="245" t="inlineStr">
        <is>
          <t> </t>
        </is>
      </c>
    </row>
    <row r="419">
      <c r="A419" s="248" t="n">
        <v>7</v>
      </c>
      <c r="B419" s="370" t="n">
        <v>412</v>
      </c>
      <c r="C419" s="254" t="inlineStr">
        <is>
          <t>2011Q</t>
        </is>
      </c>
      <c r="D419" s="245" t="inlineStr">
        <is>
          <t xml:space="preserve">02342-28-021-000 </t>
        </is>
      </c>
      <c r="E419" s="258" t="inlineStr">
        <is>
          <t>Actual</t>
        </is>
      </c>
      <c r="F419" s="259" t="inlineStr">
        <is>
          <t>2258   CALIFORNIA          ST</t>
        </is>
      </c>
      <c r="G419" s="253" t="n">
        <v>44.1</v>
      </c>
      <c r="H419" s="253" t="n">
        <v>9202</v>
      </c>
      <c r="I419" s="255" t="n">
        <v>4</v>
      </c>
      <c r="J419" s="678" t="n">
        <v>1495</v>
      </c>
      <c r="K419" s="679" t="n">
        <v>24.08026755852843</v>
      </c>
      <c r="L419" s="260" t="n">
        <v>0</v>
      </c>
      <c r="M419" s="262" t="n">
        <v>0</v>
      </c>
      <c r="N419" s="253" t="n">
        <v>1955</v>
      </c>
      <c r="O419" s="250" t="n">
        <v>120</v>
      </c>
      <c r="Q419" s="245" t="n">
        <v>13</v>
      </c>
      <c r="R419" s="245" t="n">
        <v>1</v>
      </c>
      <c r="S419" s="245" t="n">
        <v>1</v>
      </c>
      <c r="T419" s="249" t="inlineStr">
        <is>
          <t xml:space="preserve">B8   </t>
        </is>
      </c>
      <c r="U419" s="249" t="n">
        <v>398</v>
      </c>
      <c r="V419" s="678" t="n">
        <v>6290</v>
      </c>
      <c r="W419" s="678" t="n">
        <v>6000</v>
      </c>
      <c r="X419" s="356" t="inlineStr">
        <is>
          <t>4.2:1</t>
        </is>
      </c>
      <c r="Y419" s="678" t="n">
        <v>1000</v>
      </c>
      <c r="Z419" s="249" t="inlineStr">
        <is>
          <t xml:space="preserve">C </t>
        </is>
      </c>
      <c r="AC419" s="253" t="n"/>
      <c r="AD419" s="247" t="inlineStr">
        <is>
          <t xml:space="preserve">S-W IDEAL RADIATOR  </t>
        </is>
      </c>
      <c r="AE419" s="680" t="n"/>
      <c r="AF419" s="680" t="n"/>
      <c r="AG419" s="680" t="n"/>
      <c r="AH419" s="680" t="n"/>
      <c r="AI419" s="680" t="n"/>
      <c r="AJ419" s="680" t="n"/>
      <c r="AK419" s="680" t="inlineStr">
        <is>
          <t xml:space="preserve">AGE OF LEASE UNKNOWN.                                             </t>
        </is>
      </c>
      <c r="AM419" s="245" t="inlineStr">
        <is>
          <t> </t>
        </is>
      </c>
    </row>
    <row r="420">
      <c r="A420" s="248" t="n">
        <v>7</v>
      </c>
      <c r="B420" s="370" t="n">
        <v>413</v>
      </c>
      <c r="C420" s="254" t="inlineStr">
        <is>
          <t>2011Q</t>
        </is>
      </c>
      <c r="D420" s="245" t="inlineStr">
        <is>
          <t xml:space="preserve">02342-37-017-000 </t>
        </is>
      </c>
      <c r="E420" s="258" t="inlineStr">
        <is>
          <t>Actual</t>
        </is>
      </c>
      <c r="F420" s="259" t="inlineStr">
        <is>
          <t>2040   LAWRENCE            ST</t>
        </is>
      </c>
      <c r="G420" s="672" t="n">
        <v>47.2</v>
      </c>
      <c r="H420" s="253" t="n">
        <v>9202</v>
      </c>
      <c r="I420" s="255" t="n">
        <v>7</v>
      </c>
      <c r="J420" s="678" t="n">
        <v>5000</v>
      </c>
      <c r="K420" s="679" t="n">
        <v>8.880000000000001</v>
      </c>
      <c r="L420" s="260" t="n">
        <v>0</v>
      </c>
      <c r="M420" s="262" t="n">
        <v>0.02702702702702703</v>
      </c>
      <c r="N420" s="253" t="n">
        <v>1957</v>
      </c>
      <c r="O420" s="250" t="n">
        <v>641</v>
      </c>
      <c r="Q420" s="245" t="n">
        <v>13</v>
      </c>
      <c r="R420" s="245" t="n">
        <v>3</v>
      </c>
      <c r="S420" s="245" t="n">
        <v>1</v>
      </c>
      <c r="T420" s="249" t="inlineStr">
        <is>
          <t xml:space="preserve">B8A  </t>
        </is>
      </c>
      <c r="U420" s="249" t="n">
        <v>401</v>
      </c>
      <c r="V420" s="678" t="n">
        <v>6270</v>
      </c>
      <c r="W420" s="678" t="n">
        <v>6000</v>
      </c>
      <c r="X420" s="356" t="inlineStr">
        <is>
          <t>1.3:1</t>
        </is>
      </c>
      <c r="Y420" s="678" t="n">
        <v>5000</v>
      </c>
      <c r="Z420" s="249" t="inlineStr">
        <is>
          <t xml:space="preserve">C </t>
        </is>
      </c>
      <c r="AC420" s="253" t="n"/>
      <c r="AD420" s="247" t="inlineStr">
        <is>
          <t xml:space="preserve">BUDGET BLUEPRINTS   </t>
        </is>
      </c>
      <c r="AE420" s="680" t="n"/>
      <c r="AF420" s="680" t="n"/>
      <c r="AG420" s="680" t="n"/>
      <c r="AH420" s="680" t="n"/>
      <c r="AI420" s="680" t="n"/>
      <c r="AJ420" s="680" t="n"/>
      <c r="AK420" s="680" t="inlineStr">
        <is>
          <t xml:space="preserve">2008 LEASE.                                                       </t>
        </is>
      </c>
      <c r="AM420" s="245" t="inlineStr">
        <is>
          <t> </t>
        </is>
      </c>
    </row>
    <row r="421">
      <c r="A421" s="248" t="n">
        <v>7</v>
      </c>
      <c r="B421" s="370" t="n">
        <v>414</v>
      </c>
      <c r="C421" s="254" t="inlineStr">
        <is>
          <t>2011Q</t>
        </is>
      </c>
      <c r="D421" s="245" t="inlineStr">
        <is>
          <t xml:space="preserve">02342-38-014-000 </t>
        </is>
      </c>
      <c r="E421" s="258" t="inlineStr">
        <is>
          <t>Actual</t>
        </is>
      </c>
      <c r="F421" s="259" t="inlineStr">
        <is>
          <t>2063   CURTIS              ST</t>
        </is>
      </c>
      <c r="G421" s="253" t="n">
        <v>44.1</v>
      </c>
      <c r="H421" s="253" t="n">
        <v>9202</v>
      </c>
      <c r="I421" s="255" t="n">
        <v>7</v>
      </c>
      <c r="J421" s="678" t="n">
        <v>1300</v>
      </c>
      <c r="K421" s="679" t="n">
        <v>23.07692307692308</v>
      </c>
      <c r="L421" s="260" t="n">
        <v>0</v>
      </c>
      <c r="M421" s="262" t="n">
        <v>0.03</v>
      </c>
      <c r="N421" s="253" t="n">
        <v>1937</v>
      </c>
      <c r="O421" s="250" t="n">
        <v>0</v>
      </c>
      <c r="Q421" s="245" t="n">
        <v>12</v>
      </c>
      <c r="R421" s="245" t="n">
        <v>3</v>
      </c>
      <c r="S421" s="245" t="n">
        <v>1</v>
      </c>
      <c r="T421" s="249" t="inlineStr">
        <is>
          <t xml:space="preserve">B8A  </t>
        </is>
      </c>
      <c r="U421" s="249" t="n">
        <v>398</v>
      </c>
      <c r="V421" s="678" t="n">
        <v>6260</v>
      </c>
      <c r="W421" s="678" t="n">
        <v>6000</v>
      </c>
      <c r="X421" s="356" t="inlineStr">
        <is>
          <t>3.1:1</t>
        </is>
      </c>
      <c r="Y421" s="678" t="n">
        <v>1000</v>
      </c>
      <c r="Z421" s="249" t="inlineStr">
        <is>
          <t xml:space="preserve">C </t>
        </is>
      </c>
      <c r="AC421" s="253" t="n"/>
      <c r="AD421" s="247" t="inlineStr">
        <is>
          <t xml:space="preserve">S-W                 </t>
        </is>
      </c>
      <c r="AE421" s="680" t="n"/>
      <c r="AF421" s="680" t="n"/>
      <c r="AG421" s="680" t="n"/>
      <c r="AH421" s="680" t="n"/>
      <c r="AI421" s="680" t="n"/>
      <c r="AJ421" s="680" t="n"/>
      <c r="AK421" s="680" t="inlineStr">
        <is>
          <t xml:space="preserve">LEASE COMMENCEMENT UNKNOWN.                                       </t>
        </is>
      </c>
      <c r="AM421" s="245" t="inlineStr">
        <is>
          <t> </t>
        </is>
      </c>
    </row>
    <row r="422">
      <c r="A422" s="248" t="n">
        <v>7</v>
      </c>
      <c r="B422" s="370" t="n">
        <v>415</v>
      </c>
      <c r="C422" s="254" t="inlineStr">
        <is>
          <t>2011Q</t>
        </is>
      </c>
      <c r="D422" s="245" t="inlineStr">
        <is>
          <t xml:space="preserve">05034-15-029-000 </t>
        </is>
      </c>
      <c r="E422" s="258" t="inlineStr">
        <is>
          <t>Actual</t>
        </is>
      </c>
      <c r="F422" s="259" t="inlineStr">
        <is>
          <t>1136 N SPEER               BV</t>
        </is>
      </c>
      <c r="G422" s="672" t="n">
        <v>44.2</v>
      </c>
      <c r="H422" s="253" t="n">
        <v>9503</v>
      </c>
      <c r="I422" s="255" t="n">
        <v>6</v>
      </c>
      <c r="J422" s="678" t="n">
        <v>1500</v>
      </c>
      <c r="K422" s="679" t="n">
        <v>12</v>
      </c>
      <c r="L422" s="260" t="n">
        <v>0</v>
      </c>
      <c r="M422" s="262" t="n">
        <v>0</v>
      </c>
      <c r="N422" s="253" t="n">
        <v>1947</v>
      </c>
      <c r="O422" s="250" t="n">
        <v>0</v>
      </c>
      <c r="Q422" s="245" t="n">
        <v>13</v>
      </c>
      <c r="R422" s="245" t="n">
        <v>3</v>
      </c>
      <c r="S422" s="245" t="n">
        <v>1</v>
      </c>
      <c r="T422" s="249" t="inlineStr">
        <is>
          <t xml:space="preserve">B8G  </t>
        </is>
      </c>
      <c r="U422" s="249" t="n">
        <v>398</v>
      </c>
      <c r="V422" s="678" t="n">
        <v>10315</v>
      </c>
      <c r="W422" s="678" t="n">
        <v>10000</v>
      </c>
      <c r="X422" s="356" t="inlineStr">
        <is>
          <t>1.3:1</t>
        </is>
      </c>
      <c r="Y422" s="678" t="n">
        <v>2000</v>
      </c>
      <c r="Z422" s="249" t="inlineStr">
        <is>
          <t xml:space="preserve">C </t>
        </is>
      </c>
      <c r="AC422" s="253" t="n"/>
      <c r="AD422" s="247" t="inlineStr">
        <is>
          <t>                    </t>
        </is>
      </c>
      <c r="AE422" s="680" t="n"/>
      <c r="AF422" s="680" t="n"/>
      <c r="AG422" s="680" t="n"/>
      <c r="AH422" s="680" t="n"/>
      <c r="AI422" s="680" t="n"/>
      <c r="AJ422" s="680" t="n"/>
      <c r="AK422" s="680" t="inlineStr">
        <is>
          <t xml:space="preserve">1500 SF LEASED IN 8000 SF BLDG; LEASE COMMENCEMENT UNKNOWN        </t>
        </is>
      </c>
      <c r="AM422" s="245" t="inlineStr">
        <is>
          <t> </t>
        </is>
      </c>
    </row>
    <row r="423">
      <c r="A423" s="248" t="n">
        <v>7</v>
      </c>
      <c r="B423" s="370" t="n">
        <v>416</v>
      </c>
      <c r="C423" s="254" t="inlineStr">
        <is>
          <t>2011Q</t>
        </is>
      </c>
      <c r="D423" s="245" t="inlineStr">
        <is>
          <t xml:space="preserve">05036-13-027-000 </t>
        </is>
      </c>
      <c r="E423" s="258" t="inlineStr">
        <is>
          <t>Actual</t>
        </is>
      </c>
      <c r="F423" s="259" t="inlineStr">
        <is>
          <t>855   INCA                ST</t>
        </is>
      </c>
      <c r="G423" s="672" t="n">
        <v>44.2</v>
      </c>
      <c r="H423" s="253" t="n">
        <v>9505</v>
      </c>
      <c r="I423" s="255" t="n">
        <v>0</v>
      </c>
      <c r="J423" s="678" t="n">
        <v>8389</v>
      </c>
      <c r="K423" s="679" t="n">
        <v>11.65812373346048</v>
      </c>
      <c r="L423" s="260" t="n">
        <v>0.27</v>
      </c>
      <c r="M423" s="262" t="n">
        <v>0.1482106339468303</v>
      </c>
      <c r="N423" s="253" t="n">
        <v>1957</v>
      </c>
      <c r="O423" s="250" t="n">
        <v>1206</v>
      </c>
      <c r="Q423" s="245" t="n">
        <v>12</v>
      </c>
      <c r="R423" s="245" t="n">
        <v>3</v>
      </c>
      <c r="S423" s="245" t="n">
        <v>1</v>
      </c>
      <c r="T423" s="249" t="inlineStr">
        <is>
          <t xml:space="preserve">B4   </t>
        </is>
      </c>
      <c r="U423" s="249" t="n">
        <v>398</v>
      </c>
      <c r="V423" s="678" t="n">
        <v>10500</v>
      </c>
      <c r="W423" s="678" t="n">
        <v>11000</v>
      </c>
      <c r="X423" s="356" t="inlineStr">
        <is>
          <t>1.3:1</t>
        </is>
      </c>
      <c r="Y423" s="678" t="n">
        <v>8000</v>
      </c>
      <c r="Z423" s="249" t="inlineStr">
        <is>
          <t xml:space="preserve">C </t>
        </is>
      </c>
      <c r="AC423" s="253" t="n"/>
      <c r="AD423" s="247" t="inlineStr">
        <is>
          <t xml:space="preserve">GUARDIAN ANGELS     </t>
        </is>
      </c>
      <c r="AE423" s="680" t="n"/>
      <c r="AF423" s="680" t="n"/>
      <c r="AG423" s="680" t="n"/>
      <c r="AH423" s="680" t="n"/>
      <c r="AI423" s="680" t="n"/>
      <c r="AJ423" s="680" t="n"/>
      <c r="AK423" s="680" t="inlineStr">
        <is>
          <t>                                                                  </t>
        </is>
      </c>
      <c r="AM423" s="245" t="inlineStr">
        <is>
          <t> </t>
        </is>
      </c>
    </row>
    <row r="424">
      <c r="A424" s="248" t="n">
        <v>7</v>
      </c>
      <c r="B424" s="370" t="n">
        <v>417</v>
      </c>
      <c r="C424" s="254" t="inlineStr">
        <is>
          <t>2011Q</t>
        </is>
      </c>
      <c r="D424" s="245" t="inlineStr">
        <is>
          <t xml:space="preserve">05039-09-024-000 </t>
        </is>
      </c>
      <c r="E424" s="258" t="inlineStr">
        <is>
          <t>Actual</t>
        </is>
      </c>
      <c r="F424" s="259" t="inlineStr">
        <is>
          <t>390 E 7TH                 AV</t>
        </is>
      </c>
      <c r="G424" s="253" t="n">
        <v>44.1</v>
      </c>
      <c r="H424" s="253" t="n">
        <v>9502</v>
      </c>
      <c r="I424" s="255" t="n">
        <v>0</v>
      </c>
      <c r="J424" s="678" t="n">
        <v>20217</v>
      </c>
      <c r="K424" s="679" t="n">
        <v>9.899985161003116</v>
      </c>
      <c r="L424" s="260" t="n">
        <v>0</v>
      </c>
      <c r="M424" s="262" t="n">
        <v>0</v>
      </c>
      <c r="N424" s="253" t="n">
        <v>1973</v>
      </c>
      <c r="O424" s="250" t="n">
        <v>2325</v>
      </c>
      <c r="Q424" s="245" t="n">
        <v>20</v>
      </c>
      <c r="R424" s="245" t="n">
        <v>1</v>
      </c>
      <c r="S424" s="245" t="n">
        <v>1</v>
      </c>
      <c r="T424" s="249" t="inlineStr">
        <is>
          <t xml:space="preserve">B2   </t>
        </is>
      </c>
      <c r="U424" s="249" t="n">
        <v>398</v>
      </c>
      <c r="V424" s="678" t="n">
        <v>37564</v>
      </c>
      <c r="W424" s="678" t="n">
        <v>38000</v>
      </c>
      <c r="X424" s="356" t="inlineStr">
        <is>
          <t>1.9:1</t>
        </is>
      </c>
      <c r="Y424" s="678" t="n">
        <v>20000</v>
      </c>
      <c r="Z424" s="249" t="inlineStr">
        <is>
          <t xml:space="preserve">C </t>
        </is>
      </c>
      <c r="AC424" s="253" t="n"/>
      <c r="AD424" s="247" t="inlineStr">
        <is>
          <t>                    </t>
        </is>
      </c>
      <c r="AE424" s="680" t="n"/>
      <c r="AF424" s="680" t="n"/>
      <c r="AG424" s="680" t="n"/>
      <c r="AH424" s="680" t="n"/>
      <c r="AI424" s="680" t="n"/>
      <c r="AJ424" s="680" t="n"/>
      <c r="AK424" s="680" t="inlineStr">
        <is>
          <t xml:space="preserve">2008 LEASE.                                                       </t>
        </is>
      </c>
      <c r="AM424" s="245" t="inlineStr">
        <is>
          <t> </t>
        </is>
      </c>
    </row>
    <row r="425">
      <c r="A425" s="248" t="n">
        <v>7</v>
      </c>
      <c r="B425" s="370" t="n">
        <v>418</v>
      </c>
      <c r="C425" s="254" t="inlineStr">
        <is>
          <t>2011Q</t>
        </is>
      </c>
      <c r="D425" s="245" t="inlineStr">
        <is>
          <t xml:space="preserve">05041-07-020-000 </t>
        </is>
      </c>
      <c r="E425" s="258" t="inlineStr">
        <is>
          <t>Actual</t>
        </is>
      </c>
      <c r="F425" s="259" t="inlineStr">
        <is>
          <t>1305   OSAGE               ST</t>
        </is>
      </c>
      <c r="G425" s="253" t="n">
        <v>44.1</v>
      </c>
      <c r="H425" s="253" t="n">
        <v>9505</v>
      </c>
      <c r="I425" s="255" t="n">
        <v>0</v>
      </c>
      <c r="J425" s="678" t="n">
        <v>10600</v>
      </c>
      <c r="K425" s="679" t="n">
        <v>8.490566037735849</v>
      </c>
      <c r="L425" s="260" t="n">
        <v>0</v>
      </c>
      <c r="M425" s="262" t="n">
        <v>0</v>
      </c>
      <c r="N425" s="253" t="n">
        <v>1966</v>
      </c>
      <c r="O425" s="250" t="n">
        <v>3480</v>
      </c>
      <c r="Q425" s="245" t="n">
        <v>13</v>
      </c>
      <c r="R425" s="245" t="n">
        <v>8</v>
      </c>
      <c r="S425" s="245" t="n">
        <v>1</v>
      </c>
      <c r="T425" s="249" t="inlineStr">
        <is>
          <t xml:space="preserve">I1   </t>
        </is>
      </c>
      <c r="U425" s="249" t="n">
        <v>397</v>
      </c>
      <c r="V425" s="678" t="n">
        <v>25019</v>
      </c>
      <c r="W425" s="678" t="n">
        <v>25000</v>
      </c>
      <c r="X425" s="356" t="inlineStr">
        <is>
          <t>2.4:1</t>
        </is>
      </c>
      <c r="Y425" s="678" t="n">
        <v>11000</v>
      </c>
      <c r="Z425" s="249" t="inlineStr">
        <is>
          <t xml:space="preserve">C </t>
        </is>
      </c>
      <c r="AC425" s="253" t="n"/>
      <c r="AD425" s="247" t="inlineStr">
        <is>
          <t xml:space="preserve">DIST-J-8 EQUIPMENT  </t>
        </is>
      </c>
      <c r="AE425" s="680" t="n"/>
      <c r="AF425" s="680" t="n"/>
      <c r="AG425" s="680" t="n"/>
      <c r="AH425" s="680" t="n"/>
      <c r="AI425" s="680" t="n"/>
      <c r="AJ425" s="680" t="n"/>
      <c r="AK425" s="680" t="inlineStr">
        <is>
          <t>                                                                  </t>
        </is>
      </c>
      <c r="AM425" s="245" t="inlineStr">
        <is>
          <t> </t>
        </is>
      </c>
    </row>
    <row r="426">
      <c r="A426" s="248" t="n">
        <v>7</v>
      </c>
      <c r="B426" s="370" t="n">
        <v>419</v>
      </c>
      <c r="C426" s="254" t="inlineStr">
        <is>
          <t>2011Q</t>
        </is>
      </c>
      <c r="D426" s="245" t="inlineStr">
        <is>
          <t xml:space="preserve">05041-13-038-000 </t>
        </is>
      </c>
      <c r="E426" s="258" t="inlineStr">
        <is>
          <t>Actual</t>
        </is>
      </c>
      <c r="F426" s="259" t="inlineStr">
        <is>
          <t>1247   SANTA FE            DR</t>
        </is>
      </c>
      <c r="G426" s="253" t="n">
        <v>44.1</v>
      </c>
      <c r="H426" s="253" t="n">
        <v>9505</v>
      </c>
      <c r="I426" s="255" t="n">
        <v>3</v>
      </c>
      <c r="J426" s="678" t="n">
        <v>25080</v>
      </c>
      <c r="K426" s="679" t="n">
        <v>4.784688995215311</v>
      </c>
      <c r="L426" s="260" t="n">
        <v>0</v>
      </c>
      <c r="M426" s="262" t="n">
        <v>0</v>
      </c>
      <c r="N426" s="253" t="n">
        <v>1976</v>
      </c>
      <c r="O426" s="250" t="n">
        <v>0</v>
      </c>
      <c r="Q426" s="245" t="n">
        <v>13</v>
      </c>
      <c r="R426" s="245" t="n">
        <v>4</v>
      </c>
      <c r="S426" s="245" t="n">
        <v>1</v>
      </c>
      <c r="T426" s="249" t="inlineStr">
        <is>
          <t xml:space="preserve">B8   </t>
        </is>
      </c>
      <c r="U426" s="249" t="n">
        <v>398</v>
      </c>
      <c r="V426" s="678" t="n">
        <v>32900</v>
      </c>
      <c r="W426" s="678" t="n">
        <v>33000</v>
      </c>
      <c r="X426" s="356" t="inlineStr">
        <is>
          <t>1.3:1</t>
        </is>
      </c>
      <c r="Y426" s="678" t="n">
        <v>25000</v>
      </c>
      <c r="Z426" s="249" t="inlineStr">
        <is>
          <t xml:space="preserve">C </t>
        </is>
      </c>
      <c r="AC426" s="253" t="n"/>
      <c r="AD426" s="247" t="inlineStr">
        <is>
          <t xml:space="preserve">CIES SEXTON PHOTO   </t>
        </is>
      </c>
      <c r="AE426" s="680" t="n"/>
      <c r="AF426" s="680" t="n"/>
      <c r="AG426" s="680" t="n"/>
      <c r="AH426" s="680" t="n"/>
      <c r="AI426" s="680" t="n"/>
      <c r="AJ426" s="680" t="n"/>
      <c r="AK426" s="680" t="inlineStr">
        <is>
          <t xml:space="preserve">MO-TO-MO.                                                         </t>
        </is>
      </c>
      <c r="AM426" s="245" t="inlineStr">
        <is>
          <t> </t>
        </is>
      </c>
    </row>
    <row r="427">
      <c r="A427" s="248" t="n">
        <v>7</v>
      </c>
      <c r="B427" s="370" t="n">
        <v>420</v>
      </c>
      <c r="C427" s="254" t="inlineStr">
        <is>
          <t>2011Q</t>
        </is>
      </c>
      <c r="D427" s="245" t="inlineStr">
        <is>
          <t xml:space="preserve">05042-01-047-000 </t>
        </is>
      </c>
      <c r="E427" s="258" t="inlineStr">
        <is>
          <t>Actual</t>
        </is>
      </c>
      <c r="F427" s="259" t="inlineStr">
        <is>
          <t>1801 W COLFAX              AV</t>
        </is>
      </c>
      <c r="G427" s="253" t="n">
        <v>44.1</v>
      </c>
      <c r="H427" s="253" t="n">
        <v>9505</v>
      </c>
      <c r="I427" s="255" t="n">
        <v>0</v>
      </c>
      <c r="J427" s="678" t="n">
        <v>3300</v>
      </c>
      <c r="K427" s="679" t="n">
        <v>5.454545454545454</v>
      </c>
      <c r="L427" s="260" t="n">
        <v>0</v>
      </c>
      <c r="M427" s="262" t="n">
        <v>0.1928888888888889</v>
      </c>
      <c r="N427" s="253" t="n">
        <v>1953</v>
      </c>
      <c r="O427" s="250" t="n">
        <v>325</v>
      </c>
      <c r="Q427" s="245" t="n">
        <v>13</v>
      </c>
      <c r="R427" s="245" t="n">
        <v>6</v>
      </c>
      <c r="S427" s="245" t="n">
        <v>1</v>
      </c>
      <c r="T427" s="249" t="inlineStr">
        <is>
          <t xml:space="preserve">I2   </t>
        </is>
      </c>
      <c r="U427" s="249" t="n">
        <v>398</v>
      </c>
      <c r="V427" s="678" t="n">
        <v>25929</v>
      </c>
      <c r="W427" s="678" t="n">
        <v>26000</v>
      </c>
      <c r="X427" s="356" t="inlineStr">
        <is>
          <t>5.1:1</t>
        </is>
      </c>
      <c r="Y427" s="678" t="n">
        <v>3000</v>
      </c>
      <c r="Z427" s="249" t="inlineStr">
        <is>
          <t xml:space="preserve">C </t>
        </is>
      </c>
      <c r="AC427" s="253" t="n"/>
      <c r="AD427" s="247" t="inlineStr">
        <is>
          <t>                    </t>
        </is>
      </c>
      <c r="AE427" s="680" t="n"/>
      <c r="AF427" s="680" t="n"/>
      <c r="AG427" s="680" t="n"/>
      <c r="AH427" s="680" t="n"/>
      <c r="AI427" s="680" t="n"/>
      <c r="AJ427" s="680" t="n"/>
      <c r="AK427" s="680" t="inlineStr">
        <is>
          <t>                                                                  </t>
        </is>
      </c>
      <c r="AM427" s="245" t="inlineStr">
        <is>
          <t> </t>
        </is>
      </c>
    </row>
    <row r="428">
      <c r="A428" s="248" t="n">
        <v>7</v>
      </c>
      <c r="B428" s="370" t="n">
        <v>421</v>
      </c>
      <c r="C428" s="254" t="inlineStr">
        <is>
          <t>2011Q</t>
        </is>
      </c>
      <c r="D428" s="245" t="inlineStr">
        <is>
          <t xml:space="preserve">05042-10-047-000 </t>
        </is>
      </c>
      <c r="E428" s="258" t="inlineStr">
        <is>
          <t>Actual</t>
        </is>
      </c>
      <c r="F428" s="259" t="inlineStr">
        <is>
          <t>1950 W 14TH                AV</t>
        </is>
      </c>
      <c r="G428" s="672" t="n">
        <v>47.1</v>
      </c>
      <c r="H428" s="253" t="n">
        <v>9505</v>
      </c>
      <c r="I428" s="255" t="n">
        <v>0</v>
      </c>
      <c r="J428" s="678" t="n">
        <v>4848</v>
      </c>
      <c r="K428" s="679" t="n">
        <v>9.900990099009901</v>
      </c>
      <c r="L428" s="260" t="n">
        <v>0</v>
      </c>
      <c r="M428" s="262" t="n">
        <v>0</v>
      </c>
      <c r="N428" s="253" t="n">
        <v>1960</v>
      </c>
      <c r="O428" s="250" t="n">
        <v>1596</v>
      </c>
      <c r="Q428" s="245" t="n">
        <v>15</v>
      </c>
      <c r="R428" s="245" t="n">
        <v>3</v>
      </c>
      <c r="S428" s="245" t="n">
        <v>1</v>
      </c>
      <c r="T428" s="249" t="inlineStr">
        <is>
          <t xml:space="preserve">PRV  </t>
        </is>
      </c>
      <c r="U428" s="249" t="n">
        <v>401</v>
      </c>
      <c r="V428" s="678" t="n">
        <v>9940</v>
      </c>
      <c r="W428" s="678" t="n">
        <v>10000</v>
      </c>
      <c r="X428" s="356" t="inlineStr">
        <is>
          <t>2.1:1</t>
        </is>
      </c>
      <c r="Y428" s="678" t="n">
        <v>5000</v>
      </c>
      <c r="Z428" s="249" t="inlineStr">
        <is>
          <t xml:space="preserve">C </t>
        </is>
      </c>
      <c r="AC428" s="253" t="n"/>
      <c r="AD428" s="247" t="inlineStr">
        <is>
          <t xml:space="preserve">SIEGEL OIL          </t>
        </is>
      </c>
      <c r="AE428" s="680" t="n"/>
      <c r="AF428" s="680" t="n"/>
      <c r="AG428" s="680" t="n"/>
      <c r="AH428" s="680" t="n"/>
      <c r="AI428" s="680" t="n"/>
      <c r="AJ428" s="680" t="n"/>
      <c r="AK428" s="680" t="inlineStr">
        <is>
          <t xml:space="preserve">2008 &amp; 2010 LEASES - MAJOR PORTION IN 2008.                       </t>
        </is>
      </c>
      <c r="AM428" s="245" t="inlineStr">
        <is>
          <t> </t>
        </is>
      </c>
    </row>
    <row r="429">
      <c r="A429" s="248" t="n">
        <v>7</v>
      </c>
      <c r="B429" s="370" t="n">
        <v>422</v>
      </c>
      <c r="C429" s="254" t="inlineStr">
        <is>
          <t>2011Q</t>
        </is>
      </c>
      <c r="D429" s="245" t="inlineStr">
        <is>
          <t xml:space="preserve">05042-14-011-000 </t>
        </is>
      </c>
      <c r="E429" s="258" t="inlineStr">
        <is>
          <t>Actual</t>
        </is>
      </c>
      <c r="F429" s="259" t="inlineStr">
        <is>
          <t>1945 W 13TH                AV</t>
        </is>
      </c>
      <c r="G429" s="672" t="n">
        <v>44.2</v>
      </c>
      <c r="H429" s="253" t="n">
        <v>9505</v>
      </c>
      <c r="I429" s="255" t="n">
        <v>0</v>
      </c>
      <c r="J429" s="678" t="n">
        <v>32231</v>
      </c>
      <c r="K429" s="679" t="n">
        <v>5.45288697216965</v>
      </c>
      <c r="L429" s="260" t="n">
        <v>0</v>
      </c>
      <c r="M429" s="262" t="n">
        <v>0.05248304428968091</v>
      </c>
      <c r="N429" s="253" t="n">
        <v>1972</v>
      </c>
      <c r="O429" s="250" t="n">
        <v>5413</v>
      </c>
      <c r="Q429" s="245" t="n">
        <v>24</v>
      </c>
      <c r="R429" s="245" t="n">
        <v>14</v>
      </c>
      <c r="S429" s="245" t="n">
        <v>3</v>
      </c>
      <c r="T429" s="249" t="inlineStr">
        <is>
          <t xml:space="preserve">I2   </t>
        </is>
      </c>
      <c r="U429" s="249" t="n">
        <v>398</v>
      </c>
      <c r="V429" s="678" t="n">
        <v>53550</v>
      </c>
      <c r="W429" s="678" t="n">
        <v>54000</v>
      </c>
      <c r="X429" s="356" t="inlineStr">
        <is>
          <t>1.7:1</t>
        </is>
      </c>
      <c r="Y429" s="678" t="n">
        <v>32000</v>
      </c>
      <c r="Z429" s="249" t="inlineStr">
        <is>
          <t xml:space="preserve">C </t>
        </is>
      </c>
      <c r="AC429" s="253" t="n"/>
      <c r="AD429" s="247" t="inlineStr">
        <is>
          <t>                    </t>
        </is>
      </c>
      <c r="AE429" s="680" t="n"/>
      <c r="AF429" s="680" t="n"/>
      <c r="AG429" s="680" t="n"/>
      <c r="AH429" s="680" t="n"/>
      <c r="AI429" s="680" t="n"/>
      <c r="AJ429" s="680" t="n"/>
      <c r="AK429" s="680" t="inlineStr">
        <is>
          <t xml:space="preserve">LEASE COMMENCEMENT UNKNOWN.                                       </t>
        </is>
      </c>
      <c r="AM429" s="245" t="inlineStr">
        <is>
          <t> </t>
        </is>
      </c>
    </row>
    <row r="430">
      <c r="A430" s="248" t="n">
        <v>7</v>
      </c>
      <c r="B430" s="370" t="n">
        <v>423</v>
      </c>
      <c r="C430" s="254" t="inlineStr">
        <is>
          <t>2011Q</t>
        </is>
      </c>
      <c r="D430" s="245" t="inlineStr">
        <is>
          <t xml:space="preserve">05042-18-014-000 </t>
        </is>
      </c>
      <c r="E430" s="258" t="inlineStr">
        <is>
          <t>Actual</t>
        </is>
      </c>
      <c r="F430" s="259" t="inlineStr">
        <is>
          <t>1201   PECOS               ST</t>
        </is>
      </c>
      <c r="G430" s="672" t="n">
        <v>47.1</v>
      </c>
      <c r="H430" s="253" t="n">
        <v>9505</v>
      </c>
      <c r="I430" s="255" t="n">
        <v>0</v>
      </c>
      <c r="J430" s="678" t="n">
        <v>5328</v>
      </c>
      <c r="K430" s="679" t="n">
        <v>3.378378378378379</v>
      </c>
      <c r="L430" s="260" t="n">
        <v>0</v>
      </c>
      <c r="M430" s="262" t="n">
        <v>0</v>
      </c>
      <c r="N430" s="253" t="n">
        <v>1952</v>
      </c>
      <c r="O430" s="250" t="n">
        <v>0</v>
      </c>
      <c r="Q430" s="245" t="n">
        <v>12</v>
      </c>
      <c r="R430" s="245" t="n">
        <v>1</v>
      </c>
      <c r="S430" s="245" t="n">
        <v>1</v>
      </c>
      <c r="T430" s="249" t="inlineStr">
        <is>
          <t xml:space="preserve">I2   </t>
        </is>
      </c>
      <c r="U430" s="249" t="n">
        <v>401</v>
      </c>
      <c r="V430" s="678" t="n">
        <v>10845</v>
      </c>
      <c r="W430" s="678" t="n">
        <v>11000</v>
      </c>
      <c r="X430" s="356" t="inlineStr">
        <is>
          <t>2.0:1</t>
        </is>
      </c>
      <c r="Y430" s="678" t="n">
        <v>5000</v>
      </c>
      <c r="Z430" s="249" t="inlineStr">
        <is>
          <t xml:space="preserve">C </t>
        </is>
      </c>
      <c r="AC430" s="253" t="n"/>
      <c r="AD430" s="247" t="inlineStr">
        <is>
          <t>                    </t>
        </is>
      </c>
      <c r="AE430" s="680" t="n"/>
      <c r="AF430" s="680" t="n"/>
      <c r="AG430" s="680" t="n"/>
      <c r="AH430" s="680" t="n"/>
      <c r="AI430" s="680" t="n"/>
      <c r="AJ430" s="680" t="n"/>
      <c r="AK430" s="680" t="inlineStr">
        <is>
          <t xml:space="preserve">MO-TO-MO, COMMENCEMENT DATE UNKNOWN.                              </t>
        </is>
      </c>
      <c r="AM430" s="245" t="inlineStr">
        <is>
          <t> </t>
        </is>
      </c>
    </row>
    <row r="431">
      <c r="A431" s="248" t="n">
        <v>7</v>
      </c>
      <c r="B431" s="370" t="n">
        <v>424</v>
      </c>
      <c r="C431" s="254" t="inlineStr">
        <is>
          <t>2011Q</t>
        </is>
      </c>
      <c r="D431" s="245" t="inlineStr">
        <is>
          <t xml:space="preserve">05043-31-018-000 </t>
        </is>
      </c>
      <c r="E431" s="258" t="inlineStr">
        <is>
          <t>Actual</t>
        </is>
      </c>
      <c r="F431" s="259" t="inlineStr">
        <is>
          <t>2050 W BARBERRY            PL</t>
        </is>
      </c>
      <c r="G431" s="253" t="n">
        <v>44.1</v>
      </c>
      <c r="H431" s="253" t="n">
        <v>9505</v>
      </c>
      <c r="I431" s="255" t="n">
        <v>0</v>
      </c>
      <c r="J431" s="678" t="n">
        <v>7350</v>
      </c>
      <c r="K431" s="679" t="n">
        <v>11.42857142857143</v>
      </c>
      <c r="L431" s="260" t="n">
        <v>0</v>
      </c>
      <c r="M431" s="262" t="n">
        <v>0</v>
      </c>
      <c r="N431" s="253" t="n">
        <v>1973</v>
      </c>
      <c r="O431" s="250" t="n">
        <v>1898</v>
      </c>
      <c r="Q431" s="245" t="n">
        <v>20</v>
      </c>
      <c r="R431" s="245" t="n">
        <v>3</v>
      </c>
      <c r="S431" s="245" t="n">
        <v>1</v>
      </c>
      <c r="T431" s="249" t="inlineStr">
        <is>
          <t xml:space="preserve">I2   </t>
        </is>
      </c>
      <c r="U431" s="249" t="n">
        <v>398</v>
      </c>
      <c r="V431" s="678" t="n">
        <v>12000</v>
      </c>
      <c r="W431" s="678" t="n">
        <v>12000</v>
      </c>
      <c r="X431" s="356" t="inlineStr">
        <is>
          <t>1.6:1</t>
        </is>
      </c>
      <c r="Y431" s="678" t="n">
        <v>7000</v>
      </c>
      <c r="Z431" s="249" t="inlineStr">
        <is>
          <t xml:space="preserve">C </t>
        </is>
      </c>
      <c r="AC431" s="253" t="n"/>
      <c r="AD431" s="247" t="inlineStr">
        <is>
          <t>                    </t>
        </is>
      </c>
      <c r="AE431" s="680" t="n"/>
      <c r="AF431" s="680" t="n"/>
      <c r="AG431" s="680" t="n"/>
      <c r="AH431" s="680" t="n"/>
      <c r="AI431" s="680" t="n"/>
      <c r="AJ431" s="680" t="n"/>
      <c r="AK431" s="680" t="inlineStr">
        <is>
          <t>                                                                  </t>
        </is>
      </c>
      <c r="AM431" s="245" t="inlineStr">
        <is>
          <t> </t>
        </is>
      </c>
    </row>
    <row r="432">
      <c r="A432" s="248" t="n">
        <v>7</v>
      </c>
      <c r="B432" s="370" t="n">
        <v>425</v>
      </c>
      <c r="C432" s="254" t="inlineStr">
        <is>
          <t>2011Q</t>
        </is>
      </c>
      <c r="D432" s="245" t="inlineStr">
        <is>
          <t xml:space="preserve">05043-38-001-000 </t>
        </is>
      </c>
      <c r="E432" s="258" t="inlineStr">
        <is>
          <t>Actual</t>
        </is>
      </c>
      <c r="F432" s="259" t="inlineStr">
        <is>
          <t>951   VALLEJO             ST</t>
        </is>
      </c>
      <c r="G432" s="253" t="n">
        <v>44.1</v>
      </c>
      <c r="H432" s="253" t="n">
        <v>9505</v>
      </c>
      <c r="I432" s="255" t="n">
        <v>0</v>
      </c>
      <c r="J432" s="678" t="n">
        <v>6035</v>
      </c>
      <c r="K432" s="679" t="n">
        <v>7.953603976801989</v>
      </c>
      <c r="L432" s="260" t="n">
        <v>0</v>
      </c>
      <c r="M432" s="262" t="n">
        <v>0.08358333333333333</v>
      </c>
      <c r="N432" s="253" t="n">
        <v>1963</v>
      </c>
      <c r="O432" s="250" t="n">
        <v>3240</v>
      </c>
      <c r="Q432" s="245" t="n">
        <v>14</v>
      </c>
      <c r="R432" s="245" t="n">
        <v>1</v>
      </c>
      <c r="S432" s="245" t="n">
        <v>2</v>
      </c>
      <c r="T432" s="249" t="inlineStr">
        <is>
          <t xml:space="preserve">I2   </t>
        </is>
      </c>
      <c r="U432" s="249" t="n">
        <v>398</v>
      </c>
      <c r="V432" s="678" t="n">
        <v>13219</v>
      </c>
      <c r="W432" s="678" t="n">
        <v>13000</v>
      </c>
      <c r="X432" s="356" t="inlineStr">
        <is>
          <t>2.2:1</t>
        </is>
      </c>
      <c r="Y432" s="678" t="n">
        <v>6000</v>
      </c>
      <c r="Z432" s="249" t="inlineStr">
        <is>
          <t xml:space="preserve">C </t>
        </is>
      </c>
      <c r="AC432" s="253" t="n"/>
      <c r="AD432" s="247" t="inlineStr">
        <is>
          <t>                    </t>
        </is>
      </c>
      <c r="AE432" s="680" t="n"/>
      <c r="AF432" s="680" t="n"/>
      <c r="AG432" s="680" t="n"/>
      <c r="AH432" s="680" t="n"/>
      <c r="AI432" s="680" t="n"/>
      <c r="AJ432" s="680" t="n"/>
      <c r="AK432" s="680" t="inlineStr">
        <is>
          <t>                                                                  </t>
        </is>
      </c>
      <c r="AM432" s="245" t="inlineStr">
        <is>
          <t> </t>
        </is>
      </c>
    </row>
    <row r="433">
      <c r="A433" s="248" t="n">
        <v>7</v>
      </c>
      <c r="B433" s="370" t="n">
        <v>426</v>
      </c>
      <c r="C433" s="254" t="inlineStr">
        <is>
          <t>2011Q</t>
        </is>
      </c>
      <c r="D433" s="245" t="inlineStr">
        <is>
          <t xml:space="preserve">05043-38-006-000 </t>
        </is>
      </c>
      <c r="E433" s="258" t="inlineStr">
        <is>
          <t>Actual</t>
        </is>
      </c>
      <c r="F433" s="259" t="inlineStr">
        <is>
          <t>2191 W 10TH                AV</t>
        </is>
      </c>
      <c r="G433" s="253" t="n">
        <v>44.1</v>
      </c>
      <c r="H433" s="253" t="n">
        <v>9505</v>
      </c>
      <c r="I433" s="255" t="n">
        <v>0</v>
      </c>
      <c r="J433" s="678" t="n">
        <v>6792</v>
      </c>
      <c r="K433" s="679" t="n">
        <v>5.658421672555948</v>
      </c>
      <c r="L433" s="260" t="n">
        <v>0</v>
      </c>
      <c r="M433" s="262" t="n">
        <v>0.04423397169025812</v>
      </c>
      <c r="N433" s="253" t="n">
        <v>1964</v>
      </c>
      <c r="O433" s="250" t="n">
        <v>2199</v>
      </c>
      <c r="Q433" s="245" t="n">
        <v>14</v>
      </c>
      <c r="R433" s="245" t="n">
        <v>1</v>
      </c>
      <c r="S433" s="245" t="n">
        <v>1</v>
      </c>
      <c r="T433" s="249" t="inlineStr">
        <is>
          <t xml:space="preserve">I2   </t>
        </is>
      </c>
      <c r="U433" s="249" t="n">
        <v>398</v>
      </c>
      <c r="V433" s="678" t="n">
        <v>17819</v>
      </c>
      <c r="W433" s="678" t="n">
        <v>18000</v>
      </c>
      <c r="X433" s="356" t="inlineStr">
        <is>
          <t>2.6:1</t>
        </is>
      </c>
      <c r="Y433" s="678" t="n">
        <v>7000</v>
      </c>
      <c r="Z433" s="249" t="inlineStr">
        <is>
          <t xml:space="preserve">C </t>
        </is>
      </c>
      <c r="AC433" s="253" t="n"/>
      <c r="AD433" s="247" t="inlineStr">
        <is>
          <t xml:space="preserve">ELECTRI-SERVE       </t>
        </is>
      </c>
      <c r="AE433" s="680" t="n"/>
      <c r="AF433" s="680" t="n"/>
      <c r="AG433" s="680" t="n"/>
      <c r="AH433" s="680" t="n"/>
      <c r="AI433" s="680" t="n"/>
      <c r="AJ433" s="680" t="n"/>
      <c r="AK433" s="680" t="inlineStr">
        <is>
          <t>                                                                  </t>
        </is>
      </c>
      <c r="AM433" s="245" t="inlineStr">
        <is>
          <t> </t>
        </is>
      </c>
    </row>
    <row r="434">
      <c r="A434" s="248" t="n">
        <v>7</v>
      </c>
      <c r="B434" s="370" t="n">
        <v>427</v>
      </c>
      <c r="C434" s="254" t="inlineStr">
        <is>
          <t>2011Q</t>
        </is>
      </c>
      <c r="D434" s="245" t="inlineStr">
        <is>
          <t xml:space="preserve">05044-17-007-000 </t>
        </is>
      </c>
      <c r="E434" s="258" t="inlineStr">
        <is>
          <t>Actual</t>
        </is>
      </c>
      <c r="F434" s="259" t="inlineStr">
        <is>
          <t>845   NAVAJO              ST</t>
        </is>
      </c>
      <c r="G434" s="253" t="n">
        <v>44.1</v>
      </c>
      <c r="H434" s="253" t="n">
        <v>9505</v>
      </c>
      <c r="I434" s="255" t="n">
        <v>0</v>
      </c>
      <c r="J434" s="678" t="n">
        <v>5580</v>
      </c>
      <c r="K434" s="679" t="n">
        <v>11.82795698924731</v>
      </c>
      <c r="L434" s="260" t="n">
        <v>0</v>
      </c>
      <c r="M434" s="262" t="n">
        <v>0</v>
      </c>
      <c r="N434" s="253" t="n">
        <v>1965</v>
      </c>
      <c r="O434" s="250" t="n">
        <v>2737</v>
      </c>
      <c r="Q434" s="245" t="n">
        <v>15</v>
      </c>
      <c r="R434" s="245" t="n">
        <v>3</v>
      </c>
      <c r="S434" s="245" t="n">
        <v>1</v>
      </c>
      <c r="T434" s="249" t="inlineStr">
        <is>
          <t xml:space="preserve">I1   </t>
        </is>
      </c>
      <c r="U434" s="249" t="n">
        <v>398</v>
      </c>
      <c r="V434" s="678" t="n">
        <v>8800</v>
      </c>
      <c r="W434" s="678" t="n">
        <v>9000</v>
      </c>
      <c r="X434" s="356" t="inlineStr">
        <is>
          <t>1.6:1</t>
        </is>
      </c>
      <c r="Y434" s="678" t="n">
        <v>6000</v>
      </c>
      <c r="Z434" s="249" t="inlineStr">
        <is>
          <t xml:space="preserve">C </t>
        </is>
      </c>
      <c r="AC434" s="253" t="n"/>
      <c r="AD434" s="247" t="inlineStr">
        <is>
          <t>                    </t>
        </is>
      </c>
      <c r="AE434" s="680" t="n"/>
      <c r="AF434" s="680" t="n"/>
      <c r="AG434" s="680" t="n"/>
      <c r="AH434" s="680" t="n"/>
      <c r="AI434" s="680" t="n"/>
      <c r="AJ434" s="680" t="n"/>
      <c r="AK434" s="680" t="inlineStr">
        <is>
          <t>                                                                  </t>
        </is>
      </c>
      <c r="AM434" s="245" t="inlineStr">
        <is>
          <t> </t>
        </is>
      </c>
    </row>
    <row r="435">
      <c r="A435" s="248" t="n">
        <v>7</v>
      </c>
      <c r="B435" s="370" t="n">
        <v>428</v>
      </c>
      <c r="C435" s="254" t="inlineStr">
        <is>
          <t>2011Q</t>
        </is>
      </c>
      <c r="D435" s="245" t="inlineStr">
        <is>
          <t xml:space="preserve">05052-19-002-000 </t>
        </is>
      </c>
      <c r="E435" s="258" t="inlineStr">
        <is>
          <t>Actual</t>
        </is>
      </c>
      <c r="F435" s="259" t="inlineStr">
        <is>
          <t>3101 W 14TH                AV</t>
        </is>
      </c>
      <c r="G435" s="253" t="n">
        <v>44.1</v>
      </c>
      <c r="H435" s="253" t="n">
        <v>9508</v>
      </c>
      <c r="I435" s="255" t="n">
        <v>0</v>
      </c>
      <c r="J435" s="678" t="n">
        <v>5000</v>
      </c>
      <c r="K435" s="679" t="n">
        <v>5.475</v>
      </c>
      <c r="L435" s="260" t="n">
        <v>0</v>
      </c>
      <c r="M435" s="262" t="n">
        <v>0</v>
      </c>
      <c r="N435" s="253" t="n">
        <v>1972</v>
      </c>
      <c r="O435" s="250" t="n">
        <v>1600</v>
      </c>
      <c r="Q435" s="245" t="n">
        <v>11</v>
      </c>
      <c r="R435" s="245" t="n">
        <v>8</v>
      </c>
      <c r="S435" s="245" t="n">
        <v>1</v>
      </c>
      <c r="T435" s="249" t="inlineStr">
        <is>
          <t xml:space="preserve">B4   </t>
        </is>
      </c>
      <c r="U435" s="249" t="n">
        <v>398</v>
      </c>
      <c r="V435" s="678" t="n">
        <v>17464</v>
      </c>
      <c r="W435" s="678" t="n">
        <v>17000</v>
      </c>
      <c r="X435" s="356" t="inlineStr">
        <is>
          <t>3.5:1</t>
        </is>
      </c>
      <c r="Y435" s="678" t="n">
        <v>5000</v>
      </c>
      <c r="Z435" s="249" t="inlineStr">
        <is>
          <t xml:space="preserve">C </t>
        </is>
      </c>
      <c r="AC435" s="253" t="n"/>
      <c r="AD435" s="247" t="inlineStr">
        <is>
          <t xml:space="preserve">MENTAL HEALTH SERV  </t>
        </is>
      </c>
      <c r="AE435" s="680" t="n"/>
      <c r="AF435" s="680" t="n"/>
      <c r="AG435" s="680" t="n"/>
      <c r="AH435" s="680" t="n"/>
      <c r="AI435" s="680" t="n"/>
      <c r="AJ435" s="680" t="n"/>
      <c r="AK435" s="680" t="inlineStr">
        <is>
          <t xml:space="preserve">DATE OF LEASE COMMENCEMENT UNKNOWN.                               </t>
        </is>
      </c>
      <c r="AM435" s="245" t="inlineStr">
        <is>
          <t> </t>
        </is>
      </c>
    </row>
    <row r="436">
      <c r="A436" s="248" t="n">
        <v>7</v>
      </c>
      <c r="B436" s="370" t="n">
        <v>429</v>
      </c>
      <c r="C436" s="254" t="inlineStr">
        <is>
          <t>2011Q</t>
        </is>
      </c>
      <c r="D436" s="245" t="inlineStr">
        <is>
          <t xml:space="preserve">05053-17-030-000 </t>
        </is>
      </c>
      <c r="E436" s="258" t="inlineStr">
        <is>
          <t>Actual</t>
        </is>
      </c>
      <c r="F436" s="259" t="inlineStr">
        <is>
          <t>947   FEDERAL             BV</t>
        </is>
      </c>
      <c r="G436" s="253" t="n">
        <v>44.1</v>
      </c>
      <c r="H436" s="253" t="n">
        <v>9508</v>
      </c>
      <c r="I436" s="255" t="n">
        <v>6</v>
      </c>
      <c r="J436" s="678" t="n">
        <v>4800</v>
      </c>
      <c r="K436" s="679" t="n">
        <v>7</v>
      </c>
      <c r="L436" s="260" t="n">
        <v>0</v>
      </c>
      <c r="M436" s="262" t="n">
        <v>0.09910714285714285</v>
      </c>
      <c r="N436" s="253" t="n">
        <v>1985</v>
      </c>
      <c r="O436" s="250" t="n">
        <v>2850</v>
      </c>
      <c r="Q436" s="245" t="n">
        <v>13</v>
      </c>
      <c r="R436" s="245" t="n">
        <v>3</v>
      </c>
      <c r="S436" s="245" t="n">
        <v>1</v>
      </c>
      <c r="T436" s="249" t="inlineStr">
        <is>
          <t xml:space="preserve">B4   </t>
        </is>
      </c>
      <c r="U436" s="249" t="n">
        <v>398</v>
      </c>
      <c r="V436" s="678" t="n">
        <v>12500</v>
      </c>
      <c r="W436" s="678" t="n">
        <v>13000</v>
      </c>
      <c r="X436" s="356" t="inlineStr">
        <is>
          <t>2.6:1</t>
        </is>
      </c>
      <c r="Y436" s="678" t="n">
        <v>5000</v>
      </c>
      <c r="Z436" s="249" t="inlineStr">
        <is>
          <t xml:space="preserve">C </t>
        </is>
      </c>
      <c r="AC436" s="253" t="n"/>
      <c r="AD436" s="247" t="inlineStr">
        <is>
          <t xml:space="preserve">S-O TELEVUE TV/VCR  </t>
        </is>
      </c>
      <c r="AE436" s="680" t="n"/>
      <c r="AF436" s="680" t="n"/>
      <c r="AG436" s="680" t="n"/>
      <c r="AH436" s="680" t="n"/>
      <c r="AI436" s="680" t="n"/>
      <c r="AJ436" s="680" t="n"/>
      <c r="AK436" s="680" t="inlineStr">
        <is>
          <t xml:space="preserve">MO-TO-MO LEASE; COMMENCEMENT DATA UNKNOWN.                        </t>
        </is>
      </c>
      <c r="AM436" s="245" t="inlineStr">
        <is>
          <t> </t>
        </is>
      </c>
    </row>
    <row r="437">
      <c r="A437" s="248" t="n">
        <v>7</v>
      </c>
      <c r="B437" s="370" t="n">
        <v>430</v>
      </c>
      <c r="C437" s="254" t="inlineStr">
        <is>
          <t>2011Q</t>
        </is>
      </c>
      <c r="D437" s="245" t="inlineStr">
        <is>
          <t xml:space="preserve">05054-21-033-000 </t>
        </is>
      </c>
      <c r="E437" s="258" t="inlineStr">
        <is>
          <t>Actual</t>
        </is>
      </c>
      <c r="F437" s="259" t="inlineStr">
        <is>
          <t>2727 W BARBERRY            PL</t>
        </is>
      </c>
      <c r="G437" s="672" t="n">
        <v>44.2</v>
      </c>
      <c r="H437" s="253" t="n">
        <v>9508</v>
      </c>
      <c r="I437" s="255" t="n">
        <v>0</v>
      </c>
      <c r="J437" s="678" t="n">
        <v>17672</v>
      </c>
      <c r="K437" s="679" t="n">
        <v>7.469952467179719</v>
      </c>
      <c r="L437" s="260" t="n">
        <v>0</v>
      </c>
      <c r="M437" s="262" t="n">
        <v>0</v>
      </c>
      <c r="N437" s="253" t="n">
        <v>1968</v>
      </c>
      <c r="O437" s="250" t="n">
        <v>2000</v>
      </c>
      <c r="Q437" s="245" t="n">
        <v>12</v>
      </c>
      <c r="R437" s="245" t="n">
        <v>1</v>
      </c>
      <c r="S437" s="245" t="n">
        <v>1</v>
      </c>
      <c r="T437" s="249" t="inlineStr">
        <is>
          <t xml:space="preserve">I1   </t>
        </is>
      </c>
      <c r="U437" s="249" t="n">
        <v>398</v>
      </c>
      <c r="V437" s="678" t="n">
        <v>30200</v>
      </c>
      <c r="W437" s="678" t="n">
        <v>30000</v>
      </c>
      <c r="X437" s="356" t="inlineStr">
        <is>
          <t>1.7:1</t>
        </is>
      </c>
      <c r="Y437" s="678" t="n">
        <v>18000</v>
      </c>
      <c r="Z437" s="249" t="inlineStr">
        <is>
          <t xml:space="preserve">C </t>
        </is>
      </c>
      <c r="AC437" s="253" t="n"/>
      <c r="AD437" s="247" t="inlineStr">
        <is>
          <t xml:space="preserve">GRANDMA'S PASTA     </t>
        </is>
      </c>
      <c r="AE437" s="680" t="n"/>
      <c r="AF437" s="680" t="n"/>
      <c r="AG437" s="680" t="n"/>
      <c r="AH437" s="680" t="n"/>
      <c r="AI437" s="680" t="n"/>
      <c r="AJ437" s="680" t="n"/>
      <c r="AK437" s="680" t="inlineStr">
        <is>
          <t>                                                                  </t>
        </is>
      </c>
      <c r="AM437" s="245" t="inlineStr">
        <is>
          <t> </t>
        </is>
      </c>
    </row>
    <row r="438">
      <c r="A438" s="248" t="n">
        <v>7</v>
      </c>
      <c r="B438" s="370" t="n">
        <v>431</v>
      </c>
      <c r="C438" s="254" t="inlineStr">
        <is>
          <t>2011Q</t>
        </is>
      </c>
      <c r="D438" s="245" t="inlineStr">
        <is>
          <t xml:space="preserve">05054-24-003-000 </t>
        </is>
      </c>
      <c r="E438" s="258" t="inlineStr">
        <is>
          <t>Actual</t>
        </is>
      </c>
      <c r="F438" s="259" t="inlineStr">
        <is>
          <t>2720 W BARBERRY            PL</t>
        </is>
      </c>
      <c r="G438" s="672" t="n">
        <v>47.1</v>
      </c>
      <c r="H438" s="253" t="n">
        <v>9508</v>
      </c>
      <c r="I438" s="255" t="n">
        <v>0</v>
      </c>
      <c r="J438" s="678" t="n">
        <v>4970</v>
      </c>
      <c r="K438" s="679" t="n">
        <v>8.272032193158953</v>
      </c>
      <c r="L438" s="260" t="n">
        <v>0</v>
      </c>
      <c r="M438" s="262" t="n">
        <v>0</v>
      </c>
      <c r="N438" s="253" t="n">
        <v>1962</v>
      </c>
      <c r="O438" s="250" t="n">
        <v>150</v>
      </c>
      <c r="Q438" s="245" t="n">
        <v>12</v>
      </c>
      <c r="R438" s="245" t="n">
        <v>3</v>
      </c>
      <c r="S438" s="245" t="n">
        <v>1</v>
      </c>
      <c r="T438" s="249" t="inlineStr">
        <is>
          <t xml:space="preserve">I1   </t>
        </is>
      </c>
      <c r="U438" s="249" t="n">
        <v>401</v>
      </c>
      <c r="V438" s="678" t="n">
        <v>7000</v>
      </c>
      <c r="W438" s="678" t="n">
        <v>7000</v>
      </c>
      <c r="X438" s="356" t="inlineStr">
        <is>
          <t>1.4:1</t>
        </is>
      </c>
      <c r="Y438" s="678" t="n">
        <v>5000</v>
      </c>
      <c r="Z438" s="249" t="inlineStr">
        <is>
          <t xml:space="preserve">C </t>
        </is>
      </c>
      <c r="AC438" s="253" t="n"/>
      <c r="AD438" s="247" t="inlineStr">
        <is>
          <t>                    </t>
        </is>
      </c>
      <c r="AE438" s="680" t="n"/>
      <c r="AF438" s="680" t="n"/>
      <c r="AG438" s="680" t="n"/>
      <c r="AH438" s="680" t="n"/>
      <c r="AI438" s="680" t="n"/>
      <c r="AJ438" s="680" t="n"/>
      <c r="AK438" s="680" t="inlineStr">
        <is>
          <t>                                                                  </t>
        </is>
      </c>
      <c r="AM438" s="245" t="inlineStr">
        <is>
          <t> </t>
        </is>
      </c>
    </row>
    <row r="439">
      <c r="A439" s="248" t="n">
        <v>7</v>
      </c>
      <c r="B439" s="370" t="n">
        <v>432</v>
      </c>
      <c r="C439" s="254" t="inlineStr">
        <is>
          <t>2011Q</t>
        </is>
      </c>
      <c r="D439" s="245" t="inlineStr">
        <is>
          <t xml:space="preserve">05054-24-012-000 </t>
        </is>
      </c>
      <c r="E439" s="258" t="inlineStr">
        <is>
          <t>Actual</t>
        </is>
      </c>
      <c r="F439" s="259" t="inlineStr">
        <is>
          <t>2701 W 8TH                 AV</t>
        </is>
      </c>
      <c r="G439" s="672" t="n">
        <v>44.2</v>
      </c>
      <c r="H439" s="253" t="n">
        <v>9508</v>
      </c>
      <c r="I439" s="255" t="n">
        <v>0</v>
      </c>
      <c r="J439" s="678" t="n">
        <v>9909</v>
      </c>
      <c r="K439" s="679" t="n">
        <v>5.499949540821476</v>
      </c>
      <c r="L439" s="260" t="n">
        <v>0</v>
      </c>
      <c r="M439" s="262" t="n">
        <v>0</v>
      </c>
      <c r="N439" s="253" t="n">
        <v>1999</v>
      </c>
      <c r="O439" s="250" t="n">
        <v>51</v>
      </c>
      <c r="Q439" s="245" t="n">
        <v>24</v>
      </c>
      <c r="R439" s="245" t="n">
        <v>3</v>
      </c>
      <c r="S439" s="245" t="n">
        <v>1</v>
      </c>
      <c r="T439" s="249" t="inlineStr">
        <is>
          <t xml:space="preserve">I1   </t>
        </is>
      </c>
      <c r="U439" s="249" t="n">
        <v>398</v>
      </c>
      <c r="V439" s="678" t="n">
        <v>17500</v>
      </c>
      <c r="W439" s="678" t="n">
        <v>18000</v>
      </c>
      <c r="X439" s="356" t="inlineStr">
        <is>
          <t>1.8:1</t>
        </is>
      </c>
      <c r="Y439" s="678" t="n">
        <v>10000</v>
      </c>
      <c r="Z439" s="249" t="inlineStr">
        <is>
          <t xml:space="preserve">C </t>
        </is>
      </c>
      <c r="AC439" s="253" t="n"/>
      <c r="AD439" s="247" t="inlineStr">
        <is>
          <t xml:space="preserve">SINGLE TENANT WHSE  </t>
        </is>
      </c>
      <c r="AE439" s="680" t="n"/>
      <c r="AF439" s="680" t="n"/>
      <c r="AG439" s="680" t="n"/>
      <c r="AH439" s="680" t="n"/>
      <c r="AI439" s="680" t="n"/>
      <c r="AJ439" s="680" t="n"/>
      <c r="AK439" s="680" t="inlineStr">
        <is>
          <t>                                                                  </t>
        </is>
      </c>
      <c r="AM439" s="245" t="inlineStr">
        <is>
          <t> </t>
        </is>
      </c>
    </row>
    <row r="440">
      <c r="A440" s="248" t="n">
        <v>7</v>
      </c>
      <c r="B440" s="370" t="n">
        <v>433</v>
      </c>
      <c r="C440" s="254" t="inlineStr">
        <is>
          <t>2011Q</t>
        </is>
      </c>
      <c r="D440" s="245" t="inlineStr">
        <is>
          <t xml:space="preserve">05054-24-023-000 </t>
        </is>
      </c>
      <c r="E440" s="258" t="inlineStr">
        <is>
          <t>Actual</t>
        </is>
      </c>
      <c r="F440" s="259" t="inlineStr">
        <is>
          <t>2730 W BARBERRY            PL</t>
        </is>
      </c>
      <c r="G440" s="672" t="n">
        <v>46.1</v>
      </c>
      <c r="H440" s="253" t="n">
        <v>9508</v>
      </c>
      <c r="I440" s="255" t="n">
        <v>0</v>
      </c>
      <c r="J440" s="678" t="n">
        <v>4990</v>
      </c>
      <c r="K440" s="679" t="n">
        <v>5.5</v>
      </c>
      <c r="L440" s="260" t="n">
        <v>0</v>
      </c>
      <c r="M440" s="262" t="n">
        <v>0</v>
      </c>
      <c r="N440" s="253" t="n">
        <v>1962</v>
      </c>
      <c r="O440" s="250" t="n">
        <v>120</v>
      </c>
      <c r="Q440" s="245" t="n">
        <v>13</v>
      </c>
      <c r="R440" s="245" t="n">
        <v>1</v>
      </c>
      <c r="S440" s="245" t="n">
        <v>1</v>
      </c>
      <c r="T440" s="249" t="inlineStr">
        <is>
          <t xml:space="preserve">I1   </t>
        </is>
      </c>
      <c r="U440" s="249" t="n">
        <v>391</v>
      </c>
      <c r="V440" s="678" t="n">
        <v>7000</v>
      </c>
      <c r="W440" s="678" t="n">
        <v>7000</v>
      </c>
      <c r="X440" s="356" t="inlineStr">
        <is>
          <t>1.4:1</t>
        </is>
      </c>
      <c r="Y440" s="678" t="n">
        <v>5000</v>
      </c>
      <c r="Z440" s="249" t="inlineStr">
        <is>
          <t xml:space="preserve">C </t>
        </is>
      </c>
      <c r="AC440" s="253" t="n"/>
      <c r="AD440" s="247" t="inlineStr">
        <is>
          <t>                    </t>
        </is>
      </c>
      <c r="AE440" s="680" t="n"/>
      <c r="AF440" s="680" t="n"/>
      <c r="AG440" s="680" t="n"/>
      <c r="AH440" s="680" t="n"/>
      <c r="AI440" s="680" t="n"/>
      <c r="AJ440" s="680" t="n"/>
      <c r="AK440" s="680" t="inlineStr">
        <is>
          <t>                                                                  </t>
        </is>
      </c>
      <c r="AM440" s="245" t="inlineStr">
        <is>
          <t> </t>
        </is>
      </c>
    </row>
    <row r="441">
      <c r="A441" s="248" t="n">
        <v>7</v>
      </c>
      <c r="B441" s="370" t="n">
        <v>434</v>
      </c>
      <c r="C441" s="254" t="inlineStr">
        <is>
          <t>2011Q</t>
        </is>
      </c>
      <c r="D441" s="245" t="inlineStr">
        <is>
          <t xml:space="preserve">05054-24-025-000 </t>
        </is>
      </c>
      <c r="E441" s="258" t="inlineStr">
        <is>
          <t>Actual</t>
        </is>
      </c>
      <c r="F441" s="259" t="inlineStr">
        <is>
          <t>2700 W BARBERRY            PL</t>
        </is>
      </c>
      <c r="G441" s="672" t="n">
        <v>47.1</v>
      </c>
      <c r="H441" s="253" t="n">
        <v>9508</v>
      </c>
      <c r="I441" s="255" t="n">
        <v>0</v>
      </c>
      <c r="J441" s="678" t="n">
        <v>8252</v>
      </c>
      <c r="K441" s="679" t="n">
        <v>5.5</v>
      </c>
      <c r="L441" s="260" t="n">
        <v>0</v>
      </c>
      <c r="M441" s="262" t="n">
        <v>0</v>
      </c>
      <c r="N441" s="253" t="n">
        <v>1968</v>
      </c>
      <c r="O441" s="250" t="n">
        <v>0</v>
      </c>
      <c r="P441" s="250" t="n">
        <v>2108</v>
      </c>
      <c r="Q441" s="245" t="n">
        <v>14</v>
      </c>
      <c r="R441" s="245" t="n">
        <v>3</v>
      </c>
      <c r="S441" s="245" t="n">
        <v>1</v>
      </c>
      <c r="T441" s="249" t="inlineStr">
        <is>
          <t xml:space="preserve">I1   </t>
        </is>
      </c>
      <c r="U441" s="249" t="n">
        <v>401</v>
      </c>
      <c r="V441" s="678" t="n">
        <v>11486</v>
      </c>
      <c r="W441" s="678" t="n">
        <v>11000</v>
      </c>
      <c r="X441" s="356" t="inlineStr">
        <is>
          <t>1.4:1</t>
        </is>
      </c>
      <c r="Y441" s="678" t="n">
        <v>8000</v>
      </c>
      <c r="Z441" s="249" t="inlineStr">
        <is>
          <t xml:space="preserve">C </t>
        </is>
      </c>
      <c r="AC441" s="253" t="n"/>
      <c r="AD441" s="247" t="inlineStr">
        <is>
          <t>                    </t>
        </is>
      </c>
      <c r="AE441" s="680" t="n"/>
      <c r="AF441" s="680" t="n"/>
      <c r="AG441" s="680" t="n"/>
      <c r="AH441" s="680" t="n"/>
      <c r="AI441" s="680" t="n"/>
      <c r="AJ441" s="680" t="n"/>
      <c r="AK441" s="680" t="inlineStr">
        <is>
          <t>                                                                  </t>
        </is>
      </c>
      <c r="AM441" s="245" t="inlineStr">
        <is>
          <t> </t>
        </is>
      </c>
    </row>
    <row r="442">
      <c r="A442" s="248" t="n">
        <v>7</v>
      </c>
      <c r="B442" s="370" t="n">
        <v>435</v>
      </c>
      <c r="C442" s="254" t="inlineStr">
        <is>
          <t>2011Q</t>
        </is>
      </c>
      <c r="D442" s="245" t="inlineStr">
        <is>
          <t xml:space="preserve">05054-24-026-000 </t>
        </is>
      </c>
      <c r="E442" s="258" t="inlineStr">
        <is>
          <t>Actual</t>
        </is>
      </c>
      <c r="F442" s="259" t="inlineStr">
        <is>
          <t>2605 W 8TH                 AV</t>
        </is>
      </c>
      <c r="G442" s="253" t="n">
        <v>44.1</v>
      </c>
      <c r="H442" s="253" t="n">
        <v>9508</v>
      </c>
      <c r="I442" s="255" t="n">
        <v>0</v>
      </c>
      <c r="J442" s="678" t="n">
        <v>13500</v>
      </c>
      <c r="K442" s="679" t="n">
        <v>17.77777777777778</v>
      </c>
      <c r="L442" s="260" t="n">
        <v>1</v>
      </c>
      <c r="M442" s="262" t="n">
        <v>0</v>
      </c>
      <c r="N442" s="253" t="n">
        <v>1973</v>
      </c>
      <c r="O442" s="250" t="n">
        <v>6657</v>
      </c>
      <c r="Q442" s="245" t="n">
        <v>21</v>
      </c>
      <c r="R442" s="245" t="n">
        <v>14</v>
      </c>
      <c r="S442" s="245" t="n">
        <v>1</v>
      </c>
      <c r="T442" s="249" t="inlineStr">
        <is>
          <t xml:space="preserve">I1   </t>
        </is>
      </c>
      <c r="U442" s="249" t="n">
        <v>398</v>
      </c>
      <c r="V442" s="678" t="n">
        <v>21000</v>
      </c>
      <c r="W442" s="678" t="n">
        <v>21000</v>
      </c>
      <c r="X442" s="356" t="inlineStr">
        <is>
          <t>1.6:1</t>
        </is>
      </c>
      <c r="Y442" s="678" t="n">
        <v>14000</v>
      </c>
      <c r="Z442" s="249" t="inlineStr">
        <is>
          <t xml:space="preserve">C </t>
        </is>
      </c>
      <c r="AC442" s="253" t="n"/>
      <c r="AD442" s="247" t="inlineStr">
        <is>
          <t xml:space="preserve">COMCABLE            </t>
        </is>
      </c>
      <c r="AE442" s="680" t="n"/>
      <c r="AF442" s="680" t="n"/>
      <c r="AG442" s="680" t="n"/>
      <c r="AH442" s="680" t="n"/>
      <c r="AI442" s="680" t="n"/>
      <c r="AJ442" s="680" t="n"/>
      <c r="AK442" s="680" t="inlineStr">
        <is>
          <t xml:space="preserve">LEASE DATE UNKNOWN; INCLUDES PARCEL -24-030.                      </t>
        </is>
      </c>
      <c r="AM442" s="245" t="inlineStr">
        <is>
          <t> </t>
        </is>
      </c>
    </row>
    <row r="443">
      <c r="A443" s="248" t="n">
        <v>7</v>
      </c>
      <c r="B443" s="370" t="n">
        <v>436</v>
      </c>
      <c r="C443" s="254" t="inlineStr">
        <is>
          <t>2011Q</t>
        </is>
      </c>
      <c r="D443" s="245" t="inlineStr">
        <is>
          <t xml:space="preserve">05081-00-134-000 </t>
        </is>
      </c>
      <c r="E443" s="258" t="inlineStr">
        <is>
          <t>Actual</t>
        </is>
      </c>
      <c r="F443" s="259" t="inlineStr">
        <is>
          <t>2645 W 7TH                 AV</t>
        </is>
      </c>
      <c r="G443" s="672" t="n">
        <v>46.1</v>
      </c>
      <c r="H443" s="253" t="n">
        <v>9508</v>
      </c>
      <c r="I443" s="255" t="n">
        <v>0</v>
      </c>
      <c r="J443" s="678" t="n">
        <v>33042</v>
      </c>
      <c r="K443" s="679" t="n">
        <v>5.690000605290237</v>
      </c>
      <c r="L443" s="260" t="n">
        <v>0</v>
      </c>
      <c r="M443" s="262" t="n">
        <v>0</v>
      </c>
      <c r="N443" s="253" t="n">
        <v>1970</v>
      </c>
      <c r="O443" s="250" t="n">
        <v>6537</v>
      </c>
      <c r="Q443" s="245" t="n">
        <v>16</v>
      </c>
      <c r="R443" s="245" t="n">
        <v>14</v>
      </c>
      <c r="S443" s="245" t="n">
        <v>1</v>
      </c>
      <c r="T443" s="249" t="inlineStr">
        <is>
          <t xml:space="preserve">I1   </t>
        </is>
      </c>
      <c r="U443" s="249" t="n">
        <v>398</v>
      </c>
      <c r="V443" s="678" t="n">
        <v>73039</v>
      </c>
      <c r="W443" s="678" t="n">
        <v>73000</v>
      </c>
      <c r="X443" s="356" t="inlineStr">
        <is>
          <t>2.2:1</t>
        </is>
      </c>
      <c r="Y443" s="678" t="n">
        <v>33000</v>
      </c>
      <c r="Z443" s="249" t="inlineStr">
        <is>
          <t xml:space="preserve">C </t>
        </is>
      </c>
      <c r="AC443" s="253" t="n"/>
      <c r="AD443" s="247" t="inlineStr">
        <is>
          <t>                    </t>
        </is>
      </c>
      <c r="AE443" s="680" t="n"/>
      <c r="AF443" s="680" t="n"/>
      <c r="AG443" s="680" t="n"/>
      <c r="AH443" s="680" t="n"/>
      <c r="AI443" s="680" t="n"/>
      <c r="AJ443" s="680" t="n"/>
      <c r="AK443" s="680" t="inlineStr">
        <is>
          <t>                                                                  </t>
        </is>
      </c>
      <c r="AM443" s="245" t="inlineStr">
        <is>
          <t> </t>
        </is>
      </c>
    </row>
    <row r="444">
      <c r="A444" s="248" t="n">
        <v>7</v>
      </c>
      <c r="B444" s="370" t="n">
        <v>437</v>
      </c>
      <c r="C444" s="254" t="inlineStr">
        <is>
          <t>2011Q</t>
        </is>
      </c>
      <c r="D444" s="245" t="inlineStr">
        <is>
          <t xml:space="preserve">05081-04-016-000 </t>
        </is>
      </c>
      <c r="E444" s="258" t="inlineStr">
        <is>
          <t>Actual</t>
        </is>
      </c>
      <c r="F444" s="259" t="inlineStr">
        <is>
          <t>695   CANOSA              CT</t>
        </is>
      </c>
      <c r="G444" s="672" t="n">
        <v>44.2</v>
      </c>
      <c r="H444" s="253" t="n">
        <v>9508</v>
      </c>
      <c r="I444" s="255" t="n">
        <v>0</v>
      </c>
      <c r="J444" s="678" t="n">
        <v>18000</v>
      </c>
      <c r="K444" s="679" t="n">
        <v>4</v>
      </c>
      <c r="L444" s="260" t="n">
        <v>0</v>
      </c>
      <c r="M444" s="262" t="n">
        <v>0.1741666666666667</v>
      </c>
      <c r="N444" s="253" t="n">
        <v>1954</v>
      </c>
      <c r="O444" s="250" t="n">
        <v>4000</v>
      </c>
      <c r="Q444" s="245" t="n">
        <v>14</v>
      </c>
      <c r="R444" s="245" t="n">
        <v>1</v>
      </c>
      <c r="S444" s="245" t="n">
        <v>2</v>
      </c>
      <c r="T444" s="249" t="inlineStr">
        <is>
          <t xml:space="preserve">I1   </t>
        </is>
      </c>
      <c r="U444" s="249" t="n">
        <v>398</v>
      </c>
      <c r="V444" s="678" t="n">
        <v>34375</v>
      </c>
      <c r="W444" s="678" t="n">
        <v>34000</v>
      </c>
      <c r="X444" s="356" t="inlineStr">
        <is>
          <t>1.9:1</t>
        </is>
      </c>
      <c r="Y444" s="678" t="n">
        <v>18000</v>
      </c>
      <c r="Z444" s="249" t="inlineStr">
        <is>
          <t xml:space="preserve">C </t>
        </is>
      </c>
      <c r="AC444" s="253" t="n"/>
      <c r="AD444" s="247" t="inlineStr">
        <is>
          <t xml:space="preserve">M-W GREAT INDOORS   </t>
        </is>
      </c>
      <c r="AE444" s="680" t="n"/>
      <c r="AF444" s="680" t="n"/>
      <c r="AG444" s="680" t="n"/>
      <c r="AH444" s="680" t="n"/>
      <c r="AI444" s="680" t="n"/>
      <c r="AJ444" s="680" t="n"/>
      <c r="AK444" s="680" t="inlineStr">
        <is>
          <t>                                                                  </t>
        </is>
      </c>
      <c r="AM444" s="245" t="inlineStr">
        <is>
          <t> </t>
        </is>
      </c>
    </row>
    <row r="445">
      <c r="A445" s="248" t="n">
        <v>7</v>
      </c>
      <c r="B445" s="370" t="n">
        <v>438</v>
      </c>
      <c r="C445" s="254" t="inlineStr">
        <is>
          <t>2011Q</t>
        </is>
      </c>
      <c r="D445" s="245" t="inlineStr">
        <is>
          <t xml:space="preserve">05081-06-019-000 </t>
        </is>
      </c>
      <c r="E445" s="258" t="inlineStr">
        <is>
          <t>Actual</t>
        </is>
      </c>
      <c r="F445" s="259" t="inlineStr">
        <is>
          <t>670   BRYANT              ST</t>
        </is>
      </c>
      <c r="G445" s="253" t="n">
        <v>44.1</v>
      </c>
      <c r="H445" s="253" t="n">
        <v>9508</v>
      </c>
      <c r="I445" s="255" t="n">
        <v>0</v>
      </c>
      <c r="J445" s="678" t="n">
        <v>3704</v>
      </c>
      <c r="K445" s="679" t="n">
        <v>7.721382289416846</v>
      </c>
      <c r="L445" s="260" t="n">
        <v>0</v>
      </c>
      <c r="M445" s="262" t="n">
        <v>0.1293706293706294</v>
      </c>
      <c r="N445" s="253" t="n">
        <v>1963</v>
      </c>
      <c r="O445" s="250" t="n">
        <v>644</v>
      </c>
      <c r="Q445" s="245" t="n">
        <v>11</v>
      </c>
      <c r="R445" s="245" t="n">
        <v>1</v>
      </c>
      <c r="S445" s="245" t="n">
        <v>1</v>
      </c>
      <c r="T445" s="249" t="inlineStr">
        <is>
          <t xml:space="preserve">I1   </t>
        </is>
      </c>
      <c r="U445" s="249" t="n">
        <v>398</v>
      </c>
      <c r="V445" s="678" t="n">
        <v>6000</v>
      </c>
      <c r="W445" s="678" t="n">
        <v>6000</v>
      </c>
      <c r="X445" s="356" t="inlineStr">
        <is>
          <t>1.6:1</t>
        </is>
      </c>
      <c r="Y445" s="678" t="n">
        <v>4000</v>
      </c>
      <c r="Z445" s="249" t="inlineStr">
        <is>
          <t xml:space="preserve">C </t>
        </is>
      </c>
      <c r="AC445" s="253" t="n"/>
      <c r="AD445" s="247" t="inlineStr">
        <is>
          <t xml:space="preserve">S-W LIQUID COFFEE   </t>
        </is>
      </c>
      <c r="AE445" s="680" t="n"/>
      <c r="AF445" s="680" t="n"/>
      <c r="AG445" s="680" t="n"/>
      <c r="AH445" s="680" t="n"/>
      <c r="AI445" s="680" t="n"/>
      <c r="AJ445" s="680" t="n"/>
      <c r="AK445" s="680" t="inlineStr">
        <is>
          <t xml:space="preserve">2010 LEASE; 2009 EXPENSES.                                        </t>
        </is>
      </c>
      <c r="AM445" s="245" t="inlineStr">
        <is>
          <t> </t>
        </is>
      </c>
    </row>
    <row r="446">
      <c r="A446" s="248" t="n">
        <v>7</v>
      </c>
      <c r="B446" s="370" t="n">
        <v>439</v>
      </c>
      <c r="C446" s="254" t="inlineStr">
        <is>
          <t>2011Q</t>
        </is>
      </c>
      <c r="D446" s="245" t="inlineStr">
        <is>
          <t xml:space="preserve">05081-18-011-000 </t>
        </is>
      </c>
      <c r="E446" s="258" t="inlineStr">
        <is>
          <t>Actual</t>
        </is>
      </c>
      <c r="F446" s="259" t="inlineStr">
        <is>
          <t>2750 W 5TH                 AV</t>
        </is>
      </c>
      <c r="G446" s="253" t="n">
        <v>44.1</v>
      </c>
      <c r="H446" s="253" t="n">
        <v>9508</v>
      </c>
      <c r="I446" s="255" t="n">
        <v>0</v>
      </c>
      <c r="J446" s="678" t="n">
        <v>14000</v>
      </c>
      <c r="K446" s="679" t="n">
        <v>8.571428571428571</v>
      </c>
      <c r="L446" s="260" t="n">
        <v>0</v>
      </c>
      <c r="M446" s="262" t="n">
        <v>0.004633333333333333</v>
      </c>
      <c r="N446" s="253" t="n">
        <v>1972</v>
      </c>
      <c r="O446" s="250" t="n">
        <v>6213</v>
      </c>
      <c r="P446" s="250" t="n">
        <v>2500</v>
      </c>
      <c r="Q446" s="245" t="n">
        <v>18</v>
      </c>
      <c r="R446" s="245" t="n">
        <v>3</v>
      </c>
      <c r="S446" s="245" t="n">
        <v>1</v>
      </c>
      <c r="T446" s="249" t="inlineStr">
        <is>
          <t xml:space="preserve">I0   </t>
        </is>
      </c>
      <c r="U446" s="249" t="n">
        <v>398</v>
      </c>
      <c r="V446" s="678" t="n">
        <v>27787</v>
      </c>
      <c r="W446" s="678" t="n">
        <v>28000</v>
      </c>
      <c r="X446" s="356" t="inlineStr">
        <is>
          <t>2.0:1</t>
        </is>
      </c>
      <c r="Y446" s="678" t="n">
        <v>14000</v>
      </c>
      <c r="Z446" s="249" t="inlineStr">
        <is>
          <t xml:space="preserve">C </t>
        </is>
      </c>
      <c r="AC446" s="253" t="n"/>
      <c r="AD446" s="247" t="inlineStr">
        <is>
          <t xml:space="preserve">PEAK RESOURCES      </t>
        </is>
      </c>
      <c r="AE446" s="680" t="n"/>
      <c r="AF446" s="680" t="n"/>
      <c r="AG446" s="680" t="n"/>
      <c r="AH446" s="680" t="n"/>
      <c r="AI446" s="680" t="n"/>
      <c r="AJ446" s="680" t="n"/>
      <c r="AK446" s="680" t="inlineStr">
        <is>
          <t>                                                                  </t>
        </is>
      </c>
      <c r="AM446" s="245" t="inlineStr">
        <is>
          <t> </t>
        </is>
      </c>
    </row>
    <row r="447">
      <c r="A447" s="248" t="n">
        <v>7</v>
      </c>
      <c r="B447" s="370" t="n">
        <v>439.3</v>
      </c>
      <c r="C447" s="381" t="inlineStr">
        <is>
          <t>2011W</t>
        </is>
      </c>
      <c r="D447" s="370" t="inlineStr">
        <is>
          <t>05081-23-004-000</t>
        </is>
      </c>
      <c r="E447" s="369" t="inlineStr">
        <is>
          <t>Actual</t>
        </is>
      </c>
      <c r="F447" s="370" t="inlineStr">
        <is>
          <t>2400 W 5th Ave</t>
        </is>
      </c>
      <c r="G447" s="371" t="inlineStr">
        <is>
          <t>44.4</t>
        </is>
      </c>
      <c r="H447" s="370" t="n">
        <v>9508</v>
      </c>
      <c r="I447" s="369" t="n">
        <v>0</v>
      </c>
      <c r="J447" s="372" t="n">
        <v>325858</v>
      </c>
      <c r="K447" s="681" t="n">
        <v>2.38</v>
      </c>
      <c r="L447" s="374">
        <f>40350/J447</f>
        <v/>
      </c>
      <c r="M447" s="374">
        <f>(465642-304940-136035-25638)/(0.9*(K447*J447))</f>
        <v/>
      </c>
      <c r="N447" s="370" t="n">
        <v>1964</v>
      </c>
      <c r="O447" s="245" t="n">
        <v>32410</v>
      </c>
      <c r="P447" s="245" t="n">
        <v>10000</v>
      </c>
      <c r="Q447" s="245" t="n">
        <v>26</v>
      </c>
      <c r="R447" s="245" t="n">
        <v>3</v>
      </c>
      <c r="S447" s="245" t="n">
        <v>11</v>
      </c>
      <c r="T447" s="369" t="inlineStr">
        <is>
          <t>I1</t>
        </is>
      </c>
      <c r="U447" s="370" t="n">
        <v>398</v>
      </c>
      <c r="V447" s="372" t="n">
        <v>487038</v>
      </c>
      <c r="W447" s="372" t="n">
        <v>500000</v>
      </c>
      <c r="X447" s="375" t="inlineStr">
        <is>
          <t>1.49:1</t>
        </is>
      </c>
      <c r="Y447" s="372" t="n">
        <v>300000</v>
      </c>
      <c r="Z447" s="369" t="inlineStr">
        <is>
          <t>B</t>
        </is>
      </c>
      <c r="AA447" s="370" t="n">
        <v>3</v>
      </c>
      <c r="AB447" s="370" t="n">
        <v>3</v>
      </c>
      <c r="AC447" s="370" t="n">
        <v>33</v>
      </c>
      <c r="AD447" s="370" t="inlineStr">
        <is>
          <t>WW Grainger</t>
        </is>
      </c>
      <c r="AE447" s="682" t="n"/>
      <c r="AF447" s="680" t="n"/>
      <c r="AG447" s="680" t="n"/>
      <c r="AH447" s="680" t="n"/>
      <c r="AI447" s="680" t="n"/>
      <c r="AJ447" s="680" t="n"/>
      <c r="AK447" s="680" t="n"/>
    </row>
    <row r="448">
      <c r="A448" s="248" t="n">
        <v>7</v>
      </c>
      <c r="B448" s="370" t="n">
        <v>440</v>
      </c>
      <c r="C448" s="254" t="inlineStr">
        <is>
          <t>2011Q</t>
        </is>
      </c>
      <c r="D448" s="245" t="inlineStr">
        <is>
          <t xml:space="preserve">05084-00-046-000 </t>
        </is>
      </c>
      <c r="E448" s="258" t="inlineStr">
        <is>
          <t>Actual</t>
        </is>
      </c>
      <c r="F448" s="259" t="inlineStr">
        <is>
          <t>2650 W 3RD                 AV</t>
        </is>
      </c>
      <c r="G448" s="672" t="n">
        <v>44.2</v>
      </c>
      <c r="H448" s="253" t="n">
        <v>9508</v>
      </c>
      <c r="I448" s="255" t="n">
        <v>0</v>
      </c>
      <c r="J448" s="678" t="n">
        <v>27700</v>
      </c>
      <c r="K448" s="679" t="n">
        <v>4.01956678700361</v>
      </c>
      <c r="L448" s="260" t="n">
        <v>0</v>
      </c>
      <c r="M448" s="262" t="n">
        <v>0.04122433583014496</v>
      </c>
      <c r="N448" s="253" t="n">
        <v>1963</v>
      </c>
      <c r="O448" s="250" t="n">
        <v>9365</v>
      </c>
      <c r="Q448" s="245" t="n">
        <v>20</v>
      </c>
      <c r="R448" s="245" t="n">
        <v>14</v>
      </c>
      <c r="S448" s="245" t="n">
        <v>2</v>
      </c>
      <c r="T448" s="249" t="inlineStr">
        <is>
          <t xml:space="preserve">I0   </t>
        </is>
      </c>
      <c r="U448" s="249" t="n">
        <v>398</v>
      </c>
      <c r="V448" s="678" t="n">
        <v>81431</v>
      </c>
      <c r="W448" s="678" t="n">
        <v>81000</v>
      </c>
      <c r="X448" s="356" t="inlineStr">
        <is>
          <t>1.5:1</t>
        </is>
      </c>
      <c r="Y448" s="678" t="n">
        <v>28000</v>
      </c>
      <c r="Z448" s="249" t="inlineStr">
        <is>
          <t xml:space="preserve">C </t>
        </is>
      </c>
      <c r="AC448" s="253" t="n"/>
      <c r="AD448" s="247" t="inlineStr">
        <is>
          <t xml:space="preserve">HEALTH CENTER       </t>
        </is>
      </c>
      <c r="AE448" s="680" t="n"/>
      <c r="AF448" s="680" t="n"/>
      <c r="AG448" s="680" t="n"/>
      <c r="AH448" s="680" t="n"/>
      <c r="AI448" s="680" t="n"/>
      <c r="AJ448" s="680" t="n"/>
      <c r="AK448" s="680" t="inlineStr">
        <is>
          <t>                                                                  </t>
        </is>
      </c>
      <c r="AM448" s="245" t="inlineStr">
        <is>
          <t> </t>
        </is>
      </c>
    </row>
    <row r="449">
      <c r="A449" s="248" t="n">
        <v>7</v>
      </c>
      <c r="B449" s="370" t="n">
        <v>441</v>
      </c>
      <c r="C449" s="254" t="inlineStr">
        <is>
          <t>2011Q</t>
        </is>
      </c>
      <c r="D449" s="245" t="inlineStr">
        <is>
          <t xml:space="preserve">05084-08-022-000 </t>
        </is>
      </c>
      <c r="E449" s="258" t="inlineStr">
        <is>
          <t>Actual</t>
        </is>
      </c>
      <c r="F449" s="259" t="inlineStr">
        <is>
          <t>2600 W 2ND                 AV</t>
        </is>
      </c>
      <c r="G449" s="672" t="n">
        <v>44.2</v>
      </c>
      <c r="H449" s="253" t="n">
        <v>9508</v>
      </c>
      <c r="I449" s="255" t="n">
        <v>0</v>
      </c>
      <c r="J449" s="678" t="n">
        <v>5000</v>
      </c>
      <c r="K449" s="679" t="n">
        <v>5.28</v>
      </c>
      <c r="L449" s="260" t="n">
        <v>0.29</v>
      </c>
      <c r="M449" s="262" t="n">
        <v>0.454469696969697</v>
      </c>
      <c r="N449" s="253" t="n">
        <v>1967</v>
      </c>
      <c r="O449" s="250" t="n">
        <v>9801</v>
      </c>
      <c r="Q449" s="245" t="n">
        <v>18</v>
      </c>
      <c r="R449" s="245" t="n">
        <v>10</v>
      </c>
      <c r="S449" s="245" t="n">
        <v>1</v>
      </c>
      <c r="T449" s="249" t="inlineStr">
        <is>
          <t xml:space="preserve">I0   </t>
        </is>
      </c>
      <c r="U449" s="249" t="n">
        <v>398</v>
      </c>
      <c r="V449" s="678" t="n">
        <v>50661</v>
      </c>
      <c r="W449" s="678" t="n">
        <v>51000</v>
      </c>
      <c r="X449" s="356" t="inlineStr">
        <is>
          <t>2.4:1</t>
        </is>
      </c>
      <c r="Y449" s="678" t="n">
        <v>5000</v>
      </c>
      <c r="Z449" s="249" t="inlineStr">
        <is>
          <t xml:space="preserve">C </t>
        </is>
      </c>
      <c r="AC449" s="253" t="n"/>
      <c r="AD449" s="247" t="inlineStr">
        <is>
          <t xml:space="preserve">M-W                 </t>
        </is>
      </c>
      <c r="AE449" s="680" t="n"/>
      <c r="AF449" s="680" t="n"/>
      <c r="AG449" s="680" t="n"/>
      <c r="AH449" s="680" t="n"/>
      <c r="AI449" s="680" t="n"/>
      <c r="AJ449" s="680" t="n"/>
      <c r="AK449" s="680" t="inlineStr">
        <is>
          <t xml:space="preserve">ONE BASE PERIOD LEASE IN 21263 SF BLDG REPRESENTED HERE.          </t>
        </is>
      </c>
      <c r="AM449" s="245" t="inlineStr">
        <is>
          <t> </t>
        </is>
      </c>
    </row>
    <row r="450">
      <c r="A450" s="248" t="n">
        <v>7</v>
      </c>
      <c r="B450" s="370" t="n">
        <v>442</v>
      </c>
      <c r="C450" s="254" t="inlineStr">
        <is>
          <t>2011Q</t>
        </is>
      </c>
      <c r="D450" s="245" t="inlineStr">
        <is>
          <t xml:space="preserve">05091-00-049-000 </t>
        </is>
      </c>
      <c r="E450" s="258" t="inlineStr">
        <is>
          <t>Actual</t>
        </is>
      </c>
      <c r="F450" s="259" t="inlineStr">
        <is>
          <t>123   RIO GRANDE          BV</t>
        </is>
      </c>
      <c r="G450" s="672" t="n">
        <v>44.2</v>
      </c>
      <c r="H450" s="253" t="n">
        <v>9505</v>
      </c>
      <c r="I450" s="255" t="n">
        <v>0</v>
      </c>
      <c r="J450" s="678" t="n">
        <v>12994</v>
      </c>
      <c r="K450" s="679" t="n">
        <v>4.617515776512237</v>
      </c>
      <c r="L450" s="260" t="n">
        <v>0</v>
      </c>
      <c r="M450" s="262" t="n">
        <v>0.1196666666666667</v>
      </c>
      <c r="N450" s="253" t="n">
        <v>1959</v>
      </c>
      <c r="O450" s="250" t="n">
        <v>2548</v>
      </c>
      <c r="Q450" s="245" t="n">
        <v>16</v>
      </c>
      <c r="R450" s="245" t="n">
        <v>1</v>
      </c>
      <c r="S450" s="245" t="n">
        <v>1</v>
      </c>
      <c r="T450" s="249" t="inlineStr">
        <is>
          <t xml:space="preserve">I1   </t>
        </is>
      </c>
      <c r="U450" s="249" t="n">
        <v>398</v>
      </c>
      <c r="V450" s="678" t="n">
        <v>20500</v>
      </c>
      <c r="W450" s="678" t="n">
        <v>21000</v>
      </c>
      <c r="X450" s="356" t="inlineStr">
        <is>
          <t>1.6:1</t>
        </is>
      </c>
      <c r="Y450" s="678" t="n">
        <v>13000</v>
      </c>
      <c r="Z450" s="249" t="inlineStr">
        <is>
          <t xml:space="preserve">C </t>
        </is>
      </c>
      <c r="AC450" s="253" t="n"/>
      <c r="AD450" s="247" t="inlineStr">
        <is>
          <t xml:space="preserve">DIST                </t>
        </is>
      </c>
      <c r="AE450" s="680" t="n"/>
      <c r="AF450" s="680" t="n"/>
      <c r="AG450" s="680" t="n"/>
      <c r="AH450" s="680" t="n"/>
      <c r="AI450" s="680" t="n"/>
      <c r="AJ450" s="680" t="n"/>
      <c r="AK450" s="680" t="inlineStr">
        <is>
          <t>                                                                  </t>
        </is>
      </c>
      <c r="AM450" s="245" t="inlineStr">
        <is>
          <t> </t>
        </is>
      </c>
    </row>
    <row r="451">
      <c r="A451" s="248" t="n">
        <v>7</v>
      </c>
      <c r="B451" s="370" t="n">
        <v>443</v>
      </c>
      <c r="C451" s="254" t="inlineStr">
        <is>
          <t>2011Q</t>
        </is>
      </c>
      <c r="D451" s="245" t="inlineStr">
        <is>
          <t xml:space="preserve">05091-00-050-000 </t>
        </is>
      </c>
      <c r="E451" s="258" t="inlineStr">
        <is>
          <t>Actual</t>
        </is>
      </c>
      <c r="F451" s="259" t="inlineStr">
        <is>
          <t>1490 W 3RD                 AV</t>
        </is>
      </c>
      <c r="G451" s="672" t="n">
        <v>44.2</v>
      </c>
      <c r="H451" s="253" t="n">
        <v>9505</v>
      </c>
      <c r="I451" s="255" t="n">
        <v>0</v>
      </c>
      <c r="J451" s="678" t="n">
        <v>8502</v>
      </c>
      <c r="K451" s="679" t="n">
        <v>7.057163020465773</v>
      </c>
      <c r="L451" s="260" t="n">
        <v>0</v>
      </c>
      <c r="M451" s="262" t="n">
        <v>0</v>
      </c>
      <c r="N451" s="253" t="n">
        <v>1968</v>
      </c>
      <c r="O451" s="250" t="n">
        <v>9109</v>
      </c>
      <c r="Q451" s="245" t="n">
        <v>16</v>
      </c>
      <c r="R451" s="245" t="n">
        <v>1</v>
      </c>
      <c r="S451" s="245" t="n">
        <v>1</v>
      </c>
      <c r="T451" s="249" t="inlineStr">
        <is>
          <t xml:space="preserve">I1   </t>
        </is>
      </c>
      <c r="U451" s="249" t="n">
        <v>398</v>
      </c>
      <c r="V451" s="678" t="n">
        <v>12400</v>
      </c>
      <c r="W451" s="678" t="n">
        <v>12000</v>
      </c>
      <c r="X451" s="356" t="inlineStr">
        <is>
          <t>1.5:1</t>
        </is>
      </c>
      <c r="Y451" s="678" t="n">
        <v>9000</v>
      </c>
      <c r="Z451" s="249" t="inlineStr">
        <is>
          <t xml:space="preserve">C </t>
        </is>
      </c>
      <c r="AC451" s="253" t="n"/>
      <c r="AD451" s="247" t="inlineStr">
        <is>
          <t>                    </t>
        </is>
      </c>
      <c r="AE451" s="680" t="n"/>
      <c r="AF451" s="680" t="n"/>
      <c r="AG451" s="680" t="n"/>
      <c r="AH451" s="680" t="n"/>
      <c r="AI451" s="680" t="n"/>
      <c r="AJ451" s="680" t="n"/>
      <c r="AK451" s="680" t="inlineStr">
        <is>
          <t>                                                                  </t>
        </is>
      </c>
      <c r="AM451" s="245" t="inlineStr">
        <is>
          <t> </t>
        </is>
      </c>
    </row>
    <row r="452">
      <c r="A452" s="248" t="n">
        <v>7</v>
      </c>
      <c r="B452" s="370" t="n">
        <v>444</v>
      </c>
      <c r="C452" s="254" t="inlineStr">
        <is>
          <t>2011Q</t>
        </is>
      </c>
      <c r="D452" s="245" t="inlineStr">
        <is>
          <t xml:space="preserve">05091-00-067-000 </t>
        </is>
      </c>
      <c r="E452" s="258" t="inlineStr">
        <is>
          <t>Actual</t>
        </is>
      </c>
      <c r="F452" s="259" t="inlineStr">
        <is>
          <t>1480 W 3RD                 AV</t>
        </is>
      </c>
      <c r="G452" s="253" t="n">
        <v>44.1</v>
      </c>
      <c r="H452" s="253" t="n">
        <v>9505</v>
      </c>
      <c r="I452" s="255" t="n">
        <v>0</v>
      </c>
      <c r="J452" s="678" t="n">
        <v>7200</v>
      </c>
      <c r="K452" s="679" t="n">
        <v>6.666666666666667</v>
      </c>
      <c r="L452" s="260" t="n">
        <v>0</v>
      </c>
      <c r="M452" s="262" t="n">
        <v>0</v>
      </c>
      <c r="N452" s="253" t="n">
        <v>1966</v>
      </c>
      <c r="O452" s="250" t="n">
        <v>4200</v>
      </c>
      <c r="Q452" s="245" t="n">
        <v>14</v>
      </c>
      <c r="R452" s="245" t="n">
        <v>3</v>
      </c>
      <c r="S452" s="245" t="n">
        <v>1</v>
      </c>
      <c r="T452" s="249" t="inlineStr">
        <is>
          <t xml:space="preserve">I1   </t>
        </is>
      </c>
      <c r="U452" s="249" t="n">
        <v>398</v>
      </c>
      <c r="V452" s="678" t="n">
        <v>11917</v>
      </c>
      <c r="W452" s="678" t="n">
        <v>12000</v>
      </c>
      <c r="X452" s="356" t="inlineStr">
        <is>
          <t>1.7:1</t>
        </is>
      </c>
      <c r="Y452" s="678" t="n">
        <v>7000</v>
      </c>
      <c r="Z452" s="249" t="inlineStr">
        <is>
          <t xml:space="preserve">C </t>
        </is>
      </c>
      <c r="AC452" s="253" t="n"/>
      <c r="AD452" s="247" t="inlineStr">
        <is>
          <t>                    </t>
        </is>
      </c>
      <c r="AE452" s="680" t="n"/>
      <c r="AF452" s="680" t="n"/>
      <c r="AG452" s="680" t="n"/>
      <c r="AH452" s="680" t="n"/>
      <c r="AI452" s="680" t="n"/>
      <c r="AJ452" s="680" t="n"/>
      <c r="AK452" s="680" t="inlineStr">
        <is>
          <t>                                                                  </t>
        </is>
      </c>
      <c r="AM452" s="245" t="inlineStr">
        <is>
          <t> </t>
        </is>
      </c>
    </row>
    <row r="453">
      <c r="A453" s="248" t="n">
        <v>7</v>
      </c>
      <c r="B453" s="370" t="n">
        <v>445</v>
      </c>
      <c r="C453" s="254" t="inlineStr">
        <is>
          <t>2011Q</t>
        </is>
      </c>
      <c r="D453" s="245" t="inlineStr">
        <is>
          <t xml:space="preserve">05091-03-046-000 </t>
        </is>
      </c>
      <c r="E453" s="258" t="inlineStr">
        <is>
          <t>Actual</t>
        </is>
      </c>
      <c r="F453" s="259" t="inlineStr">
        <is>
          <t>525   SANTA FE            DR</t>
        </is>
      </c>
      <c r="G453" s="253" t="n">
        <v>44.1</v>
      </c>
      <c r="H453" s="253" t="n">
        <v>9505</v>
      </c>
      <c r="I453" s="255" t="n">
        <v>3</v>
      </c>
      <c r="J453" s="678" t="n">
        <v>21594</v>
      </c>
      <c r="K453" s="679" t="n">
        <v>7.850004630915995</v>
      </c>
      <c r="L453" s="260" t="n">
        <v>0</v>
      </c>
      <c r="M453" s="262" t="n">
        <v>0.005922849574958853</v>
      </c>
      <c r="N453" s="253" t="n">
        <v>1975</v>
      </c>
      <c r="O453" s="250" t="n">
        <v>5148</v>
      </c>
      <c r="P453" s="250" t="n">
        <v>8100</v>
      </c>
      <c r="Q453" s="245" t="n">
        <v>17</v>
      </c>
      <c r="R453" s="245" t="n">
        <v>3</v>
      </c>
      <c r="S453" s="245" t="n">
        <v>3</v>
      </c>
      <c r="T453" s="249" t="inlineStr">
        <is>
          <t xml:space="preserve">B4   </t>
        </is>
      </c>
      <c r="U453" s="249" t="n">
        <v>398</v>
      </c>
      <c r="V453" s="678" t="n">
        <v>26775</v>
      </c>
      <c r="W453" s="678" t="n">
        <v>27000</v>
      </c>
      <c r="X453" s="356" t="inlineStr">
        <is>
          <t>1.2:1</t>
        </is>
      </c>
      <c r="Y453" s="678" t="n">
        <v>22000</v>
      </c>
      <c r="Z453" s="249" t="inlineStr">
        <is>
          <t xml:space="preserve">C </t>
        </is>
      </c>
      <c r="AC453" s="253" t="n"/>
      <c r="AD453" s="247" t="inlineStr">
        <is>
          <t>MULTI/DISTRIB/OFFICE</t>
        </is>
      </c>
      <c r="AE453" s="680" t="n"/>
      <c r="AF453" s="680" t="n"/>
      <c r="AG453" s="680" t="n"/>
      <c r="AH453" s="680" t="n"/>
      <c r="AI453" s="680" t="n"/>
      <c r="AJ453" s="680" t="n"/>
      <c r="AK453" s="680" t="inlineStr">
        <is>
          <t xml:space="preserve">INPUT BASED ON RENT RATE FROM 11/08 LEASE.                        </t>
        </is>
      </c>
      <c r="AM453" s="245" t="inlineStr">
        <is>
          <t> </t>
        </is>
      </c>
    </row>
    <row r="454">
      <c r="A454" s="248" t="n">
        <v>7</v>
      </c>
      <c r="B454" s="370" t="n">
        <v>446</v>
      </c>
      <c r="C454" s="254" t="inlineStr">
        <is>
          <t>2011Q</t>
        </is>
      </c>
      <c r="D454" s="245" t="inlineStr">
        <is>
          <t>05091-03-047-000</t>
        </is>
      </c>
      <c r="E454" s="258" t="inlineStr">
        <is>
          <t>Actual</t>
        </is>
      </c>
      <c r="F454" s="259" t="inlineStr">
        <is>
          <t>525  SANTA FE            DR</t>
        </is>
      </c>
      <c r="G454" s="253" t="n">
        <v>44.1</v>
      </c>
      <c r="H454" s="253" t="n">
        <v>9505</v>
      </c>
      <c r="I454" s="255" t="n">
        <v>3</v>
      </c>
      <c r="J454" s="678" t="n">
        <v>1995</v>
      </c>
      <c r="K454" s="679" t="n">
        <v>3.007518796992481</v>
      </c>
      <c r="L454" s="260" t="n">
        <v>0</v>
      </c>
      <c r="M454" s="262" t="n">
        <v>0</v>
      </c>
      <c r="N454" s="253" t="n">
        <v>1929</v>
      </c>
      <c r="O454" s="250" t="n">
        <v>0</v>
      </c>
      <c r="Q454" s="245" t="n">
        <v>14</v>
      </c>
      <c r="R454" s="245" t="n">
        <v>1</v>
      </c>
      <c r="S454" s="245" t="n">
        <v>2</v>
      </c>
      <c r="T454" s="249" t="inlineStr">
        <is>
          <t xml:space="preserve">B4   </t>
        </is>
      </c>
      <c r="U454" s="249" t="n">
        <v>395</v>
      </c>
      <c r="V454" s="678" t="n">
        <v>17850</v>
      </c>
      <c r="W454" s="678" t="n">
        <v>18000</v>
      </c>
      <c r="X454" s="356" t="inlineStr">
        <is>
          <t>8.9:1</t>
        </is>
      </c>
      <c r="Y454" s="678" t="n">
        <v>2000</v>
      </c>
      <c r="Z454" s="249" t="inlineStr">
        <is>
          <t>C</t>
        </is>
      </c>
      <c r="AC454" s="253" t="n"/>
      <c r="AD454" s="247" t="inlineStr">
        <is>
          <t xml:space="preserve">WAREHOUSE           </t>
        </is>
      </c>
      <c r="AE454" s="680" t="n"/>
      <c r="AF454" s="680" t="n"/>
      <c r="AG454" s="680" t="n"/>
      <c r="AH454" s="680" t="n"/>
      <c r="AI454" s="680" t="n"/>
      <c r="AJ454" s="680" t="n"/>
      <c r="AK454" s="680" t="inlineStr">
        <is>
          <t>MONTH TO MONTH ON LAPSED 2000 LEASE</t>
        </is>
      </c>
    </row>
    <row r="455">
      <c r="A455" s="248" t="n">
        <v>7</v>
      </c>
      <c r="B455" s="370" t="n">
        <v>447</v>
      </c>
      <c r="C455" s="254" t="inlineStr">
        <is>
          <t>2011Q</t>
        </is>
      </c>
      <c r="D455" s="245" t="inlineStr">
        <is>
          <t xml:space="preserve">05091-03-048-000 </t>
        </is>
      </c>
      <c r="E455" s="258" t="inlineStr">
        <is>
          <t>Actual</t>
        </is>
      </c>
      <c r="F455" s="259" t="inlineStr">
        <is>
          <t>525  SANTA FE            Dr</t>
        </is>
      </c>
      <c r="G455" s="253" t="n">
        <v>44.1</v>
      </c>
      <c r="H455" s="253" t="n">
        <v>9505</v>
      </c>
      <c r="I455" s="255" t="n">
        <v>3</v>
      </c>
      <c r="J455" s="678" t="n">
        <v>7555</v>
      </c>
      <c r="K455" s="679" t="n">
        <v>12.57445400397088</v>
      </c>
      <c r="L455" s="260" t="n">
        <v>0</v>
      </c>
      <c r="M455" s="262" t="n">
        <v>0.003157894736842105</v>
      </c>
      <c r="N455" s="253" t="n">
        <v>1975</v>
      </c>
      <c r="O455" s="250" t="n">
        <v>287</v>
      </c>
      <c r="Q455" s="245" t="n">
        <v>17</v>
      </c>
      <c r="R455" s="245" t="n">
        <v>3</v>
      </c>
      <c r="S455" s="245" t="n">
        <v>1</v>
      </c>
      <c r="T455" s="249" t="inlineStr">
        <is>
          <t xml:space="preserve">B4   </t>
        </is>
      </c>
      <c r="U455" s="249" t="n">
        <v>398</v>
      </c>
      <c r="V455" s="678" t="n">
        <v>8925</v>
      </c>
      <c r="W455" s="678" t="n">
        <v>9000</v>
      </c>
      <c r="X455" s="356" t="inlineStr">
        <is>
          <t>1.2:1</t>
        </is>
      </c>
      <c r="Y455" s="678" t="n">
        <v>8000</v>
      </c>
      <c r="Z455" s="249" t="inlineStr">
        <is>
          <t xml:space="preserve">C </t>
        </is>
      </c>
      <c r="AC455" s="253" t="n"/>
      <c r="AD455" s="247" t="inlineStr">
        <is>
          <t xml:space="preserve">WAREHOUSE           </t>
        </is>
      </c>
      <c r="AE455" s="680" t="n"/>
      <c r="AF455" s="680" t="n"/>
      <c r="AG455" s="680" t="n"/>
      <c r="AH455" s="680" t="n"/>
      <c r="AI455" s="680" t="n"/>
      <c r="AJ455" s="680" t="n"/>
      <c r="AK455" s="680" t="inlineStr">
        <is>
          <t>RECORD LEASE FOR 7,060 SF; GBA = 7555. USE GBA -CORRECTED PARCEL# ON RETURN</t>
        </is>
      </c>
      <c r="AM455" s="245" t="inlineStr">
        <is>
          <t> </t>
        </is>
      </c>
    </row>
    <row r="456">
      <c r="A456" s="248" t="n">
        <v>7</v>
      </c>
      <c r="B456" s="370" t="n">
        <v>448</v>
      </c>
      <c r="C456" s="254" t="inlineStr">
        <is>
          <t>2011Q</t>
        </is>
      </c>
      <c r="D456" s="245" t="inlineStr">
        <is>
          <t xml:space="preserve">05091-08-001-000 </t>
        </is>
      </c>
      <c r="E456" s="258" t="inlineStr">
        <is>
          <t>Actual</t>
        </is>
      </c>
      <c r="F456" s="259" t="inlineStr">
        <is>
          <t>490   SANTA FE            DR</t>
        </is>
      </c>
      <c r="G456" s="672" t="n">
        <v>42.1</v>
      </c>
      <c r="H456" s="253" t="n">
        <v>9505</v>
      </c>
      <c r="I456" s="255" t="n">
        <v>3</v>
      </c>
      <c r="J456" s="678" t="n">
        <v>4020</v>
      </c>
      <c r="K456" s="679" t="n">
        <v>7.992537313432836</v>
      </c>
      <c r="L456" s="260" t="n">
        <v>0</v>
      </c>
      <c r="M456" s="262" t="n">
        <v>0.06825396825396825</v>
      </c>
      <c r="N456" s="253" t="n">
        <v>1975</v>
      </c>
      <c r="O456" s="250" t="n">
        <v>705</v>
      </c>
      <c r="Q456" s="245" t="n">
        <v>17</v>
      </c>
      <c r="R456" s="245" t="n">
        <v>1</v>
      </c>
      <c r="S456" s="245" t="n">
        <v>1</v>
      </c>
      <c r="T456" s="249" t="inlineStr">
        <is>
          <t xml:space="preserve">B4   </t>
        </is>
      </c>
      <c r="U456" s="249" t="n">
        <v>401</v>
      </c>
      <c r="V456" s="678" t="n">
        <v>5247</v>
      </c>
      <c r="W456" s="678" t="n">
        <v>5000</v>
      </c>
      <c r="X456" s="356" t="inlineStr">
        <is>
          <t>1.3:1</t>
        </is>
      </c>
      <c r="Y456" s="678" t="n">
        <v>4000</v>
      </c>
      <c r="Z456" s="249" t="inlineStr">
        <is>
          <t xml:space="preserve">C </t>
        </is>
      </c>
      <c r="AC456" s="253" t="n"/>
      <c r="AD456" s="247" t="inlineStr">
        <is>
          <t xml:space="preserve">S-W                 </t>
        </is>
      </c>
      <c r="AE456" s="680" t="n"/>
      <c r="AF456" s="680" t="n"/>
      <c r="AG456" s="680" t="n"/>
      <c r="AH456" s="680" t="n"/>
      <c r="AI456" s="680" t="n"/>
      <c r="AJ456" s="680" t="n"/>
      <c r="AK456" s="680" t="inlineStr">
        <is>
          <t>                                                                  </t>
        </is>
      </c>
      <c r="AM456" s="245" t="inlineStr">
        <is>
          <t> </t>
        </is>
      </c>
    </row>
    <row r="457">
      <c r="A457" s="248" t="n">
        <v>7</v>
      </c>
      <c r="B457" s="370" t="n">
        <v>449</v>
      </c>
      <c r="C457" s="254" t="inlineStr">
        <is>
          <t>2011Q</t>
        </is>
      </c>
      <c r="D457" s="245" t="inlineStr">
        <is>
          <t xml:space="preserve">05091-20-016-000 </t>
        </is>
      </c>
      <c r="E457" s="258" t="inlineStr">
        <is>
          <t>Actual</t>
        </is>
      </c>
      <c r="F457" s="259" t="inlineStr">
        <is>
          <t>275   KALAMATH            ST</t>
        </is>
      </c>
      <c r="G457" s="672" t="n">
        <v>44.2</v>
      </c>
      <c r="H457" s="253" t="n">
        <v>9505</v>
      </c>
      <c r="I457" s="255" t="n">
        <v>0</v>
      </c>
      <c r="J457" s="678" t="n">
        <v>17286</v>
      </c>
      <c r="K457" s="679" t="n">
        <v>5.323672335994447</v>
      </c>
      <c r="L457" s="260" t="n">
        <v>0</v>
      </c>
      <c r="M457" s="262" t="n">
        <v>0.03140450964411844</v>
      </c>
      <c r="N457" s="253" t="n">
        <v>1959</v>
      </c>
      <c r="O457" s="250" t="n">
        <v>2902</v>
      </c>
      <c r="Q457" s="245" t="n">
        <v>15</v>
      </c>
      <c r="R457" s="245" t="n">
        <v>3</v>
      </c>
      <c r="S457" s="245" t="n">
        <v>1</v>
      </c>
      <c r="T457" s="249" t="inlineStr">
        <is>
          <t xml:space="preserve">I1   </t>
        </is>
      </c>
      <c r="U457" s="249" t="n">
        <v>398</v>
      </c>
      <c r="V457" s="678" t="n">
        <v>36500</v>
      </c>
      <c r="W457" s="678" t="n">
        <v>37000</v>
      </c>
      <c r="X457" s="356" t="inlineStr">
        <is>
          <t>2.1:1</t>
        </is>
      </c>
      <c r="Y457" s="678" t="n">
        <v>17000</v>
      </c>
      <c r="Z457" s="249" t="inlineStr">
        <is>
          <t xml:space="preserve">C </t>
        </is>
      </c>
      <c r="AC457" s="253" t="n"/>
      <c r="AD457" s="247" t="inlineStr">
        <is>
          <t xml:space="preserve">WHSE DIST.          </t>
        </is>
      </c>
      <c r="AE457" s="680" t="n"/>
      <c r="AF457" s="680" t="n"/>
      <c r="AG457" s="680" t="n"/>
      <c r="AH457" s="680" t="n"/>
      <c r="AI457" s="680" t="n"/>
      <c r="AJ457" s="680" t="n"/>
      <c r="AK457" s="680" t="inlineStr">
        <is>
          <t xml:space="preserve">2008 LEASE.                                                       </t>
        </is>
      </c>
      <c r="AM457" s="245" t="inlineStr">
        <is>
          <t> </t>
        </is>
      </c>
    </row>
    <row r="458">
      <c r="A458" s="248" t="n">
        <v>7</v>
      </c>
      <c r="B458" s="370" t="n">
        <v>450</v>
      </c>
      <c r="C458" s="254" t="inlineStr">
        <is>
          <t>2011Q</t>
        </is>
      </c>
      <c r="D458" s="245" t="inlineStr">
        <is>
          <t xml:space="preserve">05091-21-002-000 </t>
        </is>
      </c>
      <c r="E458" s="258" t="inlineStr">
        <is>
          <t>Actual</t>
        </is>
      </c>
      <c r="F458" s="259" t="inlineStr">
        <is>
          <t>200   KALAMATH            ST</t>
        </is>
      </c>
      <c r="G458" s="672" t="n">
        <v>44.2</v>
      </c>
      <c r="H458" s="253" t="n">
        <v>9505</v>
      </c>
      <c r="I458" s="255" t="n">
        <v>0</v>
      </c>
      <c r="J458" s="678" t="n">
        <v>7883</v>
      </c>
      <c r="K458" s="679" t="n">
        <v>3.196752505391348</v>
      </c>
      <c r="L458" s="260" t="n">
        <v>0</v>
      </c>
      <c r="M458" s="262" t="n">
        <v>0.06797619047619048</v>
      </c>
      <c r="N458" s="253" t="n">
        <v>1955</v>
      </c>
      <c r="O458" s="250" t="n">
        <v>3048</v>
      </c>
      <c r="Q458" s="245" t="n">
        <v>12</v>
      </c>
      <c r="R458" s="245" t="n">
        <v>3</v>
      </c>
      <c r="S458" s="245" t="n">
        <v>1</v>
      </c>
      <c r="T458" s="249" t="inlineStr">
        <is>
          <t xml:space="preserve">I1   </t>
        </is>
      </c>
      <c r="U458" s="249" t="n">
        <v>398</v>
      </c>
      <c r="V458" s="678" t="n">
        <v>14243</v>
      </c>
      <c r="W458" s="678" t="n">
        <v>14000</v>
      </c>
      <c r="X458" s="356" t="inlineStr">
        <is>
          <t>1.8:1</t>
        </is>
      </c>
      <c r="Y458" s="678" t="n">
        <v>8000</v>
      </c>
      <c r="Z458" s="249" t="inlineStr">
        <is>
          <t xml:space="preserve">C </t>
        </is>
      </c>
      <c r="AC458" s="253" t="n"/>
      <c r="AD458" s="247" t="inlineStr">
        <is>
          <t>                    </t>
        </is>
      </c>
      <c r="AE458" s="680" t="n"/>
      <c r="AF458" s="680" t="n"/>
      <c r="AG458" s="680" t="n"/>
      <c r="AH458" s="680" t="n"/>
      <c r="AI458" s="680" t="n"/>
      <c r="AJ458" s="680" t="n"/>
      <c r="AK458" s="680" t="inlineStr">
        <is>
          <t>                                                                  </t>
        </is>
      </c>
      <c r="AM458" s="245" t="inlineStr">
        <is>
          <t> </t>
        </is>
      </c>
    </row>
    <row r="459">
      <c r="A459" s="248" t="n">
        <v>7</v>
      </c>
      <c r="B459" s="370" t="n">
        <v>451</v>
      </c>
      <c r="C459" s="254" t="inlineStr">
        <is>
          <t>2011Q</t>
        </is>
      </c>
      <c r="D459" s="245" t="inlineStr">
        <is>
          <t xml:space="preserve">05092-00-076-000 </t>
        </is>
      </c>
      <c r="E459" s="258" t="inlineStr">
        <is>
          <t>Actual</t>
        </is>
      </c>
      <c r="F459" s="259" t="inlineStr">
        <is>
          <t>657   OSAGE               ST</t>
        </is>
      </c>
      <c r="G459" s="253" t="n">
        <v>44.1</v>
      </c>
      <c r="H459" s="253" t="n">
        <v>9505</v>
      </c>
      <c r="I459" s="255" t="n">
        <v>0</v>
      </c>
      <c r="J459" s="678" t="n">
        <v>9361</v>
      </c>
      <c r="K459" s="679" t="n">
        <v>4.422604422604422</v>
      </c>
      <c r="L459" s="260" t="n">
        <v>0</v>
      </c>
      <c r="M459" s="262" t="n">
        <v>0.01509661835748792</v>
      </c>
      <c r="N459" s="253" t="n">
        <v>1965</v>
      </c>
      <c r="O459" s="250" t="n">
        <v>1260</v>
      </c>
      <c r="Q459" s="245" t="n">
        <v>14</v>
      </c>
      <c r="R459" s="245" t="n">
        <v>1</v>
      </c>
      <c r="S459" s="245" t="n">
        <v>1</v>
      </c>
      <c r="T459" s="249" t="inlineStr">
        <is>
          <t xml:space="preserve">I1   </t>
        </is>
      </c>
      <c r="U459" s="249" t="n">
        <v>398</v>
      </c>
      <c r="V459" s="678" t="n">
        <v>17908</v>
      </c>
      <c r="W459" s="678" t="n">
        <v>18000</v>
      </c>
      <c r="X459" s="356" t="inlineStr">
        <is>
          <t>1.9:1</t>
        </is>
      </c>
      <c r="Y459" s="678" t="n">
        <v>9000</v>
      </c>
      <c r="Z459" s="249" t="inlineStr">
        <is>
          <t xml:space="preserve">C </t>
        </is>
      </c>
      <c r="AC459" s="253" t="n"/>
      <c r="AD459" s="247" t="inlineStr">
        <is>
          <t>                    </t>
        </is>
      </c>
      <c r="AE459" s="680" t="n"/>
      <c r="AF459" s="680" t="n"/>
      <c r="AG459" s="680" t="n"/>
      <c r="AH459" s="680" t="n"/>
      <c r="AI459" s="680" t="n"/>
      <c r="AJ459" s="680" t="n"/>
      <c r="AK459" s="680" t="inlineStr">
        <is>
          <t xml:space="preserve">DATA FOR 2010 LEASE ENTERED.                                      </t>
        </is>
      </c>
      <c r="AM459" s="245" t="inlineStr">
        <is>
          <t> </t>
        </is>
      </c>
    </row>
    <row r="460">
      <c r="A460" s="248" t="n">
        <v>7</v>
      </c>
      <c r="B460" s="370" t="n">
        <v>452</v>
      </c>
      <c r="C460" s="254" t="inlineStr">
        <is>
          <t>2011Q</t>
        </is>
      </c>
      <c r="D460" s="245" t="inlineStr">
        <is>
          <t xml:space="preserve">05092-06-015-000 </t>
        </is>
      </c>
      <c r="E460" s="258" t="inlineStr">
        <is>
          <t>Actual</t>
        </is>
      </c>
      <c r="F460" s="259" t="inlineStr">
        <is>
          <t>707   UMATILLA            ST</t>
        </is>
      </c>
      <c r="G460" s="253" t="n">
        <v>44.1</v>
      </c>
      <c r="H460" s="253" t="n">
        <v>9505</v>
      </c>
      <c r="I460" s="255" t="n">
        <v>0</v>
      </c>
      <c r="J460" s="678" t="n">
        <v>18270</v>
      </c>
      <c r="K460" s="679" t="n">
        <v>6.371811713191024</v>
      </c>
      <c r="L460" s="260" t="n">
        <v>0</v>
      </c>
      <c r="M460" s="262" t="n">
        <v>0.004380954017163032</v>
      </c>
      <c r="N460" s="253" t="n">
        <v>1982</v>
      </c>
      <c r="O460" s="250" t="n">
        <v>1128</v>
      </c>
      <c r="P460" s="250" t="n">
        <v>1293</v>
      </c>
      <c r="Q460" s="245" t="n">
        <v>17</v>
      </c>
      <c r="R460" s="245" t="n">
        <v>7</v>
      </c>
      <c r="S460" s="245" t="n">
        <v>1</v>
      </c>
      <c r="T460" s="249" t="inlineStr">
        <is>
          <t xml:space="preserve">I1   </t>
        </is>
      </c>
      <c r="U460" s="249" t="n">
        <v>398</v>
      </c>
      <c r="V460" s="678" t="n">
        <v>29950</v>
      </c>
      <c r="W460" s="678" t="n">
        <v>30000</v>
      </c>
      <c r="X460" s="356" t="inlineStr">
        <is>
          <t>1.6:1</t>
        </is>
      </c>
      <c r="Y460" s="678" t="n">
        <v>18000</v>
      </c>
      <c r="Z460" s="249" t="inlineStr">
        <is>
          <t xml:space="preserve">C </t>
        </is>
      </c>
      <c r="AC460" s="253" t="n"/>
      <c r="AD460" s="247" t="inlineStr">
        <is>
          <t>                    </t>
        </is>
      </c>
      <c r="AE460" s="680" t="n"/>
      <c r="AF460" s="680" t="n"/>
      <c r="AG460" s="680" t="n"/>
      <c r="AH460" s="680" t="n"/>
      <c r="AI460" s="680" t="n"/>
      <c r="AJ460" s="680" t="n"/>
      <c r="AK460" s="680" t="inlineStr">
        <is>
          <t>                                                                  </t>
        </is>
      </c>
      <c r="AM460" s="245" t="inlineStr">
        <is>
          <t> </t>
        </is>
      </c>
    </row>
    <row r="461">
      <c r="A461" s="248" t="n">
        <v>7</v>
      </c>
      <c r="B461" s="370" t="n">
        <v>453</v>
      </c>
      <c r="C461" s="254" t="inlineStr">
        <is>
          <t>2011Q</t>
        </is>
      </c>
      <c r="D461" s="245" t="inlineStr">
        <is>
          <t xml:space="preserve">05092-06-023-000 </t>
        </is>
      </c>
      <c r="E461" s="258" t="inlineStr">
        <is>
          <t>Actual</t>
        </is>
      </c>
      <c r="F461" s="259" t="inlineStr">
        <is>
          <t>777   UMATILLA            ST</t>
        </is>
      </c>
      <c r="G461" s="672" t="n">
        <v>47.1</v>
      </c>
      <c r="H461" s="253" t="n">
        <v>9505</v>
      </c>
      <c r="I461" s="255" t="n">
        <v>0</v>
      </c>
      <c r="J461" s="678" t="n">
        <v>15531</v>
      </c>
      <c r="K461" s="679" t="n">
        <v>5.134891507307965</v>
      </c>
      <c r="L461" s="260" t="n">
        <v>0.75</v>
      </c>
      <c r="M461" s="262" t="n">
        <v>0</v>
      </c>
      <c r="N461" s="253" t="n">
        <v>1962</v>
      </c>
      <c r="O461" s="250" t="n">
        <v>978</v>
      </c>
      <c r="Q461" s="245" t="n">
        <v>16</v>
      </c>
      <c r="R461" s="245" t="n">
        <v>1</v>
      </c>
      <c r="S461" s="245" t="n">
        <v>1</v>
      </c>
      <c r="T461" s="249" t="inlineStr">
        <is>
          <t xml:space="preserve">I1   </t>
        </is>
      </c>
      <c r="U461" s="249" t="n">
        <v>401</v>
      </c>
      <c r="V461" s="678" t="n">
        <v>27000</v>
      </c>
      <c r="W461" s="678" t="n">
        <v>27000</v>
      </c>
      <c r="X461" s="356" t="inlineStr">
        <is>
          <t>1.7:1</t>
        </is>
      </c>
      <c r="Y461" s="678" t="n">
        <v>16000</v>
      </c>
      <c r="Z461" s="249" t="inlineStr">
        <is>
          <t xml:space="preserve">C </t>
        </is>
      </c>
      <c r="AC461" s="253" t="n"/>
      <c r="AD461" s="247" t="inlineStr">
        <is>
          <t xml:space="preserve">VACANT              </t>
        </is>
      </c>
      <c r="AE461" s="680" t="n"/>
      <c r="AF461" s="680" t="n"/>
      <c r="AG461" s="680" t="n"/>
      <c r="AH461" s="680" t="n"/>
      <c r="AI461" s="680" t="n"/>
      <c r="AJ461" s="680" t="n"/>
      <c r="AK461" s="680" t="inlineStr">
        <is>
          <t>                                                                  </t>
        </is>
      </c>
      <c r="AM461" s="245" t="inlineStr">
        <is>
          <t> </t>
        </is>
      </c>
    </row>
    <row r="462">
      <c r="A462" s="248" t="n">
        <v>7</v>
      </c>
      <c r="B462" s="370" t="n">
        <v>454</v>
      </c>
      <c r="C462" s="254" t="inlineStr">
        <is>
          <t>2011Q</t>
        </is>
      </c>
      <c r="D462" s="245" t="inlineStr">
        <is>
          <t xml:space="preserve">05092-07-013-000 </t>
        </is>
      </c>
      <c r="E462" s="258" t="inlineStr">
        <is>
          <t>Actual</t>
        </is>
      </c>
      <c r="F462" s="259" t="inlineStr">
        <is>
          <t>745   VALLEJO             ST</t>
        </is>
      </c>
      <c r="G462" s="253" t="n">
        <v>44.1</v>
      </c>
      <c r="H462" s="253" t="n">
        <v>9505</v>
      </c>
      <c r="I462" s="255" t="n">
        <v>0</v>
      </c>
      <c r="J462" s="678" t="n">
        <v>2800</v>
      </c>
      <c r="K462" s="679" t="n">
        <v>9.945</v>
      </c>
      <c r="L462" s="260" t="n">
        <v>0</v>
      </c>
      <c r="M462" s="262" t="n">
        <v>0.0706385118149824</v>
      </c>
      <c r="N462" s="253" t="n">
        <v>1964</v>
      </c>
      <c r="O462" s="250" t="n">
        <v>198</v>
      </c>
      <c r="Q462" s="245" t="n">
        <v>14</v>
      </c>
      <c r="R462" s="245" t="n">
        <v>3</v>
      </c>
      <c r="S462" s="245" t="n">
        <v>1</v>
      </c>
      <c r="T462" s="249" t="inlineStr">
        <is>
          <t xml:space="preserve">I1   </t>
        </is>
      </c>
      <c r="U462" s="249" t="n">
        <v>398</v>
      </c>
      <c r="V462" s="678" t="n">
        <v>6000</v>
      </c>
      <c r="W462" s="678" t="n">
        <v>6000</v>
      </c>
      <c r="X462" s="356" t="inlineStr">
        <is>
          <t>2.1:1</t>
        </is>
      </c>
      <c r="Y462" s="678" t="n">
        <v>3000</v>
      </c>
      <c r="Z462" s="249" t="inlineStr">
        <is>
          <t xml:space="preserve">C </t>
        </is>
      </c>
      <c r="AC462" s="253" t="n"/>
      <c r="AD462" s="247" t="inlineStr">
        <is>
          <t>S-W DENVER WIRE WORK</t>
        </is>
      </c>
      <c r="AE462" s="680" t="n"/>
      <c r="AF462" s="680" t="n"/>
      <c r="AG462" s="680" t="n"/>
      <c r="AH462" s="680" t="n"/>
      <c r="AI462" s="680" t="n"/>
      <c r="AJ462" s="680" t="n"/>
      <c r="AK462" s="680" t="inlineStr">
        <is>
          <t xml:space="preserve">2008 LEASE.                                                       </t>
        </is>
      </c>
      <c r="AM462" s="245" t="inlineStr">
        <is>
          <t> </t>
        </is>
      </c>
    </row>
    <row r="463">
      <c r="A463" s="248" t="n">
        <v>7</v>
      </c>
      <c r="B463" s="370" t="n">
        <v>455</v>
      </c>
      <c r="C463" s="254" t="inlineStr">
        <is>
          <t>2011Q</t>
        </is>
      </c>
      <c r="D463" s="245" t="inlineStr">
        <is>
          <t xml:space="preserve">05092-07-032-000 </t>
        </is>
      </c>
      <c r="E463" s="258" t="inlineStr">
        <is>
          <t>Actual</t>
        </is>
      </c>
      <c r="F463" s="259" t="inlineStr">
        <is>
          <t>755   VALLEJO             ST</t>
        </is>
      </c>
      <c r="G463" s="672" t="n">
        <v>44.2</v>
      </c>
      <c r="H463" s="253" t="n">
        <v>9505</v>
      </c>
      <c r="I463" s="255" t="n">
        <v>0</v>
      </c>
      <c r="J463" s="678" t="n">
        <v>4928</v>
      </c>
      <c r="K463" s="679" t="n">
        <v>6.25</v>
      </c>
      <c r="L463" s="260" t="n">
        <v>0.59</v>
      </c>
      <c r="M463" s="262" t="n">
        <v>0.391038961038961</v>
      </c>
      <c r="N463" s="253" t="n">
        <v>1970</v>
      </c>
      <c r="O463" s="250" t="n">
        <v>5575</v>
      </c>
      <c r="Q463" s="245" t="n">
        <v>18</v>
      </c>
      <c r="R463" s="245" t="n">
        <v>1</v>
      </c>
      <c r="S463" s="245" t="n">
        <v>1</v>
      </c>
      <c r="T463" s="249" t="inlineStr">
        <is>
          <t xml:space="preserve">I1   </t>
        </is>
      </c>
      <c r="U463" s="249" t="n">
        <v>398</v>
      </c>
      <c r="V463" s="678" t="n">
        <v>18000</v>
      </c>
      <c r="W463" s="678" t="n">
        <v>18000</v>
      </c>
      <c r="X463" s="356" t="inlineStr">
        <is>
          <t>1.5:1</t>
        </is>
      </c>
      <c r="Y463" s="678" t="n">
        <v>5000</v>
      </c>
      <c r="Z463" s="249" t="inlineStr">
        <is>
          <t xml:space="preserve">C </t>
        </is>
      </c>
      <c r="AC463" s="253" t="n"/>
      <c r="AD463" s="247" t="inlineStr">
        <is>
          <t xml:space="preserve">M-W                 </t>
        </is>
      </c>
      <c r="AE463" s="680" t="n"/>
      <c r="AF463" s="680" t="n"/>
      <c r="AG463" s="680" t="n"/>
      <c r="AH463" s="680" t="n"/>
      <c r="AI463" s="680" t="n"/>
      <c r="AJ463" s="680" t="n"/>
      <c r="AK463" s="680" t="inlineStr">
        <is>
          <t xml:space="preserve">APPLY DATA FOR 4928 SF LEASED IN 2009; TOTAL 11867 SF BUILDING.   </t>
        </is>
      </c>
      <c r="AM463" s="245" t="inlineStr">
        <is>
          <t> </t>
        </is>
      </c>
    </row>
    <row r="464">
      <c r="A464" s="248" t="n">
        <v>7</v>
      </c>
      <c r="B464" s="370" t="n">
        <v>456</v>
      </c>
      <c r="C464" s="254" t="inlineStr">
        <is>
          <t>2011Q</t>
        </is>
      </c>
      <c r="D464" s="245" t="inlineStr">
        <is>
          <t xml:space="preserve">05092-13-013-000 </t>
        </is>
      </c>
      <c r="E464" s="258" t="inlineStr">
        <is>
          <t>Actual</t>
        </is>
      </c>
      <c r="F464" s="259" t="inlineStr">
        <is>
          <t>2038 W 7TH                 AV</t>
        </is>
      </c>
      <c r="G464" s="253" t="n">
        <v>44.1</v>
      </c>
      <c r="H464" s="253" t="n">
        <v>9505</v>
      </c>
      <c r="I464" s="255" t="n">
        <v>0</v>
      </c>
      <c r="J464" s="678" t="n">
        <v>28364</v>
      </c>
      <c r="K464" s="679" t="n">
        <v>5.906078127203497</v>
      </c>
      <c r="L464" s="260" t="n">
        <v>0</v>
      </c>
      <c r="M464" s="262" t="n">
        <v>0.006536532951289398</v>
      </c>
      <c r="N464" s="253" t="n">
        <v>1961</v>
      </c>
      <c r="O464" s="250" t="n">
        <v>1967</v>
      </c>
      <c r="Q464" s="245" t="n">
        <v>13</v>
      </c>
      <c r="R464" s="245" t="n">
        <v>3</v>
      </c>
      <c r="S464" s="245" t="n">
        <v>1</v>
      </c>
      <c r="T464" s="249" t="inlineStr">
        <is>
          <t xml:space="preserve">I1   </t>
        </is>
      </c>
      <c r="U464" s="249" t="n">
        <v>398</v>
      </c>
      <c r="V464" s="678" t="n">
        <v>47476</v>
      </c>
      <c r="W464" s="678" t="n">
        <v>47000</v>
      </c>
      <c r="X464" s="356" t="inlineStr">
        <is>
          <t>1.7:1</t>
        </is>
      </c>
      <c r="Y464" s="678" t="n">
        <v>28000</v>
      </c>
      <c r="Z464" s="249" t="inlineStr">
        <is>
          <t xml:space="preserve">C </t>
        </is>
      </c>
      <c r="AC464" s="253" t="n"/>
      <c r="AD464" s="247" t="inlineStr">
        <is>
          <t>                    </t>
        </is>
      </c>
      <c r="AE464" s="680" t="n"/>
      <c r="AF464" s="680" t="n"/>
      <c r="AG464" s="680" t="n"/>
      <c r="AH464" s="680" t="n"/>
      <c r="AI464" s="680" t="n"/>
      <c r="AJ464" s="680" t="n"/>
      <c r="AK464" s="680" t="inlineStr">
        <is>
          <t>                                                                  </t>
        </is>
      </c>
      <c r="AM464" s="245" t="inlineStr">
        <is>
          <t> </t>
        </is>
      </c>
    </row>
    <row r="465">
      <c r="A465" s="248" t="n">
        <v>7</v>
      </c>
      <c r="B465" s="370" t="n">
        <v>457</v>
      </c>
      <c r="C465" s="254" t="inlineStr">
        <is>
          <t>2011Q</t>
        </is>
      </c>
      <c r="D465" s="245" t="inlineStr">
        <is>
          <t xml:space="preserve">05093-00-052-000 </t>
        </is>
      </c>
      <c r="E465" s="258" t="inlineStr">
        <is>
          <t>Actual</t>
        </is>
      </c>
      <c r="F465" s="259" t="inlineStr">
        <is>
          <t>163   VALLEJO             ST</t>
        </is>
      </c>
      <c r="G465" s="253" t="n">
        <v>44.1</v>
      </c>
      <c r="H465" s="253" t="n">
        <v>9508</v>
      </c>
      <c r="I465" s="255" t="n">
        <v>0</v>
      </c>
      <c r="J465" s="678" t="n">
        <v>4681</v>
      </c>
      <c r="K465" s="679" t="n">
        <v>11.02328562273019</v>
      </c>
      <c r="L465" s="260" t="n">
        <v>0</v>
      </c>
      <c r="M465" s="262" t="n">
        <v>0.02426356589147287</v>
      </c>
      <c r="N465" s="253" t="n">
        <v>1937</v>
      </c>
      <c r="O465" s="250" t="n">
        <v>700</v>
      </c>
      <c r="P465" s="250" t="n">
        <v>1922</v>
      </c>
      <c r="Q465" s="245" t="n">
        <v>18</v>
      </c>
      <c r="R465" s="245" t="n">
        <v>3</v>
      </c>
      <c r="S465" s="245" t="n">
        <v>1</v>
      </c>
      <c r="T465" s="249" t="inlineStr">
        <is>
          <t xml:space="preserve">I1   </t>
        </is>
      </c>
      <c r="U465" s="249" t="n">
        <v>398</v>
      </c>
      <c r="V465" s="678" t="n">
        <v>14136</v>
      </c>
      <c r="W465" s="678" t="n">
        <v>14000</v>
      </c>
      <c r="X465" s="356" t="inlineStr">
        <is>
          <t>3.0:1</t>
        </is>
      </c>
      <c r="Y465" s="678" t="n">
        <v>5000</v>
      </c>
      <c r="Z465" s="249" t="inlineStr">
        <is>
          <t xml:space="preserve">C </t>
        </is>
      </c>
      <c r="AC465" s="253" t="n"/>
      <c r="AD465" s="247" t="inlineStr">
        <is>
          <t>IAI CONSTRUCTION CO.</t>
        </is>
      </c>
      <c r="AE465" s="680" t="n"/>
      <c r="AF465" s="680" t="n"/>
      <c r="AG465" s="680" t="n"/>
      <c r="AH465" s="680" t="n"/>
      <c r="AI465" s="680" t="n"/>
      <c r="AJ465" s="680" t="n"/>
      <c r="AK465" s="680" t="inlineStr">
        <is>
          <t>                                                                  </t>
        </is>
      </c>
      <c r="AM465" s="245" t="inlineStr">
        <is>
          <t> </t>
        </is>
      </c>
    </row>
    <row r="466">
      <c r="A466" s="248" t="n">
        <v>7</v>
      </c>
      <c r="B466" s="370" t="n">
        <v>458</v>
      </c>
      <c r="C466" s="254" t="inlineStr">
        <is>
          <t>2011Q</t>
        </is>
      </c>
      <c r="D466" s="245" t="inlineStr">
        <is>
          <t xml:space="preserve">05093-11-008-000 </t>
        </is>
      </c>
      <c r="E466" s="258" t="inlineStr">
        <is>
          <t>Actual</t>
        </is>
      </c>
      <c r="F466" s="259" t="inlineStr">
        <is>
          <t>145   YUMA                ST</t>
        </is>
      </c>
      <c r="G466" s="253" t="n">
        <v>44.1</v>
      </c>
      <c r="H466" s="253" t="n">
        <v>9508</v>
      </c>
      <c r="I466" s="255" t="n">
        <v>0</v>
      </c>
      <c r="J466" s="678" t="n">
        <v>6930</v>
      </c>
      <c r="K466" s="679" t="n">
        <v>6.149639249639249</v>
      </c>
      <c r="L466" s="260" t="n">
        <v>0</v>
      </c>
      <c r="M466" s="262" t="n">
        <v>0.30699016824272</v>
      </c>
      <c r="N466" s="253" t="n">
        <v>1965</v>
      </c>
      <c r="O466" s="250" t="n">
        <v>1260</v>
      </c>
      <c r="Q466" s="245" t="n">
        <v>13</v>
      </c>
      <c r="R466" s="245" t="n">
        <v>1</v>
      </c>
      <c r="S466" s="245" t="n">
        <v>1</v>
      </c>
      <c r="T466" s="249" t="inlineStr">
        <is>
          <t xml:space="preserve">I1   </t>
        </is>
      </c>
      <c r="U466" s="249" t="n">
        <v>398</v>
      </c>
      <c r="V466" s="678" t="n">
        <v>18900</v>
      </c>
      <c r="W466" s="678" t="n">
        <v>19000</v>
      </c>
      <c r="X466" s="356" t="inlineStr">
        <is>
          <t>2.7:1</t>
        </is>
      </c>
      <c r="Y466" s="678" t="n">
        <v>7000</v>
      </c>
      <c r="Z466" s="249" t="inlineStr">
        <is>
          <t xml:space="preserve">C </t>
        </is>
      </c>
      <c r="AC466" s="253" t="n"/>
      <c r="AD466" s="247" t="inlineStr">
        <is>
          <t>                    </t>
        </is>
      </c>
      <c r="AE466" s="680" t="n"/>
      <c r="AF466" s="680" t="n"/>
      <c r="AG466" s="680" t="n"/>
      <c r="AH466" s="680" t="n"/>
      <c r="AI466" s="680" t="n"/>
      <c r="AJ466" s="680" t="n"/>
      <c r="AK466" s="680" t="inlineStr">
        <is>
          <t xml:space="preserve">OWNER PAYING TOO MUCH OF THE EXPENSE HERE.                        </t>
        </is>
      </c>
      <c r="AM466" s="245" t="inlineStr">
        <is>
          <t> </t>
        </is>
      </c>
    </row>
    <row r="467">
      <c r="A467" s="248" t="n">
        <v>7</v>
      </c>
      <c r="B467" s="370" t="n">
        <v>459</v>
      </c>
      <c r="C467" s="254" t="inlineStr">
        <is>
          <t>2011Q</t>
        </is>
      </c>
      <c r="D467" s="245" t="inlineStr">
        <is>
          <t xml:space="preserve">05094-05-032-000 </t>
        </is>
      </c>
      <c r="E467" s="258" t="inlineStr">
        <is>
          <t>Actual</t>
        </is>
      </c>
      <c r="F467" s="259" t="inlineStr">
        <is>
          <t>1448 W CEDAR               AV</t>
        </is>
      </c>
      <c r="G467" s="253" t="n">
        <v>44.1</v>
      </c>
      <c r="H467" s="253" t="n">
        <v>9508</v>
      </c>
      <c r="I467" s="255" t="n">
        <v>0</v>
      </c>
      <c r="J467" s="678" t="n">
        <v>6300</v>
      </c>
      <c r="K467" s="679" t="n">
        <v>5.714285714285714</v>
      </c>
      <c r="L467" s="260" t="n">
        <v>0</v>
      </c>
      <c r="M467" s="262" t="n">
        <v>0.1518611111111111</v>
      </c>
      <c r="N467" s="253" t="n">
        <v>1982</v>
      </c>
      <c r="O467" s="250" t="n">
        <v>929</v>
      </c>
      <c r="Q467" s="245" t="n">
        <v>15</v>
      </c>
      <c r="R467" s="245" t="n">
        <v>3</v>
      </c>
      <c r="S467" s="245" t="n">
        <v>1</v>
      </c>
      <c r="T467" s="249" t="inlineStr">
        <is>
          <t xml:space="preserve">I0   </t>
        </is>
      </c>
      <c r="U467" s="249" t="n">
        <v>398</v>
      </c>
      <c r="V467" s="678" t="n">
        <v>12500</v>
      </c>
      <c r="W467" s="678" t="n">
        <v>13000</v>
      </c>
      <c r="X467" s="356" t="inlineStr">
        <is>
          <t>2.0:1</t>
        </is>
      </c>
      <c r="Y467" s="678" t="n">
        <v>6000</v>
      </c>
      <c r="Z467" s="249" t="inlineStr">
        <is>
          <t xml:space="preserve">C </t>
        </is>
      </c>
      <c r="AC467" s="253" t="n"/>
      <c r="AD467" s="247" t="inlineStr">
        <is>
          <t>                    </t>
        </is>
      </c>
      <c r="AE467" s="680" t="n"/>
      <c r="AF467" s="680" t="n"/>
      <c r="AG467" s="680" t="n"/>
      <c r="AH467" s="680" t="n"/>
      <c r="AI467" s="680" t="n"/>
      <c r="AJ467" s="680" t="n"/>
      <c r="AK467" s="680" t="inlineStr">
        <is>
          <t>                                                                  </t>
        </is>
      </c>
      <c r="AM467" s="245" t="inlineStr">
        <is>
          <t> </t>
        </is>
      </c>
    </row>
    <row r="468">
      <c r="A468" s="248" t="n">
        <v>7</v>
      </c>
      <c r="B468" s="370" t="n">
        <v>460</v>
      </c>
      <c r="C468" s="254" t="inlineStr">
        <is>
          <t>2011Q</t>
        </is>
      </c>
      <c r="D468" s="245" t="inlineStr">
        <is>
          <t xml:space="preserve">05095-05-005-000 </t>
        </is>
      </c>
      <c r="E468" s="258" t="inlineStr">
        <is>
          <t>Actual</t>
        </is>
      </c>
      <c r="F468" s="259" t="inlineStr">
        <is>
          <t>1345 W BAYAUD              AV</t>
        </is>
      </c>
      <c r="G468" s="253" t="n">
        <v>44.1</v>
      </c>
      <c r="H468" s="253" t="n">
        <v>9508</v>
      </c>
      <c r="I468" s="255" t="n">
        <v>0</v>
      </c>
      <c r="J468" s="678" t="n">
        <v>3424</v>
      </c>
      <c r="K468" s="679" t="n">
        <v>7.009345794392523</v>
      </c>
      <c r="L468" s="260" t="n">
        <v>0</v>
      </c>
      <c r="M468" s="262" t="n">
        <v>0.285625</v>
      </c>
      <c r="N468" s="253" t="n">
        <v>1966</v>
      </c>
      <c r="O468" s="250" t="n">
        <v>1024</v>
      </c>
      <c r="Q468" s="245" t="n">
        <v>12</v>
      </c>
      <c r="R468" s="245" t="n">
        <v>7</v>
      </c>
      <c r="S468" s="245" t="n">
        <v>1</v>
      </c>
      <c r="T468" s="249" t="inlineStr">
        <is>
          <t xml:space="preserve">I2   </t>
        </is>
      </c>
      <c r="U468" s="249" t="n">
        <v>398</v>
      </c>
      <c r="V468" s="678" t="n">
        <v>21106</v>
      </c>
      <c r="W468" s="678" t="n">
        <v>21000</v>
      </c>
      <c r="X468" s="356" t="inlineStr">
        <is>
          <t>6.2:1</t>
        </is>
      </c>
      <c r="Y468" s="678" t="n">
        <v>3000</v>
      </c>
      <c r="Z468" s="249" t="inlineStr">
        <is>
          <t xml:space="preserve">C </t>
        </is>
      </c>
      <c r="AC468" s="253" t="n"/>
      <c r="AD468" s="247" t="inlineStr">
        <is>
          <t>S-W LINCOLN LANDSCPE</t>
        </is>
      </c>
      <c r="AE468" s="680" t="n"/>
      <c r="AF468" s="680" t="n"/>
      <c r="AG468" s="680" t="n"/>
      <c r="AH468" s="680" t="n"/>
      <c r="AI468" s="680" t="n"/>
      <c r="AJ468" s="680" t="n"/>
      <c r="AK468" s="680" t="inlineStr">
        <is>
          <t xml:space="preserve">2008 LEASE.                                                       </t>
        </is>
      </c>
      <c r="AM468" s="245" t="inlineStr">
        <is>
          <t> </t>
        </is>
      </c>
    </row>
    <row r="469">
      <c r="A469" s="248" t="n">
        <v>7</v>
      </c>
      <c r="B469" s="370" t="n">
        <v>461</v>
      </c>
      <c r="C469" s="254" t="inlineStr">
        <is>
          <t>2011Q</t>
        </is>
      </c>
      <c r="D469" s="245" t="inlineStr">
        <is>
          <t xml:space="preserve">05095-08-006-000 </t>
        </is>
      </c>
      <c r="E469" s="258" t="inlineStr">
        <is>
          <t>Actual</t>
        </is>
      </c>
      <c r="F469" s="259" t="inlineStr">
        <is>
          <t>1340 W BAYAUD              AV</t>
        </is>
      </c>
      <c r="G469" s="253" t="n">
        <v>44.1</v>
      </c>
      <c r="H469" s="253" t="n">
        <v>9508</v>
      </c>
      <c r="I469" s="255" t="n">
        <v>0</v>
      </c>
      <c r="J469" s="678" t="n">
        <v>5350</v>
      </c>
      <c r="K469" s="679" t="n">
        <v>6.281308411214953</v>
      </c>
      <c r="L469" s="260" t="n">
        <v>0</v>
      </c>
      <c r="M469" s="262" t="n">
        <v>0.2579378068739771</v>
      </c>
      <c r="N469" s="253" t="n">
        <v>1977</v>
      </c>
      <c r="O469" s="250" t="n">
        <v>699</v>
      </c>
      <c r="Q469" s="245" t="n">
        <v>21</v>
      </c>
      <c r="R469" s="245" t="n">
        <v>14</v>
      </c>
      <c r="S469" s="245" t="n">
        <v>1</v>
      </c>
      <c r="T469" s="249" t="inlineStr">
        <is>
          <t xml:space="preserve">I2   </t>
        </is>
      </c>
      <c r="U469" s="249" t="n">
        <v>398</v>
      </c>
      <c r="V469" s="678" t="n">
        <v>33457</v>
      </c>
      <c r="W469" s="678" t="n">
        <v>33000</v>
      </c>
      <c r="X469" s="356" t="inlineStr">
        <is>
          <t>1.5:1</t>
        </is>
      </c>
      <c r="Y469" s="678" t="n">
        <v>5000</v>
      </c>
      <c r="Z469" s="249" t="inlineStr">
        <is>
          <t xml:space="preserve">C </t>
        </is>
      </c>
      <c r="AC469" s="253" t="n"/>
      <c r="AD469" s="247" t="inlineStr">
        <is>
          <t xml:space="preserve">M-W                 </t>
        </is>
      </c>
      <c r="AE469" s="680" t="n"/>
      <c r="AF469" s="680" t="n"/>
      <c r="AG469" s="680" t="n"/>
      <c r="AH469" s="680" t="n"/>
      <c r="AI469" s="680" t="n"/>
      <c r="AJ469" s="680" t="n"/>
      <c r="AK469" s="680" t="inlineStr">
        <is>
          <t xml:space="preserve">5350 SF 2010 LEASE USED FOR ENTRY; TOTAL BLDG AREA 21450 SF.      </t>
        </is>
      </c>
      <c r="AM469" s="245" t="inlineStr">
        <is>
          <t> </t>
        </is>
      </c>
    </row>
    <row r="470">
      <c r="A470" s="248" t="n">
        <v>7</v>
      </c>
      <c r="B470" s="370" t="n">
        <v>462</v>
      </c>
      <c r="C470" s="254" t="inlineStr">
        <is>
          <t>2011Q</t>
        </is>
      </c>
      <c r="D470" s="245" t="inlineStr">
        <is>
          <t xml:space="preserve">05095-11-008-000 </t>
        </is>
      </c>
      <c r="E470" s="258" t="inlineStr">
        <is>
          <t>Actual</t>
        </is>
      </c>
      <c r="F470" s="259" t="inlineStr">
        <is>
          <t>1339 W CEDAR               AV</t>
        </is>
      </c>
      <c r="G470" s="253" t="n">
        <v>44.1</v>
      </c>
      <c r="H470" s="253" t="n">
        <v>9508</v>
      </c>
      <c r="I470" s="255" t="n">
        <v>0</v>
      </c>
      <c r="J470" s="678" t="n">
        <v>17155</v>
      </c>
      <c r="K470" s="679" t="n">
        <v>12.59108131740017</v>
      </c>
      <c r="L470" s="260" t="n">
        <v>0</v>
      </c>
      <c r="M470" s="262" t="n">
        <v>0</v>
      </c>
      <c r="N470" s="253" t="n">
        <v>1987</v>
      </c>
      <c r="O470" s="250" t="n">
        <v>1227</v>
      </c>
      <c r="Q470" s="245" t="n">
        <v>22</v>
      </c>
      <c r="R470" s="245" t="n">
        <v>3</v>
      </c>
      <c r="S470" s="245" t="n">
        <v>1</v>
      </c>
      <c r="T470" s="249" t="inlineStr">
        <is>
          <t xml:space="preserve">I2   </t>
        </is>
      </c>
      <c r="U470" s="249" t="n">
        <v>398</v>
      </c>
      <c r="V470" s="678" t="n">
        <v>29750</v>
      </c>
      <c r="W470" s="678" t="n">
        <v>30000</v>
      </c>
      <c r="X470" s="356" t="inlineStr">
        <is>
          <t>1.7:1</t>
        </is>
      </c>
      <c r="Y470" s="678" t="n">
        <v>17000</v>
      </c>
      <c r="Z470" s="249" t="inlineStr">
        <is>
          <t xml:space="preserve">C </t>
        </is>
      </c>
      <c r="AC470" s="253" t="n"/>
      <c r="AD470" s="247" t="inlineStr">
        <is>
          <t xml:space="preserve">S-W                 </t>
        </is>
      </c>
      <c r="AE470" s="680" t="n"/>
      <c r="AF470" s="680" t="n"/>
      <c r="AG470" s="680" t="n"/>
      <c r="AH470" s="680" t="n"/>
      <c r="AI470" s="680" t="n"/>
      <c r="AJ470" s="680" t="n"/>
      <c r="AK470" s="680" t="inlineStr">
        <is>
          <t xml:space="preserve">2008 LEASES.                                                      </t>
        </is>
      </c>
      <c r="AM470" s="245" t="inlineStr">
        <is>
          <t> </t>
        </is>
      </c>
    </row>
    <row r="471">
      <c r="A471" s="248" t="n">
        <v>7</v>
      </c>
      <c r="B471" s="370" t="n">
        <v>463</v>
      </c>
      <c r="C471" s="254" t="inlineStr">
        <is>
          <t>2011Q</t>
        </is>
      </c>
      <c r="D471" s="245" t="inlineStr">
        <is>
          <t xml:space="preserve">05095-12-015-000 </t>
        </is>
      </c>
      <c r="E471" s="258" t="inlineStr">
        <is>
          <t>Actual</t>
        </is>
      </c>
      <c r="F471" s="259" t="inlineStr">
        <is>
          <t>240 S PECOS               ST</t>
        </is>
      </c>
      <c r="G471" s="253" t="n">
        <v>44.1</v>
      </c>
      <c r="H471" s="253" t="n">
        <v>9508</v>
      </c>
      <c r="I471" s="255" t="n">
        <v>0</v>
      </c>
      <c r="J471" s="678" t="n">
        <v>2905</v>
      </c>
      <c r="K471" s="679" t="n">
        <v>6.196213425129088</v>
      </c>
      <c r="L471" s="260" t="n">
        <v>0</v>
      </c>
      <c r="M471" s="262" t="n">
        <v>0</v>
      </c>
      <c r="N471" s="253" t="n">
        <v>1978</v>
      </c>
      <c r="O471" s="250" t="n">
        <v>350</v>
      </c>
      <c r="Q471" s="245" t="n">
        <v>14</v>
      </c>
      <c r="R471" s="245" t="n">
        <v>3</v>
      </c>
      <c r="S471" s="245" t="n">
        <v>1</v>
      </c>
      <c r="T471" s="249" t="inlineStr">
        <is>
          <t xml:space="preserve">I0   </t>
        </is>
      </c>
      <c r="U471" s="249" t="n">
        <v>398</v>
      </c>
      <c r="V471" s="678" t="n">
        <v>6875</v>
      </c>
      <c r="W471" s="678" t="n">
        <v>7000</v>
      </c>
      <c r="X471" s="356" t="inlineStr">
        <is>
          <t>2.4:1</t>
        </is>
      </c>
      <c r="Y471" s="678" t="n">
        <v>3000</v>
      </c>
      <c r="Z471" s="249" t="inlineStr">
        <is>
          <t xml:space="preserve">C </t>
        </is>
      </c>
      <c r="AC471" s="253" t="n"/>
      <c r="AD471" s="247" t="inlineStr">
        <is>
          <t>S-W UNTD MECH SYSTEM</t>
        </is>
      </c>
      <c r="AE471" s="680" t="n"/>
      <c r="AF471" s="680" t="n"/>
      <c r="AG471" s="680" t="n"/>
      <c r="AH471" s="680" t="n"/>
      <c r="AI471" s="680" t="n"/>
      <c r="AJ471" s="680" t="n"/>
      <c r="AK471" s="680" t="inlineStr">
        <is>
          <t>                                                                  </t>
        </is>
      </c>
      <c r="AM471" s="245" t="inlineStr">
        <is>
          <t> </t>
        </is>
      </c>
    </row>
    <row r="472">
      <c r="A472" s="248" t="n">
        <v>7</v>
      </c>
      <c r="B472" s="370" t="n">
        <v>464</v>
      </c>
      <c r="C472" s="254" t="inlineStr">
        <is>
          <t>2011Q</t>
        </is>
      </c>
      <c r="D472" s="245" t="inlineStr">
        <is>
          <t xml:space="preserve">05095-13-008-000 </t>
        </is>
      </c>
      <c r="E472" s="258" t="inlineStr">
        <is>
          <t>Actual</t>
        </is>
      </c>
      <c r="F472" s="259" t="inlineStr">
        <is>
          <t>1254 W CEDAR               AV</t>
        </is>
      </c>
      <c r="G472" s="672" t="n">
        <v>44.2</v>
      </c>
      <c r="H472" s="253" t="n">
        <v>9508</v>
      </c>
      <c r="I472" s="255" t="n">
        <v>0</v>
      </c>
      <c r="J472" s="678" t="n">
        <v>4000</v>
      </c>
      <c r="K472" s="679" t="n">
        <v>6</v>
      </c>
      <c r="L472" s="260" t="n">
        <v>0</v>
      </c>
      <c r="M472" s="262" t="n">
        <v>0.4839166666666667</v>
      </c>
      <c r="N472" s="253" t="n">
        <v>1979</v>
      </c>
      <c r="O472" s="250" t="n">
        <v>2242</v>
      </c>
      <c r="P472" s="250" t="n">
        <v>521</v>
      </c>
      <c r="Q472" s="245" t="n">
        <v>16</v>
      </c>
      <c r="R472" s="245" t="n">
        <v>3</v>
      </c>
      <c r="S472" s="245" t="n">
        <v>1</v>
      </c>
      <c r="T472" s="249" t="inlineStr">
        <is>
          <t xml:space="preserve">I0   </t>
        </is>
      </c>
      <c r="U472" s="249" t="n">
        <v>398</v>
      </c>
      <c r="V472" s="678" t="n">
        <v>10000</v>
      </c>
      <c r="W472" s="678" t="n">
        <v>10000</v>
      </c>
      <c r="X472" s="356" t="inlineStr">
        <is>
          <t>2.1:1</t>
        </is>
      </c>
      <c r="Y472" s="678" t="n">
        <v>4000</v>
      </c>
      <c r="Z472" s="249" t="inlineStr">
        <is>
          <t xml:space="preserve">C </t>
        </is>
      </c>
      <c r="AC472" s="253" t="n"/>
      <c r="AD472" s="247" t="inlineStr">
        <is>
          <t xml:space="preserve">PREMIER  PRINTING   </t>
        </is>
      </c>
      <c r="AE472" s="680" t="n"/>
      <c r="AF472" s="680" t="n"/>
      <c r="AG472" s="680" t="n"/>
      <c r="AH472" s="680" t="n"/>
      <c r="AI472" s="680" t="n"/>
      <c r="AJ472" s="680" t="n"/>
      <c r="AK472" s="680" t="inlineStr">
        <is>
          <t xml:space="preserve">MO-TO-MO LEASE.                                                   </t>
        </is>
      </c>
      <c r="AM472" s="245" t="inlineStr">
        <is>
          <t> </t>
        </is>
      </c>
    </row>
    <row r="473">
      <c r="A473" s="248" t="n">
        <v>7</v>
      </c>
      <c r="B473" s="370" t="n">
        <v>465</v>
      </c>
      <c r="C473" s="254" t="inlineStr">
        <is>
          <t>2011Q</t>
        </is>
      </c>
      <c r="D473" s="245" t="inlineStr">
        <is>
          <t xml:space="preserve">05095-13-033-000 </t>
        </is>
      </c>
      <c r="E473" s="258" t="inlineStr">
        <is>
          <t>Actual</t>
        </is>
      </c>
      <c r="F473" s="259" t="inlineStr">
        <is>
          <t>1234 W CEDAR               AV</t>
        </is>
      </c>
      <c r="G473" s="672" t="n">
        <v>44.2</v>
      </c>
      <c r="H473" s="253" t="n">
        <v>9508</v>
      </c>
      <c r="I473" s="255" t="n">
        <v>0</v>
      </c>
      <c r="J473" s="678" t="n">
        <v>6558</v>
      </c>
      <c r="K473" s="679" t="n">
        <v>5.413235742604453</v>
      </c>
      <c r="L473" s="260" t="n">
        <v>0</v>
      </c>
      <c r="M473" s="262" t="n">
        <v>0</v>
      </c>
      <c r="N473" s="253" t="n">
        <v>1980</v>
      </c>
      <c r="O473" s="250" t="n">
        <v>2350</v>
      </c>
      <c r="Q473" s="245" t="n">
        <v>14</v>
      </c>
      <c r="R473" s="245" t="n">
        <v>3</v>
      </c>
      <c r="S473" s="245" t="n">
        <v>1</v>
      </c>
      <c r="T473" s="249" t="inlineStr">
        <is>
          <t xml:space="preserve">I0   </t>
        </is>
      </c>
      <c r="U473" s="249" t="n">
        <v>398</v>
      </c>
      <c r="V473" s="678" t="n">
        <v>12875</v>
      </c>
      <c r="W473" s="678" t="n">
        <v>13000</v>
      </c>
      <c r="X473" s="356" t="inlineStr">
        <is>
          <t>2.0:1</t>
        </is>
      </c>
      <c r="Y473" s="678" t="n">
        <v>7000</v>
      </c>
      <c r="Z473" s="249" t="inlineStr">
        <is>
          <t xml:space="preserve">C </t>
        </is>
      </c>
      <c r="AC473" s="253" t="n"/>
      <c r="AD473" s="247" t="inlineStr">
        <is>
          <t>                    </t>
        </is>
      </c>
      <c r="AE473" s="680" t="n"/>
      <c r="AF473" s="680" t="n"/>
      <c r="AG473" s="680" t="n"/>
      <c r="AH473" s="680" t="n"/>
      <c r="AI473" s="680" t="n"/>
      <c r="AJ473" s="680" t="n"/>
      <c r="AK473" s="680" t="inlineStr">
        <is>
          <t xml:space="preserve">MO-TO-MO.  NO LEASE AGREEMENT.                                    </t>
        </is>
      </c>
      <c r="AM473" s="245" t="inlineStr">
        <is>
          <t> </t>
        </is>
      </c>
    </row>
    <row r="474">
      <c r="A474" s="248" t="n">
        <v>7</v>
      </c>
      <c r="B474" s="370" t="n">
        <v>466</v>
      </c>
      <c r="C474" s="254" t="inlineStr">
        <is>
          <t>2011Q</t>
        </is>
      </c>
      <c r="D474" s="245" t="inlineStr">
        <is>
          <t xml:space="preserve">05095-15-045-000 </t>
        </is>
      </c>
      <c r="E474" s="258" t="inlineStr">
        <is>
          <t>Actual</t>
        </is>
      </c>
      <c r="F474" s="259" t="inlineStr">
        <is>
          <t>1340 W BYERS               PL</t>
        </is>
      </c>
      <c r="G474" s="672" t="n">
        <v>44.2</v>
      </c>
      <c r="H474" s="253" t="n">
        <v>9508</v>
      </c>
      <c r="I474" s="255" t="n">
        <v>0</v>
      </c>
      <c r="J474" s="678" t="n">
        <v>2000</v>
      </c>
      <c r="K474" s="679" t="n">
        <v>7.2</v>
      </c>
      <c r="L474" s="260" t="n">
        <v>0</v>
      </c>
      <c r="M474" s="262" t="n">
        <v>0.1531944444444444</v>
      </c>
      <c r="N474" s="253" t="n">
        <v>1984</v>
      </c>
      <c r="O474" s="250" t="n">
        <v>2738</v>
      </c>
      <c r="Q474" s="245" t="n">
        <v>14</v>
      </c>
      <c r="R474" s="245" t="n">
        <v>3</v>
      </c>
      <c r="S474" s="245" t="n">
        <v>2</v>
      </c>
      <c r="T474" s="249" t="inlineStr">
        <is>
          <t xml:space="preserve">I0   </t>
        </is>
      </c>
      <c r="U474" s="249" t="n">
        <v>398</v>
      </c>
      <c r="V474" s="678" t="n">
        <v>12500</v>
      </c>
      <c r="W474" s="678" t="n">
        <v>13000</v>
      </c>
      <c r="X474" s="356" t="inlineStr">
        <is>
          <t>1.5:1</t>
        </is>
      </c>
      <c r="Y474" s="678" t="n">
        <v>2000</v>
      </c>
      <c r="Z474" s="249" t="inlineStr">
        <is>
          <t xml:space="preserve">C </t>
        </is>
      </c>
      <c r="AC474" s="253" t="n"/>
      <c r="AD474" s="247" t="inlineStr">
        <is>
          <t>                    </t>
        </is>
      </c>
      <c r="AE474" s="680" t="n"/>
      <c r="AF474" s="680" t="n"/>
      <c r="AG474" s="680" t="n"/>
      <c r="AH474" s="680" t="n"/>
      <c r="AI474" s="680" t="n"/>
      <c r="AJ474" s="680" t="n"/>
      <c r="AK474" s="680" t="inlineStr">
        <is>
          <t xml:space="preserve">2000 SQ OF8142 SF BLDG IS LEASED.                                 </t>
        </is>
      </c>
      <c r="AM474" s="245" t="inlineStr">
        <is>
          <t> </t>
        </is>
      </c>
    </row>
    <row r="475">
      <c r="A475" s="248" t="n">
        <v>7</v>
      </c>
      <c r="B475" s="370" t="n">
        <v>467</v>
      </c>
      <c r="C475" s="254" t="inlineStr">
        <is>
          <t>2011Q</t>
        </is>
      </c>
      <c r="D475" s="245" t="inlineStr">
        <is>
          <t xml:space="preserve">05096-04-038-000 </t>
        </is>
      </c>
      <c r="E475" s="258" t="inlineStr">
        <is>
          <t>Actual</t>
        </is>
      </c>
      <c r="F475" s="259" t="inlineStr">
        <is>
          <t>60   LIPAN               ST</t>
        </is>
      </c>
      <c r="G475" s="672" t="n">
        <v>44.2</v>
      </c>
      <c r="H475" s="253" t="n">
        <v>9505</v>
      </c>
      <c r="I475" s="255" t="n">
        <v>0</v>
      </c>
      <c r="J475" s="678" t="n">
        <v>4950</v>
      </c>
      <c r="K475" s="679" t="n">
        <v>6.477979797979798</v>
      </c>
      <c r="L475" s="260" t="n">
        <v>0</v>
      </c>
      <c r="M475" s="262" t="n">
        <v>0.06103037485186802</v>
      </c>
      <c r="N475" s="253" t="n">
        <v>1966</v>
      </c>
      <c r="O475" s="250" t="n">
        <v>517</v>
      </c>
      <c r="Q475" s="245" t="n">
        <v>14</v>
      </c>
      <c r="R475" s="245" t="n">
        <v>3</v>
      </c>
      <c r="S475" s="245" t="n">
        <v>1</v>
      </c>
      <c r="T475" s="249" t="inlineStr">
        <is>
          <t xml:space="preserve">I1   </t>
        </is>
      </c>
      <c r="U475" s="249" t="n">
        <v>397</v>
      </c>
      <c r="V475" s="678" t="n">
        <v>7582</v>
      </c>
      <c r="W475" s="678" t="n">
        <v>8000</v>
      </c>
      <c r="X475" s="356" t="inlineStr">
        <is>
          <t>1.5:1</t>
        </is>
      </c>
      <c r="Y475" s="678" t="n">
        <v>5000</v>
      </c>
      <c r="Z475" s="249" t="inlineStr">
        <is>
          <t xml:space="preserve">C </t>
        </is>
      </c>
      <c r="AC475" s="253" t="n"/>
      <c r="AD475" s="247" t="inlineStr">
        <is>
          <t>S-W AAA METRIC SUPPL</t>
        </is>
      </c>
      <c r="AE475" s="680" t="n"/>
      <c r="AF475" s="680" t="n"/>
      <c r="AG475" s="680" t="n"/>
      <c r="AH475" s="680" t="n"/>
      <c r="AI475" s="680" t="n"/>
      <c r="AJ475" s="680" t="n"/>
      <c r="AK475" s="680" t="inlineStr">
        <is>
          <t xml:space="preserve">MO-TO-MO LEASE.                                                   </t>
        </is>
      </c>
      <c r="AM475" s="245" t="inlineStr">
        <is>
          <t> </t>
        </is>
      </c>
    </row>
    <row r="476">
      <c r="A476" s="248" t="n">
        <v>7</v>
      </c>
      <c r="B476" s="370" t="n">
        <v>468</v>
      </c>
      <c r="C476" s="254" t="inlineStr">
        <is>
          <t>2011Q</t>
        </is>
      </c>
      <c r="D476" s="245" t="inlineStr">
        <is>
          <t xml:space="preserve">05096-04-057-000 </t>
        </is>
      </c>
      <c r="E476" s="258" t="inlineStr">
        <is>
          <t>Actual</t>
        </is>
      </c>
      <c r="F476" s="259" t="inlineStr">
        <is>
          <t>22   LIPAN               ST</t>
        </is>
      </c>
      <c r="G476" s="672" t="n">
        <v>47.2</v>
      </c>
      <c r="H476" s="253" t="n">
        <v>9505</v>
      </c>
      <c r="I476" s="255" t="n">
        <v>0</v>
      </c>
      <c r="J476" s="678" t="n">
        <v>7585</v>
      </c>
      <c r="K476" s="679" t="n">
        <v>7.119314436387607</v>
      </c>
      <c r="L476" s="260" t="n">
        <v>0</v>
      </c>
      <c r="M476" s="262" t="n">
        <v>0</v>
      </c>
      <c r="N476" s="253" t="n">
        <v>1957</v>
      </c>
      <c r="O476" s="250" t="n">
        <v>0</v>
      </c>
      <c r="Q476" s="245" t="n">
        <v>12</v>
      </c>
      <c r="R476" s="245" t="n">
        <v>3</v>
      </c>
      <c r="S476" s="245" t="n">
        <v>1</v>
      </c>
      <c r="T476" s="249" t="inlineStr">
        <is>
          <t xml:space="preserve">I1   </t>
        </is>
      </c>
      <c r="U476" s="249" t="n">
        <v>401</v>
      </c>
      <c r="V476" s="678" t="n">
        <v>19000</v>
      </c>
      <c r="W476" s="678" t="n">
        <v>19000</v>
      </c>
      <c r="X476" s="356" t="inlineStr">
        <is>
          <t>2.5:1</t>
        </is>
      </c>
      <c r="Y476" s="678" t="n">
        <v>8000</v>
      </c>
      <c r="Z476" s="249" t="inlineStr">
        <is>
          <t xml:space="preserve">C </t>
        </is>
      </c>
      <c r="AC476" s="253" t="n"/>
      <c r="AD476" s="247" t="inlineStr">
        <is>
          <t>                    </t>
        </is>
      </c>
      <c r="AE476" s="680" t="n"/>
      <c r="AF476" s="680" t="n"/>
      <c r="AG476" s="680" t="n"/>
      <c r="AH476" s="680" t="n"/>
      <c r="AI476" s="680" t="n"/>
      <c r="AJ476" s="680" t="n"/>
      <c r="AK476" s="680" t="inlineStr">
        <is>
          <t xml:space="preserve">2008 LEASE.                                                       </t>
        </is>
      </c>
      <c r="AM476" s="245" t="inlineStr">
        <is>
          <t> </t>
        </is>
      </c>
    </row>
    <row r="477">
      <c r="A477" s="248" t="n">
        <v>7</v>
      </c>
      <c r="B477" s="370" t="n">
        <v>469</v>
      </c>
      <c r="C477" s="254" t="inlineStr">
        <is>
          <t>2011Q</t>
        </is>
      </c>
      <c r="D477" s="245" t="inlineStr">
        <is>
          <t xml:space="preserve">05096-04-065-000 </t>
        </is>
      </c>
      <c r="E477" s="258" t="inlineStr">
        <is>
          <t>Actual</t>
        </is>
      </c>
      <c r="F477" s="259" t="inlineStr">
        <is>
          <t>5   KALAMATH            ST</t>
        </is>
      </c>
      <c r="G477" s="253" t="n">
        <v>44.1</v>
      </c>
      <c r="H477" s="253" t="n">
        <v>9505</v>
      </c>
      <c r="I477" s="255" t="n">
        <v>0</v>
      </c>
      <c r="J477" s="678" t="n">
        <v>5467</v>
      </c>
      <c r="K477" s="679" t="n">
        <v>9.438448875068593</v>
      </c>
      <c r="L477" s="260" t="n">
        <v>0</v>
      </c>
      <c r="M477" s="262" t="n">
        <v>0.0324031007751938</v>
      </c>
      <c r="N477" s="253" t="n">
        <v>1968</v>
      </c>
      <c r="O477" s="250" t="n">
        <v>1510</v>
      </c>
      <c r="Q477" s="245" t="n">
        <v>18</v>
      </c>
      <c r="R477" s="245" t="n">
        <v>3</v>
      </c>
      <c r="S477" s="245" t="n">
        <v>1</v>
      </c>
      <c r="T477" s="249" t="inlineStr">
        <is>
          <t xml:space="preserve">I1   </t>
        </is>
      </c>
      <c r="U477" s="249" t="n">
        <v>398</v>
      </c>
      <c r="V477" s="678" t="n">
        <v>11400</v>
      </c>
      <c r="W477" s="678" t="n">
        <v>11000</v>
      </c>
      <c r="X477" s="356" t="inlineStr">
        <is>
          <t>2.1:1</t>
        </is>
      </c>
      <c r="Y477" s="678" t="n">
        <v>5000</v>
      </c>
      <c r="Z477" s="249" t="inlineStr">
        <is>
          <t xml:space="preserve">C </t>
        </is>
      </c>
      <c r="AC477" s="253" t="n"/>
      <c r="AD477" s="247" t="inlineStr">
        <is>
          <t xml:space="preserve">DIST/S/T CO HOT TUB </t>
        </is>
      </c>
      <c r="AE477" s="680" t="n"/>
      <c r="AF477" s="680" t="n"/>
      <c r="AG477" s="680" t="n"/>
      <c r="AH477" s="680" t="n"/>
      <c r="AI477" s="680" t="n"/>
      <c r="AJ477" s="680" t="n"/>
      <c r="AK477" s="680" t="inlineStr">
        <is>
          <t>                                                                  </t>
        </is>
      </c>
      <c r="AM477" s="245" t="inlineStr">
        <is>
          <t> </t>
        </is>
      </c>
    </row>
    <row r="478">
      <c r="A478" s="248" t="n">
        <v>7</v>
      </c>
      <c r="B478" s="370" t="n">
        <v>470</v>
      </c>
      <c r="C478" s="254" t="inlineStr">
        <is>
          <t>2011Q</t>
        </is>
      </c>
      <c r="D478" s="245" t="inlineStr">
        <is>
          <t xml:space="preserve">05096-18-016-000 </t>
        </is>
      </c>
      <c r="E478" s="258" t="inlineStr">
        <is>
          <t>Actual</t>
        </is>
      </c>
      <c r="F478" s="259" t="inlineStr">
        <is>
          <t>285 S SANTA FE            DR</t>
        </is>
      </c>
      <c r="G478" s="253" t="n">
        <v>44.1</v>
      </c>
      <c r="H478" s="253" t="n">
        <v>9505</v>
      </c>
      <c r="I478" s="255" t="n">
        <v>3</v>
      </c>
      <c r="J478" s="678" t="n">
        <v>6802</v>
      </c>
      <c r="K478" s="679" t="n">
        <v>7.705968832696266</v>
      </c>
      <c r="L478" s="260" t="n">
        <v>0</v>
      </c>
      <c r="M478" s="262" t="n">
        <v>0</v>
      </c>
      <c r="N478" s="253" t="n">
        <v>1971</v>
      </c>
      <c r="O478" s="250" t="n">
        <v>1338</v>
      </c>
      <c r="Q478" s="245" t="n">
        <v>20</v>
      </c>
      <c r="R478" s="245" t="n">
        <v>7</v>
      </c>
      <c r="S478" s="245" t="n">
        <v>1</v>
      </c>
      <c r="T478" s="249" t="inlineStr">
        <is>
          <t xml:space="preserve">I1   </t>
        </is>
      </c>
      <c r="U478" s="249" t="n">
        <v>398</v>
      </c>
      <c r="V478" s="678" t="n">
        <v>13864</v>
      </c>
      <c r="W478" s="678" t="n">
        <v>14000</v>
      </c>
      <c r="X478" s="356" t="inlineStr">
        <is>
          <t>2.0:1</t>
        </is>
      </c>
      <c r="Y478" s="678" t="n">
        <v>7000</v>
      </c>
      <c r="Z478" s="249" t="inlineStr">
        <is>
          <t xml:space="preserve">C </t>
        </is>
      </c>
      <c r="AC478" s="253" t="n"/>
      <c r="AD478" s="247" t="inlineStr">
        <is>
          <t xml:space="preserve">WHSE/DIST PLUMBING  </t>
        </is>
      </c>
      <c r="AE478" s="680" t="n"/>
      <c r="AF478" s="680" t="n"/>
      <c r="AG478" s="680" t="n"/>
      <c r="AH478" s="680" t="n"/>
      <c r="AI478" s="680" t="n"/>
      <c r="AJ478" s="680" t="n"/>
      <c r="AK478" s="680" t="inlineStr">
        <is>
          <t>                                                                  </t>
        </is>
      </c>
      <c r="AM478" s="245" t="inlineStr">
        <is>
          <t> </t>
        </is>
      </c>
    </row>
    <row r="479">
      <c r="A479" s="248" t="n">
        <v>7</v>
      </c>
      <c r="B479" s="370" t="n">
        <v>471</v>
      </c>
      <c r="C479" s="254" t="inlineStr">
        <is>
          <t>2011Q</t>
        </is>
      </c>
      <c r="D479" s="245" t="inlineStr">
        <is>
          <t xml:space="preserve">05103-19-037-000 </t>
        </is>
      </c>
      <c r="E479" s="258" t="inlineStr">
        <is>
          <t>Actual</t>
        </is>
      </c>
      <c r="F479" s="259" t="inlineStr">
        <is>
          <t>185 W BAYAUD              AV</t>
        </is>
      </c>
      <c r="G479" s="253" t="n">
        <v>44.1</v>
      </c>
      <c r="H479" s="253" t="n">
        <v>9505</v>
      </c>
      <c r="I479" s="255" t="n">
        <v>0</v>
      </c>
      <c r="J479" s="678" t="n">
        <v>1305</v>
      </c>
      <c r="K479" s="679" t="n">
        <v>9.931034482758621</v>
      </c>
      <c r="L479" s="260" t="n">
        <v>0</v>
      </c>
      <c r="M479" s="262" t="n">
        <v>0</v>
      </c>
      <c r="N479" s="253" t="n">
        <v>1948</v>
      </c>
      <c r="O479" s="678" t="n">
        <v>100</v>
      </c>
      <c r="P479" s="678" t="n"/>
      <c r="Q479" s="245" t="n">
        <v>10</v>
      </c>
      <c r="R479" s="245" t="n">
        <v>7</v>
      </c>
      <c r="S479" s="245" t="n">
        <v>1</v>
      </c>
      <c r="T479" s="249" t="inlineStr">
        <is>
          <t xml:space="preserve">PUD  </t>
        </is>
      </c>
      <c r="U479" s="249" t="n">
        <v>398</v>
      </c>
      <c r="V479" s="678" t="n">
        <v>5900</v>
      </c>
      <c r="W479" s="678" t="n">
        <v>6000</v>
      </c>
      <c r="X479" s="356" t="inlineStr">
        <is>
          <t>4.5:1</t>
        </is>
      </c>
      <c r="Y479" s="678" t="n">
        <v>1000</v>
      </c>
      <c r="Z479" s="249" t="inlineStr">
        <is>
          <t xml:space="preserve">C </t>
        </is>
      </c>
      <c r="AC479" s="253" t="n"/>
      <c r="AD479" s="247" t="inlineStr">
        <is>
          <t>                    </t>
        </is>
      </c>
      <c r="AE479" s="680" t="n"/>
      <c r="AF479" s="680" t="n"/>
      <c r="AG479" s="680" t="n"/>
      <c r="AH479" s="680" t="n"/>
      <c r="AI479" s="680" t="n"/>
      <c r="AJ479" s="680" t="n"/>
      <c r="AK479" s="680" t="inlineStr">
        <is>
          <t xml:space="preserve">TRIPLE NET LEASE, ONE TENANT (18-013 76%, 19-037 24%)             </t>
        </is>
      </c>
    </row>
    <row r="480">
      <c r="A480" s="248" t="n">
        <v>7</v>
      </c>
      <c r="B480" s="370" t="n">
        <v>472</v>
      </c>
      <c r="C480" s="254" t="inlineStr">
        <is>
          <t>2011Q</t>
        </is>
      </c>
      <c r="D480" s="245" t="inlineStr">
        <is>
          <t xml:space="preserve">05113-05-001-000 </t>
        </is>
      </c>
      <c r="E480" s="258" t="inlineStr">
        <is>
          <t>Actual</t>
        </is>
      </c>
      <c r="F480" s="259" t="inlineStr">
        <is>
          <t>560   PEARL               ST</t>
        </is>
      </c>
      <c r="G480" s="672" t="n">
        <v>42.1</v>
      </c>
      <c r="H480" s="253" t="n">
        <v>9502</v>
      </c>
      <c r="I480" s="255" t="n">
        <v>0</v>
      </c>
      <c r="J480" s="678" t="n">
        <v>9147</v>
      </c>
      <c r="K480" s="679" t="n">
        <v>10.88673882147152</v>
      </c>
      <c r="L480" s="260" t="n">
        <v>0</v>
      </c>
      <c r="M480" s="262" t="n">
        <v>0.05476948413854048</v>
      </c>
      <c r="N480" s="253" t="n">
        <v>1935</v>
      </c>
      <c r="O480" s="250" t="n">
        <v>0</v>
      </c>
      <c r="Q480" s="245" t="n">
        <v>13</v>
      </c>
      <c r="R480" s="245" t="n">
        <v>1</v>
      </c>
      <c r="S480" s="245" t="n">
        <v>2</v>
      </c>
      <c r="T480" s="249" t="inlineStr">
        <is>
          <t xml:space="preserve">B2   </t>
        </is>
      </c>
      <c r="U480" s="249" t="n">
        <v>401</v>
      </c>
      <c r="V480" s="678" t="n">
        <v>12500</v>
      </c>
      <c r="W480" s="678" t="n">
        <v>13000</v>
      </c>
      <c r="X480" s="356" t="inlineStr">
        <is>
          <t>1.4:1</t>
        </is>
      </c>
      <c r="Y480" s="678" t="n">
        <v>9000</v>
      </c>
      <c r="Z480" s="249" t="inlineStr">
        <is>
          <t xml:space="preserve">C </t>
        </is>
      </c>
      <c r="AC480" s="253" t="n"/>
      <c r="AD480" s="247" t="inlineStr">
        <is>
          <t>HANNECK DRY CLEANERS</t>
        </is>
      </c>
      <c r="AE480" s="680" t="n"/>
      <c r="AF480" s="680" t="n"/>
      <c r="AG480" s="680" t="n"/>
      <c r="AH480" s="680" t="n"/>
      <c r="AI480" s="680" t="n"/>
      <c r="AJ480" s="680" t="n"/>
      <c r="AK480" s="680" t="inlineStr">
        <is>
          <t>                                                                  </t>
        </is>
      </c>
      <c r="AM480" s="245" t="inlineStr">
        <is>
          <t> </t>
        </is>
      </c>
    </row>
    <row r="481">
      <c r="A481" s="248" t="n">
        <v>7</v>
      </c>
      <c r="B481" s="370" t="n">
        <v>473</v>
      </c>
      <c r="C481" s="254" t="inlineStr">
        <is>
          <t>2011Q</t>
        </is>
      </c>
      <c r="D481" s="245" t="inlineStr">
        <is>
          <t xml:space="preserve">05154-03-017-000 </t>
        </is>
      </c>
      <c r="E481" s="258" t="inlineStr">
        <is>
          <t>Actual</t>
        </is>
      </c>
      <c r="F481" s="259" t="inlineStr">
        <is>
          <t>1070 S GALAPAGO            ST</t>
        </is>
      </c>
      <c r="G481" s="672" t="n">
        <v>44.2</v>
      </c>
      <c r="H481" s="253" t="n">
        <v>9506</v>
      </c>
      <c r="I481" s="255" t="n">
        <v>0</v>
      </c>
      <c r="J481" s="678" t="n">
        <v>13570</v>
      </c>
      <c r="K481" s="679" t="n">
        <v>10.61164333087693</v>
      </c>
      <c r="L481" s="260" t="n">
        <v>0</v>
      </c>
      <c r="M481" s="262" t="n">
        <v>0</v>
      </c>
      <c r="N481" s="253" t="n">
        <v>1974</v>
      </c>
      <c r="O481" s="250" t="n">
        <v>3360</v>
      </c>
      <c r="Q481" s="245" t="n">
        <v>13</v>
      </c>
      <c r="R481" s="245" t="n">
        <v>3</v>
      </c>
      <c r="S481" s="245" t="n">
        <v>1</v>
      </c>
      <c r="T481" s="249" t="inlineStr">
        <is>
          <t xml:space="preserve">I1   </t>
        </is>
      </c>
      <c r="U481" s="249" t="n">
        <v>398</v>
      </c>
      <c r="V481" s="678" t="n">
        <v>53150</v>
      </c>
      <c r="W481" s="678" t="n">
        <v>53000</v>
      </c>
      <c r="X481" s="356" t="inlineStr">
        <is>
          <t>3.9:1</t>
        </is>
      </c>
      <c r="Y481" s="678" t="n">
        <v>14000</v>
      </c>
      <c r="Z481" s="249" t="inlineStr">
        <is>
          <t xml:space="preserve">C </t>
        </is>
      </c>
      <c r="AC481" s="253" t="n"/>
      <c r="AD481" s="247" t="inlineStr">
        <is>
          <t>                    </t>
        </is>
      </c>
      <c r="AE481" s="680" t="n"/>
      <c r="AF481" s="680" t="n"/>
      <c r="AG481" s="680" t="n"/>
      <c r="AH481" s="680" t="n"/>
      <c r="AI481" s="680" t="n"/>
      <c r="AJ481" s="680" t="n"/>
      <c r="AK481" s="680" t="inlineStr">
        <is>
          <t xml:space="preserve">2008 LEASE.                                                       </t>
        </is>
      </c>
      <c r="AM481" s="245" t="inlineStr">
        <is>
          <t> </t>
        </is>
      </c>
    </row>
    <row r="482">
      <c r="A482" s="248" t="n">
        <v>7</v>
      </c>
      <c r="B482" s="370" t="n">
        <v>474</v>
      </c>
      <c r="C482" s="254" t="inlineStr">
        <is>
          <t>2011Q</t>
        </is>
      </c>
      <c r="D482" s="245" t="inlineStr">
        <is>
          <t xml:space="preserve">05161-04-012-000 </t>
        </is>
      </c>
      <c r="E482" s="258" t="inlineStr">
        <is>
          <t>Actual</t>
        </is>
      </c>
      <c r="F482" s="259" t="inlineStr">
        <is>
          <t>360 S NAVAJO              ST</t>
        </is>
      </c>
      <c r="G482" s="672" t="n">
        <v>47.2</v>
      </c>
      <c r="H482" s="253" t="n">
        <v>9506</v>
      </c>
      <c r="I482" s="255" t="n">
        <v>0</v>
      </c>
      <c r="J482" s="678" t="n">
        <v>1626</v>
      </c>
      <c r="K482" s="679" t="n">
        <v>8.85608856088561</v>
      </c>
      <c r="L482" s="260" t="n">
        <v>0</v>
      </c>
      <c r="M482" s="262" t="n">
        <v>0.1365972222222222</v>
      </c>
      <c r="N482" s="253" t="n">
        <v>1952</v>
      </c>
      <c r="O482" s="250" t="n">
        <v>126</v>
      </c>
      <c r="Q482" s="245" t="n">
        <v>12</v>
      </c>
      <c r="R482" s="245" t="n">
        <v>1</v>
      </c>
      <c r="S482" s="245" t="n">
        <v>1</v>
      </c>
      <c r="T482" s="249" t="inlineStr">
        <is>
          <t xml:space="preserve">I0   </t>
        </is>
      </c>
      <c r="U482" s="249" t="n">
        <v>401</v>
      </c>
      <c r="V482" s="678" t="n">
        <v>19817</v>
      </c>
      <c r="W482" s="678" t="n">
        <v>20000</v>
      </c>
      <c r="X482" s="356" t="inlineStr">
        <is>
          <t>3.0:1</t>
        </is>
      </c>
      <c r="Y482" s="678" t="n">
        <v>2000</v>
      </c>
      <c r="Z482" s="249" t="inlineStr">
        <is>
          <t xml:space="preserve">C </t>
        </is>
      </c>
      <c r="AC482" s="253" t="n"/>
      <c r="AD482" s="247" t="inlineStr">
        <is>
          <t xml:space="preserve">BLG GLASS COMPANY   </t>
        </is>
      </c>
      <c r="AE482" s="680" t="n"/>
      <c r="AF482" s="680" t="n"/>
      <c r="AG482" s="680" t="n"/>
      <c r="AH482" s="680" t="n"/>
      <c r="AI482" s="680" t="n"/>
      <c r="AJ482" s="680" t="n"/>
      <c r="AK482" s="680" t="inlineStr">
        <is>
          <t xml:space="preserve">ONLY RENTAL PORTION ENTERED; OWNER-OCC PORTION NOT ENTERED.       </t>
        </is>
      </c>
      <c r="AM482" s="245" t="inlineStr">
        <is>
          <t> </t>
        </is>
      </c>
    </row>
    <row r="483">
      <c r="A483" s="248" t="n">
        <v>7</v>
      </c>
      <c r="B483" s="370" t="n">
        <v>475</v>
      </c>
      <c r="C483" s="254" t="inlineStr">
        <is>
          <t>2011Q</t>
        </is>
      </c>
      <c r="D483" s="245" t="inlineStr">
        <is>
          <t xml:space="preserve">05161-10-002-000 </t>
        </is>
      </c>
      <c r="E483" s="258" t="inlineStr">
        <is>
          <t>Actual</t>
        </is>
      </c>
      <c r="F483" s="259" t="inlineStr">
        <is>
          <t>1216 W VIRGINIA            AV</t>
        </is>
      </c>
      <c r="G483" s="672" t="n">
        <v>44.5</v>
      </c>
      <c r="H483" s="253" t="n">
        <v>9506</v>
      </c>
      <c r="I483" s="255" t="n">
        <v>0</v>
      </c>
      <c r="J483" s="678" t="n">
        <v>3485</v>
      </c>
      <c r="K483" s="679" t="n">
        <v>4.654232424677188</v>
      </c>
      <c r="L483" s="260" t="n">
        <v>0</v>
      </c>
      <c r="M483" s="262" t="n">
        <v>0.2001849568434032</v>
      </c>
      <c r="N483" s="253" t="n">
        <v>1973</v>
      </c>
      <c r="O483" s="250" t="n">
        <v>0</v>
      </c>
      <c r="Q483" s="245" t="n">
        <v>12</v>
      </c>
      <c r="R483" s="245" t="n">
        <v>7</v>
      </c>
      <c r="S483" s="245" t="n">
        <v>20</v>
      </c>
      <c r="T483" s="249" t="inlineStr">
        <is>
          <t xml:space="preserve">I0   </t>
        </is>
      </c>
      <c r="U483" s="249" t="n">
        <v>396</v>
      </c>
      <c r="V483" s="678" t="n">
        <v>9375</v>
      </c>
      <c r="W483" s="678" t="n">
        <v>9000</v>
      </c>
      <c r="X483" s="356" t="inlineStr">
        <is>
          <t>2.7:1</t>
        </is>
      </c>
      <c r="Y483" s="678" t="n">
        <v>3000</v>
      </c>
      <c r="Z483" s="249" t="inlineStr">
        <is>
          <t xml:space="preserve">C </t>
        </is>
      </c>
      <c r="AC483" s="253" t="n"/>
      <c r="AD483" s="247" t="inlineStr">
        <is>
          <t xml:space="preserve">MINI STORAGE        </t>
        </is>
      </c>
      <c r="AE483" s="680" t="n"/>
      <c r="AF483" s="680" t="n"/>
      <c r="AG483" s="680" t="n"/>
      <c r="AH483" s="680" t="n"/>
      <c r="AI483" s="680" t="n"/>
      <c r="AJ483" s="680" t="n"/>
      <c r="AK483" s="680" t="inlineStr">
        <is>
          <t>                                                                  </t>
        </is>
      </c>
      <c r="AM483" s="245" t="inlineStr">
        <is>
          <t> </t>
        </is>
      </c>
    </row>
    <row r="484">
      <c r="A484" s="248" t="n">
        <v>7</v>
      </c>
      <c r="B484" s="370" t="n">
        <v>476</v>
      </c>
      <c r="C484" s="254" t="inlineStr">
        <is>
          <t>2011Q</t>
        </is>
      </c>
      <c r="D484" s="245" t="inlineStr">
        <is>
          <t xml:space="preserve">05161-13-026-000 </t>
        </is>
      </c>
      <c r="E484" s="258" t="inlineStr">
        <is>
          <t>Actual</t>
        </is>
      </c>
      <c r="F484" s="259" t="inlineStr">
        <is>
          <t>1210 W CUSTER              PL</t>
        </is>
      </c>
      <c r="G484" s="672" t="n">
        <v>44.2</v>
      </c>
      <c r="H484" s="253" t="n">
        <v>9506</v>
      </c>
      <c r="I484" s="255" t="n">
        <v>0</v>
      </c>
      <c r="J484" s="678" t="n">
        <v>6000</v>
      </c>
      <c r="K484" s="679" t="n">
        <v>6.4</v>
      </c>
      <c r="L484" s="260" t="n">
        <v>0</v>
      </c>
      <c r="M484" s="262" t="n">
        <v>0.2625520833333334</v>
      </c>
      <c r="N484" s="253" t="n">
        <v>1971</v>
      </c>
      <c r="O484" s="250" t="n">
        <v>630</v>
      </c>
      <c r="Q484" s="245" t="n">
        <v>13</v>
      </c>
      <c r="R484" s="245" t="n">
        <v>3</v>
      </c>
      <c r="S484" s="245" t="n">
        <v>1</v>
      </c>
      <c r="T484" s="249" t="inlineStr">
        <is>
          <t xml:space="preserve">I0   </t>
        </is>
      </c>
      <c r="U484" s="249" t="n">
        <v>398</v>
      </c>
      <c r="V484" s="678" t="n">
        <v>12500</v>
      </c>
      <c r="W484" s="678" t="n">
        <v>13000</v>
      </c>
      <c r="X484" s="356" t="inlineStr">
        <is>
          <t>2.1:1</t>
        </is>
      </c>
      <c r="Y484" s="678" t="n">
        <v>6000</v>
      </c>
      <c r="Z484" s="249" t="inlineStr">
        <is>
          <t xml:space="preserve">C </t>
        </is>
      </c>
      <c r="AC484" s="253" t="n"/>
      <c r="AD484" s="247" t="inlineStr">
        <is>
          <t>                    </t>
        </is>
      </c>
      <c r="AE484" s="680" t="n"/>
      <c r="AF484" s="680" t="n"/>
      <c r="AG484" s="680" t="n"/>
      <c r="AH484" s="680" t="n"/>
      <c r="AI484" s="680" t="n"/>
      <c r="AJ484" s="680" t="n"/>
      <c r="AK484" s="680" t="inlineStr">
        <is>
          <t>                                                                  </t>
        </is>
      </c>
      <c r="AM484" s="245" t="inlineStr">
        <is>
          <t> </t>
        </is>
      </c>
    </row>
    <row r="485">
      <c r="A485" s="248" t="n">
        <v>7</v>
      </c>
      <c r="B485" s="370" t="n">
        <v>477</v>
      </c>
      <c r="C485" s="254" t="inlineStr">
        <is>
          <t>2011Q</t>
        </is>
      </c>
      <c r="D485" s="245" t="inlineStr">
        <is>
          <t xml:space="preserve">05161-15-011-000 </t>
        </is>
      </c>
      <c r="E485" s="258" t="inlineStr">
        <is>
          <t>Actual</t>
        </is>
      </c>
      <c r="F485" s="259" t="inlineStr">
        <is>
          <t>621 S JASON               ST</t>
        </is>
      </c>
      <c r="G485" s="672" t="n">
        <v>44.2</v>
      </c>
      <c r="H485" s="253" t="n">
        <v>9506</v>
      </c>
      <c r="I485" s="255" t="n">
        <v>0</v>
      </c>
      <c r="J485" s="678" t="n">
        <v>18695</v>
      </c>
      <c r="K485" s="679" t="n">
        <v>3.209414281893554</v>
      </c>
      <c r="L485" s="260" t="n">
        <v>0</v>
      </c>
      <c r="M485" s="262" t="n">
        <v>0.06666666666666667</v>
      </c>
      <c r="N485" s="253" t="n">
        <v>1959</v>
      </c>
      <c r="O485" s="250" t="n">
        <v>1197</v>
      </c>
      <c r="Q485" s="245" t="n">
        <v>13</v>
      </c>
      <c r="R485" s="245" t="n">
        <v>1</v>
      </c>
      <c r="S485" s="245" t="n">
        <v>1</v>
      </c>
      <c r="T485" s="249" t="inlineStr">
        <is>
          <t xml:space="preserve">I1   </t>
        </is>
      </c>
      <c r="U485" s="249" t="n">
        <v>398</v>
      </c>
      <c r="V485" s="678" t="n">
        <v>38285</v>
      </c>
      <c r="W485" s="678" t="n">
        <v>38000</v>
      </c>
      <c r="X485" s="356" t="inlineStr">
        <is>
          <t>2.0:1</t>
        </is>
      </c>
      <c r="Y485" s="678" t="n">
        <v>19000</v>
      </c>
      <c r="Z485" s="249" t="inlineStr">
        <is>
          <t xml:space="preserve">C </t>
        </is>
      </c>
      <c r="AC485" s="253" t="n"/>
      <c r="AD485" s="247" t="inlineStr">
        <is>
          <t>                    </t>
        </is>
      </c>
      <c r="AE485" s="680" t="n"/>
      <c r="AF485" s="680" t="n"/>
      <c r="AG485" s="680" t="n"/>
      <c r="AH485" s="680" t="n"/>
      <c r="AI485" s="680" t="n"/>
      <c r="AJ485" s="680" t="n"/>
      <c r="AK485" s="680" t="inlineStr">
        <is>
          <t xml:space="preserve">2008 LEASE.                                                       </t>
        </is>
      </c>
      <c r="AM485" s="245" t="inlineStr">
        <is>
          <t> </t>
        </is>
      </c>
    </row>
    <row r="486">
      <c r="A486" s="248" t="n">
        <v>7</v>
      </c>
      <c r="B486" s="370" t="n">
        <v>478</v>
      </c>
      <c r="C486" s="254" t="inlineStr">
        <is>
          <t>2011Q</t>
        </is>
      </c>
      <c r="D486" s="245" t="inlineStr">
        <is>
          <t xml:space="preserve">05161-16-027-000 </t>
        </is>
      </c>
      <c r="E486" s="258" t="inlineStr">
        <is>
          <t>Actual</t>
        </is>
      </c>
      <c r="F486" s="259" t="inlineStr">
        <is>
          <t>1212 W CENTER              AV</t>
        </is>
      </c>
      <c r="G486" s="253" t="n">
        <v>44.1</v>
      </c>
      <c r="H486" s="253" t="n">
        <v>9506</v>
      </c>
      <c r="I486" s="255" t="n">
        <v>0</v>
      </c>
      <c r="J486" s="678" t="n">
        <v>2432</v>
      </c>
      <c r="K486" s="679" t="n">
        <v>8.634868421052632</v>
      </c>
      <c r="L486" s="260" t="n">
        <v>0</v>
      </c>
      <c r="M486" s="262" t="n">
        <v>0</v>
      </c>
      <c r="N486" s="253" t="n">
        <v>1997</v>
      </c>
      <c r="O486" s="250" t="n">
        <v>0</v>
      </c>
      <c r="Q486" s="245" t="n">
        <v>21</v>
      </c>
      <c r="R486" s="245" t="n">
        <v>3</v>
      </c>
      <c r="S486" s="245" t="n">
        <v>1</v>
      </c>
      <c r="T486" s="249" t="inlineStr">
        <is>
          <t xml:space="preserve">I0   </t>
        </is>
      </c>
      <c r="U486" s="249" t="n">
        <v>398</v>
      </c>
      <c r="V486" s="678" t="n">
        <v>37500</v>
      </c>
      <c r="W486" s="678" t="n">
        <v>38000</v>
      </c>
      <c r="X486" s="356" t="inlineStr">
        <is>
          <t>15.4:1</t>
        </is>
      </c>
      <c r="Y486" s="678" t="n">
        <v>2000</v>
      </c>
      <c r="Z486" s="249" t="inlineStr">
        <is>
          <t xml:space="preserve">C </t>
        </is>
      </c>
      <c r="AC486" s="253" t="n"/>
      <c r="AD486" s="247" t="inlineStr">
        <is>
          <t>S-W INTRMTN ELECTRIC</t>
        </is>
      </c>
      <c r="AE486" s="680" t="n"/>
      <c r="AF486" s="680" t="n"/>
      <c r="AG486" s="680" t="n"/>
      <c r="AH486" s="680" t="n"/>
      <c r="AI486" s="680" t="n"/>
      <c r="AJ486" s="680" t="n"/>
      <c r="AK486" s="680" t="inlineStr">
        <is>
          <t>                                                                  </t>
        </is>
      </c>
      <c r="AM486" s="245" t="inlineStr">
        <is>
          <t> </t>
        </is>
      </c>
    </row>
    <row r="487">
      <c r="A487" s="248" t="n">
        <v>7</v>
      </c>
      <c r="B487" s="370" t="n">
        <v>479</v>
      </c>
      <c r="C487" s="254" t="inlineStr">
        <is>
          <t>2011Q</t>
        </is>
      </c>
      <c r="D487" s="245" t="inlineStr">
        <is>
          <t xml:space="preserve">05161-20-022-000 </t>
        </is>
      </c>
      <c r="E487" s="258" t="inlineStr">
        <is>
          <t>Actual</t>
        </is>
      </c>
      <c r="F487" s="259" t="inlineStr">
        <is>
          <t>687 S JASON               ST</t>
        </is>
      </c>
      <c r="G487" s="253" t="n">
        <v>44.1</v>
      </c>
      <c r="H487" s="253" t="n">
        <v>9506</v>
      </c>
      <c r="I487" s="255" t="n">
        <v>0</v>
      </c>
      <c r="J487" s="678" t="n">
        <v>2100</v>
      </c>
      <c r="K487" s="679" t="n">
        <v>6.857142857142857</v>
      </c>
      <c r="L487" s="260" t="n">
        <v>0</v>
      </c>
      <c r="M487" s="262" t="n">
        <v>0.3850694444444445</v>
      </c>
      <c r="N487" s="253" t="n">
        <v>1963</v>
      </c>
      <c r="O487" s="250" t="n">
        <v>1057</v>
      </c>
      <c r="Q487" s="245" t="n">
        <v>13</v>
      </c>
      <c r="R487" s="245" t="n">
        <v>1</v>
      </c>
      <c r="S487" s="245" t="n">
        <v>2</v>
      </c>
      <c r="T487" s="249" t="inlineStr">
        <is>
          <t xml:space="preserve">I1   </t>
        </is>
      </c>
      <c r="U487" s="249" t="n">
        <v>398</v>
      </c>
      <c r="V487" s="678" t="n">
        <v>10027</v>
      </c>
      <c r="W487" s="678" t="n">
        <v>10000</v>
      </c>
      <c r="X487" s="356" t="inlineStr">
        <is>
          <t>1.5:1</t>
        </is>
      </c>
      <c r="Y487" s="678" t="n">
        <v>2000</v>
      </c>
      <c r="Z487" s="249" t="inlineStr">
        <is>
          <t xml:space="preserve">C </t>
        </is>
      </c>
      <c r="AC487" s="253" t="n"/>
      <c r="AD487" s="247" t="inlineStr">
        <is>
          <t xml:space="preserve">MOTHER TRUCKERS     </t>
        </is>
      </c>
      <c r="AE487" s="680" t="n"/>
      <c r="AF487" s="680" t="n"/>
      <c r="AG487" s="680" t="n"/>
      <c r="AH487" s="680" t="n"/>
      <c r="AI487" s="680" t="n"/>
      <c r="AJ487" s="680" t="n"/>
      <c r="AK487" s="680" t="inlineStr">
        <is>
          <t xml:space="preserve">DATA FOR 2100 SF BASE PERIOD LEASE ENTERED; BLDG 6585 SF          </t>
        </is>
      </c>
      <c r="AM487" s="245" t="inlineStr">
        <is>
          <t> </t>
        </is>
      </c>
    </row>
    <row r="488">
      <c r="A488" s="248" t="n">
        <v>7</v>
      </c>
      <c r="B488" s="370" t="n">
        <v>480</v>
      </c>
      <c r="C488" s="254" t="inlineStr">
        <is>
          <t>2011Q</t>
        </is>
      </c>
      <c r="D488" s="245" t="inlineStr">
        <is>
          <t xml:space="preserve">05164-00-029-000 </t>
        </is>
      </c>
      <c r="E488" s="258" t="inlineStr">
        <is>
          <t>Actual</t>
        </is>
      </c>
      <c r="F488" s="259" t="inlineStr">
        <is>
          <t>1055 S JASON               ST</t>
        </is>
      </c>
      <c r="G488" s="672" t="n">
        <v>47.1</v>
      </c>
      <c r="H488" s="253" t="n">
        <v>9506</v>
      </c>
      <c r="I488" s="255" t="n">
        <v>0</v>
      </c>
      <c r="J488" s="678" t="n">
        <v>47216</v>
      </c>
      <c r="K488" s="679" t="n">
        <v>3.049813622500847</v>
      </c>
      <c r="L488" s="260" t="n">
        <v>0</v>
      </c>
      <c r="M488" s="262" t="n">
        <v>0.06944444444444445</v>
      </c>
      <c r="N488" s="253" t="n">
        <v>1956</v>
      </c>
      <c r="O488" s="250" t="n">
        <v>4642</v>
      </c>
      <c r="Q488" s="245" t="n">
        <v>14</v>
      </c>
      <c r="R488" s="245" t="n">
        <v>10</v>
      </c>
      <c r="S488" s="245" t="n">
        <v>1</v>
      </c>
      <c r="T488" s="249" t="inlineStr">
        <is>
          <t xml:space="preserve">I1   </t>
        </is>
      </c>
      <c r="U488" s="249" t="n">
        <v>401</v>
      </c>
      <c r="V488" s="678" t="n">
        <v>89364</v>
      </c>
      <c r="W488" s="678" t="n">
        <v>89000</v>
      </c>
      <c r="X488" s="356" t="inlineStr">
        <is>
          <t>1.9:1</t>
        </is>
      </c>
      <c r="Y488" s="678" t="n">
        <v>47000</v>
      </c>
      <c r="Z488" s="249" t="inlineStr">
        <is>
          <t xml:space="preserve">C </t>
        </is>
      </c>
      <c r="AC488" s="253" t="n"/>
      <c r="AD488" s="247" t="inlineStr">
        <is>
          <t xml:space="preserve">SPRING AIR MATTRESS </t>
        </is>
      </c>
      <c r="AE488" s="680" t="n"/>
      <c r="AF488" s="680" t="n"/>
      <c r="AG488" s="680" t="n"/>
      <c r="AH488" s="680" t="n"/>
      <c r="AI488" s="680" t="n"/>
      <c r="AJ488" s="680" t="n"/>
      <c r="AK488" s="680" t="inlineStr">
        <is>
          <t>                                                                  </t>
        </is>
      </c>
      <c r="AM488" s="245" t="inlineStr">
        <is>
          <t> </t>
        </is>
      </c>
    </row>
    <row r="489">
      <c r="A489" s="248" t="n">
        <v>7</v>
      </c>
      <c r="B489" s="370" t="n">
        <v>481</v>
      </c>
      <c r="C489" s="254" t="inlineStr">
        <is>
          <t>2011Q</t>
        </is>
      </c>
      <c r="D489" s="245" t="inlineStr">
        <is>
          <t xml:space="preserve">05164-00-030-000 </t>
        </is>
      </c>
      <c r="E489" s="258" t="inlineStr">
        <is>
          <t>Actual</t>
        </is>
      </c>
      <c r="F489" s="259" t="inlineStr">
        <is>
          <t>1002 S JASON               ST</t>
        </is>
      </c>
      <c r="G489" s="672" t="n">
        <v>44.2</v>
      </c>
      <c r="H489" s="253" t="n">
        <v>9506</v>
      </c>
      <c r="I489" s="255" t="n">
        <v>0</v>
      </c>
      <c r="J489" s="678" t="n">
        <v>3000</v>
      </c>
      <c r="K489" s="679" t="n">
        <v>5.6</v>
      </c>
      <c r="L489" s="260" t="n">
        <v>0.2</v>
      </c>
      <c r="M489" s="262" t="n">
        <v>0.09410714285714286</v>
      </c>
      <c r="N489" s="253" t="n">
        <v>1954</v>
      </c>
      <c r="O489" s="250" t="n">
        <v>6211</v>
      </c>
      <c r="P489" s="250" t="n">
        <v>651</v>
      </c>
      <c r="Q489" s="245" t="n">
        <v>9</v>
      </c>
      <c r="R489" s="245" t="n">
        <v>3</v>
      </c>
      <c r="S489" s="245" t="n">
        <v>4</v>
      </c>
      <c r="T489" s="249" t="inlineStr">
        <is>
          <t xml:space="preserve">I1   </t>
        </is>
      </c>
      <c r="U489" s="249" t="n">
        <v>398</v>
      </c>
      <c r="V489" s="678" t="n">
        <v>52850</v>
      </c>
      <c r="W489" s="678" t="n">
        <v>53000</v>
      </c>
      <c r="X489" s="356" t="inlineStr">
        <is>
          <t>2.0:1</t>
        </is>
      </c>
      <c r="Y489" s="678" t="n">
        <v>3000</v>
      </c>
      <c r="Z489" s="249" t="inlineStr">
        <is>
          <t xml:space="preserve">C </t>
        </is>
      </c>
      <c r="AC489" s="253" t="n"/>
      <c r="AD489" s="247" t="inlineStr">
        <is>
          <t xml:space="preserve">DENVER STONE &amp; TILE </t>
        </is>
      </c>
      <c r="AE489" s="680" t="n"/>
      <c r="AF489" s="680" t="n"/>
      <c r="AG489" s="680" t="n"/>
      <c r="AH489" s="680" t="n"/>
      <c r="AI489" s="680" t="n"/>
      <c r="AJ489" s="680" t="n"/>
      <c r="AK489" s="680" t="inlineStr">
        <is>
          <t xml:space="preserve">DATA FOR 3000 SF UNIT WITH 2009 LEASE; FULL BLDG =26251 SF.       </t>
        </is>
      </c>
      <c r="AM489" s="245" t="inlineStr">
        <is>
          <t> </t>
        </is>
      </c>
    </row>
    <row r="490">
      <c r="A490" s="248" t="n">
        <v>7</v>
      </c>
      <c r="B490" s="370" t="n">
        <v>482</v>
      </c>
      <c r="C490" s="254" t="inlineStr">
        <is>
          <t>2011Q</t>
        </is>
      </c>
      <c r="D490" s="245" t="inlineStr">
        <is>
          <t xml:space="preserve">05164-00-044-000 </t>
        </is>
      </c>
      <c r="E490" s="258" t="inlineStr">
        <is>
          <t>Actual</t>
        </is>
      </c>
      <c r="F490" s="259" t="inlineStr">
        <is>
          <t>991 S JASON               ST</t>
        </is>
      </c>
      <c r="G490" s="253" t="n">
        <v>44.1</v>
      </c>
      <c r="H490" s="253" t="n">
        <v>9506</v>
      </c>
      <c r="I490" s="255" t="n">
        <v>0</v>
      </c>
      <c r="J490" s="678" t="n">
        <v>9000</v>
      </c>
      <c r="K490" s="679" t="n">
        <v>5.26</v>
      </c>
      <c r="L490" s="260" t="n">
        <v>0</v>
      </c>
      <c r="M490" s="262" t="n">
        <v>0.1692860160540769</v>
      </c>
      <c r="N490" s="253" t="n">
        <v>1961</v>
      </c>
      <c r="O490" s="250" t="n">
        <v>5930</v>
      </c>
      <c r="Q490" s="245" t="n">
        <v>12</v>
      </c>
      <c r="R490" s="245" t="n">
        <v>1</v>
      </c>
      <c r="S490" s="245" t="n">
        <v>1</v>
      </c>
      <c r="T490" s="249" t="inlineStr">
        <is>
          <t xml:space="preserve">I1   </t>
        </is>
      </c>
      <c r="U490" s="249" t="n">
        <v>398</v>
      </c>
      <c r="V490" s="678" t="n">
        <v>61862</v>
      </c>
      <c r="W490" s="678" t="n">
        <v>62000</v>
      </c>
      <c r="X490" s="356" t="inlineStr">
        <is>
          <t>1.6:1</t>
        </is>
      </c>
      <c r="Y490" s="678" t="n">
        <v>9000</v>
      </c>
      <c r="Z490" s="249" t="inlineStr">
        <is>
          <t xml:space="preserve">C </t>
        </is>
      </c>
      <c r="AC490" s="253" t="n"/>
      <c r="AD490" s="247" t="inlineStr">
        <is>
          <t>DIRECT MAIL SERVICES</t>
        </is>
      </c>
      <c r="AE490" s="680" t="n"/>
      <c r="AF490" s="680" t="n"/>
      <c r="AG490" s="680" t="n"/>
      <c r="AH490" s="680" t="n"/>
      <c r="AI490" s="680" t="n"/>
      <c r="AJ490" s="680" t="n"/>
      <c r="AK490" s="680" t="inlineStr">
        <is>
          <t>                                                                  </t>
        </is>
      </c>
      <c r="AM490" s="245" t="inlineStr">
        <is>
          <t> </t>
        </is>
      </c>
    </row>
    <row r="491">
      <c r="A491" s="248" t="n">
        <v>7</v>
      </c>
      <c r="B491" s="370" t="n">
        <v>483</v>
      </c>
      <c r="C491" s="254" t="inlineStr">
        <is>
          <t>2011Q</t>
        </is>
      </c>
      <c r="D491" s="245" t="inlineStr">
        <is>
          <t xml:space="preserve">05164-00-082-000 </t>
        </is>
      </c>
      <c r="E491" s="258" t="inlineStr">
        <is>
          <t>Actual</t>
        </is>
      </c>
      <c r="F491" s="259" t="inlineStr">
        <is>
          <t>820 S LIPAN               ST</t>
        </is>
      </c>
      <c r="G491" s="672" t="n">
        <v>44.2</v>
      </c>
      <c r="H491" s="253" t="n">
        <v>9506</v>
      </c>
      <c r="I491" s="255" t="n">
        <v>0</v>
      </c>
      <c r="J491" s="678" t="n">
        <v>3835</v>
      </c>
      <c r="K491" s="679" t="n">
        <v>7.822685788787484</v>
      </c>
      <c r="L491" s="260" t="n">
        <v>0</v>
      </c>
      <c r="M491" s="262" t="n">
        <v>0</v>
      </c>
      <c r="N491" s="253" t="n">
        <v>1960</v>
      </c>
      <c r="O491" s="250" t="n">
        <v>672</v>
      </c>
      <c r="Q491" s="245" t="n">
        <v>12</v>
      </c>
      <c r="R491" s="245" t="n">
        <v>1</v>
      </c>
      <c r="S491" s="245" t="n">
        <v>1</v>
      </c>
      <c r="T491" s="249" t="inlineStr">
        <is>
          <t xml:space="preserve">I0   </t>
        </is>
      </c>
      <c r="U491" s="249" t="n">
        <v>398</v>
      </c>
      <c r="V491" s="678" t="n">
        <v>11040</v>
      </c>
      <c r="W491" s="678" t="n">
        <v>11000</v>
      </c>
      <c r="X491" s="356" t="inlineStr">
        <is>
          <t>2.9:1</t>
        </is>
      </c>
      <c r="Y491" s="678" t="n">
        <v>4000</v>
      </c>
      <c r="Z491" s="249" t="inlineStr">
        <is>
          <t xml:space="preserve">C </t>
        </is>
      </c>
      <c r="AC491" s="253" t="n"/>
      <c r="AD491" s="247" t="inlineStr">
        <is>
          <t xml:space="preserve">S-W RAINS FLO       </t>
        </is>
      </c>
      <c r="AE491" s="680" t="n"/>
      <c r="AF491" s="680" t="n"/>
      <c r="AG491" s="680" t="n"/>
      <c r="AH491" s="680" t="n"/>
      <c r="AI491" s="680" t="n"/>
      <c r="AJ491" s="680" t="n"/>
      <c r="AK491" s="680" t="inlineStr">
        <is>
          <t xml:space="preserve">DATE OF LEASE COMMENCEMENT UNKNOWN.                               </t>
        </is>
      </c>
      <c r="AM491" s="245" t="inlineStr">
        <is>
          <t> </t>
        </is>
      </c>
    </row>
    <row r="492">
      <c r="A492" s="248" t="n">
        <v>7</v>
      </c>
      <c r="B492" s="370" t="n">
        <v>484</v>
      </c>
      <c r="C492" s="254" t="inlineStr">
        <is>
          <t>2011Q</t>
        </is>
      </c>
      <c r="D492" s="245" t="inlineStr">
        <is>
          <t xml:space="preserve">05164-00-084-000 </t>
        </is>
      </c>
      <c r="E492" s="258" t="inlineStr">
        <is>
          <t>Actual</t>
        </is>
      </c>
      <c r="F492" s="259" t="inlineStr">
        <is>
          <t>1141 W MISSISSIPPI         AV</t>
        </is>
      </c>
      <c r="G492" s="672" t="n">
        <v>44.2</v>
      </c>
      <c r="H492" s="253" t="n">
        <v>9506</v>
      </c>
      <c r="I492" s="255" t="n">
        <v>0</v>
      </c>
      <c r="J492" s="678" t="n">
        <v>4147</v>
      </c>
      <c r="K492" s="679" t="n">
        <v>6.499879430913913</v>
      </c>
      <c r="L492" s="260" t="n">
        <v>0</v>
      </c>
      <c r="M492" s="262" t="n">
        <v>0</v>
      </c>
      <c r="N492" s="253" t="n">
        <v>1956</v>
      </c>
      <c r="O492" s="250" t="n">
        <v>135</v>
      </c>
      <c r="Q492" s="245" t="n">
        <v>13</v>
      </c>
      <c r="R492" s="245" t="n">
        <v>3</v>
      </c>
      <c r="S492" s="245" t="n">
        <v>1</v>
      </c>
      <c r="T492" s="249" t="inlineStr">
        <is>
          <t xml:space="preserve">I1   </t>
        </is>
      </c>
      <c r="U492" s="249" t="n">
        <v>332</v>
      </c>
      <c r="V492" s="678" t="n">
        <v>11000</v>
      </c>
      <c r="W492" s="678" t="n">
        <v>11000</v>
      </c>
      <c r="X492" s="356" t="inlineStr">
        <is>
          <t>2.7:1</t>
        </is>
      </c>
      <c r="Y492" s="678" t="n">
        <v>4000</v>
      </c>
      <c r="Z492" s="249" t="inlineStr">
        <is>
          <t xml:space="preserve">C </t>
        </is>
      </c>
      <c r="AC492" s="253" t="n"/>
      <c r="AD492" s="247" t="inlineStr">
        <is>
          <t xml:space="preserve">ARAPAHOE SIGN ARTS  </t>
        </is>
      </c>
      <c r="AE492" s="680" t="n"/>
      <c r="AF492" s="680" t="n"/>
      <c r="AG492" s="680" t="n"/>
      <c r="AH492" s="680" t="n"/>
      <c r="AI492" s="680" t="n"/>
      <c r="AJ492" s="680" t="n"/>
      <c r="AK492" s="680" t="inlineStr">
        <is>
          <t>                                                                  </t>
        </is>
      </c>
      <c r="AM492" s="245" t="inlineStr">
        <is>
          <t> </t>
        </is>
      </c>
    </row>
    <row r="493">
      <c r="A493" s="248" t="n">
        <v>7</v>
      </c>
      <c r="B493" s="370" t="n">
        <v>485</v>
      </c>
      <c r="C493" s="254" t="inlineStr">
        <is>
          <t>2011Q</t>
        </is>
      </c>
      <c r="D493" s="245" t="inlineStr">
        <is>
          <t xml:space="preserve">05181-17-024-000 </t>
        </is>
      </c>
      <c r="E493" s="258" t="inlineStr">
        <is>
          <t>Actual</t>
        </is>
      </c>
      <c r="F493" s="259" t="inlineStr">
        <is>
          <t>3615   MORRISON            RD</t>
        </is>
      </c>
      <c r="G493" s="253" t="n">
        <v>44.1</v>
      </c>
      <c r="H493" s="253" t="n">
        <v>9506</v>
      </c>
      <c r="I493" s="255" t="n">
        <v>5</v>
      </c>
      <c r="J493" s="678" t="n">
        <v>5274</v>
      </c>
      <c r="K493" s="679" t="n">
        <v>2.275312855517634</v>
      </c>
      <c r="L493" s="260" t="n">
        <v>0</v>
      </c>
      <c r="M493" s="262" t="n">
        <v>0</v>
      </c>
      <c r="N493" s="253" t="n">
        <v>1975</v>
      </c>
      <c r="O493" s="250" t="n">
        <v>1027</v>
      </c>
      <c r="Q493" s="245" t="n">
        <v>18</v>
      </c>
      <c r="R493" s="245" t="n">
        <v>8</v>
      </c>
      <c r="S493" s="245" t="n">
        <v>1</v>
      </c>
      <c r="T493" s="249" t="inlineStr">
        <is>
          <t xml:space="preserve">B4   </t>
        </is>
      </c>
      <c r="U493" s="249" t="n">
        <v>398</v>
      </c>
      <c r="V493" s="678" t="n">
        <v>14286</v>
      </c>
      <c r="W493" s="678" t="n">
        <v>14000</v>
      </c>
      <c r="X493" s="356" t="inlineStr">
        <is>
          <t>2.7:1</t>
        </is>
      </c>
      <c r="Y493" s="678" t="n">
        <v>5000</v>
      </c>
      <c r="Z493" s="249" t="inlineStr">
        <is>
          <t xml:space="preserve">C </t>
        </is>
      </c>
      <c r="AC493" s="253" t="n"/>
      <c r="AD493" s="247" t="inlineStr">
        <is>
          <t>                    </t>
        </is>
      </c>
      <c r="AE493" s="680" t="n"/>
      <c r="AF493" s="680" t="n"/>
      <c r="AG493" s="680" t="n"/>
      <c r="AH493" s="680" t="n"/>
      <c r="AI493" s="680" t="n"/>
      <c r="AJ493" s="680" t="n"/>
      <c r="AK493" s="680" t="inlineStr">
        <is>
          <t>                                                                  </t>
        </is>
      </c>
      <c r="AM493" s="245" t="inlineStr">
        <is>
          <t> </t>
        </is>
      </c>
    </row>
    <row r="494">
      <c r="A494" s="248" t="n">
        <v>7</v>
      </c>
      <c r="B494" s="370" t="n">
        <v>486</v>
      </c>
      <c r="C494" s="254" t="inlineStr">
        <is>
          <t>2011Q</t>
        </is>
      </c>
      <c r="D494" s="245" t="inlineStr">
        <is>
          <t xml:space="preserve">05181-20-014-000 </t>
        </is>
      </c>
      <c r="E494" s="258" t="inlineStr">
        <is>
          <t>Actual</t>
        </is>
      </c>
      <c r="F494" s="259" t="inlineStr">
        <is>
          <t>3715   MORRISON            RD</t>
        </is>
      </c>
      <c r="G494" s="253" t="n">
        <v>44.1</v>
      </c>
      <c r="H494" s="253" t="n">
        <v>9506</v>
      </c>
      <c r="I494" s="255" t="n">
        <v>5</v>
      </c>
      <c r="J494" s="678" t="n">
        <v>5077</v>
      </c>
      <c r="K494" s="679" t="n">
        <v>6.381721489068347</v>
      </c>
      <c r="L494" s="260" t="n">
        <v>0</v>
      </c>
      <c r="M494" s="262" t="n">
        <v>0</v>
      </c>
      <c r="N494" s="253" t="n">
        <v>1956</v>
      </c>
      <c r="O494" s="250" t="n">
        <v>480</v>
      </c>
      <c r="Q494" s="245" t="n">
        <v>15</v>
      </c>
      <c r="R494" s="245" t="n">
        <v>1</v>
      </c>
      <c r="S494" s="245" t="n">
        <v>1</v>
      </c>
      <c r="T494" s="249" t="inlineStr">
        <is>
          <t xml:space="preserve">B4   </t>
        </is>
      </c>
      <c r="U494" s="249" t="n">
        <v>398</v>
      </c>
      <c r="V494" s="678" t="n">
        <v>15254</v>
      </c>
      <c r="W494" s="678" t="n">
        <v>15000</v>
      </c>
      <c r="X494" s="356" t="inlineStr">
        <is>
          <t>3.0:1</t>
        </is>
      </c>
      <c r="Y494" s="678" t="n">
        <v>5000</v>
      </c>
      <c r="Z494" s="249" t="inlineStr">
        <is>
          <t xml:space="preserve">C </t>
        </is>
      </c>
      <c r="AC494" s="253" t="n"/>
      <c r="AD494" s="247" t="inlineStr">
        <is>
          <t>                    </t>
        </is>
      </c>
      <c r="AE494" s="680" t="n"/>
      <c r="AF494" s="680" t="n"/>
      <c r="AG494" s="680" t="n"/>
      <c r="AH494" s="680" t="n"/>
      <c r="AI494" s="680" t="n"/>
      <c r="AJ494" s="680" t="n"/>
      <c r="AK494" s="680" t="inlineStr">
        <is>
          <t>                                                                  </t>
        </is>
      </c>
      <c r="AM494" s="245" t="inlineStr">
        <is>
          <t> </t>
        </is>
      </c>
    </row>
    <row r="495">
      <c r="A495" s="248" t="n">
        <v>7</v>
      </c>
      <c r="B495" s="370" t="n">
        <v>487</v>
      </c>
      <c r="C495" s="254" t="inlineStr">
        <is>
          <t>2011Q</t>
        </is>
      </c>
      <c r="D495" s="245" t="inlineStr">
        <is>
          <t xml:space="preserve">05184-29-007-000 </t>
        </is>
      </c>
      <c r="E495" s="258" t="inlineStr">
        <is>
          <t>Actual</t>
        </is>
      </c>
      <c r="F495" s="259" t="inlineStr">
        <is>
          <t>1050 S QUITMAN             ST</t>
        </is>
      </c>
      <c r="G495" s="253" t="n">
        <v>44.1</v>
      </c>
      <c r="H495" s="253" t="n">
        <v>9506</v>
      </c>
      <c r="I495" s="255" t="n">
        <v>0</v>
      </c>
      <c r="J495" s="678" t="n">
        <v>2873</v>
      </c>
      <c r="K495" s="679" t="n">
        <v>6.265227984684998</v>
      </c>
      <c r="L495" s="260" t="n">
        <v>0</v>
      </c>
      <c r="M495" s="262" t="n">
        <v>0.1904444444444444</v>
      </c>
      <c r="N495" s="253" t="n">
        <v>1946</v>
      </c>
      <c r="O495" s="250" t="n">
        <v>595</v>
      </c>
      <c r="Q495" s="245" t="n">
        <v>11</v>
      </c>
      <c r="R495" s="245" t="n">
        <v>3</v>
      </c>
      <c r="S495" s="245" t="n">
        <v>1</v>
      </c>
      <c r="T495" s="249" t="inlineStr">
        <is>
          <t xml:space="preserve">R2   </t>
        </is>
      </c>
      <c r="U495" s="249" t="n">
        <v>398</v>
      </c>
      <c r="V495" s="678" t="n">
        <v>6350</v>
      </c>
      <c r="W495" s="678" t="n">
        <v>6000</v>
      </c>
      <c r="X495" s="356" t="inlineStr">
        <is>
          <t>2.2:1</t>
        </is>
      </c>
      <c r="Y495" s="678" t="n">
        <v>3000</v>
      </c>
      <c r="Z495" s="249" t="inlineStr">
        <is>
          <t xml:space="preserve">C </t>
        </is>
      </c>
      <c r="AC495" s="253" t="n"/>
      <c r="AD495" s="247" t="inlineStr">
        <is>
          <t>S-WNEW ERA CONSTRUCT</t>
        </is>
      </c>
      <c r="AE495" s="680" t="n"/>
      <c r="AF495" s="680" t="n"/>
      <c r="AG495" s="680" t="n"/>
      <c r="AH495" s="680" t="n"/>
      <c r="AI495" s="680" t="n"/>
      <c r="AJ495" s="680" t="n"/>
      <c r="AK495" s="680" t="inlineStr">
        <is>
          <t>                                                                  </t>
        </is>
      </c>
      <c r="AM495" s="245" t="inlineStr">
        <is>
          <t> </t>
        </is>
      </c>
    </row>
    <row r="496">
      <c r="A496" s="248" t="n">
        <v>7</v>
      </c>
      <c r="B496" s="370" t="n">
        <v>488</v>
      </c>
      <c r="C496" s="254" t="inlineStr">
        <is>
          <t>2011Q</t>
        </is>
      </c>
      <c r="D496" s="245" t="inlineStr">
        <is>
          <t xml:space="preserve">05211-03-005-000 </t>
        </is>
      </c>
      <c r="E496" s="258" t="inlineStr">
        <is>
          <t>Actual</t>
        </is>
      </c>
      <c r="F496" s="259" t="inlineStr">
        <is>
          <t>1001 W ARIZONA             AV</t>
        </is>
      </c>
      <c r="G496" s="672" t="n">
        <v>44.2</v>
      </c>
      <c r="H496" s="253" t="n">
        <v>9506</v>
      </c>
      <c r="I496" s="255" t="n">
        <v>0</v>
      </c>
      <c r="J496" s="678" t="n">
        <v>6919</v>
      </c>
      <c r="K496" s="679" t="n">
        <v>5.882352941176471</v>
      </c>
      <c r="L496" s="260" t="n">
        <v>0</v>
      </c>
      <c r="M496" s="262" t="n">
        <v>0.09626535626535626</v>
      </c>
      <c r="N496" s="253" t="n">
        <v>1961</v>
      </c>
      <c r="O496" s="250" t="n">
        <v>1014</v>
      </c>
      <c r="Q496" s="245" t="n">
        <v>14</v>
      </c>
      <c r="R496" s="245" t="n">
        <v>1</v>
      </c>
      <c r="S496" s="245" t="n">
        <v>1</v>
      </c>
      <c r="T496" s="249" t="inlineStr">
        <is>
          <t xml:space="preserve">I2   </t>
        </is>
      </c>
      <c r="U496" s="249" t="n">
        <v>398</v>
      </c>
      <c r="V496" s="678" t="n">
        <v>19113</v>
      </c>
      <c r="W496" s="678" t="n">
        <v>19000</v>
      </c>
      <c r="X496" s="356" t="inlineStr">
        <is>
          <t>2.8:1</t>
        </is>
      </c>
      <c r="Y496" s="678" t="n">
        <v>7000</v>
      </c>
      <c r="Z496" s="249" t="inlineStr">
        <is>
          <t xml:space="preserve">C </t>
        </is>
      </c>
      <c r="AC496" s="253" t="n"/>
      <c r="AD496" s="247" t="inlineStr">
        <is>
          <t xml:space="preserve">TODAYS FITNESS      </t>
        </is>
      </c>
      <c r="AE496" s="680" t="n"/>
      <c r="AF496" s="680" t="n"/>
      <c r="AG496" s="680" t="n"/>
      <c r="AH496" s="680" t="n"/>
      <c r="AI496" s="680" t="n"/>
      <c r="AJ496" s="680" t="n"/>
      <c r="AK496" s="680" t="inlineStr">
        <is>
          <t>                                                                  </t>
        </is>
      </c>
      <c r="AM496" s="245" t="inlineStr">
        <is>
          <t> </t>
        </is>
      </c>
    </row>
    <row r="497">
      <c r="A497" s="248" t="n">
        <v>7</v>
      </c>
      <c r="B497" s="370" t="n">
        <v>489</v>
      </c>
      <c r="C497" s="254" t="inlineStr">
        <is>
          <t>2011Q</t>
        </is>
      </c>
      <c r="D497" s="245" t="inlineStr">
        <is>
          <t xml:space="preserve">05211-03-033-000 </t>
        </is>
      </c>
      <c r="E497" s="258" t="inlineStr">
        <is>
          <t>Actual</t>
        </is>
      </c>
      <c r="F497" s="259" t="inlineStr">
        <is>
          <t>1178 S KALAMATH            ST</t>
        </is>
      </c>
      <c r="G497" s="672" t="n">
        <v>44.2</v>
      </c>
      <c r="H497" s="253" t="n">
        <v>9506</v>
      </c>
      <c r="I497" s="255" t="n">
        <v>0</v>
      </c>
      <c r="J497" s="678" t="n">
        <v>8000</v>
      </c>
      <c r="K497" s="679" t="n">
        <v>4.2495</v>
      </c>
      <c r="L497" s="260" t="n">
        <v>0</v>
      </c>
      <c r="M497" s="262" t="n">
        <v>0</v>
      </c>
      <c r="N497" s="253" t="n">
        <v>1975</v>
      </c>
      <c r="O497" s="250" t="n">
        <v>1000</v>
      </c>
      <c r="P497" s="250" t="n">
        <v>2000</v>
      </c>
      <c r="Q497" s="245" t="n">
        <v>13</v>
      </c>
      <c r="R497" s="245" t="n">
        <v>1</v>
      </c>
      <c r="S497" s="245" t="n">
        <v>1</v>
      </c>
      <c r="T497" s="249" t="inlineStr">
        <is>
          <t xml:space="preserve">I2   </t>
        </is>
      </c>
      <c r="U497" s="249" t="n">
        <v>398</v>
      </c>
      <c r="V497" s="678" t="n">
        <v>6477</v>
      </c>
      <c r="W497" s="678" t="n">
        <v>6000</v>
      </c>
      <c r="X497" s="356" t="inlineStr">
        <is>
          <t>0.8:1</t>
        </is>
      </c>
      <c r="Y497" s="678" t="n">
        <v>8000</v>
      </c>
      <c r="Z497" s="249" t="inlineStr">
        <is>
          <t xml:space="preserve">C </t>
        </is>
      </c>
      <c r="AC497" s="253" t="n"/>
      <c r="AD497" s="247" t="inlineStr">
        <is>
          <t>                    </t>
        </is>
      </c>
      <c r="AE497" s="680" t="n"/>
      <c r="AF497" s="680" t="n"/>
      <c r="AG497" s="680" t="n"/>
      <c r="AH497" s="680" t="n"/>
      <c r="AI497" s="680" t="n"/>
      <c r="AJ497" s="680" t="n"/>
      <c r="AK497" s="680" t="inlineStr">
        <is>
          <t>                                                                  </t>
        </is>
      </c>
      <c r="AM497" s="245" t="inlineStr">
        <is>
          <t> </t>
        </is>
      </c>
    </row>
    <row r="498">
      <c r="A498" s="248" t="n">
        <v>7</v>
      </c>
      <c r="B498" s="370" t="n">
        <v>490</v>
      </c>
      <c r="C498" s="254" t="inlineStr">
        <is>
          <t>2011Q</t>
        </is>
      </c>
      <c r="D498" s="245" t="inlineStr">
        <is>
          <t xml:space="preserve">05211-15-012-000 </t>
        </is>
      </c>
      <c r="E498" s="258" t="inlineStr">
        <is>
          <t>Actual</t>
        </is>
      </c>
      <c r="F498" s="259" t="inlineStr">
        <is>
          <t>1220 S JASON               ST</t>
        </is>
      </c>
      <c r="G498" s="672" t="n">
        <v>44.2</v>
      </c>
      <c r="H498" s="253" t="n">
        <v>9506</v>
      </c>
      <c r="I498" s="255" t="n">
        <v>0</v>
      </c>
      <c r="J498" s="678" t="n">
        <v>2610</v>
      </c>
      <c r="K498" s="679" t="n">
        <v>8.007662835249041</v>
      </c>
      <c r="L498" s="260" t="n">
        <v>0</v>
      </c>
      <c r="M498" s="262" t="n">
        <v>0.4064114832535885</v>
      </c>
      <c r="N498" s="253" t="n">
        <v>1962</v>
      </c>
      <c r="O498" s="250" t="n">
        <v>750</v>
      </c>
      <c r="Q498" s="245" t="n">
        <v>12</v>
      </c>
      <c r="R498" s="245" t="n">
        <v>1</v>
      </c>
      <c r="S498" s="245" t="n">
        <v>1</v>
      </c>
      <c r="T498" s="249" t="inlineStr">
        <is>
          <t xml:space="preserve">I1   </t>
        </is>
      </c>
      <c r="U498" s="249" t="n">
        <v>398</v>
      </c>
      <c r="V498" s="678" t="n">
        <v>6350</v>
      </c>
      <c r="W498" s="678" t="n">
        <v>6000</v>
      </c>
      <c r="X498" s="356" t="inlineStr">
        <is>
          <t>2.4:1</t>
        </is>
      </c>
      <c r="Y498" s="678" t="n">
        <v>3000</v>
      </c>
      <c r="Z498" s="249" t="inlineStr">
        <is>
          <t xml:space="preserve">C </t>
        </is>
      </c>
      <c r="AC498" s="253" t="n"/>
      <c r="AD498" s="247" t="inlineStr">
        <is>
          <t xml:space="preserve">THOMAS-STUART INC.  </t>
        </is>
      </c>
      <c r="AE498" s="680" t="n"/>
      <c r="AF498" s="680" t="n"/>
      <c r="AG498" s="680" t="n"/>
      <c r="AH498" s="680" t="n"/>
      <c r="AI498" s="680" t="n"/>
      <c r="AJ498" s="680" t="n"/>
      <c r="AK498" s="680" t="inlineStr">
        <is>
          <t xml:space="preserve">2008 LEASE.                                                       </t>
        </is>
      </c>
      <c r="AM498" s="245" t="inlineStr">
        <is>
          <t> </t>
        </is>
      </c>
    </row>
    <row r="499">
      <c r="A499" s="248" t="n">
        <v>7</v>
      </c>
      <c r="B499" s="370" t="n">
        <v>491</v>
      </c>
      <c r="C499" s="254" t="inlineStr">
        <is>
          <t>2011Q</t>
        </is>
      </c>
      <c r="D499" s="245" t="inlineStr">
        <is>
          <t xml:space="preserve">05211-16-028-000 </t>
        </is>
      </c>
      <c r="E499" s="258" t="inlineStr">
        <is>
          <t>Actual</t>
        </is>
      </c>
      <c r="F499" s="259" t="inlineStr">
        <is>
          <t>1257 S HURON               ST</t>
        </is>
      </c>
      <c r="G499" s="253" t="n">
        <v>44.1</v>
      </c>
      <c r="H499" s="253" t="n">
        <v>9506</v>
      </c>
      <c r="I499" s="255" t="n">
        <v>0</v>
      </c>
      <c r="J499" s="678" t="n">
        <v>600</v>
      </c>
      <c r="K499" s="679" t="n">
        <v>8.699999999999999</v>
      </c>
      <c r="L499" s="260" t="n">
        <v>0</v>
      </c>
      <c r="M499" s="262" t="n">
        <v>0.4197318007662835</v>
      </c>
      <c r="N499" s="253" t="n">
        <v>1983</v>
      </c>
      <c r="O499" s="250" t="n">
        <v>775</v>
      </c>
      <c r="Q499" s="245" t="n">
        <v>14</v>
      </c>
      <c r="R499" s="245" t="n">
        <v>3</v>
      </c>
      <c r="S499" s="245" t="n">
        <v>1</v>
      </c>
      <c r="T499" s="249" t="inlineStr">
        <is>
          <t xml:space="preserve">I1   </t>
        </is>
      </c>
      <c r="U499" s="249" t="n">
        <v>398</v>
      </c>
      <c r="V499" s="678" t="n">
        <v>4504</v>
      </c>
      <c r="W499" s="678" t="n">
        <v>5000</v>
      </c>
      <c r="X499" s="356" t="inlineStr">
        <is>
          <t>2.2:1</t>
        </is>
      </c>
      <c r="Y499" s="678" t="n">
        <v>600</v>
      </c>
      <c r="Z499" s="249" t="inlineStr">
        <is>
          <t xml:space="preserve">C </t>
        </is>
      </c>
      <c r="AC499" s="253" t="n"/>
      <c r="AD499" s="247" t="inlineStr">
        <is>
          <t>M-W EAST/WEST DESIGN</t>
        </is>
      </c>
      <c r="AE499" s="680" t="n"/>
      <c r="AF499" s="680" t="n"/>
      <c r="AG499" s="680" t="n"/>
      <c r="AH499" s="680" t="n"/>
      <c r="AI499" s="680" t="n"/>
      <c r="AJ499" s="680" t="n"/>
      <c r="AK499" s="680" t="inlineStr">
        <is>
          <t xml:space="preserve">600 SF BASE PERIOD LEASE IN 2049 SF BUILDING.                     </t>
        </is>
      </c>
      <c r="AM499" s="245" t="inlineStr">
        <is>
          <t> </t>
        </is>
      </c>
    </row>
    <row r="500">
      <c r="A500" s="248" t="n">
        <v>7</v>
      </c>
      <c r="B500" s="370" t="n">
        <v>492</v>
      </c>
      <c r="C500" s="254" t="inlineStr">
        <is>
          <t>2011Q</t>
        </is>
      </c>
      <c r="D500" s="245" t="inlineStr">
        <is>
          <t xml:space="preserve">05211-17-021-000 </t>
        </is>
      </c>
      <c r="E500" s="258" t="inlineStr">
        <is>
          <t>Actual</t>
        </is>
      </c>
      <c r="F500" s="259" t="inlineStr">
        <is>
          <t>1300 S INCA                ST</t>
        </is>
      </c>
      <c r="G500" s="672" t="n">
        <v>44.2</v>
      </c>
      <c r="H500" s="253" t="n">
        <v>9506</v>
      </c>
      <c r="I500" s="255" t="n">
        <v>0</v>
      </c>
      <c r="J500" s="678" t="n">
        <v>2400</v>
      </c>
      <c r="K500" s="679" t="n">
        <v>5</v>
      </c>
      <c r="L500" s="260" t="n">
        <v>0</v>
      </c>
      <c r="M500" s="262" t="n">
        <v>0</v>
      </c>
      <c r="N500" s="253" t="n">
        <v>1977</v>
      </c>
      <c r="O500" s="250" t="n">
        <v>240</v>
      </c>
      <c r="P500" s="250" t="n">
        <v>2400</v>
      </c>
      <c r="Q500" s="245" t="n">
        <v>16</v>
      </c>
      <c r="R500" s="245" t="n">
        <v>8</v>
      </c>
      <c r="S500" s="245" t="n">
        <v>1</v>
      </c>
      <c r="T500" s="249" t="inlineStr">
        <is>
          <t xml:space="preserve">I1   </t>
        </is>
      </c>
      <c r="U500" s="249" t="n">
        <v>398</v>
      </c>
      <c r="V500" s="678" t="n">
        <v>13500</v>
      </c>
      <c r="W500" s="678" t="n">
        <v>14000</v>
      </c>
      <c r="X500" s="356" t="inlineStr">
        <is>
          <t>2.8:1</t>
        </is>
      </c>
      <c r="Y500" s="678" t="n">
        <v>2000</v>
      </c>
      <c r="Z500" s="249" t="inlineStr">
        <is>
          <t xml:space="preserve">C </t>
        </is>
      </c>
      <c r="AC500" s="253" t="n"/>
      <c r="AD500" s="247" t="inlineStr">
        <is>
          <t xml:space="preserve">S-W GEI ELECTRIC    </t>
        </is>
      </c>
      <c r="AE500" s="680" t="n"/>
      <c r="AF500" s="680" t="n"/>
      <c r="AG500" s="680" t="n"/>
      <c r="AH500" s="680" t="n"/>
      <c r="AI500" s="680" t="n"/>
      <c r="AJ500" s="680" t="n"/>
      <c r="AK500" s="680" t="inlineStr">
        <is>
          <t xml:space="preserve">2008 LEASE ON 2400 SF OF 4867 SF BUILDING.                        </t>
        </is>
      </c>
      <c r="AM500" s="245" t="inlineStr">
        <is>
          <t> </t>
        </is>
      </c>
    </row>
    <row r="501">
      <c r="A501" s="248" t="n">
        <v>7</v>
      </c>
      <c r="B501" s="370" t="n">
        <v>493</v>
      </c>
      <c r="C501" s="254" t="inlineStr">
        <is>
          <t>2011Q</t>
        </is>
      </c>
      <c r="D501" s="245" t="inlineStr">
        <is>
          <t xml:space="preserve">05211-18-004-000 </t>
        </is>
      </c>
      <c r="E501" s="258" t="inlineStr">
        <is>
          <t>Actual</t>
        </is>
      </c>
      <c r="F501" s="259" t="inlineStr">
        <is>
          <t>1371 S INCA                ST</t>
        </is>
      </c>
      <c r="G501" s="672" t="n">
        <v>44.2</v>
      </c>
      <c r="H501" s="253" t="n">
        <v>9506</v>
      </c>
      <c r="I501" s="255" t="n">
        <v>0</v>
      </c>
      <c r="J501" s="678" t="n">
        <v>9600</v>
      </c>
      <c r="K501" s="679" t="n">
        <v>6.4375</v>
      </c>
      <c r="L501" s="260" t="n">
        <v>0</v>
      </c>
      <c r="M501" s="262" t="n">
        <v>0.1757605177993528</v>
      </c>
      <c r="N501" s="253" t="n">
        <v>1983</v>
      </c>
      <c r="O501" s="250" t="n">
        <v>1700</v>
      </c>
      <c r="Q501" s="245" t="n">
        <v>18</v>
      </c>
      <c r="R501" s="245" t="n">
        <v>3</v>
      </c>
      <c r="S501" s="245" t="n">
        <v>3</v>
      </c>
      <c r="T501" s="249" t="inlineStr">
        <is>
          <t xml:space="preserve">I1   </t>
        </is>
      </c>
      <c r="U501" s="249" t="n">
        <v>398</v>
      </c>
      <c r="V501" s="678" t="n">
        <v>12700</v>
      </c>
      <c r="W501" s="678" t="n">
        <v>13000</v>
      </c>
      <c r="X501" s="356" t="inlineStr">
        <is>
          <t>1.3:1</t>
        </is>
      </c>
      <c r="Y501" s="678" t="n">
        <v>10000</v>
      </c>
      <c r="Z501" s="249" t="inlineStr">
        <is>
          <t xml:space="preserve">C </t>
        </is>
      </c>
      <c r="AC501" s="253" t="n"/>
      <c r="AD501" s="247" t="inlineStr">
        <is>
          <t xml:space="preserve">KM GRAPHICS         </t>
        </is>
      </c>
      <c r="AE501" s="680" t="n"/>
      <c r="AF501" s="680" t="n"/>
      <c r="AG501" s="680" t="n"/>
      <c r="AH501" s="680" t="n"/>
      <c r="AI501" s="680" t="n"/>
      <c r="AJ501" s="680" t="n"/>
      <c r="AK501" s="680" t="inlineStr">
        <is>
          <t xml:space="preserve">FULL SERVICE LEASE HIGHLY ATYPICAL FOR WAREHOUSE USE.             </t>
        </is>
      </c>
      <c r="AM501" s="245" t="inlineStr">
        <is>
          <t> </t>
        </is>
      </c>
    </row>
    <row r="502">
      <c r="A502" s="248" t="n">
        <v>7</v>
      </c>
      <c r="B502" s="370" t="n">
        <v>494</v>
      </c>
      <c r="C502" s="254" t="inlineStr">
        <is>
          <t>2011Q</t>
        </is>
      </c>
      <c r="D502" s="245" t="inlineStr">
        <is>
          <t xml:space="preserve">05211-18-028-000 </t>
        </is>
      </c>
      <c r="E502" s="258" t="inlineStr">
        <is>
          <t>Actual</t>
        </is>
      </c>
      <c r="F502" s="259" t="inlineStr">
        <is>
          <t>1385 S INCA                ST</t>
        </is>
      </c>
      <c r="G502" s="672" t="n">
        <v>44.2</v>
      </c>
      <c r="H502" s="253" t="n">
        <v>9506</v>
      </c>
      <c r="I502" s="255" t="n">
        <v>0</v>
      </c>
      <c r="J502" s="678" t="n">
        <v>7604</v>
      </c>
      <c r="K502" s="679" t="n">
        <v>5.601657022619674</v>
      </c>
      <c r="L502" s="260" t="n">
        <v>0</v>
      </c>
      <c r="M502" s="262" t="n">
        <v>0.1408146496067613</v>
      </c>
      <c r="N502" s="253" t="n">
        <v>1961</v>
      </c>
      <c r="O502" s="250" t="n">
        <v>4601</v>
      </c>
      <c r="Q502" s="245" t="n">
        <v>12</v>
      </c>
      <c r="R502" s="245" t="n">
        <v>1</v>
      </c>
      <c r="S502" s="245" t="n">
        <v>2</v>
      </c>
      <c r="T502" s="249" t="inlineStr">
        <is>
          <t xml:space="preserve">I1   </t>
        </is>
      </c>
      <c r="U502" s="249" t="n">
        <v>398</v>
      </c>
      <c r="V502" s="678" t="n">
        <v>27746</v>
      </c>
      <c r="W502" s="678" t="n">
        <v>28000</v>
      </c>
      <c r="X502" s="356" t="inlineStr">
        <is>
          <t>2.5:1</t>
        </is>
      </c>
      <c r="Y502" s="678" t="n">
        <v>8000</v>
      </c>
      <c r="Z502" s="249" t="inlineStr">
        <is>
          <t xml:space="preserve">C </t>
        </is>
      </c>
      <c r="AC502" s="253" t="n"/>
      <c r="AD502" s="247" t="inlineStr">
        <is>
          <t xml:space="preserve">M-W                 </t>
        </is>
      </c>
      <c r="AE502" s="680" t="n"/>
      <c r="AF502" s="680" t="n"/>
      <c r="AG502" s="680" t="n"/>
      <c r="AH502" s="680" t="n"/>
      <c r="AI502" s="680" t="n"/>
      <c r="AJ502" s="680" t="n"/>
      <c r="AK502" s="680" t="inlineStr">
        <is>
          <t xml:space="preserve">ONLY USED RENTAL PORTION FOR ENTRY; OWNER-OCC NOT INCLUDED.       </t>
        </is>
      </c>
      <c r="AM502" s="245" t="inlineStr">
        <is>
          <t> </t>
        </is>
      </c>
    </row>
    <row r="503">
      <c r="A503" s="248" t="n">
        <v>7</v>
      </c>
      <c r="B503" s="370" t="n">
        <v>495</v>
      </c>
      <c r="C503" s="254" t="inlineStr">
        <is>
          <t>2011Q</t>
        </is>
      </c>
      <c r="D503" s="245" t="inlineStr">
        <is>
          <t xml:space="preserve">05211-18-029-000 </t>
        </is>
      </c>
      <c r="E503" s="258" t="inlineStr">
        <is>
          <t>Actual</t>
        </is>
      </c>
      <c r="F503" s="259" t="inlineStr">
        <is>
          <t>1328 S JASON               ST</t>
        </is>
      </c>
      <c r="G503" s="672" t="n">
        <v>44.2</v>
      </c>
      <c r="H503" s="253" t="n">
        <v>9506</v>
      </c>
      <c r="I503" s="255" t="n">
        <v>0</v>
      </c>
      <c r="J503" s="678" t="n">
        <v>10000</v>
      </c>
      <c r="K503" s="679" t="n">
        <v>6</v>
      </c>
      <c r="L503" s="260" t="n">
        <v>0</v>
      </c>
      <c r="M503" s="262" t="n">
        <v>0</v>
      </c>
      <c r="N503" s="253" t="n">
        <v>1983</v>
      </c>
      <c r="O503" s="250" t="n">
        <v>2300</v>
      </c>
      <c r="Q503" s="245" t="n">
        <v>14</v>
      </c>
      <c r="R503" s="245" t="n">
        <v>3</v>
      </c>
      <c r="S503" s="245" t="n">
        <v>1</v>
      </c>
      <c r="T503" s="249" t="inlineStr">
        <is>
          <t xml:space="preserve">I1   </t>
        </is>
      </c>
      <c r="U503" s="249" t="n">
        <v>398</v>
      </c>
      <c r="V503" s="678" t="n">
        <v>14224</v>
      </c>
      <c r="W503" s="678" t="n">
        <v>14000</v>
      </c>
      <c r="X503" s="356" t="inlineStr">
        <is>
          <t>1.4:1</t>
        </is>
      </c>
      <c r="Y503" s="678" t="n">
        <v>10000</v>
      </c>
      <c r="Z503" s="249" t="inlineStr">
        <is>
          <t xml:space="preserve">C </t>
        </is>
      </c>
      <c r="AC503" s="253" t="n"/>
      <c r="AD503" s="247" t="inlineStr">
        <is>
          <t xml:space="preserve">AMERICAN TARGET     </t>
        </is>
      </c>
      <c r="AE503" s="680" t="n"/>
      <c r="AF503" s="680" t="n"/>
      <c r="AG503" s="680" t="n"/>
      <c r="AH503" s="680" t="n"/>
      <c r="AI503" s="680" t="n"/>
      <c r="AJ503" s="680" t="n"/>
      <c r="AK503" s="680" t="inlineStr">
        <is>
          <t>                                                                  </t>
        </is>
      </c>
      <c r="AM503" s="245" t="inlineStr">
        <is>
          <t> </t>
        </is>
      </c>
    </row>
    <row r="504">
      <c r="A504" s="248" t="n">
        <v>7</v>
      </c>
      <c r="B504" s="370" t="n">
        <v>496</v>
      </c>
      <c r="C504" s="254" t="inlineStr">
        <is>
          <t>2011Q</t>
        </is>
      </c>
      <c r="D504" s="245" t="inlineStr">
        <is>
          <t xml:space="preserve">05211-18-030-000 </t>
        </is>
      </c>
      <c r="E504" s="258" t="inlineStr">
        <is>
          <t>Actual</t>
        </is>
      </c>
      <c r="F504" s="259" t="inlineStr">
        <is>
          <t>1308 S JASON               ST</t>
        </is>
      </c>
      <c r="G504" s="672" t="n">
        <v>44.2</v>
      </c>
      <c r="H504" s="253" t="n">
        <v>9506</v>
      </c>
      <c r="I504" s="255" t="n">
        <v>0</v>
      </c>
      <c r="J504" s="678" t="n">
        <v>6801</v>
      </c>
      <c r="K504" s="679" t="n">
        <v>7.498897220996912</v>
      </c>
      <c r="L504" s="260" t="n">
        <v>0</v>
      </c>
      <c r="M504" s="262" t="n">
        <v>0.0392156862745098</v>
      </c>
      <c r="N504" s="253" t="n">
        <v>1997</v>
      </c>
      <c r="O504" s="250" t="n">
        <v>2664</v>
      </c>
      <c r="Q504" s="245" t="n">
        <v>16</v>
      </c>
      <c r="R504" s="245" t="n">
        <v>3</v>
      </c>
      <c r="S504" s="245" t="n">
        <v>1</v>
      </c>
      <c r="T504" s="249" t="inlineStr">
        <is>
          <t xml:space="preserve">I1   </t>
        </is>
      </c>
      <c r="U504" s="249" t="n">
        <v>398</v>
      </c>
      <c r="V504" s="678" t="n">
        <v>11176</v>
      </c>
      <c r="W504" s="678" t="n">
        <v>11000</v>
      </c>
      <c r="X504" s="356" t="inlineStr">
        <is>
          <t>1.6:1</t>
        </is>
      </c>
      <c r="Y504" s="678" t="n">
        <v>7000</v>
      </c>
      <c r="Z504" s="249" t="inlineStr">
        <is>
          <t xml:space="preserve">C </t>
        </is>
      </c>
      <c r="AC504" s="253" t="n"/>
      <c r="AD504" s="247" t="inlineStr">
        <is>
          <t xml:space="preserve">DIST WHSE           </t>
        </is>
      </c>
      <c r="AE504" s="680" t="n"/>
      <c r="AF504" s="680" t="n"/>
      <c r="AG504" s="680" t="n"/>
      <c r="AH504" s="680" t="n"/>
      <c r="AI504" s="680" t="n"/>
      <c r="AJ504" s="680" t="n"/>
      <c r="AK504" s="680" t="inlineStr">
        <is>
          <t xml:space="preserve">2008 LEASE.                                                       </t>
        </is>
      </c>
      <c r="AM504" s="245" t="inlineStr">
        <is>
          <t> </t>
        </is>
      </c>
    </row>
    <row r="505">
      <c r="A505" s="248" t="n">
        <v>7</v>
      </c>
      <c r="B505" s="370" t="n">
        <v>497</v>
      </c>
      <c r="C505" s="254" t="inlineStr">
        <is>
          <t>2011Q</t>
        </is>
      </c>
      <c r="D505" s="245" t="inlineStr">
        <is>
          <t xml:space="preserve">05211-19-011-000 </t>
        </is>
      </c>
      <c r="E505" s="258" t="inlineStr">
        <is>
          <t>Actual</t>
        </is>
      </c>
      <c r="F505" s="259" t="inlineStr">
        <is>
          <t>1301 S JASON               ST</t>
        </is>
      </c>
      <c r="G505" s="672" t="n">
        <v>44.2</v>
      </c>
      <c r="H505" s="253" t="n">
        <v>9506</v>
      </c>
      <c r="I505" s="255" t="n">
        <v>0</v>
      </c>
      <c r="J505" s="678" t="n">
        <v>10246</v>
      </c>
      <c r="K505" s="679" t="n">
        <v>6.819929728674604</v>
      </c>
      <c r="L505" s="260" t="n">
        <v>0.21</v>
      </c>
      <c r="M505" s="262" t="n">
        <v>0.0993603045351117</v>
      </c>
      <c r="N505" s="253" t="n">
        <v>1997</v>
      </c>
      <c r="O505" s="250" t="n">
        <v>8666</v>
      </c>
      <c r="Q505" s="245" t="n">
        <v>26</v>
      </c>
      <c r="R505" s="245" t="n">
        <v>14</v>
      </c>
      <c r="S505" s="245" t="n">
        <v>4</v>
      </c>
      <c r="T505" s="249" t="inlineStr">
        <is>
          <t xml:space="preserve">I0   </t>
        </is>
      </c>
      <c r="U505" s="249" t="n">
        <v>398</v>
      </c>
      <c r="V505" s="678" t="n">
        <v>99255</v>
      </c>
      <c r="W505" s="678" t="n">
        <v>99000</v>
      </c>
      <c r="X505" s="356" t="inlineStr">
        <is>
          <t>2.0:1</t>
        </is>
      </c>
      <c r="Y505" s="678" t="n">
        <v>10000</v>
      </c>
      <c r="Z505" s="249" t="inlineStr">
        <is>
          <t xml:space="preserve">C </t>
        </is>
      </c>
      <c r="AC505" s="253" t="n"/>
      <c r="AD505" s="247" t="inlineStr">
        <is>
          <t xml:space="preserve">M-W DISTRIBUTION    </t>
        </is>
      </c>
      <c r="AE505" s="680" t="n"/>
      <c r="AF505" s="680" t="n"/>
      <c r="AG505" s="680" t="n"/>
      <c r="AH505" s="680" t="n"/>
      <c r="AI505" s="680" t="n"/>
      <c r="AJ505" s="680" t="n"/>
      <c r="AK505" s="680" t="inlineStr">
        <is>
          <t xml:space="preserve">DATA ENTERED FOR ONE BASE PERIOD LEASE IN 49886 SQ.FT. BLDG.      </t>
        </is>
      </c>
      <c r="AM505" s="245" t="inlineStr">
        <is>
          <t> </t>
        </is>
      </c>
    </row>
    <row r="506">
      <c r="A506" s="248" t="n">
        <v>7</v>
      </c>
      <c r="B506" s="370" t="n">
        <v>498</v>
      </c>
      <c r="C506" s="254" t="inlineStr">
        <is>
          <t>2011Q</t>
        </is>
      </c>
      <c r="D506" s="245" t="inlineStr">
        <is>
          <t xml:space="preserve">05211-20-020-000 </t>
        </is>
      </c>
      <c r="E506" s="258" t="inlineStr">
        <is>
          <t>Actual</t>
        </is>
      </c>
      <c r="F506" s="259" t="inlineStr">
        <is>
          <t>1360 S LIPAN               ST</t>
        </is>
      </c>
      <c r="G506" s="672" t="n">
        <v>43.2</v>
      </c>
      <c r="H506" s="253" t="n">
        <v>9506</v>
      </c>
      <c r="I506" s="255" t="n">
        <v>0</v>
      </c>
      <c r="J506" s="678" t="n">
        <v>14976</v>
      </c>
      <c r="K506" s="679" t="n">
        <v>3.739316239316239</v>
      </c>
      <c r="L506" s="260" t="n">
        <v>0</v>
      </c>
      <c r="M506" s="262" t="n">
        <v>0</v>
      </c>
      <c r="N506" s="253" t="n">
        <v>1973</v>
      </c>
      <c r="O506" s="250" t="n">
        <v>7296</v>
      </c>
      <c r="Q506" s="245" t="n">
        <v>20</v>
      </c>
      <c r="R506" s="245" t="n">
        <v>14</v>
      </c>
      <c r="S506" s="245" t="n">
        <v>1</v>
      </c>
      <c r="T506" s="249" t="inlineStr">
        <is>
          <t xml:space="preserve">I0   </t>
        </is>
      </c>
      <c r="U506" s="249" t="n">
        <v>401</v>
      </c>
      <c r="V506" s="678" t="n">
        <v>27318</v>
      </c>
      <c r="W506" s="678" t="n">
        <v>27000</v>
      </c>
      <c r="X506" s="356" t="inlineStr">
        <is>
          <t>1.8:1</t>
        </is>
      </c>
      <c r="Y506" s="678" t="n">
        <v>15000</v>
      </c>
      <c r="Z506" s="249" t="inlineStr">
        <is>
          <t xml:space="preserve">C </t>
        </is>
      </c>
      <c r="AC506" s="253" t="n"/>
      <c r="AD506" s="247" t="inlineStr">
        <is>
          <t xml:space="preserve">S-W LANGE GRAPHICS  </t>
        </is>
      </c>
      <c r="AE506" s="680" t="n"/>
      <c r="AF506" s="680" t="n"/>
      <c r="AG506" s="680" t="n"/>
      <c r="AH506" s="680" t="n"/>
      <c r="AI506" s="680" t="n"/>
      <c r="AJ506" s="680" t="n"/>
      <c r="AK506" s="680" t="inlineStr">
        <is>
          <t>                                                                  </t>
        </is>
      </c>
      <c r="AM506" s="245" t="inlineStr">
        <is>
          <t> </t>
        </is>
      </c>
    </row>
    <row r="507">
      <c r="A507" s="248" t="n">
        <v>7</v>
      </c>
      <c r="B507" s="370" t="n">
        <v>499</v>
      </c>
      <c r="C507" s="254" t="inlineStr">
        <is>
          <t>2011Q</t>
        </is>
      </c>
      <c r="D507" s="245" t="inlineStr">
        <is>
          <t xml:space="preserve">05211-30-014-000 </t>
        </is>
      </c>
      <c r="E507" s="258" t="inlineStr">
        <is>
          <t>Actual</t>
        </is>
      </c>
      <c r="F507" s="259" t="inlineStr">
        <is>
          <t>1495 S PLATTE RIVER        DR</t>
        </is>
      </c>
      <c r="G507" s="253" t="n">
        <v>44.1</v>
      </c>
      <c r="H507" s="253" t="n">
        <v>9506</v>
      </c>
      <c r="I507" s="255" t="n">
        <v>0</v>
      </c>
      <c r="J507" s="678" t="n">
        <v>10120</v>
      </c>
      <c r="K507" s="679" t="n">
        <v>8.328853754940711</v>
      </c>
      <c r="L507" s="260" t="n">
        <v>1</v>
      </c>
      <c r="M507" s="262" t="n">
        <v>0</v>
      </c>
      <c r="N507" s="253" t="n">
        <v>1985</v>
      </c>
      <c r="O507" s="250" t="n">
        <v>2300</v>
      </c>
      <c r="Q507" s="245" t="n">
        <v>16</v>
      </c>
      <c r="R507" s="245" t="n">
        <v>3</v>
      </c>
      <c r="S507" s="245" t="n">
        <v>1</v>
      </c>
      <c r="T507" s="249" t="inlineStr">
        <is>
          <t xml:space="preserve">I0   </t>
        </is>
      </c>
      <c r="U507" s="249" t="n">
        <v>397</v>
      </c>
      <c r="V507" s="678" t="n">
        <v>22600</v>
      </c>
      <c r="W507" s="678" t="n">
        <v>23000</v>
      </c>
      <c r="X507" s="356" t="inlineStr">
        <is>
          <t>2.2:1</t>
        </is>
      </c>
      <c r="Y507" s="678" t="n">
        <v>10000</v>
      </c>
      <c r="Z507" s="249" t="inlineStr">
        <is>
          <t xml:space="preserve">C </t>
        </is>
      </c>
      <c r="AC507" s="253" t="n"/>
      <c r="AD507" s="247" t="inlineStr">
        <is>
          <t>                    </t>
        </is>
      </c>
      <c r="AE507" s="680" t="n"/>
      <c r="AF507" s="680" t="n"/>
      <c r="AG507" s="680" t="n"/>
      <c r="AH507" s="680" t="n"/>
      <c r="AI507" s="680" t="n"/>
      <c r="AJ507" s="680" t="n"/>
      <c r="AK507" s="680" t="inlineStr">
        <is>
          <t>                                                                  </t>
        </is>
      </c>
      <c r="AM507" s="245" t="inlineStr">
        <is>
          <t> </t>
        </is>
      </c>
    </row>
    <row r="508">
      <c r="A508" s="248" t="n">
        <v>7</v>
      </c>
      <c r="B508" s="370" t="n">
        <v>500</v>
      </c>
      <c r="C508" s="254" t="inlineStr">
        <is>
          <t>2011Q</t>
        </is>
      </c>
      <c r="D508" s="245" t="inlineStr">
        <is>
          <t xml:space="preserve">05221-14-033-000 </t>
        </is>
      </c>
      <c r="E508" s="258" t="inlineStr">
        <is>
          <t>Actual</t>
        </is>
      </c>
      <c r="F508" s="259" t="inlineStr">
        <is>
          <t>1215 S PEARL               ST</t>
        </is>
      </c>
      <c r="G508" s="672" t="n">
        <v>44.2</v>
      </c>
      <c r="H508" s="253" t="n">
        <v>9509</v>
      </c>
      <c r="I508" s="255" t="n">
        <v>0</v>
      </c>
      <c r="J508" s="678" t="n">
        <v>4161</v>
      </c>
      <c r="K508" s="679" t="n">
        <v>7.786589762076424</v>
      </c>
      <c r="L508" s="260" t="n">
        <v>0</v>
      </c>
      <c r="M508" s="262" t="n">
        <v>0.1066666666666667</v>
      </c>
      <c r="N508" s="253" t="n">
        <v>1919</v>
      </c>
      <c r="O508" s="250" t="n">
        <v>1720</v>
      </c>
      <c r="Q508" s="245" t="n">
        <v>13</v>
      </c>
      <c r="R508" s="245" t="n">
        <v>1</v>
      </c>
      <c r="S508" s="245" t="n">
        <v>1</v>
      </c>
      <c r="T508" s="249" t="inlineStr">
        <is>
          <t xml:space="preserve">B4   </t>
        </is>
      </c>
      <c r="U508" s="249" t="n">
        <v>398</v>
      </c>
      <c r="V508" s="678" t="n">
        <v>10300</v>
      </c>
      <c r="W508" s="678" t="n">
        <v>10000</v>
      </c>
      <c r="X508" s="356" t="inlineStr">
        <is>
          <t>1.7:1</t>
        </is>
      </c>
      <c r="Y508" s="678" t="n">
        <v>4000</v>
      </c>
      <c r="Z508" s="249" t="inlineStr">
        <is>
          <t xml:space="preserve">C </t>
        </is>
      </c>
      <c r="AC508" s="253" t="n"/>
      <c r="AD508" s="247" t="inlineStr">
        <is>
          <t>SYNERGY COMMUNICATIN</t>
        </is>
      </c>
      <c r="AE508" s="680" t="n"/>
      <c r="AF508" s="680" t="n"/>
      <c r="AG508" s="680" t="n"/>
      <c r="AH508" s="680" t="n"/>
      <c r="AI508" s="680" t="n"/>
      <c r="AJ508" s="680" t="n"/>
      <c r="AK508" s="680" t="inlineStr">
        <is>
          <t>                                                                  </t>
        </is>
      </c>
      <c r="AM508" s="245" t="inlineStr">
        <is>
          <t> </t>
        </is>
      </c>
    </row>
    <row r="509">
      <c r="A509" s="248" t="n">
        <v>7</v>
      </c>
      <c r="B509" s="370" t="n">
        <v>501</v>
      </c>
      <c r="C509" s="254" t="inlineStr">
        <is>
          <t>2011Q</t>
        </is>
      </c>
      <c r="D509" s="245" t="inlineStr">
        <is>
          <t xml:space="preserve">05221-15-013-000 </t>
        </is>
      </c>
      <c r="E509" s="258" t="inlineStr">
        <is>
          <t>Actual</t>
        </is>
      </c>
      <c r="F509" s="259" t="inlineStr">
        <is>
          <t>666   BUCHTEL             BV</t>
        </is>
      </c>
      <c r="G509" s="672" t="n">
        <v>44.2</v>
      </c>
      <c r="H509" s="253" t="n">
        <v>9509</v>
      </c>
      <c r="I509" s="255" t="n">
        <v>0</v>
      </c>
      <c r="J509" s="678" t="n">
        <v>8845</v>
      </c>
      <c r="K509" s="679" t="n">
        <v>7.149802148106275</v>
      </c>
      <c r="L509" s="260" t="n">
        <v>1</v>
      </c>
      <c r="M509" s="262" t="n">
        <v>0</v>
      </c>
      <c r="N509" s="253" t="n">
        <v>1957</v>
      </c>
      <c r="O509" s="250" t="n">
        <v>576</v>
      </c>
      <c r="Q509" s="245" t="n">
        <v>20</v>
      </c>
      <c r="R509" s="245" t="n">
        <v>3</v>
      </c>
      <c r="S509" s="245" t="n">
        <v>1</v>
      </c>
      <c r="T509" s="249" t="inlineStr">
        <is>
          <t xml:space="preserve">B4   </t>
        </is>
      </c>
      <c r="U509" s="249" t="n">
        <v>398</v>
      </c>
      <c r="V509" s="678" t="n">
        <v>14300</v>
      </c>
      <c r="W509" s="678" t="n">
        <v>14000</v>
      </c>
      <c r="X509" s="356" t="inlineStr">
        <is>
          <t>1.6:1</t>
        </is>
      </c>
      <c r="Y509" s="678" t="n">
        <v>9000</v>
      </c>
      <c r="Z509" s="249" t="inlineStr">
        <is>
          <t xml:space="preserve">C </t>
        </is>
      </c>
      <c r="AC509" s="253" t="n"/>
      <c r="AD509" s="247" t="inlineStr">
        <is>
          <t>ARTISANS STAIN GLASS</t>
        </is>
      </c>
      <c r="AE509" s="680" t="n"/>
      <c r="AF509" s="680" t="n"/>
      <c r="AG509" s="680" t="n"/>
      <c r="AH509" s="680" t="n"/>
      <c r="AI509" s="680" t="n"/>
      <c r="AJ509" s="680" t="n"/>
      <c r="AK509" s="680" t="inlineStr">
        <is>
          <t>                                                                  </t>
        </is>
      </c>
      <c r="AM509" s="245" t="inlineStr">
        <is>
          <t> </t>
        </is>
      </c>
    </row>
    <row r="510">
      <c r="A510" s="248" t="n">
        <v>7</v>
      </c>
      <c r="B510" s="370" t="n">
        <v>502</v>
      </c>
      <c r="C510" s="254" t="inlineStr">
        <is>
          <t>2011Q</t>
        </is>
      </c>
      <c r="D510" s="245" t="inlineStr">
        <is>
          <t xml:space="preserve">05222-03-012-000 </t>
        </is>
      </c>
      <c r="E510" s="258" t="inlineStr">
        <is>
          <t>Actual</t>
        </is>
      </c>
      <c r="F510" s="259" t="inlineStr">
        <is>
          <t>1220 S ACOMA               ST</t>
        </is>
      </c>
      <c r="G510" s="253" t="n">
        <v>44.1</v>
      </c>
      <c r="H510" s="253" t="n">
        <v>9506</v>
      </c>
      <c r="I510" s="255" t="n">
        <v>0</v>
      </c>
      <c r="J510" s="678" t="n">
        <v>3000</v>
      </c>
      <c r="K510" s="679" t="n">
        <v>5.4</v>
      </c>
      <c r="L510" s="260" t="n">
        <v>0.17</v>
      </c>
      <c r="M510" s="262" t="n">
        <v>0.01771604938271605</v>
      </c>
      <c r="N510" s="253" t="n">
        <v>1959</v>
      </c>
      <c r="O510" s="250" t="n">
        <v>1850</v>
      </c>
      <c r="Q510" s="245" t="n">
        <v>16</v>
      </c>
      <c r="R510" s="245" t="n">
        <v>3</v>
      </c>
      <c r="S510" s="245" t="n">
        <v>1</v>
      </c>
      <c r="T510" s="249" t="inlineStr">
        <is>
          <t xml:space="preserve">I1   </t>
        </is>
      </c>
      <c r="U510" s="249" t="n">
        <v>398</v>
      </c>
      <c r="V510" s="678" t="n">
        <v>15625</v>
      </c>
      <c r="W510" s="678" t="n">
        <v>16000</v>
      </c>
      <c r="X510" s="356" t="inlineStr">
        <is>
          <t>1.3:1</t>
        </is>
      </c>
      <c r="Y510" s="678" t="n">
        <v>3000</v>
      </c>
      <c r="Z510" s="249" t="inlineStr">
        <is>
          <t xml:space="preserve">C </t>
        </is>
      </c>
      <c r="AC510" s="253" t="n"/>
      <c r="AD510" s="247" t="inlineStr">
        <is>
          <t>                    </t>
        </is>
      </c>
      <c r="AE510" s="680" t="n"/>
      <c r="AF510" s="680" t="n"/>
      <c r="AG510" s="680" t="n"/>
      <c r="AH510" s="680" t="n"/>
      <c r="AI510" s="680" t="n"/>
      <c r="AJ510" s="680" t="n"/>
      <c r="AK510" s="680" t="inlineStr">
        <is>
          <t xml:space="preserve">DATA FOR 3000 SF UNIT WITH 2009 LEASE IN 12,038 SF BUILDING.      </t>
        </is>
      </c>
      <c r="AM510" s="245" t="inlineStr">
        <is>
          <t> </t>
        </is>
      </c>
    </row>
    <row r="511">
      <c r="A511" s="248" t="n">
        <v>7</v>
      </c>
      <c r="B511" s="370" t="n">
        <v>503</v>
      </c>
      <c r="C511" s="254" t="inlineStr">
        <is>
          <t>2011Q</t>
        </is>
      </c>
      <c r="D511" s="245" t="inlineStr">
        <is>
          <t xml:space="preserve">05222-07-005-000 </t>
        </is>
      </c>
      <c r="E511" s="258" t="inlineStr">
        <is>
          <t>Actual</t>
        </is>
      </c>
      <c r="F511" s="259" t="inlineStr">
        <is>
          <t>1432 S ACOMA               ST</t>
        </is>
      </c>
      <c r="G511" s="672" t="n">
        <v>44.2</v>
      </c>
      <c r="H511" s="253" t="n">
        <v>9506</v>
      </c>
      <c r="I511" s="255" t="n">
        <v>0</v>
      </c>
      <c r="J511" s="678" t="n">
        <v>4313</v>
      </c>
      <c r="K511" s="679" t="n">
        <v>11.19870159981451</v>
      </c>
      <c r="L511" s="260" t="n">
        <v>0</v>
      </c>
      <c r="M511" s="262" t="n">
        <v>0.04026915113871635</v>
      </c>
      <c r="N511" s="253" t="n">
        <v>2002</v>
      </c>
      <c r="O511" s="250" t="n">
        <v>0</v>
      </c>
      <c r="Q511" s="245" t="n">
        <v>24</v>
      </c>
      <c r="R511" s="245" t="n">
        <v>3</v>
      </c>
      <c r="S511" s="245" t="n">
        <v>1</v>
      </c>
      <c r="T511" s="249" t="inlineStr">
        <is>
          <t xml:space="preserve">I1   </t>
        </is>
      </c>
      <c r="U511" s="249" t="n">
        <v>398</v>
      </c>
      <c r="V511" s="678" t="n">
        <v>6250</v>
      </c>
      <c r="W511" s="678" t="n">
        <v>6000</v>
      </c>
      <c r="X511" s="356" t="inlineStr">
        <is>
          <t>1.4:1</t>
        </is>
      </c>
      <c r="Y511" s="678" t="n">
        <v>4000</v>
      </c>
      <c r="Z511" s="249" t="inlineStr">
        <is>
          <t xml:space="preserve">C </t>
        </is>
      </c>
      <c r="AC511" s="253" t="n"/>
      <c r="AD511" s="247" t="inlineStr">
        <is>
          <t xml:space="preserve">TRUE PUMP &amp; EQUPMNT </t>
        </is>
      </c>
      <c r="AE511" s="680" t="n"/>
      <c r="AF511" s="680" t="n"/>
      <c r="AG511" s="680" t="n"/>
      <c r="AH511" s="680" t="n"/>
      <c r="AI511" s="680" t="n"/>
      <c r="AJ511" s="680" t="n"/>
      <c r="AK511" s="680" t="inlineStr">
        <is>
          <t>                                                                  </t>
        </is>
      </c>
      <c r="AM511" s="245" t="inlineStr">
        <is>
          <t> </t>
        </is>
      </c>
    </row>
    <row r="512">
      <c r="A512" s="248" t="n">
        <v>7</v>
      </c>
      <c r="B512" s="370" t="n">
        <v>504</v>
      </c>
      <c r="C512" s="254" t="inlineStr">
        <is>
          <t>2011Q</t>
        </is>
      </c>
      <c r="D512" s="245" t="inlineStr">
        <is>
          <t xml:space="preserve">05222-07-018-000 </t>
        </is>
      </c>
      <c r="E512" s="258" t="inlineStr">
        <is>
          <t>Actual</t>
        </is>
      </c>
      <c r="F512" s="259" t="inlineStr">
        <is>
          <t>1429 S BROADWAY            ST</t>
        </is>
      </c>
      <c r="G512" s="253" t="n">
        <v>44.1</v>
      </c>
      <c r="H512" s="253" t="n">
        <v>9506</v>
      </c>
      <c r="I512" s="255" t="n">
        <v>2</v>
      </c>
      <c r="J512" s="678" t="n">
        <v>1912</v>
      </c>
      <c r="K512" s="679" t="n">
        <v>13.02301255230125</v>
      </c>
      <c r="L512" s="260" t="n">
        <v>0</v>
      </c>
      <c r="M512" s="262" t="n">
        <v>0.05381526104417671</v>
      </c>
      <c r="N512" s="253" t="n">
        <v>1912</v>
      </c>
      <c r="O512" s="250" t="n">
        <v>1006</v>
      </c>
      <c r="Q512" s="245" t="n">
        <v>15</v>
      </c>
      <c r="R512" s="245" t="n">
        <v>1</v>
      </c>
      <c r="S512" s="245" t="n">
        <v>1</v>
      </c>
      <c r="T512" s="249" t="inlineStr">
        <is>
          <t xml:space="preserve">B4   </t>
        </is>
      </c>
      <c r="U512" s="249" t="n">
        <v>398</v>
      </c>
      <c r="V512" s="678" t="n">
        <v>6250</v>
      </c>
      <c r="W512" s="678" t="n">
        <v>6000</v>
      </c>
      <c r="X512" s="356" t="inlineStr">
        <is>
          <t>3.3:1</t>
        </is>
      </c>
      <c r="Y512" s="678" t="n">
        <v>2000</v>
      </c>
      <c r="Z512" s="249" t="inlineStr">
        <is>
          <t xml:space="preserve">C </t>
        </is>
      </c>
      <c r="AC512" s="253" t="n"/>
      <c r="AD512" s="247" t="inlineStr">
        <is>
          <t xml:space="preserve">TRUE PUMP EQUIPT    </t>
        </is>
      </c>
      <c r="AE512" s="680" t="n"/>
      <c r="AF512" s="680" t="n"/>
      <c r="AG512" s="680" t="n"/>
      <c r="AH512" s="680" t="n"/>
      <c r="AI512" s="680" t="n"/>
      <c r="AJ512" s="680" t="n"/>
      <c r="AK512" s="680" t="inlineStr">
        <is>
          <t>                                                                  </t>
        </is>
      </c>
      <c r="AM512" s="245" t="inlineStr">
        <is>
          <t> </t>
        </is>
      </c>
    </row>
    <row r="513">
      <c r="A513" s="248" t="n">
        <v>7</v>
      </c>
      <c r="B513" s="370" t="n">
        <v>505</v>
      </c>
      <c r="C513" s="254" t="inlineStr">
        <is>
          <t>2011Q</t>
        </is>
      </c>
      <c r="D513" s="245" t="inlineStr">
        <is>
          <t xml:space="preserve">05223-01-008-000 </t>
        </is>
      </c>
      <c r="E513" s="258" t="inlineStr">
        <is>
          <t>Actual</t>
        </is>
      </c>
      <c r="F513" s="259" t="inlineStr">
        <is>
          <t>1132 S BANNOCK             ST</t>
        </is>
      </c>
      <c r="G513" s="253" t="n">
        <v>44.1</v>
      </c>
      <c r="H513" s="253" t="n">
        <v>9506</v>
      </c>
      <c r="I513" s="255" t="n">
        <v>0</v>
      </c>
      <c r="J513" s="678" t="n">
        <v>4699</v>
      </c>
      <c r="K513" s="679" t="n">
        <v>6.895084060438391</v>
      </c>
      <c r="L513" s="260" t="n">
        <v>0</v>
      </c>
      <c r="M513" s="262" t="n">
        <v>0.2063271604938272</v>
      </c>
      <c r="N513" s="253" t="n">
        <v>1962</v>
      </c>
      <c r="O513" s="250" t="n">
        <v>798</v>
      </c>
      <c r="Q513" s="245" t="n">
        <v>14</v>
      </c>
      <c r="R513" s="245" t="n">
        <v>1</v>
      </c>
      <c r="S513" s="245" t="n">
        <v>1</v>
      </c>
      <c r="T513" s="249" t="inlineStr">
        <is>
          <t xml:space="preserve">I1   </t>
        </is>
      </c>
      <c r="U513" s="249" t="n">
        <v>398</v>
      </c>
      <c r="V513" s="678" t="n">
        <v>6100</v>
      </c>
      <c r="W513" s="678" t="n">
        <v>6000</v>
      </c>
      <c r="X513" s="356" t="inlineStr">
        <is>
          <t>1.3:1</t>
        </is>
      </c>
      <c r="Y513" s="678" t="n">
        <v>5000</v>
      </c>
      <c r="Z513" s="249" t="inlineStr">
        <is>
          <t xml:space="preserve">C </t>
        </is>
      </c>
      <c r="AC513" s="253" t="n"/>
      <c r="AD513" s="247" t="inlineStr">
        <is>
          <t>M-F DIAMOND IRON WRK</t>
        </is>
      </c>
      <c r="AE513" s="680" t="n"/>
      <c r="AF513" s="680" t="n"/>
      <c r="AG513" s="680" t="n"/>
      <c r="AH513" s="680" t="n"/>
      <c r="AI513" s="680" t="n"/>
      <c r="AJ513" s="680" t="n"/>
      <c r="AK513" s="680" t="inlineStr">
        <is>
          <t xml:space="preserve">MO-TO-MO LEASES                                                   </t>
        </is>
      </c>
      <c r="AM513" s="245" t="inlineStr">
        <is>
          <t> </t>
        </is>
      </c>
    </row>
    <row r="514">
      <c r="A514" s="248" t="n">
        <v>7</v>
      </c>
      <c r="B514" s="370" t="n">
        <v>506</v>
      </c>
      <c r="C514" s="254" t="inlineStr">
        <is>
          <t>2011Q</t>
        </is>
      </c>
      <c r="D514" s="245" t="inlineStr">
        <is>
          <t xml:space="preserve">05223-05-013-000 </t>
        </is>
      </c>
      <c r="E514" s="258" t="inlineStr">
        <is>
          <t>Actual</t>
        </is>
      </c>
      <c r="F514" s="259" t="inlineStr">
        <is>
          <t>1253 S CHEROKEE            ST</t>
        </is>
      </c>
      <c r="G514" s="672" t="n">
        <v>44.2</v>
      </c>
      <c r="H514" s="253" t="n">
        <v>9506</v>
      </c>
      <c r="I514" s="255" t="n">
        <v>0</v>
      </c>
      <c r="J514" s="678" t="n">
        <v>12860</v>
      </c>
      <c r="K514" s="679" t="n">
        <v>5.7400466562986</v>
      </c>
      <c r="L514" s="260" t="n">
        <v>0.13</v>
      </c>
      <c r="M514" s="262" t="n">
        <v>0</v>
      </c>
      <c r="N514" s="253" t="n">
        <v>1943</v>
      </c>
      <c r="O514" s="250" t="n">
        <v>5907</v>
      </c>
      <c r="Q514" s="245" t="n">
        <v>12</v>
      </c>
      <c r="R514" s="245" t="n">
        <v>1</v>
      </c>
      <c r="S514" s="245" t="n">
        <v>4</v>
      </c>
      <c r="T514" s="249" t="inlineStr">
        <is>
          <t xml:space="preserve">I2   </t>
        </is>
      </c>
      <c r="U514" s="249" t="n">
        <v>398</v>
      </c>
      <c r="V514" s="678" t="n">
        <v>35250</v>
      </c>
      <c r="W514" s="678" t="n">
        <v>35000</v>
      </c>
      <c r="X514" s="356" t="inlineStr">
        <is>
          <t>1.9:1</t>
        </is>
      </c>
      <c r="Y514" s="678" t="n">
        <v>13000</v>
      </c>
      <c r="Z514" s="249" t="inlineStr">
        <is>
          <t xml:space="preserve">C </t>
        </is>
      </c>
      <c r="AC514" s="253" t="n"/>
      <c r="AD514" s="247" t="inlineStr">
        <is>
          <t xml:space="preserve">M-W                 </t>
        </is>
      </c>
      <c r="AE514" s="680" t="n"/>
      <c r="AF514" s="680" t="n"/>
      <c r="AG514" s="680" t="n"/>
      <c r="AH514" s="680" t="n"/>
      <c r="AI514" s="680" t="n"/>
      <c r="AJ514" s="680" t="n"/>
      <c r="AK514" s="680" t="inlineStr">
        <is>
          <t xml:space="preserve">12860 SF LEASED IN AN 18642 SF BLDG.                              </t>
        </is>
      </c>
      <c r="AM514" s="245" t="inlineStr">
        <is>
          <t> </t>
        </is>
      </c>
    </row>
    <row r="515">
      <c r="A515" s="248" t="n">
        <v>7</v>
      </c>
      <c r="B515" s="370" t="n">
        <v>507</v>
      </c>
      <c r="C515" s="254" t="inlineStr">
        <is>
          <t>2011Q</t>
        </is>
      </c>
      <c r="D515" s="245" t="inlineStr">
        <is>
          <t xml:space="preserve">05223-05-022-000 </t>
        </is>
      </c>
      <c r="E515" s="258" t="inlineStr">
        <is>
          <t>Actual</t>
        </is>
      </c>
      <c r="F515" s="259" t="inlineStr">
        <is>
          <t>1221 S CHEROKEE            ST</t>
        </is>
      </c>
      <c r="G515" s="253" t="n">
        <v>44.1</v>
      </c>
      <c r="H515" s="253" t="n">
        <v>9506</v>
      </c>
      <c r="I515" s="255" t="n">
        <v>0</v>
      </c>
      <c r="J515" s="678" t="n">
        <v>3600</v>
      </c>
      <c r="K515" s="679" t="n">
        <v>13.11972222222222</v>
      </c>
      <c r="L515" s="260" t="n">
        <v>0</v>
      </c>
      <c r="M515" s="262" t="n">
        <v>0.179775994579831</v>
      </c>
      <c r="N515" s="253" t="n">
        <v>1985</v>
      </c>
      <c r="O515" s="250" t="n">
        <v>0</v>
      </c>
      <c r="Q515" s="245" t="n">
        <v>15</v>
      </c>
      <c r="R515" s="245" t="n">
        <v>7</v>
      </c>
      <c r="S515" s="245" t="n">
        <v>1</v>
      </c>
      <c r="T515" s="249" t="inlineStr">
        <is>
          <t xml:space="preserve">I1   </t>
        </is>
      </c>
      <c r="U515" s="249" t="n">
        <v>398</v>
      </c>
      <c r="V515" s="678" t="n">
        <v>22750</v>
      </c>
      <c r="W515" s="678" t="n">
        <v>23000</v>
      </c>
      <c r="X515" s="356" t="inlineStr">
        <is>
          <t>5.4:1</t>
        </is>
      </c>
      <c r="Y515" s="678" t="n">
        <v>4000</v>
      </c>
      <c r="Z515" s="249" t="inlineStr">
        <is>
          <t xml:space="preserve">C </t>
        </is>
      </c>
      <c r="AC515" s="253" t="n"/>
      <c r="AD515" s="247" t="inlineStr">
        <is>
          <t xml:space="preserve">S-W                 </t>
        </is>
      </c>
      <c r="AE515" s="680" t="n"/>
      <c r="AF515" s="680" t="n"/>
      <c r="AG515" s="680" t="n"/>
      <c r="AH515" s="680" t="n"/>
      <c r="AI515" s="680" t="n"/>
      <c r="AJ515" s="680" t="n"/>
      <c r="AK515" s="680" t="inlineStr">
        <is>
          <t xml:space="preserve">3600 SF OF BLDG LEASED - BALANCE OCCUPIED BY OWNER.               </t>
        </is>
      </c>
      <c r="AM515" s="245" t="inlineStr">
        <is>
          <t> </t>
        </is>
      </c>
    </row>
    <row r="516">
      <c r="A516" s="248" t="n">
        <v>7</v>
      </c>
      <c r="B516" s="370" t="n">
        <v>508</v>
      </c>
      <c r="C516" s="254" t="inlineStr">
        <is>
          <t>2011Q</t>
        </is>
      </c>
      <c r="D516" s="245" t="inlineStr">
        <is>
          <t xml:space="preserve">05223-06-007-000 </t>
        </is>
      </c>
      <c r="E516" s="258" t="inlineStr">
        <is>
          <t>Actual</t>
        </is>
      </c>
      <c r="F516" s="259" t="inlineStr">
        <is>
          <t>1257 S BANNOCK             ST</t>
        </is>
      </c>
      <c r="G516" s="672" t="n">
        <v>44.2</v>
      </c>
      <c r="H516" s="253" t="n">
        <v>9506</v>
      </c>
      <c r="I516" s="255" t="n">
        <v>0</v>
      </c>
      <c r="J516" s="678" t="n">
        <v>2156</v>
      </c>
      <c r="K516" s="679" t="n">
        <v>9.74025974025974</v>
      </c>
      <c r="L516" s="260" t="n">
        <v>0</v>
      </c>
      <c r="M516" s="262" t="n">
        <v>0.1446666666666667</v>
      </c>
      <c r="N516" s="253" t="n">
        <v>1957</v>
      </c>
      <c r="O516" s="250" t="n">
        <v>0</v>
      </c>
      <c r="Q516" s="245" t="n">
        <v>12</v>
      </c>
      <c r="R516" s="245" t="n">
        <v>3</v>
      </c>
      <c r="S516" s="245" t="n">
        <v>1</v>
      </c>
      <c r="T516" s="249" t="inlineStr">
        <is>
          <t xml:space="preserve">I1   </t>
        </is>
      </c>
      <c r="U516" s="249" t="n">
        <v>398</v>
      </c>
      <c r="V516" s="678" t="n">
        <v>9370</v>
      </c>
      <c r="W516" s="678" t="n">
        <v>9000</v>
      </c>
      <c r="X516" s="356" t="inlineStr">
        <is>
          <t>4.3:1</t>
        </is>
      </c>
      <c r="Y516" s="678" t="n">
        <v>2000</v>
      </c>
      <c r="Z516" s="249" t="inlineStr">
        <is>
          <t xml:space="preserve">C </t>
        </is>
      </c>
      <c r="AC516" s="253" t="n"/>
      <c r="AD516" s="247" t="inlineStr">
        <is>
          <t>                    </t>
        </is>
      </c>
      <c r="AE516" s="680" t="n"/>
      <c r="AF516" s="680" t="n"/>
      <c r="AG516" s="680" t="n"/>
      <c r="AH516" s="680" t="n"/>
      <c r="AI516" s="680" t="n"/>
      <c r="AJ516" s="680" t="n"/>
      <c r="AK516" s="680" t="inlineStr">
        <is>
          <t xml:space="preserve">2010 LEASE.                                                       </t>
        </is>
      </c>
      <c r="AM516" s="245" t="inlineStr">
        <is>
          <t> </t>
        </is>
      </c>
    </row>
    <row r="517">
      <c r="A517" s="248" t="n">
        <v>7</v>
      </c>
      <c r="B517" s="370" t="n">
        <v>509</v>
      </c>
      <c r="C517" s="254" t="inlineStr">
        <is>
          <t>2011Q</t>
        </is>
      </c>
      <c r="D517" s="245" t="inlineStr">
        <is>
          <t xml:space="preserve">05223-07-017-000 </t>
        </is>
      </c>
      <c r="E517" s="258" t="inlineStr">
        <is>
          <t>Actual</t>
        </is>
      </c>
      <c r="F517" s="259" t="inlineStr">
        <is>
          <t>1220 S BANNOCK             ST</t>
        </is>
      </c>
      <c r="G517" s="672" t="n">
        <v>47.1</v>
      </c>
      <c r="H517" s="253" t="n">
        <v>9506</v>
      </c>
      <c r="I517" s="255" t="n">
        <v>0</v>
      </c>
      <c r="J517" s="678" t="n">
        <v>6800</v>
      </c>
      <c r="K517" s="679" t="n">
        <v>5.922794117647059</v>
      </c>
      <c r="L517" s="260" t="n">
        <v>0</v>
      </c>
      <c r="M517" s="262" t="n">
        <v>0.09857231533209186</v>
      </c>
      <c r="N517" s="253" t="n">
        <v>1967</v>
      </c>
      <c r="O517" s="250" t="n">
        <v>2000</v>
      </c>
      <c r="Q517" s="245" t="n">
        <v>16</v>
      </c>
      <c r="R517" s="245" t="n">
        <v>1</v>
      </c>
      <c r="S517" s="245" t="n">
        <v>1</v>
      </c>
      <c r="T517" s="249" t="inlineStr">
        <is>
          <t xml:space="preserve">I1   </t>
        </is>
      </c>
      <c r="U517" s="249" t="n">
        <v>401</v>
      </c>
      <c r="V517" s="678" t="n">
        <v>11800</v>
      </c>
      <c r="W517" s="678" t="n">
        <v>12000</v>
      </c>
      <c r="X517" s="356" t="inlineStr">
        <is>
          <t>1.4:1</t>
        </is>
      </c>
      <c r="Y517" s="678" t="n">
        <v>7000</v>
      </c>
      <c r="Z517" s="249" t="inlineStr">
        <is>
          <t xml:space="preserve">C </t>
        </is>
      </c>
      <c r="AC517" s="253" t="n"/>
      <c r="AD517" s="247" t="inlineStr">
        <is>
          <t>                    </t>
        </is>
      </c>
      <c r="AE517" s="680" t="n"/>
      <c r="AF517" s="680" t="n"/>
      <c r="AG517" s="680" t="n"/>
      <c r="AH517" s="680" t="n"/>
      <c r="AI517" s="680" t="n"/>
      <c r="AJ517" s="680" t="n"/>
      <c r="AK517" s="680" t="inlineStr">
        <is>
          <t>                                                                  </t>
        </is>
      </c>
      <c r="AM517" s="245" t="inlineStr">
        <is>
          <t> </t>
        </is>
      </c>
    </row>
    <row r="518">
      <c r="A518" s="248" t="n">
        <v>7</v>
      </c>
      <c r="B518" s="370" t="n">
        <v>510</v>
      </c>
      <c r="C518" s="254" t="inlineStr">
        <is>
          <t>2011Q</t>
        </is>
      </c>
      <c r="D518" s="245" t="inlineStr">
        <is>
          <t xml:space="preserve">05223-07-018-000 </t>
        </is>
      </c>
      <c r="E518" s="258" t="inlineStr">
        <is>
          <t>Actual</t>
        </is>
      </c>
      <c r="F518" s="259" t="inlineStr">
        <is>
          <t>1240 S BANNOCK             ST</t>
        </is>
      </c>
      <c r="G518" s="672" t="n">
        <v>47.2</v>
      </c>
      <c r="H518" s="253" t="n">
        <v>9506</v>
      </c>
      <c r="I518" s="255" t="n">
        <v>0</v>
      </c>
      <c r="J518" s="678" t="n">
        <v>7720</v>
      </c>
      <c r="K518" s="679" t="n">
        <v>6.217616580310881</v>
      </c>
      <c r="L518" s="260" t="n">
        <v>0</v>
      </c>
      <c r="M518" s="262" t="n">
        <v>0.072625</v>
      </c>
      <c r="N518" s="253" t="n">
        <v>1967</v>
      </c>
      <c r="O518" s="250" t="n">
        <v>1068</v>
      </c>
      <c r="P518" s="250" t="n">
        <v>1005</v>
      </c>
      <c r="Q518" s="245" t="n">
        <v>13</v>
      </c>
      <c r="R518" s="245" t="n">
        <v>1</v>
      </c>
      <c r="S518" s="245" t="n">
        <v>1</v>
      </c>
      <c r="T518" s="249" t="inlineStr">
        <is>
          <t xml:space="preserve">I1   </t>
        </is>
      </c>
      <c r="U518" s="249" t="n">
        <v>401</v>
      </c>
      <c r="V518" s="678" t="n">
        <v>12063</v>
      </c>
      <c r="W518" s="678" t="n">
        <v>12000</v>
      </c>
      <c r="X518" s="356" t="inlineStr">
        <is>
          <t>1.6:1</t>
        </is>
      </c>
      <c r="Y518" s="678" t="n">
        <v>8000</v>
      </c>
      <c r="Z518" s="249" t="inlineStr">
        <is>
          <t xml:space="preserve">C </t>
        </is>
      </c>
      <c r="AC518" s="253" t="n"/>
      <c r="AD518" s="247" t="inlineStr">
        <is>
          <t>                    </t>
        </is>
      </c>
      <c r="AE518" s="680" t="n"/>
      <c r="AF518" s="680" t="n"/>
      <c r="AG518" s="680" t="n"/>
      <c r="AH518" s="680" t="n"/>
      <c r="AI518" s="680" t="n"/>
      <c r="AJ518" s="680" t="n"/>
      <c r="AK518" s="680" t="inlineStr">
        <is>
          <t>                                                                  </t>
        </is>
      </c>
      <c r="AM518" s="245" t="inlineStr">
        <is>
          <t> </t>
        </is>
      </c>
    </row>
    <row r="519">
      <c r="A519" s="248" t="n">
        <v>7</v>
      </c>
      <c r="B519" s="370" t="n">
        <v>511</v>
      </c>
      <c r="C519" s="254" t="inlineStr">
        <is>
          <t>2011Q</t>
        </is>
      </c>
      <c r="D519" s="245" t="inlineStr">
        <is>
          <t xml:space="preserve">05223-10-021-000 </t>
        </is>
      </c>
      <c r="E519" s="258" t="inlineStr">
        <is>
          <t>Actual</t>
        </is>
      </c>
      <c r="F519" s="259" t="inlineStr">
        <is>
          <t>1330 S CHEROKEE            ST</t>
        </is>
      </c>
      <c r="G519" s="253" t="n">
        <v>44.1</v>
      </c>
      <c r="H519" s="253" t="n">
        <v>9506</v>
      </c>
      <c r="I519" s="255" t="n">
        <v>0</v>
      </c>
      <c r="J519" s="678" t="n">
        <v>6176</v>
      </c>
      <c r="K519" s="679" t="n">
        <v>6.209034974093265</v>
      </c>
      <c r="L519" s="260" t="n">
        <v>0</v>
      </c>
      <c r="M519" s="262" t="n">
        <v>0.08076251075703444</v>
      </c>
      <c r="N519" s="253" t="n">
        <v>1971</v>
      </c>
      <c r="O519" s="250" t="n">
        <v>2875</v>
      </c>
      <c r="Q519" s="245" t="n">
        <v>18</v>
      </c>
      <c r="R519" s="245" t="n">
        <v>14</v>
      </c>
      <c r="S519" s="245" t="n">
        <v>1</v>
      </c>
      <c r="T519" s="249" t="inlineStr">
        <is>
          <t xml:space="preserve">I2   </t>
        </is>
      </c>
      <c r="U519" s="249" t="n">
        <v>398</v>
      </c>
      <c r="V519" s="678" t="n">
        <v>12870</v>
      </c>
      <c r="W519" s="678" t="n">
        <v>13000</v>
      </c>
      <c r="X519" s="356" t="inlineStr">
        <is>
          <t>2.1:1</t>
        </is>
      </c>
      <c r="Y519" s="678" t="n">
        <v>6000</v>
      </c>
      <c r="Z519" s="249" t="inlineStr">
        <is>
          <t xml:space="preserve">C </t>
        </is>
      </c>
      <c r="AC519" s="253" t="n"/>
      <c r="AD519" s="247" t="inlineStr">
        <is>
          <t>                    </t>
        </is>
      </c>
      <c r="AE519" s="680" t="n"/>
      <c r="AF519" s="680" t="n"/>
      <c r="AG519" s="680" t="n"/>
      <c r="AH519" s="680" t="n"/>
      <c r="AI519" s="680" t="n"/>
      <c r="AJ519" s="680" t="n"/>
      <c r="AK519" s="680" t="inlineStr">
        <is>
          <t>                                                                  </t>
        </is>
      </c>
      <c r="AM519" s="245" t="inlineStr">
        <is>
          <t> </t>
        </is>
      </c>
    </row>
    <row r="520">
      <c r="A520" s="248" t="n">
        <v>7</v>
      </c>
      <c r="B520" s="370" t="n">
        <v>512</v>
      </c>
      <c r="C520" s="254" t="inlineStr">
        <is>
          <t>2011Q</t>
        </is>
      </c>
      <c r="D520" s="245" t="inlineStr">
        <is>
          <t xml:space="preserve">05223-10-033-000 </t>
        </is>
      </c>
      <c r="E520" s="258" t="inlineStr">
        <is>
          <t>Actual</t>
        </is>
      </c>
      <c r="F520" s="259" t="inlineStr">
        <is>
          <t>1468 S CHEROKEE            ST</t>
        </is>
      </c>
      <c r="G520" s="672" t="n">
        <v>44.2</v>
      </c>
      <c r="H520" s="253" t="n">
        <v>9506</v>
      </c>
      <c r="I520" s="255" t="n">
        <v>0</v>
      </c>
      <c r="J520" s="678" t="n">
        <v>3000</v>
      </c>
      <c r="K520" s="679" t="n">
        <v>7.9</v>
      </c>
      <c r="L520" s="260" t="n">
        <v>0</v>
      </c>
      <c r="M520" s="262" t="n">
        <v>0.0759493670886076</v>
      </c>
      <c r="N520" s="253" t="n">
        <v>1998</v>
      </c>
      <c r="O520" s="250" t="n">
        <v>657</v>
      </c>
      <c r="Q520" s="245" t="n">
        <v>15</v>
      </c>
      <c r="R520" s="245" t="n">
        <v>7</v>
      </c>
      <c r="S520" s="245" t="n">
        <v>3</v>
      </c>
      <c r="T520" s="249" t="inlineStr">
        <is>
          <t xml:space="preserve">I1   </t>
        </is>
      </c>
      <c r="U520" s="249" t="n">
        <v>398</v>
      </c>
      <c r="V520" s="678" t="n">
        <v>10950</v>
      </c>
      <c r="W520" s="678" t="n">
        <v>11000</v>
      </c>
      <c r="X520" s="356" t="inlineStr">
        <is>
          <t>2.4:1</t>
        </is>
      </c>
      <c r="Y520" s="678" t="n">
        <v>3000</v>
      </c>
      <c r="Z520" s="249" t="inlineStr">
        <is>
          <t xml:space="preserve">C </t>
        </is>
      </c>
      <c r="AC520" s="253" t="n"/>
      <c r="AD520" s="247" t="inlineStr">
        <is>
          <t xml:space="preserve">M-WHSE              </t>
        </is>
      </c>
      <c r="AE520" s="680" t="n"/>
      <c r="AF520" s="680" t="n"/>
      <c r="AG520" s="680" t="n"/>
      <c r="AH520" s="680" t="n"/>
      <c r="AI520" s="680" t="n"/>
      <c r="AJ520" s="680" t="n"/>
      <c r="AK520" s="680" t="inlineStr">
        <is>
          <t>                                                                  </t>
        </is>
      </c>
      <c r="AM520" s="245" t="inlineStr">
        <is>
          <t> </t>
        </is>
      </c>
    </row>
    <row r="521">
      <c r="A521" s="248" t="n">
        <v>7</v>
      </c>
      <c r="B521" s="370" t="n">
        <v>513</v>
      </c>
      <c r="C521" s="370" t="inlineStr">
        <is>
          <t>2011W</t>
        </is>
      </c>
      <c r="D521" s="370" t="inlineStr">
        <is>
          <t>05224-00-061-000</t>
        </is>
      </c>
      <c r="E521" s="370" t="inlineStr">
        <is>
          <t xml:space="preserve">  Actual</t>
        </is>
      </c>
      <c r="F521" s="370" t="inlineStr">
        <is>
          <t>700 W. Mississippi Ave  B</t>
        </is>
      </c>
      <c r="G521" s="370" t="n">
        <v>44.2</v>
      </c>
      <c r="H521" s="370" t="n">
        <v>9506</v>
      </c>
      <c r="I521" s="370" t="inlineStr">
        <is>
          <t>^     0</t>
        </is>
      </c>
      <c r="J521" s="372" t="n">
        <v>39365</v>
      </c>
      <c r="K521" s="684" t="n">
        <v>4.05</v>
      </c>
      <c r="L521" s="374" t="n">
        <v>0</v>
      </c>
      <c r="M521" s="374" t="n">
        <v>0.09</v>
      </c>
      <c r="N521" s="370" t="n">
        <v>1957</v>
      </c>
      <c r="O521" s="250" t="n">
        <v>20042</v>
      </c>
      <c r="Q521" s="245" t="n">
        <v>20</v>
      </c>
      <c r="R521" s="245" t="n">
        <v>10</v>
      </c>
      <c r="S521" s="245" t="n">
        <v>8</v>
      </c>
      <c r="T521" s="370" t="inlineStr">
        <is>
          <t xml:space="preserve">     I2</t>
        </is>
      </c>
      <c r="U521" s="370" t="n">
        <v>398</v>
      </c>
      <c r="V521" s="372" t="n">
        <v>60009</v>
      </c>
      <c r="W521" s="372" t="n">
        <v>60000</v>
      </c>
      <c r="X521" s="370" t="inlineStr">
        <is>
          <t xml:space="preserve">           1.5:1</t>
        </is>
      </c>
      <c r="Y521" s="372" t="n">
        <v>40000</v>
      </c>
      <c r="Z521" s="370" t="inlineStr">
        <is>
          <t>B</t>
        </is>
      </c>
      <c r="AA521" s="370" t="n">
        <v>3</v>
      </c>
      <c r="AB521" s="370" t="n">
        <v>3</v>
      </c>
      <c r="AC521" s="370" t="n">
        <v>33</v>
      </c>
      <c r="AD521" s="370" t="inlineStr">
        <is>
          <t>Valley Business Center</t>
        </is>
      </c>
      <c r="AE521" s="370" t="n"/>
      <c r="AF521" s="370" t="n"/>
      <c r="AG521" s="370" t="n"/>
      <c r="AH521" s="370" t="n"/>
      <c r="AI521" s="370" t="n"/>
      <c r="AJ521" s="682" t="n"/>
      <c r="AK521" s="370" t="inlineStr">
        <is>
          <t>Expenses are an estimate.  Could be as low as 5%</t>
        </is>
      </c>
      <c r="AL521" s="370" t="n"/>
      <c r="AM521" s="370" t="n"/>
      <c r="AN521" s="370" t="n"/>
      <c r="AO521" s="370" t="n"/>
      <c r="AP521" s="370" t="n"/>
      <c r="AQ521" s="370" t="n"/>
      <c r="AR521" s="370" t="n"/>
      <c r="AS521" s="370" t="n"/>
      <c r="AT521" s="370" t="n"/>
      <c r="AU521" s="370" t="n"/>
      <c r="AV521" s="370" t="n"/>
      <c r="AW521" s="370" t="n"/>
      <c r="AX521" s="370" t="n"/>
    </row>
    <row r="522">
      <c r="A522" s="248" t="n">
        <v>7</v>
      </c>
      <c r="B522" s="370" t="n">
        <v>514</v>
      </c>
      <c r="C522" s="254" t="inlineStr">
        <is>
          <t>2011Q</t>
        </is>
      </c>
      <c r="D522" s="245" t="inlineStr">
        <is>
          <t xml:space="preserve">05224-00-063-000 </t>
        </is>
      </c>
      <c r="E522" s="258" t="inlineStr">
        <is>
          <t>Actual</t>
        </is>
      </c>
      <c r="F522" s="259" t="inlineStr">
        <is>
          <t>1155 S PLATTE RIVER        DR</t>
        </is>
      </c>
      <c r="G522" s="253" t="n">
        <v>44.1</v>
      </c>
      <c r="H522" s="253" t="n">
        <v>9506</v>
      </c>
      <c r="I522" s="255" t="n">
        <v>0</v>
      </c>
      <c r="J522" s="678" t="n">
        <v>6148</v>
      </c>
      <c r="K522" s="679" t="n">
        <v>5.465191932335719</v>
      </c>
      <c r="L522" s="260" t="n">
        <v>0</v>
      </c>
      <c r="M522" s="262" t="n">
        <v>0</v>
      </c>
      <c r="N522" s="253" t="n">
        <v>1955</v>
      </c>
      <c r="O522" s="250" t="n">
        <v>0</v>
      </c>
      <c r="Q522" s="245" t="n">
        <v>11</v>
      </c>
      <c r="R522" s="245" t="n">
        <v>3</v>
      </c>
      <c r="S522" s="245" t="n">
        <v>1</v>
      </c>
      <c r="T522" s="249" t="inlineStr">
        <is>
          <t xml:space="preserve">I1   </t>
        </is>
      </c>
      <c r="U522" s="249" t="n">
        <v>398</v>
      </c>
      <c r="V522" s="678" t="n">
        <v>21984</v>
      </c>
      <c r="W522" s="678" t="n">
        <v>22000</v>
      </c>
      <c r="X522" s="356" t="inlineStr">
        <is>
          <t>3.6:1</t>
        </is>
      </c>
      <c r="Y522" s="678" t="n">
        <v>6000</v>
      </c>
      <c r="Z522" s="249" t="inlineStr">
        <is>
          <t xml:space="preserve">C </t>
        </is>
      </c>
      <c r="AC522" s="253" t="n"/>
      <c r="AD522" s="247" t="inlineStr">
        <is>
          <t>DNVR AWNING/IRONWORK</t>
        </is>
      </c>
      <c r="AE522" s="680" t="n"/>
      <c r="AF522" s="680" t="n"/>
      <c r="AG522" s="680" t="n"/>
      <c r="AH522" s="680" t="n"/>
      <c r="AI522" s="680" t="n"/>
      <c r="AJ522" s="680" t="n"/>
      <c r="AK522" s="680" t="inlineStr">
        <is>
          <t>                                                                  </t>
        </is>
      </c>
      <c r="AM522" s="245" t="inlineStr">
        <is>
          <t> </t>
        </is>
      </c>
    </row>
    <row r="523">
      <c r="A523" s="248" t="n">
        <v>7</v>
      </c>
      <c r="B523" s="370" t="n">
        <v>515</v>
      </c>
      <c r="C523" s="254" t="inlineStr">
        <is>
          <t>2011Q</t>
        </is>
      </c>
      <c r="D523" s="245" t="inlineStr">
        <is>
          <t xml:space="preserve">05226-01-028-000 </t>
        </is>
      </c>
      <c r="E523" s="258" t="inlineStr">
        <is>
          <t>Actual</t>
        </is>
      </c>
      <c r="F523" s="259" t="inlineStr">
        <is>
          <t>1586 S ACOMA               ST</t>
        </is>
      </c>
      <c r="G523" s="672" t="n">
        <v>44.2</v>
      </c>
      <c r="H523" s="253" t="n">
        <v>9506</v>
      </c>
      <c r="I523" s="255" t="n">
        <v>0</v>
      </c>
      <c r="J523" s="678" t="n">
        <v>7000</v>
      </c>
      <c r="K523" s="679" t="n">
        <v>6.857142857142857</v>
      </c>
      <c r="L523" s="260" t="n">
        <v>0</v>
      </c>
      <c r="M523" s="262" t="n">
        <v>0.05375</v>
      </c>
      <c r="N523" s="253" t="n">
        <v>1967</v>
      </c>
      <c r="O523" s="250" t="n">
        <v>2500</v>
      </c>
      <c r="Q523" s="245" t="n">
        <v>14</v>
      </c>
      <c r="R523" s="245" t="n">
        <v>1</v>
      </c>
      <c r="S523" s="245" t="n">
        <v>1</v>
      </c>
      <c r="T523" s="249" t="inlineStr">
        <is>
          <t xml:space="preserve">I1   </t>
        </is>
      </c>
      <c r="U523" s="249" t="n">
        <v>398</v>
      </c>
      <c r="V523" s="678" t="n">
        <v>12500</v>
      </c>
      <c r="W523" s="678" t="n">
        <v>13000</v>
      </c>
      <c r="X523" s="356" t="inlineStr">
        <is>
          <t>1.8:1</t>
        </is>
      </c>
      <c r="Y523" s="678" t="n">
        <v>7000</v>
      </c>
      <c r="Z523" s="249" t="inlineStr">
        <is>
          <t xml:space="preserve">C </t>
        </is>
      </c>
      <c r="AC523" s="253" t="n"/>
      <c r="AD523" s="247" t="inlineStr">
        <is>
          <t>                    </t>
        </is>
      </c>
      <c r="AE523" s="680" t="n"/>
      <c r="AF523" s="680" t="n"/>
      <c r="AG523" s="680" t="n"/>
      <c r="AH523" s="680" t="n"/>
      <c r="AI523" s="680" t="n"/>
      <c r="AJ523" s="680" t="n"/>
      <c r="AK523" s="680" t="inlineStr">
        <is>
          <t xml:space="preserve">LEASES RANGE FROM 2006 TO 2009 ALL AT SAME RATE.                  </t>
        </is>
      </c>
      <c r="AM523" s="245" t="inlineStr">
        <is>
          <t> </t>
        </is>
      </c>
    </row>
    <row r="524">
      <c r="A524" s="248" t="n">
        <v>7</v>
      </c>
      <c r="B524" s="370" t="n">
        <v>516</v>
      </c>
      <c r="C524" s="254" t="inlineStr">
        <is>
          <t>2011Q</t>
        </is>
      </c>
      <c r="D524" s="245" t="inlineStr">
        <is>
          <t xml:space="preserve">05226-16-040-000 </t>
        </is>
      </c>
      <c r="E524" s="258" t="inlineStr">
        <is>
          <t>Actual</t>
        </is>
      </c>
      <c r="F524" s="259" t="inlineStr">
        <is>
          <t>1853 S ACOMA               ST</t>
        </is>
      </c>
      <c r="G524" s="672" t="n">
        <v>44.2</v>
      </c>
      <c r="H524" s="253" t="n">
        <v>9506</v>
      </c>
      <c r="I524" s="255" t="n">
        <v>0</v>
      </c>
      <c r="J524" s="678" t="n">
        <v>4991</v>
      </c>
      <c r="K524" s="679" t="n">
        <v>10.81947505509918</v>
      </c>
      <c r="L524" s="260" t="n">
        <v>0</v>
      </c>
      <c r="M524" s="262" t="n">
        <v>0.1065740740740741</v>
      </c>
      <c r="N524" s="253" t="n">
        <v>1970</v>
      </c>
      <c r="O524" s="250" t="n">
        <v>744</v>
      </c>
      <c r="Q524" s="245" t="n">
        <v>14</v>
      </c>
      <c r="R524" s="245" t="n">
        <v>3</v>
      </c>
      <c r="S524" s="245" t="n">
        <v>1</v>
      </c>
      <c r="T524" s="249" t="inlineStr">
        <is>
          <t xml:space="preserve">I1   </t>
        </is>
      </c>
      <c r="U524" s="249" t="n">
        <v>398</v>
      </c>
      <c r="V524" s="678" t="n">
        <v>7751</v>
      </c>
      <c r="W524" s="678" t="n">
        <v>8000</v>
      </c>
      <c r="X524" s="356" t="inlineStr">
        <is>
          <t>1.6:1</t>
        </is>
      </c>
      <c r="Y524" s="678" t="n">
        <v>5000</v>
      </c>
      <c r="Z524" s="249" t="inlineStr">
        <is>
          <t xml:space="preserve">C </t>
        </is>
      </c>
      <c r="AC524" s="253" t="n"/>
      <c r="AD524" s="247" t="inlineStr">
        <is>
          <t xml:space="preserve">S-W HAMMILL WEST    </t>
        </is>
      </c>
      <c r="AE524" s="680" t="n"/>
      <c r="AF524" s="680" t="n"/>
      <c r="AG524" s="680" t="n"/>
      <c r="AH524" s="680" t="n"/>
      <c r="AI524" s="680" t="n"/>
      <c r="AJ524" s="680" t="n"/>
      <c r="AK524" s="680" t="inlineStr">
        <is>
          <t xml:space="preserve">MO-TO-MO LEASE.                                                   </t>
        </is>
      </c>
      <c r="AM524" s="245" t="inlineStr">
        <is>
          <t> </t>
        </is>
      </c>
    </row>
    <row r="525">
      <c r="A525" s="248" t="n">
        <v>7</v>
      </c>
      <c r="B525" s="370" t="n">
        <v>517</v>
      </c>
      <c r="C525" s="254" t="inlineStr">
        <is>
          <t>2011Q</t>
        </is>
      </c>
      <c r="D525" s="245" t="inlineStr">
        <is>
          <t xml:space="preserve">05226-17-006-000 </t>
        </is>
      </c>
      <c r="E525" s="258" t="inlineStr">
        <is>
          <t>Actual</t>
        </is>
      </c>
      <c r="F525" s="259" t="inlineStr">
        <is>
          <t>1869 S BROADWAY            ST</t>
        </is>
      </c>
      <c r="G525" s="253" t="n">
        <v>44.1</v>
      </c>
      <c r="H525" s="253" t="n">
        <v>9506</v>
      </c>
      <c r="I525" s="255" t="n">
        <v>2</v>
      </c>
      <c r="J525" s="678" t="n">
        <v>3750</v>
      </c>
      <c r="K525" s="679" t="n">
        <v>4.48</v>
      </c>
      <c r="L525" s="260" t="n">
        <v>0</v>
      </c>
      <c r="M525" s="262" t="n">
        <v>0</v>
      </c>
      <c r="N525" s="253" t="n">
        <v>1954</v>
      </c>
      <c r="O525" s="250" t="n">
        <v>0</v>
      </c>
      <c r="Q525" s="245" t="n">
        <v>13</v>
      </c>
      <c r="R525" s="245" t="n">
        <v>3</v>
      </c>
      <c r="S525" s="245" t="n">
        <v>1</v>
      </c>
      <c r="T525" s="249" t="inlineStr">
        <is>
          <t xml:space="preserve">B4   </t>
        </is>
      </c>
      <c r="U525" s="249" t="n">
        <v>398</v>
      </c>
      <c r="V525" s="678" t="n">
        <v>4687</v>
      </c>
      <c r="W525" s="678" t="n">
        <v>5000</v>
      </c>
      <c r="X525" s="356" t="inlineStr">
        <is>
          <t>1.2:1</t>
        </is>
      </c>
      <c r="Y525" s="678" t="n">
        <v>4000</v>
      </c>
      <c r="Z525" s="249" t="inlineStr">
        <is>
          <t>C+</t>
        </is>
      </c>
      <c r="AC525" s="253" t="n"/>
      <c r="AD525" s="247" t="inlineStr">
        <is>
          <t>                    </t>
        </is>
      </c>
      <c r="AE525" s="680" t="n"/>
      <c r="AF525" s="680" t="n"/>
      <c r="AG525" s="680" t="n"/>
      <c r="AH525" s="680" t="n"/>
      <c r="AI525" s="680" t="n"/>
      <c r="AJ525" s="680" t="n"/>
      <c r="AK525" s="680" t="inlineStr">
        <is>
          <t>                                                                  </t>
        </is>
      </c>
      <c r="AM525" s="245" t="inlineStr">
        <is>
          <t> </t>
        </is>
      </c>
    </row>
    <row r="526">
      <c r="A526" s="248" t="n">
        <v>7</v>
      </c>
      <c r="B526" s="370" t="n">
        <v>518</v>
      </c>
      <c r="C526" s="254" t="inlineStr">
        <is>
          <t>2011Q</t>
        </is>
      </c>
      <c r="D526" s="245" t="inlineStr">
        <is>
          <t xml:space="preserve">05226-17-017-000 </t>
        </is>
      </c>
      <c r="E526" s="258" t="inlineStr">
        <is>
          <t>Actual</t>
        </is>
      </c>
      <c r="F526" s="259" t="inlineStr">
        <is>
          <t>1860 S ACOMA               ST</t>
        </is>
      </c>
      <c r="G526" s="672" t="n">
        <v>44.2</v>
      </c>
      <c r="H526" s="253" t="n">
        <v>9506</v>
      </c>
      <c r="I526" s="255" t="n">
        <v>0</v>
      </c>
      <c r="J526" s="678" t="n">
        <v>4704</v>
      </c>
      <c r="K526" s="679" t="n">
        <v>7.25</v>
      </c>
      <c r="L526" s="260" t="n">
        <v>0</v>
      </c>
      <c r="M526" s="262" t="n">
        <v>0.1336793338024865</v>
      </c>
      <c r="N526" s="253" t="n">
        <v>1958</v>
      </c>
      <c r="O526" s="250" t="n">
        <v>0</v>
      </c>
      <c r="P526" s="250" t="n">
        <v>1208</v>
      </c>
      <c r="Q526" s="245" t="n">
        <v>10</v>
      </c>
      <c r="R526" s="245" t="n">
        <v>1</v>
      </c>
      <c r="S526" s="245" t="n">
        <v>1</v>
      </c>
      <c r="T526" s="249" t="inlineStr">
        <is>
          <t xml:space="preserve">I1   </t>
        </is>
      </c>
      <c r="U526" s="249" t="n">
        <v>398</v>
      </c>
      <c r="V526" s="678" t="n">
        <v>6250</v>
      </c>
      <c r="W526" s="678" t="n">
        <v>6000</v>
      </c>
      <c r="X526" s="356" t="inlineStr">
        <is>
          <t>1.3:1</t>
        </is>
      </c>
      <c r="Y526" s="678" t="n">
        <v>5000</v>
      </c>
      <c r="Z526" s="249" t="inlineStr">
        <is>
          <t xml:space="preserve">C </t>
        </is>
      </c>
      <c r="AC526" s="253" t="n"/>
      <c r="AD526" s="247" t="inlineStr">
        <is>
          <t xml:space="preserve">S-W ELECTRIC SUPPLY </t>
        </is>
      </c>
      <c r="AE526" s="680" t="n"/>
      <c r="AF526" s="680" t="n"/>
      <c r="AG526" s="680" t="n"/>
      <c r="AH526" s="680" t="n"/>
      <c r="AI526" s="680" t="n"/>
      <c r="AJ526" s="680" t="n"/>
      <c r="AK526" s="680" t="inlineStr">
        <is>
          <t>                                                                  </t>
        </is>
      </c>
      <c r="AM526" s="245" t="inlineStr">
        <is>
          <t> </t>
        </is>
      </c>
    </row>
    <row r="527">
      <c r="A527" s="248" t="n">
        <v>7</v>
      </c>
      <c r="B527" s="370" t="n">
        <v>519</v>
      </c>
      <c r="C527" s="254" t="inlineStr">
        <is>
          <t>2011Q</t>
        </is>
      </c>
      <c r="D527" s="245" t="inlineStr">
        <is>
          <t xml:space="preserve">05227-36-027-000 </t>
        </is>
      </c>
      <c r="E527" s="258" t="inlineStr">
        <is>
          <t>Actual</t>
        </is>
      </c>
      <c r="F527" s="259" t="inlineStr">
        <is>
          <t>1859 S PEARL               ST</t>
        </is>
      </c>
      <c r="G527" s="253" t="n">
        <v>44.1</v>
      </c>
      <c r="H527" s="253" t="n">
        <v>9509</v>
      </c>
      <c r="I527" s="255" t="n">
        <v>0</v>
      </c>
      <c r="J527" s="678" t="n">
        <v>1912</v>
      </c>
      <c r="K527" s="679" t="n">
        <v>14.17154811715481</v>
      </c>
      <c r="L527" s="260" t="n">
        <v>0</v>
      </c>
      <c r="M527" s="262" t="n">
        <v>0.09676705048715678</v>
      </c>
      <c r="N527" s="253" t="n">
        <v>1955</v>
      </c>
      <c r="O527" s="250" t="n">
        <v>0</v>
      </c>
      <c r="P527" s="250" t="n">
        <v>800</v>
      </c>
      <c r="Q527" s="245" t="n">
        <v>12</v>
      </c>
      <c r="R527" s="245" t="n">
        <v>3</v>
      </c>
      <c r="S527" s="245" t="n">
        <v>1</v>
      </c>
      <c r="T527" s="249" t="inlineStr">
        <is>
          <t xml:space="preserve">B2   </t>
        </is>
      </c>
      <c r="U527" s="249" t="n">
        <v>398</v>
      </c>
      <c r="V527" s="678" t="n">
        <v>3125</v>
      </c>
      <c r="W527" s="678" t="n">
        <v>3000</v>
      </c>
      <c r="X527" s="356" t="inlineStr">
        <is>
          <t>1.6:1</t>
        </is>
      </c>
      <c r="Y527" s="678" t="n">
        <v>2000</v>
      </c>
      <c r="Z527" s="249" t="inlineStr">
        <is>
          <t xml:space="preserve">C </t>
        </is>
      </c>
      <c r="AC527" s="253" t="n"/>
      <c r="AD527" s="247" t="inlineStr">
        <is>
          <t>S-W R K LEONARD SPEC</t>
        </is>
      </c>
      <c r="AE527" s="680" t="n"/>
      <c r="AF527" s="680" t="n"/>
      <c r="AG527" s="680" t="n"/>
      <c r="AH527" s="680" t="n"/>
      <c r="AI527" s="680" t="n"/>
      <c r="AJ527" s="680" t="n"/>
      <c r="AK527" s="680" t="inlineStr">
        <is>
          <t xml:space="preserve">2008 LEASE.                                                       </t>
        </is>
      </c>
      <c r="AM527" s="245" t="inlineStr">
        <is>
          <t> </t>
        </is>
      </c>
    </row>
    <row r="528">
      <c r="A528" s="248" t="n">
        <v>7</v>
      </c>
      <c r="B528" s="370" t="n">
        <v>520</v>
      </c>
      <c r="C528" s="254" t="inlineStr">
        <is>
          <t>2011Q</t>
        </is>
      </c>
      <c r="D528" s="245" t="inlineStr">
        <is>
          <t xml:space="preserve">05271-23-002-000 </t>
        </is>
      </c>
      <c r="E528" s="258" t="inlineStr">
        <is>
          <t>Actual</t>
        </is>
      </c>
      <c r="F528" s="259" t="inlineStr">
        <is>
          <t>2112 S WASHINGTON          ST</t>
        </is>
      </c>
      <c r="G528" s="253" t="n">
        <v>44.1</v>
      </c>
      <c r="H528" s="253" t="n">
        <v>9509</v>
      </c>
      <c r="I528" s="255" t="n">
        <v>0</v>
      </c>
      <c r="J528" s="678" t="n">
        <v>798</v>
      </c>
      <c r="K528" s="679" t="n">
        <v>15.03759398496241</v>
      </c>
      <c r="L528" s="260" t="n">
        <v>0</v>
      </c>
      <c r="M528" s="262" t="n">
        <v>0</v>
      </c>
      <c r="N528" s="253" t="n">
        <v>1956</v>
      </c>
      <c r="O528" s="250" t="n">
        <v>200</v>
      </c>
      <c r="Q528" s="245" t="n">
        <v>14</v>
      </c>
      <c r="R528" s="245" t="n">
        <v>3</v>
      </c>
      <c r="S528" s="245" t="n">
        <v>1</v>
      </c>
      <c r="T528" s="249" t="inlineStr">
        <is>
          <t xml:space="preserve">R2   </t>
        </is>
      </c>
      <c r="U528" s="249" t="n">
        <v>398</v>
      </c>
      <c r="V528" s="678" t="n">
        <v>4700</v>
      </c>
      <c r="W528" s="678" t="n">
        <v>5000</v>
      </c>
      <c r="X528" s="356" t="inlineStr">
        <is>
          <t>5.9:1</t>
        </is>
      </c>
      <c r="Y528" s="678" t="n">
        <v>800</v>
      </c>
      <c r="Z528" s="249" t="inlineStr">
        <is>
          <t xml:space="preserve">C </t>
        </is>
      </c>
      <c r="AC528" s="253" t="n"/>
      <c r="AD528" s="247" t="inlineStr">
        <is>
          <t xml:space="preserve">S-W D.C. PLUMBING   </t>
        </is>
      </c>
      <c r="AE528" s="680" t="n"/>
      <c r="AF528" s="680" t="n"/>
      <c r="AG528" s="680" t="n"/>
      <c r="AH528" s="680" t="n"/>
      <c r="AI528" s="680" t="n"/>
      <c r="AJ528" s="680" t="n"/>
      <c r="AK528" s="680" t="inlineStr">
        <is>
          <t>                                                                  </t>
        </is>
      </c>
      <c r="AM528" s="245" t="inlineStr">
        <is>
          <t> </t>
        </is>
      </c>
    </row>
    <row r="529">
      <c r="A529" s="248" t="n">
        <v>7</v>
      </c>
      <c r="B529" s="370" t="n">
        <v>521</v>
      </c>
      <c r="C529" s="254" t="inlineStr">
        <is>
          <t>2011Q</t>
        </is>
      </c>
      <c r="D529" s="245" t="inlineStr">
        <is>
          <t xml:space="preserve">05272-01-009-000 </t>
        </is>
      </c>
      <c r="E529" s="258" t="inlineStr">
        <is>
          <t>Actual</t>
        </is>
      </c>
      <c r="F529" s="259" t="inlineStr">
        <is>
          <t>1978 S ACOMA               ST</t>
        </is>
      </c>
      <c r="G529" s="672" t="n">
        <v>44.2</v>
      </c>
      <c r="H529" s="253" t="n">
        <v>9506</v>
      </c>
      <c r="I529" s="255" t="n">
        <v>0</v>
      </c>
      <c r="J529" s="678" t="n">
        <v>6000</v>
      </c>
      <c r="K529" s="679" t="n">
        <v>7</v>
      </c>
      <c r="L529" s="260" t="n">
        <v>0</v>
      </c>
      <c r="M529" s="262" t="n">
        <v>0</v>
      </c>
      <c r="N529" s="253" t="n">
        <v>1999</v>
      </c>
      <c r="O529" s="250" t="n">
        <v>4153</v>
      </c>
      <c r="Q529" s="245" t="n">
        <v>14</v>
      </c>
      <c r="R529" s="245" t="n">
        <v>8</v>
      </c>
      <c r="S529" s="245" t="n">
        <v>2</v>
      </c>
      <c r="T529" s="249" t="inlineStr">
        <is>
          <t xml:space="preserve">I1   </t>
        </is>
      </c>
      <c r="U529" s="249" t="n">
        <v>398</v>
      </c>
      <c r="V529" s="678" t="n">
        <v>6250</v>
      </c>
      <c r="W529" s="678" t="n">
        <v>6000</v>
      </c>
      <c r="X529" s="356" t="inlineStr">
        <is>
          <t>1.0:1</t>
        </is>
      </c>
      <c r="Y529" s="678" t="n">
        <v>6000</v>
      </c>
      <c r="Z529" s="249" t="inlineStr">
        <is>
          <t xml:space="preserve">C </t>
        </is>
      </c>
      <c r="AC529" s="253" t="n"/>
      <c r="AD529" s="247" t="inlineStr">
        <is>
          <t>M-O AMERICAN APPLNCE</t>
        </is>
      </c>
      <c r="AE529" s="680" t="n"/>
      <c r="AF529" s="680" t="n"/>
      <c r="AG529" s="680" t="n"/>
      <c r="AH529" s="680" t="n"/>
      <c r="AI529" s="680" t="n"/>
      <c r="AJ529" s="680" t="n"/>
      <c r="AK529" s="680" t="inlineStr">
        <is>
          <t>                                                                  </t>
        </is>
      </c>
      <c r="AM529" s="245" t="inlineStr">
        <is>
          <t> </t>
        </is>
      </c>
    </row>
    <row r="530">
      <c r="A530" s="248" t="n">
        <v>7</v>
      </c>
      <c r="B530" s="370" t="n">
        <v>522</v>
      </c>
      <c r="C530" s="254" t="inlineStr">
        <is>
          <t>2011Q</t>
        </is>
      </c>
      <c r="D530" s="245" t="inlineStr">
        <is>
          <t xml:space="preserve">05272-02-011-000 </t>
        </is>
      </c>
      <c r="E530" s="258" t="inlineStr">
        <is>
          <t>Actual</t>
        </is>
      </c>
      <c r="F530" s="259" t="inlineStr">
        <is>
          <t>165 W ASBURY              AV</t>
        </is>
      </c>
      <c r="G530" s="253" t="n">
        <v>44.1</v>
      </c>
      <c r="H530" s="253" t="n">
        <v>9506</v>
      </c>
      <c r="I530" s="255" t="n">
        <v>0</v>
      </c>
      <c r="J530" s="678" t="n">
        <v>2400</v>
      </c>
      <c r="K530" s="679" t="n">
        <v>6.875</v>
      </c>
      <c r="L530" s="260" t="n">
        <v>0</v>
      </c>
      <c r="M530" s="262" t="n">
        <v>0</v>
      </c>
      <c r="N530" s="253" t="n">
        <v>2008</v>
      </c>
      <c r="O530" s="250" t="n">
        <v>0</v>
      </c>
      <c r="Q530" s="245" t="n">
        <v>16</v>
      </c>
      <c r="R530" s="245" t="n">
        <v>2</v>
      </c>
      <c r="S530" s="245" t="n">
        <v>1</v>
      </c>
      <c r="T530" s="249" t="inlineStr">
        <is>
          <t xml:space="preserve">I1   </t>
        </is>
      </c>
      <c r="U530" s="249" t="n">
        <v>398</v>
      </c>
      <c r="V530" s="678" t="n">
        <v>4690</v>
      </c>
      <c r="W530" s="678" t="n">
        <v>5000</v>
      </c>
      <c r="X530" s="356" t="inlineStr">
        <is>
          <t>2.0:1</t>
        </is>
      </c>
      <c r="Y530" s="678" t="n">
        <v>2000</v>
      </c>
      <c r="Z530" s="249" t="inlineStr">
        <is>
          <t xml:space="preserve">C </t>
        </is>
      </c>
      <c r="AC530" s="253" t="n"/>
      <c r="AD530" s="247" t="inlineStr">
        <is>
          <t>                    </t>
        </is>
      </c>
      <c r="AE530" s="680" t="n"/>
      <c r="AF530" s="680" t="n"/>
      <c r="AG530" s="680" t="n"/>
      <c r="AH530" s="680" t="n"/>
      <c r="AI530" s="680" t="n"/>
      <c r="AJ530" s="680" t="n"/>
      <c r="AK530" s="680" t="inlineStr">
        <is>
          <t xml:space="preserve">2008 LEASE.                                                       </t>
        </is>
      </c>
      <c r="AM530" s="245" t="inlineStr">
        <is>
          <t> </t>
        </is>
      </c>
    </row>
    <row r="531">
      <c r="A531" s="248" t="n">
        <v>7</v>
      </c>
      <c r="B531" s="370" t="n">
        <v>523</v>
      </c>
      <c r="C531" s="254" t="inlineStr">
        <is>
          <t>2011Q</t>
        </is>
      </c>
      <c r="D531" s="245" t="inlineStr">
        <is>
          <t xml:space="preserve">05272-03-007-000 </t>
        </is>
      </c>
      <c r="E531" s="258" t="inlineStr">
        <is>
          <t>Actual</t>
        </is>
      </c>
      <c r="F531" s="259" t="inlineStr">
        <is>
          <t>1950 S CHEROKEE            ST</t>
        </is>
      </c>
      <c r="G531" s="672" t="n">
        <v>44.2</v>
      </c>
      <c r="H531" s="253" t="n">
        <v>9506</v>
      </c>
      <c r="I531" s="255" t="n">
        <v>0</v>
      </c>
      <c r="J531" s="678" t="n">
        <v>3594</v>
      </c>
      <c r="K531" s="679" t="n">
        <v>4.006677796327212</v>
      </c>
      <c r="L531" s="260" t="n">
        <v>0</v>
      </c>
      <c r="M531" s="262" t="n">
        <v>0.04513888888888889</v>
      </c>
      <c r="N531" s="253" t="n">
        <v>1953</v>
      </c>
      <c r="O531" s="250" t="n">
        <v>0</v>
      </c>
      <c r="Q531" s="245" t="n">
        <v>14</v>
      </c>
      <c r="R531" s="245" t="n">
        <v>3</v>
      </c>
      <c r="S531" s="245" t="n">
        <v>1</v>
      </c>
      <c r="T531" s="249" t="inlineStr">
        <is>
          <t xml:space="preserve">I1   </t>
        </is>
      </c>
      <c r="U531" s="249" t="n">
        <v>398</v>
      </c>
      <c r="V531" s="678" t="n">
        <v>12500</v>
      </c>
      <c r="W531" s="678" t="n">
        <v>13000</v>
      </c>
      <c r="X531" s="356" t="inlineStr">
        <is>
          <t>3.5:1</t>
        </is>
      </c>
      <c r="Y531" s="678" t="n">
        <v>4000</v>
      </c>
      <c r="Z531" s="249" t="inlineStr">
        <is>
          <t xml:space="preserve">C </t>
        </is>
      </c>
      <c r="AC531" s="253" t="n"/>
      <c r="AD531" s="247" t="inlineStr">
        <is>
          <t>S-W PASTERKAMPS HEAT</t>
        </is>
      </c>
      <c r="AE531" s="680" t="n"/>
      <c r="AF531" s="680" t="n"/>
      <c r="AG531" s="680" t="n"/>
      <c r="AH531" s="680" t="n"/>
      <c r="AI531" s="680" t="n"/>
      <c r="AJ531" s="680" t="n"/>
      <c r="AK531" s="680" t="inlineStr">
        <is>
          <t>                                                                  </t>
        </is>
      </c>
      <c r="AM531" s="245" t="inlineStr">
        <is>
          <t> </t>
        </is>
      </c>
    </row>
    <row r="532">
      <c r="A532" s="248" t="n">
        <v>7</v>
      </c>
      <c r="B532" s="370" t="n">
        <v>524</v>
      </c>
      <c r="C532" s="254" t="inlineStr">
        <is>
          <t>2011Q</t>
        </is>
      </c>
      <c r="D532" s="245" t="inlineStr">
        <is>
          <t xml:space="preserve">05272-03-029-000 </t>
        </is>
      </c>
      <c r="E532" s="258" t="inlineStr">
        <is>
          <t>Actual</t>
        </is>
      </c>
      <c r="F532" s="259" t="inlineStr">
        <is>
          <t>1930 S CHEROKEE            ST</t>
        </is>
      </c>
      <c r="G532" s="672" t="n">
        <v>44.2</v>
      </c>
      <c r="H532" s="253" t="n">
        <v>9506</v>
      </c>
      <c r="I532" s="255" t="n">
        <v>0</v>
      </c>
      <c r="J532" s="678" t="n">
        <v>11266</v>
      </c>
      <c r="K532" s="679" t="n">
        <v>5.81404225102077</v>
      </c>
      <c r="L532" s="260" t="n">
        <v>0</v>
      </c>
      <c r="M532" s="262" t="n">
        <v>0</v>
      </c>
      <c r="N532" s="253" t="n">
        <v>1968</v>
      </c>
      <c r="O532" s="250" t="n">
        <v>612</v>
      </c>
      <c r="Q532" s="245" t="n">
        <v>13</v>
      </c>
      <c r="R532" s="245" t="n">
        <v>1</v>
      </c>
      <c r="S532" s="245" t="n">
        <v>1</v>
      </c>
      <c r="T532" s="249" t="inlineStr">
        <is>
          <t xml:space="preserve">I1   </t>
        </is>
      </c>
      <c r="U532" s="249" t="n">
        <v>398</v>
      </c>
      <c r="V532" s="678" t="n">
        <v>15625</v>
      </c>
      <c r="W532" s="678" t="n">
        <v>16000</v>
      </c>
      <c r="X532" s="356" t="inlineStr">
        <is>
          <t>1.4:1</t>
        </is>
      </c>
      <c r="Y532" s="678" t="n">
        <v>11000</v>
      </c>
      <c r="Z532" s="249" t="inlineStr">
        <is>
          <t xml:space="preserve">C </t>
        </is>
      </c>
      <c r="AC532" s="253" t="n"/>
      <c r="AD532" s="247" t="inlineStr">
        <is>
          <t>S-W PASTERKAMP PLUMB</t>
        </is>
      </c>
      <c r="AE532" s="680" t="n"/>
      <c r="AF532" s="680" t="n"/>
      <c r="AG532" s="680" t="n"/>
      <c r="AH532" s="680" t="n"/>
      <c r="AI532" s="680" t="n"/>
      <c r="AJ532" s="680" t="n"/>
      <c r="AK532" s="680" t="inlineStr">
        <is>
          <t>                                                                  </t>
        </is>
      </c>
      <c r="AM532" s="245" t="inlineStr">
        <is>
          <t> </t>
        </is>
      </c>
    </row>
    <row r="533">
      <c r="A533" s="248" t="n">
        <v>7</v>
      </c>
      <c r="B533" s="370" t="n">
        <v>525</v>
      </c>
      <c r="C533" s="254" t="inlineStr">
        <is>
          <t>2011Q</t>
        </is>
      </c>
      <c r="D533" s="245" t="inlineStr">
        <is>
          <t xml:space="preserve">05274-03-004-000 </t>
        </is>
      </c>
      <c r="E533" s="258" t="inlineStr">
        <is>
          <t>Actual</t>
        </is>
      </c>
      <c r="F533" s="259" t="inlineStr">
        <is>
          <t>2301 S DELAWARE            ST</t>
        </is>
      </c>
      <c r="G533" s="672" t="n">
        <v>47.2</v>
      </c>
      <c r="H533" s="253" t="n">
        <v>9506</v>
      </c>
      <c r="I533" s="255" t="n">
        <v>0</v>
      </c>
      <c r="J533" s="678" t="n">
        <v>30653</v>
      </c>
      <c r="K533" s="679" t="n">
        <v>4.828238671581901</v>
      </c>
      <c r="L533" s="260" t="n">
        <v>0</v>
      </c>
      <c r="M533" s="262" t="n">
        <v>0.0574054054054054</v>
      </c>
      <c r="N533" s="253" t="n">
        <v>1951</v>
      </c>
      <c r="O533" s="250" t="n">
        <v>1922</v>
      </c>
      <c r="Q533" s="245" t="n">
        <v>17</v>
      </c>
      <c r="R533" s="245" t="n">
        <v>3</v>
      </c>
      <c r="S533" s="245" t="n">
        <v>1</v>
      </c>
      <c r="T533" s="249" t="inlineStr">
        <is>
          <t xml:space="preserve">I1   </t>
        </is>
      </c>
      <c r="U533" s="249" t="n">
        <v>401</v>
      </c>
      <c r="V533" s="678" t="n">
        <v>33750</v>
      </c>
      <c r="W533" s="678" t="n">
        <v>34000</v>
      </c>
      <c r="X533" s="356" t="inlineStr">
        <is>
          <t>1.1:1</t>
        </is>
      </c>
      <c r="Y533" s="678" t="n">
        <v>31000</v>
      </c>
      <c r="Z533" s="249" t="inlineStr">
        <is>
          <t xml:space="preserve">C </t>
        </is>
      </c>
      <c r="AC533" s="253" t="n"/>
      <c r="AD533" s="247" t="inlineStr">
        <is>
          <t xml:space="preserve">WOODCRAFT UNLIMITED </t>
        </is>
      </c>
      <c r="AE533" s="680" t="n"/>
      <c r="AF533" s="680" t="n"/>
      <c r="AG533" s="680" t="n"/>
      <c r="AH533" s="680" t="n"/>
      <c r="AI533" s="680" t="n"/>
      <c r="AJ533" s="680" t="n"/>
      <c r="AK533" s="680" t="inlineStr">
        <is>
          <t>                                                                  </t>
        </is>
      </c>
      <c r="AM533" s="245" t="inlineStr">
        <is>
          <t> </t>
        </is>
      </c>
    </row>
    <row r="534">
      <c r="A534" s="248" t="n">
        <v>7</v>
      </c>
      <c r="B534" s="370" t="n">
        <v>526</v>
      </c>
      <c r="C534" s="254" t="inlineStr">
        <is>
          <t>2011Q</t>
        </is>
      </c>
      <c r="D534" s="245" t="inlineStr">
        <is>
          <t xml:space="preserve">05274-03-008-000 </t>
        </is>
      </c>
      <c r="E534" s="258" t="inlineStr">
        <is>
          <t>Actual</t>
        </is>
      </c>
      <c r="F534" s="259" t="inlineStr">
        <is>
          <t>2385 S DELAWARE            ST</t>
        </is>
      </c>
      <c r="G534" s="672" t="n">
        <v>44.2</v>
      </c>
      <c r="H534" s="253" t="n">
        <v>9506</v>
      </c>
      <c r="I534" s="255" t="n">
        <v>0</v>
      </c>
      <c r="J534" s="678" t="n">
        <v>14970</v>
      </c>
      <c r="K534" s="679" t="n">
        <v>4.683500334001336</v>
      </c>
      <c r="L534" s="260" t="n">
        <v>0</v>
      </c>
      <c r="M534" s="262" t="n">
        <v>0.08656150159744409</v>
      </c>
      <c r="N534" s="253" t="n">
        <v>1960</v>
      </c>
      <c r="O534" s="250" t="n">
        <v>1407</v>
      </c>
      <c r="Q534" s="245" t="n">
        <v>13</v>
      </c>
      <c r="R534" s="245" t="n">
        <v>3</v>
      </c>
      <c r="S534" s="245" t="n">
        <v>1</v>
      </c>
      <c r="T534" s="249" t="inlineStr">
        <is>
          <t xml:space="preserve">I1   </t>
        </is>
      </c>
      <c r="U534" s="249" t="n">
        <v>398</v>
      </c>
      <c r="V534" s="678" t="n">
        <v>17968</v>
      </c>
      <c r="W534" s="678" t="n">
        <v>18000</v>
      </c>
      <c r="X534" s="356" t="inlineStr">
        <is>
          <t>1.2:1</t>
        </is>
      </c>
      <c r="Y534" s="678" t="n">
        <v>15000</v>
      </c>
      <c r="Z534" s="249" t="inlineStr">
        <is>
          <t xml:space="preserve">C </t>
        </is>
      </c>
      <c r="AC534" s="253" t="n"/>
      <c r="AD534" s="247" t="inlineStr">
        <is>
          <t>                    </t>
        </is>
      </c>
      <c r="AE534" s="680" t="n"/>
      <c r="AF534" s="680" t="n"/>
      <c r="AG534" s="680" t="n"/>
      <c r="AH534" s="680" t="n"/>
      <c r="AI534" s="680" t="n"/>
      <c r="AJ534" s="680" t="n"/>
      <c r="AK534" s="680" t="inlineStr">
        <is>
          <t>                                                                  </t>
        </is>
      </c>
      <c r="AM534" s="245" t="inlineStr">
        <is>
          <t> </t>
        </is>
      </c>
    </row>
    <row r="535">
      <c r="A535" s="248" t="n">
        <v>7</v>
      </c>
      <c r="B535" s="370" t="n">
        <v>527</v>
      </c>
      <c r="C535" s="254" t="inlineStr">
        <is>
          <t>2011Q</t>
        </is>
      </c>
      <c r="D535" s="245" t="inlineStr">
        <is>
          <t xml:space="preserve">05274-03-009-000 </t>
        </is>
      </c>
      <c r="E535" s="258" t="inlineStr">
        <is>
          <t>Actual</t>
        </is>
      </c>
      <c r="F535" s="259" t="inlineStr">
        <is>
          <t>2345 S DELAWARE            ST</t>
        </is>
      </c>
      <c r="G535" s="672" t="n">
        <v>47.2</v>
      </c>
      <c r="H535" s="253" t="n">
        <v>9506</v>
      </c>
      <c r="I535" s="255" t="n">
        <v>0</v>
      </c>
      <c r="J535" s="678" t="n">
        <v>28581</v>
      </c>
      <c r="K535" s="679" t="n">
        <v>5.454637696371716</v>
      </c>
      <c r="L535" s="260" t="n">
        <v>0</v>
      </c>
      <c r="M535" s="262" t="n">
        <v>0.04149481395005741</v>
      </c>
      <c r="N535" s="253" t="n">
        <v>1961</v>
      </c>
      <c r="O535" s="250" t="n">
        <v>6364</v>
      </c>
      <c r="Q535" s="245" t="n">
        <v>13</v>
      </c>
      <c r="R535" s="245" t="n">
        <v>3</v>
      </c>
      <c r="S535" s="245" t="n">
        <v>1</v>
      </c>
      <c r="T535" s="249" t="inlineStr">
        <is>
          <t xml:space="preserve">I1   </t>
        </is>
      </c>
      <c r="U535" s="249" t="n">
        <v>401</v>
      </c>
      <c r="V535" s="678" t="n">
        <v>38282</v>
      </c>
      <c r="W535" s="678" t="n">
        <v>38000</v>
      </c>
      <c r="X535" s="356" t="inlineStr">
        <is>
          <t>1.3:1</t>
        </is>
      </c>
      <c r="Y535" s="678" t="n">
        <v>29000</v>
      </c>
      <c r="Z535" s="249" t="inlineStr">
        <is>
          <t xml:space="preserve">C </t>
        </is>
      </c>
      <c r="AC535" s="253" t="n"/>
      <c r="AD535" s="247" t="inlineStr">
        <is>
          <t xml:space="preserve">S-F GOLESH INC.     </t>
        </is>
      </c>
      <c r="AE535" s="680" t="n"/>
      <c r="AF535" s="680" t="n"/>
      <c r="AG535" s="680" t="n"/>
      <c r="AH535" s="680" t="n"/>
      <c r="AI535" s="680" t="n"/>
      <c r="AJ535" s="680" t="n"/>
      <c r="AK535" s="680" t="inlineStr">
        <is>
          <t>                                                                  </t>
        </is>
      </c>
      <c r="AM535" s="245" t="inlineStr">
        <is>
          <t> </t>
        </is>
      </c>
    </row>
    <row r="536">
      <c r="A536" s="248" t="n">
        <v>7</v>
      </c>
      <c r="B536" s="370" t="n">
        <v>528</v>
      </c>
      <c r="C536" s="254" t="inlineStr">
        <is>
          <t>2011Q</t>
        </is>
      </c>
      <c r="D536" s="245" t="inlineStr">
        <is>
          <t xml:space="preserve">05274-15-029-000 </t>
        </is>
      </c>
      <c r="E536" s="258" t="inlineStr">
        <is>
          <t>Actual</t>
        </is>
      </c>
      <c r="F536" s="259" t="inlineStr">
        <is>
          <t>2536 S DELAWARE            ST</t>
        </is>
      </c>
      <c r="G536" s="672" t="n">
        <v>47.1</v>
      </c>
      <c r="H536" s="253" t="n">
        <v>9506</v>
      </c>
      <c r="I536" s="255" t="n">
        <v>0</v>
      </c>
      <c r="J536" s="678" t="n">
        <v>2487</v>
      </c>
      <c r="K536" s="679" t="n">
        <v>9.650180940892641</v>
      </c>
      <c r="L536" s="260" t="n">
        <v>0</v>
      </c>
      <c r="M536" s="262" t="n">
        <v>0.183125</v>
      </c>
      <c r="N536" s="253" t="n">
        <v>1954</v>
      </c>
      <c r="O536" s="250" t="n">
        <v>0</v>
      </c>
      <c r="P536" s="250" t="n">
        <v>1188</v>
      </c>
      <c r="Q536" s="245" t="n">
        <v>16</v>
      </c>
      <c r="R536" s="245" t="n">
        <v>3</v>
      </c>
      <c r="S536" s="245" t="n">
        <v>1</v>
      </c>
      <c r="T536" s="249" t="inlineStr">
        <is>
          <t xml:space="preserve">I0   </t>
        </is>
      </c>
      <c r="U536" s="249" t="n">
        <v>401</v>
      </c>
      <c r="V536" s="678" t="n">
        <v>12500</v>
      </c>
      <c r="W536" s="678" t="n">
        <v>13000</v>
      </c>
      <c r="X536" s="356" t="inlineStr">
        <is>
          <t>5.0:1</t>
        </is>
      </c>
      <c r="Y536" s="678" t="n">
        <v>2000</v>
      </c>
      <c r="Z536" s="249" t="inlineStr">
        <is>
          <t xml:space="preserve">C </t>
        </is>
      </c>
      <c r="AC536" s="253" t="n"/>
      <c r="AD536" s="247" t="inlineStr">
        <is>
          <t xml:space="preserve">S-W CS GROUP        </t>
        </is>
      </c>
      <c r="AE536" s="680" t="n"/>
      <c r="AF536" s="680" t="n"/>
      <c r="AG536" s="680" t="n"/>
      <c r="AH536" s="680" t="n"/>
      <c r="AI536" s="680" t="n"/>
      <c r="AJ536" s="680" t="n"/>
      <c r="AK536" s="680" t="inlineStr">
        <is>
          <t>                                                                  </t>
        </is>
      </c>
      <c r="AM536" s="245" t="inlineStr">
        <is>
          <t> </t>
        </is>
      </c>
    </row>
    <row r="537">
      <c r="A537" s="248" t="n">
        <v>7</v>
      </c>
      <c r="B537" s="370" t="n">
        <v>529</v>
      </c>
      <c r="C537" s="254" t="inlineStr">
        <is>
          <t>2011Q</t>
        </is>
      </c>
      <c r="D537" s="245" t="inlineStr">
        <is>
          <t xml:space="preserve">05281-01-018-000 </t>
        </is>
      </c>
      <c r="E537" s="258" t="inlineStr">
        <is>
          <t>Actual</t>
        </is>
      </c>
      <c r="F537" s="259" t="inlineStr">
        <is>
          <t>1970 S NAVAJO              ST</t>
        </is>
      </c>
      <c r="G537" s="672" t="n">
        <v>44.2</v>
      </c>
      <c r="H537" s="253" t="n">
        <v>9506</v>
      </c>
      <c r="I537" s="255" t="n">
        <v>0</v>
      </c>
      <c r="J537" s="678" t="n">
        <v>4500</v>
      </c>
      <c r="K537" s="679" t="n">
        <v>5.333333333333333</v>
      </c>
      <c r="L537" s="260" t="n">
        <v>0</v>
      </c>
      <c r="M537" s="262" t="n">
        <v>0.4925</v>
      </c>
      <c r="N537" s="253" t="n">
        <v>1976</v>
      </c>
      <c r="O537" s="250" t="n">
        <v>1950</v>
      </c>
      <c r="Q537" s="245" t="n">
        <v>14</v>
      </c>
      <c r="R537" s="245" t="n">
        <v>3</v>
      </c>
      <c r="S537" s="245" t="n">
        <v>2</v>
      </c>
      <c r="T537" s="249" t="inlineStr">
        <is>
          <t xml:space="preserve">I0   </t>
        </is>
      </c>
      <c r="U537" s="249" t="n">
        <v>398</v>
      </c>
      <c r="V537" s="678" t="n">
        <v>33135</v>
      </c>
      <c r="W537" s="678" t="n">
        <v>33000</v>
      </c>
      <c r="X537" s="356" t="inlineStr">
        <is>
          <t>3.3:1</t>
        </is>
      </c>
      <c r="Y537" s="678" t="n">
        <v>5000</v>
      </c>
      <c r="Z537" s="249" t="inlineStr">
        <is>
          <t xml:space="preserve">C </t>
        </is>
      </c>
      <c r="AC537" s="253" t="n"/>
      <c r="AD537" s="247" t="inlineStr">
        <is>
          <t>M-W;TAD FISER RACING</t>
        </is>
      </c>
      <c r="AE537" s="680" t="n"/>
      <c r="AF537" s="680" t="n"/>
      <c r="AG537" s="680" t="n"/>
      <c r="AH537" s="680" t="n"/>
      <c r="AI537" s="680" t="n"/>
      <c r="AJ537" s="680" t="n"/>
      <c r="AK537" s="680" t="inlineStr">
        <is>
          <t xml:space="preserve">MO-TO-MO; 4500 SF LEASED IN 10120 SF BLDG.                        </t>
        </is>
      </c>
      <c r="AM537" s="245" t="inlineStr">
        <is>
          <t> </t>
        </is>
      </c>
    </row>
    <row r="538">
      <c r="A538" s="248" t="n">
        <v>7</v>
      </c>
      <c r="B538" s="370" t="n">
        <v>530</v>
      </c>
      <c r="C538" s="254" t="inlineStr">
        <is>
          <t>2011Q</t>
        </is>
      </c>
      <c r="D538" s="245" t="inlineStr">
        <is>
          <t xml:space="preserve">05281-05-033-000 </t>
        </is>
      </c>
      <c r="E538" s="258" t="inlineStr">
        <is>
          <t>Actual</t>
        </is>
      </c>
      <c r="F538" s="259" t="inlineStr">
        <is>
          <t>2001 S NAVAJO              ST</t>
        </is>
      </c>
      <c r="G538" s="253" t="n">
        <v>44.1</v>
      </c>
      <c r="H538" s="253" t="n">
        <v>9506</v>
      </c>
      <c r="I538" s="255" t="n">
        <v>0</v>
      </c>
      <c r="J538" s="678" t="n">
        <v>9120</v>
      </c>
      <c r="K538" s="679" t="n">
        <v>6.760526315789473</v>
      </c>
      <c r="L538" s="260" t="n">
        <v>0</v>
      </c>
      <c r="M538" s="262" t="n">
        <v>0.02463669391462307</v>
      </c>
      <c r="N538" s="253" t="n">
        <v>1986</v>
      </c>
      <c r="O538" s="250" t="n">
        <v>1669</v>
      </c>
      <c r="Q538" s="245" t="n">
        <v>16</v>
      </c>
      <c r="R538" s="245" t="n">
        <v>3</v>
      </c>
      <c r="S538" s="245" t="n">
        <v>1</v>
      </c>
      <c r="T538" s="249" t="inlineStr">
        <is>
          <t xml:space="preserve">I1   </t>
        </is>
      </c>
      <c r="U538" s="249" t="n">
        <v>398</v>
      </c>
      <c r="V538" s="678" t="n">
        <v>21128</v>
      </c>
      <c r="W538" s="678" t="n">
        <v>21000</v>
      </c>
      <c r="X538" s="356" t="inlineStr">
        <is>
          <t>2.3:1</t>
        </is>
      </c>
      <c r="Y538" s="678" t="n">
        <v>9000</v>
      </c>
      <c r="Z538" s="249" t="inlineStr">
        <is>
          <t xml:space="preserve">C </t>
        </is>
      </c>
      <c r="AC538" s="253" t="n"/>
      <c r="AD538" s="247" t="inlineStr">
        <is>
          <t>                    </t>
        </is>
      </c>
      <c r="AE538" s="680" t="n"/>
      <c r="AF538" s="680" t="n"/>
      <c r="AG538" s="680" t="n"/>
      <c r="AH538" s="680" t="n"/>
      <c r="AI538" s="680" t="n"/>
      <c r="AJ538" s="680" t="n"/>
      <c r="AK538" s="680" t="inlineStr">
        <is>
          <t xml:space="preserve">MO-TO-MO. LEASE.                                                  </t>
        </is>
      </c>
      <c r="AM538" s="245" t="inlineStr">
        <is>
          <t> </t>
        </is>
      </c>
    </row>
    <row r="539">
      <c r="A539" s="248" t="n">
        <v>7</v>
      </c>
      <c r="B539" s="370" t="n">
        <v>531</v>
      </c>
      <c r="C539" s="254" t="inlineStr">
        <is>
          <t>2011Q</t>
        </is>
      </c>
      <c r="D539" s="245" t="inlineStr">
        <is>
          <t xml:space="preserve">05281-05-036-000 </t>
        </is>
      </c>
      <c r="E539" s="258" t="inlineStr">
        <is>
          <t>Actual</t>
        </is>
      </c>
      <c r="F539" s="259" t="inlineStr">
        <is>
          <t>2059 S NAVAJO              ST</t>
        </is>
      </c>
      <c r="G539" s="672" t="n">
        <v>44.5</v>
      </c>
      <c r="H539" s="253" t="n">
        <v>9506</v>
      </c>
      <c r="I539" s="255" t="n">
        <v>0</v>
      </c>
      <c r="J539" s="678" t="n">
        <v>26357</v>
      </c>
      <c r="K539" s="679" t="n">
        <v>7.260613878666009</v>
      </c>
      <c r="L539" s="260" t="n">
        <v>0</v>
      </c>
      <c r="M539" s="262" t="n">
        <v>0.3483863550854898</v>
      </c>
      <c r="N539" s="253" t="n">
        <v>2000</v>
      </c>
      <c r="O539" s="250" t="n">
        <v>379</v>
      </c>
      <c r="P539" s="250" t="n">
        <v>825</v>
      </c>
      <c r="Q539" s="245" t="n">
        <v>10</v>
      </c>
      <c r="R539" s="245" t="n">
        <v>1</v>
      </c>
      <c r="S539" s="245" t="n">
        <v>255</v>
      </c>
      <c r="T539" s="249" t="inlineStr">
        <is>
          <t xml:space="preserve">I2   </t>
        </is>
      </c>
      <c r="U539" s="249" t="n">
        <v>396</v>
      </c>
      <c r="V539" s="678" t="n">
        <v>76475</v>
      </c>
      <c r="W539" s="678" t="n">
        <v>76000</v>
      </c>
      <c r="X539" s="356" t="inlineStr">
        <is>
          <t>2.9:1</t>
        </is>
      </c>
      <c r="Y539" s="678" t="n">
        <v>26000</v>
      </c>
      <c r="Z539" s="249" t="inlineStr">
        <is>
          <t xml:space="preserve">C </t>
        </is>
      </c>
      <c r="AC539" s="253" t="n"/>
      <c r="AD539" s="247" t="inlineStr">
        <is>
          <t>ACCSS ANYTME SLFSTGE</t>
        </is>
      </c>
      <c r="AE539" s="680" t="n"/>
      <c r="AF539" s="680" t="n"/>
      <c r="AG539" s="680" t="n"/>
      <c r="AH539" s="680" t="n"/>
      <c r="AI539" s="680" t="n"/>
      <c r="AJ539" s="680" t="n"/>
      <c r="AK539" s="680" t="inlineStr">
        <is>
          <t xml:space="preserve">ADVERTIZING AT $12,653 MAY BE OVERSTATED                          </t>
        </is>
      </c>
      <c r="AM539" s="245" t="inlineStr">
        <is>
          <t> </t>
        </is>
      </c>
    </row>
    <row r="540">
      <c r="A540" s="248" t="n">
        <v>7</v>
      </c>
      <c r="B540" s="370" t="n">
        <v>532</v>
      </c>
      <c r="C540" s="254" t="inlineStr">
        <is>
          <t>2011Q</t>
        </is>
      </c>
      <c r="D540" s="245" t="inlineStr">
        <is>
          <t xml:space="preserve">05281-06-007-000 </t>
        </is>
      </c>
      <c r="E540" s="258" t="inlineStr">
        <is>
          <t>Actual</t>
        </is>
      </c>
      <c r="F540" s="259" t="inlineStr">
        <is>
          <t>1305 W EVANS               AV</t>
        </is>
      </c>
      <c r="G540" s="253" t="n">
        <v>44.1</v>
      </c>
      <c r="H540" s="253" t="n">
        <v>9506</v>
      </c>
      <c r="I540" s="255" t="n">
        <v>0</v>
      </c>
      <c r="J540" s="678" t="n">
        <v>2000</v>
      </c>
      <c r="K540" s="679" t="n">
        <v>4.8</v>
      </c>
      <c r="L540" s="260" t="n">
        <v>0</v>
      </c>
      <c r="M540" s="262" t="n">
        <v>0.1479166666666667</v>
      </c>
      <c r="N540" s="253" t="n">
        <v>1943</v>
      </c>
      <c r="O540" s="250" t="n">
        <v>0</v>
      </c>
      <c r="Q540" s="245" t="n">
        <v>10</v>
      </c>
      <c r="R540" s="245" t="n">
        <v>7</v>
      </c>
      <c r="S540" s="245" t="n">
        <v>1</v>
      </c>
      <c r="T540" s="249" t="inlineStr">
        <is>
          <t xml:space="preserve">I2   </t>
        </is>
      </c>
      <c r="U540" s="249" t="n">
        <v>398</v>
      </c>
      <c r="V540" s="678" t="n">
        <v>8650</v>
      </c>
      <c r="W540" s="678" t="n">
        <v>9000</v>
      </c>
      <c r="X540" s="356" t="inlineStr">
        <is>
          <t>4.3:1</t>
        </is>
      </c>
      <c r="Y540" s="678" t="n">
        <v>2000</v>
      </c>
      <c r="Z540" s="249" t="inlineStr">
        <is>
          <t xml:space="preserve">C </t>
        </is>
      </c>
      <c r="AC540" s="253" t="n"/>
      <c r="AD540" s="247" t="inlineStr">
        <is>
          <t xml:space="preserve">S-W                 </t>
        </is>
      </c>
      <c r="AE540" s="680" t="n"/>
      <c r="AF540" s="680" t="n"/>
      <c r="AG540" s="680" t="n"/>
      <c r="AH540" s="680" t="n"/>
      <c r="AI540" s="680" t="n"/>
      <c r="AJ540" s="680" t="n"/>
      <c r="AK540" s="680" t="inlineStr">
        <is>
          <t xml:space="preserve">6 MO. LEASE ANNUALIZED.                                           </t>
        </is>
      </c>
      <c r="AM540" s="245" t="inlineStr">
        <is>
          <t> </t>
        </is>
      </c>
    </row>
    <row r="541">
      <c r="A541" s="248" t="n">
        <v>7</v>
      </c>
      <c r="B541" s="370" t="n">
        <v>533</v>
      </c>
      <c r="C541" s="254" t="inlineStr">
        <is>
          <t>2011Q</t>
        </is>
      </c>
      <c r="D541" s="245" t="inlineStr">
        <is>
          <t xml:space="preserve">05281-06-012-000 </t>
        </is>
      </c>
      <c r="E541" s="258" t="inlineStr">
        <is>
          <t>Actual</t>
        </is>
      </c>
      <c r="F541" s="259" t="inlineStr">
        <is>
          <t>1331 W EVANS               AV</t>
        </is>
      </c>
      <c r="G541" s="253" t="n">
        <v>44.1</v>
      </c>
      <c r="H541" s="253" t="n">
        <v>9506</v>
      </c>
      <c r="I541" s="255" t="n">
        <v>0</v>
      </c>
      <c r="J541" s="678" t="n">
        <v>7040</v>
      </c>
      <c r="K541" s="679" t="n">
        <v>6.821590909090909</v>
      </c>
      <c r="L541" s="260" t="n">
        <v>0.24</v>
      </c>
      <c r="M541" s="262" t="n">
        <v>0</v>
      </c>
      <c r="N541" s="253" t="n">
        <v>1973</v>
      </c>
      <c r="O541" s="250" t="n">
        <v>1212</v>
      </c>
      <c r="Q541" s="245" t="n">
        <v>11</v>
      </c>
      <c r="R541" s="245" t="n">
        <v>14</v>
      </c>
      <c r="S541" s="245" t="n">
        <v>1</v>
      </c>
      <c r="T541" s="249" t="inlineStr">
        <is>
          <t xml:space="preserve">I2   </t>
        </is>
      </c>
      <c r="U541" s="249" t="n">
        <v>398</v>
      </c>
      <c r="V541" s="678" t="n">
        <v>31915</v>
      </c>
      <c r="W541" s="678" t="n">
        <v>32000</v>
      </c>
      <c r="X541" s="356" t="inlineStr">
        <is>
          <t>1.9:1</t>
        </is>
      </c>
      <c r="Y541" s="678" t="n">
        <v>7000</v>
      </c>
      <c r="Z541" s="249" t="inlineStr">
        <is>
          <t xml:space="preserve">C </t>
        </is>
      </c>
      <c r="AC541" s="253" t="n"/>
      <c r="AD541" s="247" t="inlineStr">
        <is>
          <t>BLUE FLAME POWER CTG</t>
        </is>
      </c>
      <c r="AE541" s="680" t="n"/>
      <c r="AF541" s="680" t="n"/>
      <c r="AG541" s="680" t="n"/>
      <c r="AH541" s="680" t="n"/>
      <c r="AI541" s="680" t="n"/>
      <c r="AJ541" s="680" t="n"/>
      <c r="AK541" s="680" t="inlineStr">
        <is>
          <t xml:space="preserve">7040 SF OF 16551 SF BLDG. AVAILABLE FOR LEASE.                    </t>
        </is>
      </c>
      <c r="AM541" s="245" t="inlineStr">
        <is>
          <t> </t>
        </is>
      </c>
    </row>
    <row r="542">
      <c r="A542" s="248" t="n">
        <v>7</v>
      </c>
      <c r="B542" s="370" t="n">
        <v>534</v>
      </c>
      <c r="C542" s="254" t="inlineStr">
        <is>
          <t>2011Q</t>
        </is>
      </c>
      <c r="D542" s="245" t="inlineStr">
        <is>
          <t xml:space="preserve">05281-12-026-026 </t>
        </is>
      </c>
      <c r="E542" s="258" t="inlineStr">
        <is>
          <t>Actual</t>
        </is>
      </c>
      <c r="F542" s="259" t="inlineStr">
        <is>
          <t>1015 W EVANS               AV</t>
        </is>
      </c>
      <c r="G542" s="672" t="n">
        <v>44.8</v>
      </c>
      <c r="H542" s="253" t="n">
        <v>9506</v>
      </c>
      <c r="I542" s="255" t="n">
        <v>0</v>
      </c>
      <c r="J542" s="678" t="n">
        <v>2102</v>
      </c>
      <c r="K542" s="679" t="n">
        <v>8.563273073263559</v>
      </c>
      <c r="L542" s="260" t="n">
        <v>0</v>
      </c>
      <c r="M542" s="262" t="n">
        <v>0</v>
      </c>
      <c r="N542" s="253" t="n">
        <v>1982</v>
      </c>
      <c r="O542" s="250" t="n">
        <v>0</v>
      </c>
      <c r="Q542" s="245" t="n">
        <v>16</v>
      </c>
      <c r="R542" s="245" t="n">
        <v>3</v>
      </c>
      <c r="S542" s="245" t="n">
        <v>1</v>
      </c>
      <c r="T542" s="249" t="inlineStr">
        <is>
          <t xml:space="preserve">I1   </t>
        </is>
      </c>
      <c r="U542" s="249" t="n">
        <v>398</v>
      </c>
      <c r="V542" s="678" t="n">
        <v>3521</v>
      </c>
      <c r="W542" s="678" t="n">
        <v>4000</v>
      </c>
      <c r="X542" s="356" t="inlineStr">
        <is>
          <t>1.7:1</t>
        </is>
      </c>
      <c r="Y542" s="678" t="n">
        <v>2000</v>
      </c>
      <c r="Z542" s="249" t="inlineStr">
        <is>
          <t xml:space="preserve">C </t>
        </is>
      </c>
      <c r="AC542" s="253" t="n"/>
      <c r="AD542" s="247" t="inlineStr">
        <is>
          <t xml:space="preserve">CONDO UNIT #A       </t>
        </is>
      </c>
      <c r="AE542" s="680" t="n"/>
      <c r="AF542" s="680" t="n"/>
      <c r="AG542" s="680" t="n"/>
      <c r="AH542" s="680" t="n"/>
      <c r="AI542" s="680" t="n"/>
      <c r="AJ542" s="680" t="n"/>
      <c r="AK542" s="680" t="inlineStr">
        <is>
          <t>                                                                  </t>
        </is>
      </c>
      <c r="AM542" s="245" t="inlineStr">
        <is>
          <t> </t>
        </is>
      </c>
    </row>
    <row r="543">
      <c r="A543" s="248" t="n">
        <v>7</v>
      </c>
      <c r="B543" s="370" t="n">
        <v>535</v>
      </c>
      <c r="C543" s="254" t="inlineStr">
        <is>
          <t>2011Q</t>
        </is>
      </c>
      <c r="D543" s="245" t="inlineStr">
        <is>
          <t xml:space="preserve">05281-12-027-027 </t>
        </is>
      </c>
      <c r="E543" s="258" t="inlineStr">
        <is>
          <t>Actual</t>
        </is>
      </c>
      <c r="F543" s="259" t="inlineStr">
        <is>
          <t>1015 W EVANS               AV</t>
        </is>
      </c>
      <c r="G543" s="672" t="n">
        <v>44.8</v>
      </c>
      <c r="H543" s="253" t="n">
        <v>9506</v>
      </c>
      <c r="I543" s="255" t="n">
        <v>0</v>
      </c>
      <c r="J543" s="678" t="n">
        <v>2126</v>
      </c>
      <c r="K543" s="679" t="n">
        <v>8.466603951081844</v>
      </c>
      <c r="L543" s="260" t="n">
        <v>0</v>
      </c>
      <c r="M543" s="262" t="n">
        <v>0</v>
      </c>
      <c r="N543" s="253" t="n">
        <v>1982</v>
      </c>
      <c r="O543" s="250" t="n">
        <v>0</v>
      </c>
      <c r="Q543" s="245" t="n">
        <v>16</v>
      </c>
      <c r="R543" s="245" t="n">
        <v>3</v>
      </c>
      <c r="S543" s="245" t="n">
        <v>1</v>
      </c>
      <c r="T543" s="249" t="inlineStr">
        <is>
          <t xml:space="preserve">I1   </t>
        </is>
      </c>
      <c r="U543" s="249" t="n">
        <v>398</v>
      </c>
      <c r="V543" s="678" t="n">
        <v>3586</v>
      </c>
      <c r="W543" s="678" t="n">
        <v>4000</v>
      </c>
      <c r="X543" s="356" t="inlineStr">
        <is>
          <t>1.7:1</t>
        </is>
      </c>
      <c r="Y543" s="678" t="n">
        <v>2000</v>
      </c>
      <c r="Z543" s="249" t="inlineStr">
        <is>
          <t xml:space="preserve">C </t>
        </is>
      </c>
      <c r="AC543" s="253" t="n"/>
      <c r="AD543" s="247" t="inlineStr">
        <is>
          <t xml:space="preserve">CONDO UNIT #B       </t>
        </is>
      </c>
      <c r="AE543" s="680" t="n"/>
      <c r="AF543" s="680" t="n"/>
      <c r="AG543" s="680" t="n"/>
      <c r="AH543" s="680" t="n"/>
      <c r="AI543" s="680" t="n"/>
      <c r="AJ543" s="680" t="n"/>
      <c r="AK543" s="680" t="inlineStr">
        <is>
          <t>                                                                  </t>
        </is>
      </c>
      <c r="AM543" s="245" t="inlineStr">
        <is>
          <t> </t>
        </is>
      </c>
    </row>
    <row r="544">
      <c r="A544" s="248" t="n">
        <v>7</v>
      </c>
      <c r="B544" s="370" t="n">
        <v>536</v>
      </c>
      <c r="C544" s="254" t="inlineStr">
        <is>
          <t>2011Q</t>
        </is>
      </c>
      <c r="D544" s="245" t="inlineStr">
        <is>
          <t xml:space="preserve">05281-14-017-000 </t>
        </is>
      </c>
      <c r="E544" s="258" t="inlineStr">
        <is>
          <t>Actual</t>
        </is>
      </c>
      <c r="F544" s="259" t="inlineStr">
        <is>
          <t>2140 S KALAMATH            ST</t>
        </is>
      </c>
      <c r="G544" s="253" t="n">
        <v>44.1</v>
      </c>
      <c r="H544" s="253" t="n">
        <v>9506</v>
      </c>
      <c r="I544" s="255" t="n">
        <v>0</v>
      </c>
      <c r="J544" s="678" t="n">
        <v>2000</v>
      </c>
      <c r="K544" s="679" t="n">
        <v>5.94</v>
      </c>
      <c r="L544" s="260" t="n">
        <v>0</v>
      </c>
      <c r="M544" s="262" t="n">
        <v>0.3458754208754209</v>
      </c>
      <c r="N544" s="253" t="n">
        <v>1960</v>
      </c>
      <c r="O544" s="250" t="n">
        <v>0</v>
      </c>
      <c r="Q544" s="245" t="n">
        <v>12</v>
      </c>
      <c r="R544" s="245" t="n">
        <v>1</v>
      </c>
      <c r="S544" s="245" t="n">
        <v>2</v>
      </c>
      <c r="T544" s="249" t="inlineStr">
        <is>
          <t xml:space="preserve">I1   </t>
        </is>
      </c>
      <c r="U544" s="249" t="n">
        <v>398</v>
      </c>
      <c r="V544" s="678" t="n">
        <v>9375</v>
      </c>
      <c r="W544" s="678" t="n">
        <v>9000</v>
      </c>
      <c r="X544" s="356" t="inlineStr">
        <is>
          <t>2.4:1</t>
        </is>
      </c>
      <c r="Y544" s="678" t="n">
        <v>2000</v>
      </c>
      <c r="Z544" s="249" t="inlineStr">
        <is>
          <t xml:space="preserve">C </t>
        </is>
      </c>
      <c r="AC544" s="253" t="n"/>
      <c r="AD544" s="247" t="inlineStr">
        <is>
          <t>M-W GUS SHEKER STUDI</t>
        </is>
      </c>
      <c r="AE544" s="680" t="n"/>
      <c r="AF544" s="680" t="n"/>
      <c r="AG544" s="680" t="n"/>
      <c r="AH544" s="680" t="n"/>
      <c r="AI544" s="680" t="n"/>
      <c r="AJ544" s="680" t="n"/>
      <c r="AK544" s="680" t="inlineStr">
        <is>
          <t xml:space="preserve">ENTER ONLY DATA FOR THE 2009 LEASE.                               </t>
        </is>
      </c>
      <c r="AM544" s="245" t="inlineStr">
        <is>
          <t> </t>
        </is>
      </c>
    </row>
    <row r="545">
      <c r="A545" s="248" t="n">
        <v>7</v>
      </c>
      <c r="B545" s="370" t="n">
        <v>537</v>
      </c>
      <c r="C545" s="254" t="inlineStr">
        <is>
          <t>2011Q</t>
        </is>
      </c>
      <c r="D545" s="245" t="inlineStr">
        <is>
          <t xml:space="preserve">05281-14-018-000 </t>
        </is>
      </c>
      <c r="E545" s="258" t="inlineStr">
        <is>
          <t>Actual</t>
        </is>
      </c>
      <c r="F545" s="259" t="inlineStr">
        <is>
          <t>2150 S KALAMATH            ST</t>
        </is>
      </c>
      <c r="G545" s="253" t="n">
        <v>44.1</v>
      </c>
      <c r="H545" s="253" t="n">
        <v>9506</v>
      </c>
      <c r="I545" s="255" t="n">
        <v>0</v>
      </c>
      <c r="J545" s="678" t="n">
        <v>4000</v>
      </c>
      <c r="K545" s="679" t="n">
        <v>6.1</v>
      </c>
      <c r="L545" s="260" t="n">
        <v>0</v>
      </c>
      <c r="M545" s="262" t="n">
        <v>0.110327868852459</v>
      </c>
      <c r="N545" s="253" t="n">
        <v>1962</v>
      </c>
      <c r="O545" s="250" t="n">
        <v>0</v>
      </c>
      <c r="Q545" s="245" t="n">
        <v>12</v>
      </c>
      <c r="R545" s="245" t="n">
        <v>1</v>
      </c>
      <c r="S545" s="245" t="n">
        <v>1</v>
      </c>
      <c r="T545" s="249" t="inlineStr">
        <is>
          <t xml:space="preserve">I1   </t>
        </is>
      </c>
      <c r="U545" s="249" t="n">
        <v>398</v>
      </c>
      <c r="V545" s="678" t="n">
        <v>9375</v>
      </c>
      <c r="W545" s="678" t="n">
        <v>9000</v>
      </c>
      <c r="X545" s="356" t="inlineStr">
        <is>
          <t>2.3:1</t>
        </is>
      </c>
      <c r="Y545" s="678" t="n">
        <v>4000</v>
      </c>
      <c r="Z545" s="249" t="inlineStr">
        <is>
          <t xml:space="preserve">C </t>
        </is>
      </c>
      <c r="AC545" s="253" t="n"/>
      <c r="AD545" s="247" t="inlineStr">
        <is>
          <t xml:space="preserve">S-W ABLE SIGN       </t>
        </is>
      </c>
      <c r="AE545" s="680" t="n"/>
      <c r="AF545" s="680" t="n"/>
      <c r="AG545" s="680" t="n"/>
      <c r="AH545" s="680" t="n"/>
      <c r="AI545" s="680" t="n"/>
      <c r="AJ545" s="680" t="n"/>
      <c r="AK545" s="680" t="inlineStr">
        <is>
          <t>                                                                  </t>
        </is>
      </c>
      <c r="AM545" s="245" t="inlineStr">
        <is>
          <t> </t>
        </is>
      </c>
    </row>
    <row r="546">
      <c r="A546" s="248" t="n">
        <v>7</v>
      </c>
      <c r="B546" s="370" t="n">
        <v>538</v>
      </c>
      <c r="C546" s="254" t="inlineStr">
        <is>
          <t>2011Q</t>
        </is>
      </c>
      <c r="D546" s="245" t="inlineStr">
        <is>
          <t xml:space="preserve">05281-14-019-000 </t>
        </is>
      </c>
      <c r="E546" s="258" t="inlineStr">
        <is>
          <t>Actual</t>
        </is>
      </c>
      <c r="F546" s="259" t="inlineStr">
        <is>
          <t>2168 S KALAMATH            ST</t>
        </is>
      </c>
      <c r="G546" s="672" t="n">
        <v>47.2</v>
      </c>
      <c r="H546" s="253" t="n">
        <v>9506</v>
      </c>
      <c r="I546" s="255" t="n">
        <v>0</v>
      </c>
      <c r="J546" s="678" t="n">
        <v>4000</v>
      </c>
      <c r="K546" s="679" t="n">
        <v>6.3175</v>
      </c>
      <c r="L546" s="260" t="n">
        <v>0</v>
      </c>
      <c r="M546" s="262" t="n">
        <v>0.09232291254451919</v>
      </c>
      <c r="N546" s="253" t="n">
        <v>1956</v>
      </c>
      <c r="O546" s="250" t="n">
        <v>200</v>
      </c>
      <c r="Q546" s="245" t="n">
        <v>14</v>
      </c>
      <c r="R546" s="245" t="n">
        <v>1</v>
      </c>
      <c r="S546" s="245" t="n">
        <v>1</v>
      </c>
      <c r="T546" s="249" t="inlineStr">
        <is>
          <t xml:space="preserve">I1   </t>
        </is>
      </c>
      <c r="U546" s="249" t="n">
        <v>401</v>
      </c>
      <c r="V546" s="678" t="n">
        <v>12500</v>
      </c>
      <c r="W546" s="678" t="n">
        <v>13000</v>
      </c>
      <c r="X546" s="356" t="inlineStr">
        <is>
          <t>3.1:1</t>
        </is>
      </c>
      <c r="Y546" s="678" t="n">
        <v>4000</v>
      </c>
      <c r="Z546" s="249" t="inlineStr">
        <is>
          <t xml:space="preserve">C </t>
        </is>
      </c>
      <c r="AC546" s="253" t="n"/>
      <c r="AD546" s="247" t="inlineStr">
        <is>
          <t xml:space="preserve">S-F ELEMER'S MANUF. </t>
        </is>
      </c>
      <c r="AE546" s="680" t="n"/>
      <c r="AF546" s="680" t="n"/>
      <c r="AG546" s="680" t="n"/>
      <c r="AH546" s="680" t="n"/>
      <c r="AI546" s="680" t="n"/>
      <c r="AJ546" s="680" t="n"/>
      <c r="AK546" s="680" t="inlineStr">
        <is>
          <t>                                                                  </t>
        </is>
      </c>
      <c r="AM546" s="245" t="inlineStr">
        <is>
          <t> </t>
        </is>
      </c>
    </row>
    <row r="547">
      <c r="A547" s="248" t="n">
        <v>7</v>
      </c>
      <c r="B547" s="370" t="n">
        <v>539</v>
      </c>
      <c r="C547" s="254" t="inlineStr">
        <is>
          <t>2011Q</t>
        </is>
      </c>
      <c r="D547" s="245" t="inlineStr">
        <is>
          <t xml:space="preserve">05281-14-029-000 </t>
        </is>
      </c>
      <c r="E547" s="258" t="inlineStr">
        <is>
          <t>Actual</t>
        </is>
      </c>
      <c r="F547" s="259" t="inlineStr">
        <is>
          <t>2121 S JASON               ST</t>
        </is>
      </c>
      <c r="G547" s="253" t="n">
        <v>44.1</v>
      </c>
      <c r="H547" s="253" t="n">
        <v>9506</v>
      </c>
      <c r="I547" s="255" t="n">
        <v>0</v>
      </c>
      <c r="J547" s="678" t="n">
        <v>4000</v>
      </c>
      <c r="K547" s="679" t="n">
        <v>12</v>
      </c>
      <c r="L547" s="260" t="n">
        <v>0</v>
      </c>
      <c r="M547" s="262" t="n">
        <v>0</v>
      </c>
      <c r="N547" s="253" t="n">
        <v>1972</v>
      </c>
      <c r="O547" s="250" t="n">
        <v>0</v>
      </c>
      <c r="Q547" s="245" t="n">
        <v>0</v>
      </c>
      <c r="S547" s="245" t="n">
        <v>0</v>
      </c>
      <c r="T547" s="249" t="inlineStr">
        <is>
          <t xml:space="preserve">I1   </t>
        </is>
      </c>
      <c r="U547" s="249" t="n">
        <v>397</v>
      </c>
      <c r="V547" s="678" t="n">
        <v>6250</v>
      </c>
      <c r="W547" s="678" t="n">
        <v>6000</v>
      </c>
      <c r="X547" s="356" t="inlineStr">
        <is>
          <t>1.6:1</t>
        </is>
      </c>
      <c r="Y547" s="678" t="n">
        <v>4000</v>
      </c>
      <c r="Z547" s="249" t="inlineStr">
        <is>
          <t>C</t>
        </is>
      </c>
      <c r="AC547" s="253" t="n"/>
      <c r="AD547" s="247" t="inlineStr">
        <is>
          <t>                    </t>
        </is>
      </c>
      <c r="AE547" s="680" t="n"/>
      <c r="AF547" s="680" t="n"/>
      <c r="AG547" s="680" t="n"/>
      <c r="AH547" s="680" t="n"/>
      <c r="AI547" s="680" t="n"/>
      <c r="AJ547" s="680" t="n"/>
      <c r="AK547" s="680" t="inlineStr">
        <is>
          <t>                                                                  </t>
        </is>
      </c>
      <c r="AM547" s="245" t="inlineStr">
        <is>
          <t> </t>
        </is>
      </c>
    </row>
    <row r="548">
      <c r="A548" s="248" t="n">
        <v>7</v>
      </c>
      <c r="B548" s="370" t="n">
        <v>540</v>
      </c>
      <c r="C548" s="254" t="inlineStr">
        <is>
          <t>2011Q</t>
        </is>
      </c>
      <c r="D548" s="245" t="inlineStr">
        <is>
          <t xml:space="preserve">05281-15-013-000 </t>
        </is>
      </c>
      <c r="E548" s="258" t="inlineStr">
        <is>
          <t>Actual</t>
        </is>
      </c>
      <c r="F548" s="259" t="inlineStr">
        <is>
          <t>1130 W EVANS               AV</t>
        </is>
      </c>
      <c r="G548" s="672" t="n">
        <v>44.2</v>
      </c>
      <c r="H548" s="253" t="n">
        <v>9506</v>
      </c>
      <c r="I548" s="255" t="n">
        <v>0</v>
      </c>
      <c r="J548" s="678" t="n">
        <v>10010</v>
      </c>
      <c r="K548" s="679" t="n">
        <v>5.86933066933067</v>
      </c>
      <c r="L548" s="260" t="n">
        <v>0</v>
      </c>
      <c r="M548" s="262" t="n">
        <v>0.05284926470588235</v>
      </c>
      <c r="N548" s="253" t="n">
        <v>1961</v>
      </c>
      <c r="O548" s="250" t="n">
        <v>1135</v>
      </c>
      <c r="Q548" s="245" t="n">
        <v>14</v>
      </c>
      <c r="R548" s="245" t="n">
        <v>1</v>
      </c>
      <c r="S548" s="245" t="n">
        <v>1</v>
      </c>
      <c r="T548" s="249" t="inlineStr">
        <is>
          <t xml:space="preserve">I1   </t>
        </is>
      </c>
      <c r="U548" s="249" t="n">
        <v>397</v>
      </c>
      <c r="V548" s="678" t="n">
        <v>15625</v>
      </c>
      <c r="W548" s="678" t="n">
        <v>16000</v>
      </c>
      <c r="X548" s="356" t="inlineStr">
        <is>
          <t>1.6:1</t>
        </is>
      </c>
      <c r="Y548" s="678" t="n">
        <v>10000</v>
      </c>
      <c r="Z548" s="249" t="inlineStr">
        <is>
          <t xml:space="preserve">C </t>
        </is>
      </c>
      <c r="AC548" s="253" t="n"/>
      <c r="AD548" s="247" t="inlineStr">
        <is>
          <t>                    </t>
        </is>
      </c>
      <c r="AE548" s="680" t="n"/>
      <c r="AF548" s="680" t="n"/>
      <c r="AG548" s="680" t="n"/>
      <c r="AH548" s="680" t="n"/>
      <c r="AI548" s="680" t="n"/>
      <c r="AJ548" s="680" t="n"/>
      <c r="AK548" s="680" t="inlineStr">
        <is>
          <t>                                                                  </t>
        </is>
      </c>
      <c r="AM548" s="245" t="inlineStr">
        <is>
          <t> </t>
        </is>
      </c>
    </row>
    <row r="549">
      <c r="A549" s="248" t="n">
        <v>7</v>
      </c>
      <c r="B549" s="370" t="n">
        <v>541</v>
      </c>
      <c r="C549" s="254" t="inlineStr">
        <is>
          <t>2011Q</t>
        </is>
      </c>
      <c r="D549" s="245" t="inlineStr">
        <is>
          <t xml:space="preserve">05281-16-001-000 </t>
        </is>
      </c>
      <c r="E549" s="258" t="inlineStr">
        <is>
          <t>Actual</t>
        </is>
      </c>
      <c r="F549" s="259" t="inlineStr">
        <is>
          <t>2201 S KALAMATH            ST</t>
        </is>
      </c>
      <c r="G549" s="253" t="n">
        <v>44.1</v>
      </c>
      <c r="H549" s="253" t="n">
        <v>9506</v>
      </c>
      <c r="I549" s="255" t="n">
        <v>0</v>
      </c>
      <c r="J549" s="678" t="n">
        <v>5000</v>
      </c>
      <c r="K549" s="679" t="n">
        <v>6</v>
      </c>
      <c r="L549" s="260" t="n">
        <v>0</v>
      </c>
      <c r="M549" s="262" t="n">
        <v>0.1080333333333333</v>
      </c>
      <c r="N549" s="253" t="n">
        <v>1966</v>
      </c>
      <c r="O549" s="250" t="n">
        <v>521</v>
      </c>
      <c r="Q549" s="245" t="n">
        <v>14</v>
      </c>
      <c r="R549" s="245" t="n">
        <v>3</v>
      </c>
      <c r="S549" s="245" t="n">
        <v>1</v>
      </c>
      <c r="T549" s="249" t="inlineStr">
        <is>
          <t xml:space="preserve">I1   </t>
        </is>
      </c>
      <c r="U549" s="249" t="n">
        <v>397</v>
      </c>
      <c r="V549" s="678" t="n">
        <v>6250</v>
      </c>
      <c r="W549" s="678" t="n">
        <v>6000</v>
      </c>
      <c r="X549" s="356" t="inlineStr">
        <is>
          <t>1.3:1</t>
        </is>
      </c>
      <c r="Y549" s="678" t="n">
        <v>5000</v>
      </c>
      <c r="Z549" s="249" t="inlineStr">
        <is>
          <t xml:space="preserve">C </t>
        </is>
      </c>
      <c r="AC549" s="253" t="n"/>
      <c r="AD549" s="247" t="inlineStr">
        <is>
          <t xml:space="preserve">S-W EUROPEAN MARBLE </t>
        </is>
      </c>
      <c r="AE549" s="680" t="n"/>
      <c r="AF549" s="680" t="n"/>
      <c r="AG549" s="680" t="n"/>
      <c r="AH549" s="680" t="n"/>
      <c r="AI549" s="680" t="n"/>
      <c r="AJ549" s="680" t="n"/>
      <c r="AK549" s="680" t="inlineStr">
        <is>
          <t xml:space="preserve">2008 LEASE.                                                       </t>
        </is>
      </c>
      <c r="AM549" s="245" t="inlineStr">
        <is>
          <t> </t>
        </is>
      </c>
    </row>
    <row r="550">
      <c r="A550" s="248" t="n">
        <v>7</v>
      </c>
      <c r="B550" s="370" t="n">
        <v>542</v>
      </c>
      <c r="C550" s="254" t="inlineStr">
        <is>
          <t>2011Q</t>
        </is>
      </c>
      <c r="D550" s="245" t="inlineStr">
        <is>
          <t xml:space="preserve">05281-16-004-000 </t>
        </is>
      </c>
      <c r="E550" s="258" t="inlineStr">
        <is>
          <t>Actual</t>
        </is>
      </c>
      <c r="F550" s="259" t="inlineStr">
        <is>
          <t>2235 S KALAMATH            ST</t>
        </is>
      </c>
      <c r="G550" s="253" t="n">
        <v>44.1</v>
      </c>
      <c r="H550" s="253" t="n">
        <v>9506</v>
      </c>
      <c r="I550" s="255" t="n">
        <v>0</v>
      </c>
      <c r="J550" s="678" t="n">
        <v>5425</v>
      </c>
      <c r="K550" s="679" t="n">
        <v>7.741935483870968</v>
      </c>
      <c r="L550" s="260" t="n">
        <v>0</v>
      </c>
      <c r="M550" s="262" t="n">
        <v>0.08016666666666666</v>
      </c>
      <c r="N550" s="253" t="n">
        <v>1974</v>
      </c>
      <c r="O550" s="250" t="n">
        <v>1116</v>
      </c>
      <c r="Q550" s="245" t="n">
        <v>13</v>
      </c>
      <c r="R550" s="245" t="n">
        <v>8</v>
      </c>
      <c r="S550" s="245" t="n">
        <v>1</v>
      </c>
      <c r="T550" s="249" t="inlineStr">
        <is>
          <t xml:space="preserve">I1   </t>
        </is>
      </c>
      <c r="U550" s="249" t="n">
        <v>397</v>
      </c>
      <c r="V550" s="678" t="n">
        <v>12500</v>
      </c>
      <c r="W550" s="678" t="n">
        <v>13000</v>
      </c>
      <c r="X550" s="356" t="inlineStr">
        <is>
          <t>2.3:1</t>
        </is>
      </c>
      <c r="Y550" s="678" t="n">
        <v>5000</v>
      </c>
      <c r="Z550" s="249" t="inlineStr">
        <is>
          <t xml:space="preserve">C </t>
        </is>
      </c>
      <c r="AC550" s="253" t="n"/>
      <c r="AD550" s="247" t="inlineStr">
        <is>
          <t xml:space="preserve">SEAL MAXX           </t>
        </is>
      </c>
      <c r="AE550" s="680" t="n"/>
      <c r="AF550" s="680" t="n"/>
      <c r="AG550" s="680" t="n"/>
      <c r="AH550" s="680" t="n"/>
      <c r="AI550" s="680" t="n"/>
      <c r="AJ550" s="680" t="n"/>
      <c r="AK550" s="680" t="inlineStr">
        <is>
          <t xml:space="preserve">2008 LEASE.                                                       </t>
        </is>
      </c>
      <c r="AM550" s="245" t="inlineStr">
        <is>
          <t> </t>
        </is>
      </c>
    </row>
    <row r="551">
      <c r="A551" s="248" t="n">
        <v>7</v>
      </c>
      <c r="B551" s="370" t="n">
        <v>543</v>
      </c>
      <c r="C551" s="254" t="inlineStr">
        <is>
          <t>2011Q</t>
        </is>
      </c>
      <c r="D551" s="245" t="inlineStr">
        <is>
          <t xml:space="preserve">05281-17-024-000 </t>
        </is>
      </c>
      <c r="E551" s="258" t="inlineStr">
        <is>
          <t>Actual</t>
        </is>
      </c>
      <c r="F551" s="259" t="inlineStr">
        <is>
          <t>2240 S KALAMATH            ST</t>
        </is>
      </c>
      <c r="G551" s="672" t="n">
        <v>44.2</v>
      </c>
      <c r="H551" s="253" t="n">
        <v>9506</v>
      </c>
      <c r="I551" s="255" t="n">
        <v>0</v>
      </c>
      <c r="J551" s="678" t="n">
        <v>2000</v>
      </c>
      <c r="K551" s="679" t="n">
        <v>7.2</v>
      </c>
      <c r="L551" s="260" t="n">
        <v>0</v>
      </c>
      <c r="M551" s="262" t="n">
        <v>0.07916666666666666</v>
      </c>
      <c r="N551" s="253" t="n">
        <v>1962</v>
      </c>
      <c r="O551" s="250" t="n">
        <v>0</v>
      </c>
      <c r="Q551" s="245" t="n">
        <v>12</v>
      </c>
      <c r="R551" s="245" t="n">
        <v>3</v>
      </c>
      <c r="S551" s="245" t="n">
        <v>1</v>
      </c>
      <c r="T551" s="249" t="inlineStr">
        <is>
          <t xml:space="preserve">I1   </t>
        </is>
      </c>
      <c r="U551" s="249" t="n">
        <v>398</v>
      </c>
      <c r="V551" s="678" t="n">
        <v>12500</v>
      </c>
      <c r="W551" s="678" t="n">
        <v>13000</v>
      </c>
      <c r="X551" s="356" t="inlineStr">
        <is>
          <t>6.3:1</t>
        </is>
      </c>
      <c r="Y551" s="678" t="n">
        <v>2000</v>
      </c>
      <c r="Z551" s="249" t="inlineStr">
        <is>
          <t xml:space="preserve">C </t>
        </is>
      </c>
      <c r="AC551" s="253" t="n"/>
      <c r="AD551" s="247" t="inlineStr">
        <is>
          <t xml:space="preserve">S-W JT'S UPHOLSTERY </t>
        </is>
      </c>
      <c r="AE551" s="680" t="n"/>
      <c r="AF551" s="680" t="n"/>
      <c r="AG551" s="680" t="n"/>
      <c r="AH551" s="680" t="n"/>
      <c r="AI551" s="680" t="n"/>
      <c r="AJ551" s="680" t="n"/>
      <c r="AK551" s="680" t="inlineStr">
        <is>
          <t xml:space="preserve">2008 LEASE.                                                       </t>
        </is>
      </c>
      <c r="AM551" s="245" t="inlineStr">
        <is>
          <t> </t>
        </is>
      </c>
    </row>
    <row r="552">
      <c r="A552" s="248" t="n">
        <v>7</v>
      </c>
      <c r="B552" s="370" t="n">
        <v>544</v>
      </c>
      <c r="C552" s="254" t="inlineStr">
        <is>
          <t>2011Q</t>
        </is>
      </c>
      <c r="D552" s="245" t="inlineStr">
        <is>
          <t xml:space="preserve">05281-18-015-000 </t>
        </is>
      </c>
      <c r="E552" s="258" t="inlineStr">
        <is>
          <t>Actual</t>
        </is>
      </c>
      <c r="F552" s="259" t="inlineStr">
        <is>
          <t>2201 S PLATTE RIVER        DR</t>
        </is>
      </c>
      <c r="G552" s="672" t="inlineStr">
        <is>
          <t>44.M</t>
        </is>
      </c>
      <c r="H552" s="253" t="n">
        <v>9506</v>
      </c>
      <c r="I552" s="255" t="n">
        <v>0</v>
      </c>
      <c r="J552" s="678" t="n">
        <v>2490</v>
      </c>
      <c r="K552" s="679" t="n">
        <v>7.710843373493976</v>
      </c>
      <c r="L552" s="260" t="n">
        <v>0</v>
      </c>
      <c r="M552" s="262" t="n">
        <v>0</v>
      </c>
      <c r="N552" s="253" t="n">
        <v>1954</v>
      </c>
      <c r="O552" s="250" t="n">
        <v>0</v>
      </c>
      <c r="Q552" s="245" t="n">
        <v>10</v>
      </c>
      <c r="R552" s="245" t="n">
        <v>1</v>
      </c>
      <c r="S552" s="245" t="n">
        <v>1</v>
      </c>
      <c r="T552" s="249" t="inlineStr">
        <is>
          <t xml:space="preserve">I1   </t>
        </is>
      </c>
      <c r="U552" s="249" t="n">
        <v>398</v>
      </c>
      <c r="V552" s="678" t="n">
        <v>29660</v>
      </c>
      <c r="W552" s="678" t="n">
        <v>30000</v>
      </c>
      <c r="X552" s="356" t="inlineStr">
        <is>
          <t>11.9:1</t>
        </is>
      </c>
      <c r="Y552" s="678" t="n">
        <v>2000</v>
      </c>
      <c r="Z552" s="249" t="inlineStr">
        <is>
          <t xml:space="preserve">C </t>
        </is>
      </c>
      <c r="AC552" s="253" t="n"/>
      <c r="AD552" s="247" t="inlineStr">
        <is>
          <t>                    </t>
        </is>
      </c>
      <c r="AE552" s="680" t="n"/>
      <c r="AF552" s="680" t="n"/>
      <c r="AG552" s="680" t="n"/>
      <c r="AH552" s="680" t="n"/>
      <c r="AI552" s="680" t="n"/>
      <c r="AJ552" s="680" t="n"/>
      <c r="AK552" s="680" t="inlineStr">
        <is>
          <t>                                                                  </t>
        </is>
      </c>
      <c r="AM552" s="245" t="inlineStr">
        <is>
          <t> </t>
        </is>
      </c>
    </row>
    <row r="553">
      <c r="A553" s="248" t="n">
        <v>7</v>
      </c>
      <c r="B553" s="370" t="n">
        <v>545</v>
      </c>
      <c r="C553" s="254" t="inlineStr">
        <is>
          <t>2011Q</t>
        </is>
      </c>
      <c r="D553" s="245" t="inlineStr">
        <is>
          <t xml:space="preserve">05281-18-022-000 </t>
        </is>
      </c>
      <c r="E553" s="258" t="inlineStr">
        <is>
          <t>Actual</t>
        </is>
      </c>
      <c r="F553" s="259" t="inlineStr">
        <is>
          <t>2240 S JASON               ST</t>
        </is>
      </c>
      <c r="G553" s="253" t="n">
        <v>44.1</v>
      </c>
      <c r="H553" s="253" t="n">
        <v>9506</v>
      </c>
      <c r="I553" s="255" t="n">
        <v>0</v>
      </c>
      <c r="J553" s="678" t="n">
        <v>1360</v>
      </c>
      <c r="K553" s="679" t="n">
        <v>13.23529411764706</v>
      </c>
      <c r="L553" s="260" t="n">
        <v>0</v>
      </c>
      <c r="M553" s="262" t="n">
        <v>0</v>
      </c>
      <c r="N553" s="253" t="n">
        <v>1970</v>
      </c>
      <c r="O553" s="250" t="n">
        <v>200</v>
      </c>
      <c r="Q553" s="245" t="n">
        <v>12</v>
      </c>
      <c r="R553" s="245" t="n">
        <v>7</v>
      </c>
      <c r="S553" s="245" t="n">
        <v>1</v>
      </c>
      <c r="T553" s="249" t="inlineStr">
        <is>
          <t xml:space="preserve">I1   </t>
        </is>
      </c>
      <c r="U553" s="249" t="n">
        <v>398</v>
      </c>
      <c r="V553" s="678" t="n">
        <v>9975</v>
      </c>
      <c r="W553" s="678" t="n">
        <v>10000</v>
      </c>
      <c r="X553" s="356" t="inlineStr">
        <is>
          <t>7.3:1</t>
        </is>
      </c>
      <c r="Y553" s="678" t="n">
        <v>1000</v>
      </c>
      <c r="Z553" s="249" t="inlineStr">
        <is>
          <t xml:space="preserve">C </t>
        </is>
      </c>
      <c r="AC553" s="253" t="n"/>
      <c r="AD553" s="247" t="inlineStr">
        <is>
          <t xml:space="preserve">AA HIGH TECH AUTO   </t>
        </is>
      </c>
      <c r="AE553" s="680" t="n"/>
      <c r="AF553" s="680" t="n"/>
      <c r="AG553" s="680" t="n"/>
      <c r="AH553" s="680" t="n"/>
      <c r="AI553" s="680" t="n"/>
      <c r="AJ553" s="680" t="n"/>
      <c r="AK553" s="680" t="inlineStr">
        <is>
          <t xml:space="preserve">MONTH-TO-MONTH LEASE - COMMENCEMENT DATE UNKNOWN.                 </t>
        </is>
      </c>
      <c r="AM553" s="245" t="inlineStr">
        <is>
          <t> </t>
        </is>
      </c>
    </row>
    <row r="554">
      <c r="A554" s="248" t="n">
        <v>7</v>
      </c>
      <c r="B554" s="370" t="n">
        <v>546</v>
      </c>
      <c r="C554" s="254" t="inlineStr">
        <is>
          <t>2011Q</t>
        </is>
      </c>
      <c r="D554" s="245" t="inlineStr">
        <is>
          <t xml:space="preserve">05281-18-036-000 </t>
        </is>
      </c>
      <c r="E554" s="258" t="inlineStr">
        <is>
          <t>Actual</t>
        </is>
      </c>
      <c r="F554" s="259" t="inlineStr">
        <is>
          <t>905 W ILIFF               AV</t>
        </is>
      </c>
      <c r="G554" s="672" t="n">
        <v>44.2</v>
      </c>
      <c r="H554" s="253" t="n">
        <v>9506</v>
      </c>
      <c r="I554" s="255" t="n">
        <v>0</v>
      </c>
      <c r="J554" s="678" t="n">
        <v>5500</v>
      </c>
      <c r="K554" s="679" t="n">
        <v>4.8</v>
      </c>
      <c r="L554" s="260" t="n">
        <v>0</v>
      </c>
      <c r="M554" s="262" t="n">
        <v>0</v>
      </c>
      <c r="N554" s="253" t="n">
        <v>1982</v>
      </c>
      <c r="O554" s="250" t="n">
        <v>1500</v>
      </c>
      <c r="Q554" s="245" t="n">
        <v>19</v>
      </c>
      <c r="R554" s="245" t="n">
        <v>7</v>
      </c>
      <c r="S554" s="245" t="n">
        <v>1</v>
      </c>
      <c r="T554" s="249" t="inlineStr">
        <is>
          <t xml:space="preserve">I1   </t>
        </is>
      </c>
      <c r="U554" s="249" t="n">
        <v>398</v>
      </c>
      <c r="V554" s="678" t="n">
        <v>29925</v>
      </c>
      <c r="W554" s="678" t="n">
        <v>30000</v>
      </c>
      <c r="X554" s="356" t="inlineStr">
        <is>
          <t>2.3:1</t>
        </is>
      </c>
      <c r="Y554" s="678" t="n">
        <v>6000</v>
      </c>
      <c r="Z554" s="249" t="inlineStr">
        <is>
          <t xml:space="preserve">C </t>
        </is>
      </c>
      <c r="AC554" s="253" t="n"/>
      <c r="AD554" s="247" t="inlineStr">
        <is>
          <t>                    </t>
        </is>
      </c>
      <c r="AE554" s="680" t="n"/>
      <c r="AF554" s="680" t="n"/>
      <c r="AG554" s="680" t="n"/>
      <c r="AH554" s="680" t="n"/>
      <c r="AI554" s="680" t="n"/>
      <c r="AJ554" s="680" t="n"/>
      <c r="AK554" s="680" t="inlineStr">
        <is>
          <t>                                                                  </t>
        </is>
      </c>
      <c r="AM554" s="245" t="inlineStr">
        <is>
          <t> </t>
        </is>
      </c>
    </row>
    <row r="555">
      <c r="A555" s="248" t="n">
        <v>7</v>
      </c>
      <c r="B555" s="370" t="n">
        <v>547</v>
      </c>
      <c r="C555" s="254" t="inlineStr">
        <is>
          <t>2011Q</t>
        </is>
      </c>
      <c r="D555" s="245" t="inlineStr">
        <is>
          <t xml:space="preserve">05282-11-010-000 </t>
        </is>
      </c>
      <c r="E555" s="258" t="inlineStr">
        <is>
          <t>Actual</t>
        </is>
      </c>
      <c r="F555" s="259" t="inlineStr">
        <is>
          <t>1801 W EVANS               AV</t>
        </is>
      </c>
      <c r="G555" s="672" t="n">
        <v>44.2</v>
      </c>
      <c r="H555" s="253" t="n">
        <v>9506</v>
      </c>
      <c r="I555" s="255" t="n">
        <v>0</v>
      </c>
      <c r="J555" s="678" t="n">
        <v>1784</v>
      </c>
      <c r="K555" s="679" t="n">
        <v>9.080717488789238</v>
      </c>
      <c r="L555" s="260" t="n">
        <v>0</v>
      </c>
      <c r="M555" s="262" t="n">
        <v>0.354320987654321</v>
      </c>
      <c r="N555" s="253" t="n">
        <v>1980</v>
      </c>
      <c r="O555" s="250" t="n">
        <v>2205</v>
      </c>
      <c r="Q555" s="245" t="n">
        <v>19</v>
      </c>
      <c r="R555" s="245" t="n">
        <v>3</v>
      </c>
      <c r="S555" s="245" t="n">
        <v>1</v>
      </c>
      <c r="T555" s="249" t="inlineStr">
        <is>
          <t xml:space="preserve">PUD  </t>
        </is>
      </c>
      <c r="U555" s="249" t="n">
        <v>398</v>
      </c>
      <c r="V555" s="678" t="n">
        <v>15960</v>
      </c>
      <c r="W555" s="678" t="n">
        <v>16000</v>
      </c>
      <c r="X555" s="356" t="inlineStr">
        <is>
          <t>2.2:1</t>
        </is>
      </c>
      <c r="Y555" s="678" t="n">
        <v>2000</v>
      </c>
      <c r="Z555" s="249" t="inlineStr">
        <is>
          <t xml:space="preserve">C </t>
        </is>
      </c>
      <c r="AC555" s="253" t="n"/>
      <c r="AD555" s="247" t="inlineStr">
        <is>
          <t>VOLVO PARTS &amp; SERVCE</t>
        </is>
      </c>
      <c r="AE555" s="680" t="n"/>
      <c r="AF555" s="680" t="n"/>
      <c r="AG555" s="680" t="n"/>
      <c r="AH555" s="680" t="n"/>
      <c r="AI555" s="680" t="n"/>
      <c r="AJ555" s="680" t="n"/>
      <c r="AK555" s="680" t="inlineStr">
        <is>
          <t xml:space="preserve">MO-TO-MO LEASE FOR 1,784 SQ FT OUT OF 7,094 SQ FT BLDG.           </t>
        </is>
      </c>
      <c r="AM555" s="245" t="inlineStr">
        <is>
          <t> </t>
        </is>
      </c>
    </row>
    <row r="556">
      <c r="A556" s="248" t="n">
        <v>7</v>
      </c>
      <c r="B556" s="370" t="n">
        <v>548</v>
      </c>
      <c r="C556" s="254" t="inlineStr">
        <is>
          <t>2011Q</t>
        </is>
      </c>
      <c r="D556" s="245" t="inlineStr">
        <is>
          <t xml:space="preserve">05284-02-010-000 </t>
        </is>
      </c>
      <c r="E556" s="258" t="inlineStr">
        <is>
          <t>Actual</t>
        </is>
      </c>
      <c r="F556" s="259" t="inlineStr">
        <is>
          <t>2301 S INCA                ST</t>
        </is>
      </c>
      <c r="G556" s="253" t="n">
        <v>44.1</v>
      </c>
      <c r="H556" s="253" t="n">
        <v>9506</v>
      </c>
      <c r="I556" s="255" t="n">
        <v>0</v>
      </c>
      <c r="J556" s="678" t="n">
        <v>10005</v>
      </c>
      <c r="K556" s="679" t="n">
        <v>5.75712143928036</v>
      </c>
      <c r="L556" s="260" t="n">
        <v>0</v>
      </c>
      <c r="M556" s="262" t="n">
        <v>0.02239583333333333</v>
      </c>
      <c r="N556" s="253" t="n">
        <v>1965</v>
      </c>
      <c r="O556" s="250" t="n">
        <v>2142</v>
      </c>
      <c r="P556" s="250" t="n">
        <v>1188</v>
      </c>
      <c r="Q556" s="245" t="n">
        <v>13</v>
      </c>
      <c r="R556" s="245" t="n">
        <v>1</v>
      </c>
      <c r="S556" s="245" t="n">
        <v>1</v>
      </c>
      <c r="T556" s="249" t="inlineStr">
        <is>
          <t xml:space="preserve">I1   </t>
        </is>
      </c>
      <c r="U556" s="249" t="n">
        <v>398</v>
      </c>
      <c r="V556" s="678" t="n">
        <v>12500</v>
      </c>
      <c r="W556" s="678" t="n">
        <v>13000</v>
      </c>
      <c r="X556" s="356" t="inlineStr">
        <is>
          <t>1.2:1</t>
        </is>
      </c>
      <c r="Y556" s="678" t="n">
        <v>10000</v>
      </c>
      <c r="Z556" s="249" t="inlineStr">
        <is>
          <t>C+</t>
        </is>
      </c>
      <c r="AC556" s="253" t="n"/>
      <c r="AD556" s="247" t="inlineStr">
        <is>
          <t xml:space="preserve">S-D STRUBLE         </t>
        </is>
      </c>
      <c r="AE556" s="680" t="n"/>
      <c r="AF556" s="680" t="n"/>
      <c r="AG556" s="680" t="n"/>
      <c r="AH556" s="680" t="n"/>
      <c r="AI556" s="680" t="n"/>
      <c r="AJ556" s="680" t="n"/>
      <c r="AK556" s="680" t="inlineStr">
        <is>
          <t xml:space="preserve">2008 LEASE.                                                       </t>
        </is>
      </c>
      <c r="AM556" s="245" t="inlineStr">
        <is>
          <t> </t>
        </is>
      </c>
    </row>
    <row r="557">
      <c r="A557" s="248" t="n">
        <v>7</v>
      </c>
      <c r="B557" s="370" t="n">
        <v>549</v>
      </c>
      <c r="C557" s="254" t="inlineStr">
        <is>
          <t>2011Q</t>
        </is>
      </c>
      <c r="D557" s="245" t="inlineStr">
        <is>
          <t xml:space="preserve">05284-02-031-000 </t>
        </is>
      </c>
      <c r="E557" s="258" t="inlineStr">
        <is>
          <t>Actual</t>
        </is>
      </c>
      <c r="F557" s="259" t="inlineStr">
        <is>
          <t>2335 S INCA                ST</t>
        </is>
      </c>
      <c r="G557" s="672" t="n">
        <v>44.2</v>
      </c>
      <c r="H557" s="253" t="n">
        <v>9506</v>
      </c>
      <c r="I557" s="255" t="n">
        <v>0</v>
      </c>
      <c r="J557" s="678" t="n">
        <v>10073</v>
      </c>
      <c r="K557" s="679" t="n">
        <v>3.46470763426983</v>
      </c>
      <c r="L557" s="260" t="n">
        <v>0</v>
      </c>
      <c r="M557" s="262" t="n">
        <v>0.09169054441260745</v>
      </c>
      <c r="N557" s="253" t="n">
        <v>1973</v>
      </c>
      <c r="O557" s="250" t="n">
        <v>2805</v>
      </c>
      <c r="Q557" s="245" t="n">
        <v>12</v>
      </c>
      <c r="R557" s="245" t="n">
        <v>1</v>
      </c>
      <c r="S557" s="245" t="n">
        <v>1</v>
      </c>
      <c r="T557" s="249" t="inlineStr">
        <is>
          <t xml:space="preserve">I1   </t>
        </is>
      </c>
      <c r="U557" s="249" t="n">
        <v>398</v>
      </c>
      <c r="V557" s="678" t="n">
        <v>12500</v>
      </c>
      <c r="W557" s="678" t="n">
        <v>13000</v>
      </c>
      <c r="X557" s="356" t="inlineStr">
        <is>
          <t>1.2:1</t>
        </is>
      </c>
      <c r="Y557" s="678" t="n">
        <v>10000</v>
      </c>
      <c r="Z557" s="249" t="inlineStr">
        <is>
          <t xml:space="preserve">C </t>
        </is>
      </c>
      <c r="AC557" s="253" t="n"/>
      <c r="AD557" s="247" t="inlineStr">
        <is>
          <t>LAUNDRY/DRY CLEANERS</t>
        </is>
      </c>
      <c r="AE557" s="680" t="n"/>
      <c r="AF557" s="680" t="n"/>
      <c r="AG557" s="680" t="n"/>
      <c r="AH557" s="680" t="n"/>
      <c r="AI557" s="680" t="n"/>
      <c r="AJ557" s="680" t="n"/>
      <c r="AK557" s="680" t="inlineStr">
        <is>
          <t>                                                                  </t>
        </is>
      </c>
      <c r="AM557" s="245" t="inlineStr">
        <is>
          <t> </t>
        </is>
      </c>
    </row>
    <row r="558">
      <c r="A558" s="248" t="n">
        <v>7</v>
      </c>
      <c r="B558" s="370" t="n">
        <v>550</v>
      </c>
      <c r="C558" s="254" t="inlineStr">
        <is>
          <t>2011Q</t>
        </is>
      </c>
      <c r="D558" s="245" t="inlineStr">
        <is>
          <t xml:space="preserve">05284-03-018-000 </t>
        </is>
      </c>
      <c r="E558" s="258" t="inlineStr">
        <is>
          <t>Actual</t>
        </is>
      </c>
      <c r="F558" s="259" t="inlineStr">
        <is>
          <t>2390 S KALAMATH            ST</t>
        </is>
      </c>
      <c r="G558" s="672" t="n">
        <v>44.2</v>
      </c>
      <c r="H558" s="253" t="n">
        <v>9506</v>
      </c>
      <c r="I558" s="255" t="n">
        <v>0</v>
      </c>
      <c r="J558" s="678" t="n">
        <v>6000</v>
      </c>
      <c r="K558" s="679" t="n">
        <v>6.3</v>
      </c>
      <c r="L558" s="260" t="n">
        <v>0</v>
      </c>
      <c r="M558" s="262" t="n">
        <v>0.2948677248677249</v>
      </c>
      <c r="N558" s="253" t="n">
        <v>1973</v>
      </c>
      <c r="O558" s="250" t="n">
        <v>1440</v>
      </c>
      <c r="Q558" s="245" t="n">
        <v>14</v>
      </c>
      <c r="R558" s="245" t="n">
        <v>1</v>
      </c>
      <c r="S558" s="245" t="n">
        <v>1</v>
      </c>
      <c r="T558" s="249" t="inlineStr">
        <is>
          <t xml:space="preserve">I1   </t>
        </is>
      </c>
      <c r="U558" s="249" t="n">
        <v>398</v>
      </c>
      <c r="V558" s="678" t="n">
        <v>18750</v>
      </c>
      <c r="W558" s="678" t="n">
        <v>19000</v>
      </c>
      <c r="X558" s="356" t="inlineStr">
        <is>
          <t>1.6:1</t>
        </is>
      </c>
      <c r="Y558" s="678" t="n">
        <v>6000</v>
      </c>
      <c r="Z558" s="249" t="inlineStr">
        <is>
          <t xml:space="preserve">C </t>
        </is>
      </c>
      <c r="AC558" s="253" t="n"/>
      <c r="AD558" s="247" t="inlineStr">
        <is>
          <t>                    </t>
        </is>
      </c>
      <c r="AE558" s="680" t="n"/>
      <c r="AF558" s="680" t="n"/>
      <c r="AG558" s="680" t="n"/>
      <c r="AH558" s="680" t="n"/>
      <c r="AI558" s="680" t="n"/>
      <c r="AJ558" s="680" t="n"/>
      <c r="AK558" s="680" t="inlineStr">
        <is>
          <t xml:space="preserve">6000 SF OF 12000 SF BLDG. LEASED.                                 </t>
        </is>
      </c>
      <c r="AM558" s="245" t="inlineStr">
        <is>
          <t> </t>
        </is>
      </c>
    </row>
    <row r="559">
      <c r="A559" s="248" t="n">
        <v>7</v>
      </c>
      <c r="B559" s="370" t="n">
        <v>551</v>
      </c>
      <c r="C559" s="254" t="inlineStr">
        <is>
          <t>2011Q</t>
        </is>
      </c>
      <c r="D559" s="245" t="inlineStr">
        <is>
          <t xml:space="preserve">05284-03-019-000 </t>
        </is>
      </c>
      <c r="E559" s="258" t="inlineStr">
        <is>
          <t>Actual</t>
        </is>
      </c>
      <c r="F559" s="259" t="inlineStr">
        <is>
          <t>2340 S KALAMATH            ST</t>
        </is>
      </c>
      <c r="G559" s="672" t="n">
        <v>44.2</v>
      </c>
      <c r="H559" s="253" t="n">
        <v>9506</v>
      </c>
      <c r="I559" s="255" t="n">
        <v>0</v>
      </c>
      <c r="J559" s="678" t="n">
        <v>4000</v>
      </c>
      <c r="K559" s="679" t="n">
        <v>6.45</v>
      </c>
      <c r="L559" s="260" t="n">
        <v>0</v>
      </c>
      <c r="M559" s="262" t="n">
        <v>0.1795348837209302</v>
      </c>
      <c r="N559" s="253" t="n">
        <v>1973</v>
      </c>
      <c r="O559" s="250" t="n">
        <v>400</v>
      </c>
      <c r="Q559" s="245" t="n">
        <v>14</v>
      </c>
      <c r="R559" s="245" t="n">
        <v>1</v>
      </c>
      <c r="S559" s="245" t="n">
        <v>2</v>
      </c>
      <c r="T559" s="249" t="inlineStr">
        <is>
          <t xml:space="preserve">I1   </t>
        </is>
      </c>
      <c r="U559" s="249" t="n">
        <v>398</v>
      </c>
      <c r="V559" s="678" t="n">
        <v>6250</v>
      </c>
      <c r="W559" s="678" t="n">
        <v>6000</v>
      </c>
      <c r="X559" s="356" t="inlineStr">
        <is>
          <t>1.6:1</t>
        </is>
      </c>
      <c r="Y559" s="678" t="n">
        <v>4000</v>
      </c>
      <c r="Z559" s="249" t="inlineStr">
        <is>
          <t xml:space="preserve">C </t>
        </is>
      </c>
      <c r="AC559" s="253" t="n"/>
      <c r="AD559" s="247" t="inlineStr">
        <is>
          <t xml:space="preserve">M-W                 </t>
        </is>
      </c>
      <c r="AE559" s="680" t="n"/>
      <c r="AF559" s="680" t="n"/>
      <c r="AG559" s="680" t="n"/>
      <c r="AH559" s="680" t="n"/>
      <c r="AI559" s="680" t="n"/>
      <c r="AJ559" s="680" t="n"/>
      <c r="AK559" s="680" t="inlineStr">
        <is>
          <t>                                                                  </t>
        </is>
      </c>
      <c r="AM559" s="245" t="inlineStr">
        <is>
          <t> </t>
        </is>
      </c>
    </row>
    <row r="560">
      <c r="A560" s="248" t="n">
        <v>7</v>
      </c>
      <c r="B560" s="370" t="n">
        <v>552</v>
      </c>
      <c r="C560" s="254" t="inlineStr">
        <is>
          <t>2011Q</t>
        </is>
      </c>
      <c r="D560" s="245" t="inlineStr">
        <is>
          <t xml:space="preserve">05294-00-003-000 </t>
        </is>
      </c>
      <c r="E560" s="258" t="inlineStr">
        <is>
          <t>Actual</t>
        </is>
      </c>
      <c r="F560" s="259" t="inlineStr">
        <is>
          <t>2920 W ILIFF               AV</t>
        </is>
      </c>
      <c r="G560" s="672" t="n">
        <v>47.1</v>
      </c>
      <c r="H560" s="253" t="n">
        <v>9506</v>
      </c>
      <c r="I560" s="255" t="n">
        <v>0</v>
      </c>
      <c r="J560" s="678" t="n">
        <v>3260</v>
      </c>
      <c r="K560" s="679" t="n">
        <v>4.969325153374233</v>
      </c>
      <c r="L560" s="260" t="n">
        <v>0</v>
      </c>
      <c r="M560" s="262" t="n">
        <v>0.4382716049382716</v>
      </c>
      <c r="N560" s="253" t="n">
        <v>1970</v>
      </c>
      <c r="O560" s="250" t="n">
        <v>180</v>
      </c>
      <c r="Q560" s="245" t="n">
        <v>14</v>
      </c>
      <c r="R560" s="245" t="n">
        <v>14</v>
      </c>
      <c r="S560" s="245" t="n">
        <v>1</v>
      </c>
      <c r="T560" s="249" t="inlineStr">
        <is>
          <t xml:space="preserve">B4   </t>
        </is>
      </c>
      <c r="U560" s="249" t="n">
        <v>401</v>
      </c>
      <c r="V560" s="678" t="n">
        <v>14704</v>
      </c>
      <c r="W560" s="678" t="n">
        <v>15000</v>
      </c>
      <c r="X560" s="356" t="inlineStr">
        <is>
          <t>4.5:1</t>
        </is>
      </c>
      <c r="Y560" s="678" t="n">
        <v>3000</v>
      </c>
      <c r="Z560" s="249" t="inlineStr">
        <is>
          <t xml:space="preserve">C </t>
        </is>
      </c>
      <c r="AC560" s="253" t="n"/>
      <c r="AD560" s="247" t="inlineStr">
        <is>
          <t xml:space="preserve">MB MARBLE &amp; TILE    </t>
        </is>
      </c>
      <c r="AE560" s="680" t="n"/>
      <c r="AF560" s="680" t="n"/>
      <c r="AG560" s="680" t="n"/>
      <c r="AH560" s="680" t="n"/>
      <c r="AI560" s="680" t="n"/>
      <c r="AJ560" s="680" t="n"/>
      <c r="AK560" s="680" t="inlineStr">
        <is>
          <t xml:space="preserve">2008 LEASE.                                                       </t>
        </is>
      </c>
      <c r="AM560" s="245" t="inlineStr">
        <is>
          <t> </t>
        </is>
      </c>
    </row>
    <row r="561">
      <c r="A561" s="248" t="n">
        <v>7</v>
      </c>
      <c r="B561" s="370" t="n">
        <v>553</v>
      </c>
      <c r="C561" s="254" t="inlineStr">
        <is>
          <t>2011Q</t>
        </is>
      </c>
      <c r="D561" s="245" t="inlineStr">
        <is>
          <t xml:space="preserve">06041-08-020-000 </t>
        </is>
      </c>
      <c r="E561" s="258" t="inlineStr">
        <is>
          <t>Actual</t>
        </is>
      </c>
      <c r="F561" s="259" t="inlineStr">
        <is>
          <t>1420   ULSTER              ST</t>
        </is>
      </c>
      <c r="G561" s="253" t="n">
        <v>44.1</v>
      </c>
      <c r="H561" s="253" t="n">
        <v>9601</v>
      </c>
      <c r="I561" s="255" t="n">
        <v>0</v>
      </c>
      <c r="J561" s="678" t="n">
        <v>1500</v>
      </c>
      <c r="K561" s="679" t="n">
        <v>4.8</v>
      </c>
      <c r="L561" s="260" t="n">
        <v>0</v>
      </c>
      <c r="M561" s="262" t="n">
        <v>0</v>
      </c>
      <c r="N561" s="253" t="n">
        <v>1949</v>
      </c>
      <c r="O561" s="250" t="n">
        <v>0</v>
      </c>
      <c r="P561" s="250" t="n">
        <v>703</v>
      </c>
      <c r="Q561" s="245" t="n">
        <v>10</v>
      </c>
      <c r="R561" s="245" t="n">
        <v>7</v>
      </c>
      <c r="S561" s="245" t="n">
        <v>1</v>
      </c>
      <c r="T561" s="249" t="inlineStr">
        <is>
          <t xml:space="preserve">MS1  </t>
        </is>
      </c>
      <c r="U561" s="249" t="n">
        <v>398</v>
      </c>
      <c r="V561" s="678" t="n">
        <v>12200</v>
      </c>
      <c r="W561" s="678" t="n">
        <v>12000</v>
      </c>
      <c r="X561" s="356" t="inlineStr">
        <is>
          <t>2.8:1</t>
        </is>
      </c>
      <c r="Y561" s="678" t="n">
        <v>2000</v>
      </c>
      <c r="Z561" s="249" t="inlineStr">
        <is>
          <t xml:space="preserve">C </t>
        </is>
      </c>
      <c r="AC561" s="253" t="n"/>
      <c r="AD561" s="247" t="inlineStr">
        <is>
          <t xml:space="preserve">1426 ULSTER ST      </t>
        </is>
      </c>
      <c r="AE561" s="680" t="n"/>
      <c r="AF561" s="680" t="n"/>
      <c r="AG561" s="680" t="n"/>
      <c r="AH561" s="680" t="n"/>
      <c r="AI561" s="680" t="n"/>
      <c r="AJ561" s="680" t="n"/>
      <c r="AK561" s="680" t="inlineStr">
        <is>
          <t xml:space="preserve">LEASE COVERS 1500 SF OF 4377 SF BLDG.                             </t>
        </is>
      </c>
      <c r="AM561" s="245" t="inlineStr">
        <is>
          <t> </t>
        </is>
      </c>
    </row>
    <row r="562">
      <c r="A562" s="248" t="n">
        <v>7</v>
      </c>
      <c r="B562" s="370" t="n">
        <v>554</v>
      </c>
      <c r="C562" s="254" t="inlineStr">
        <is>
          <t>2011Q</t>
        </is>
      </c>
      <c r="D562" s="245" t="inlineStr">
        <is>
          <t xml:space="preserve">06041-08-021-000 </t>
        </is>
      </c>
      <c r="E562" s="258" t="inlineStr">
        <is>
          <t>Actual</t>
        </is>
      </c>
      <c r="F562" s="259" t="inlineStr">
        <is>
          <t>1414   ULSTER              ST</t>
        </is>
      </c>
      <c r="G562" s="672" t="n">
        <v>44.2</v>
      </c>
      <c r="H562" s="253" t="n">
        <v>9601</v>
      </c>
      <c r="I562" s="255" t="n">
        <v>0</v>
      </c>
      <c r="J562" s="678" t="n">
        <v>5978</v>
      </c>
      <c r="K562" s="679" t="n">
        <v>4.516560722649715</v>
      </c>
      <c r="L562" s="260" t="n">
        <v>0</v>
      </c>
      <c r="M562" s="262" t="n">
        <v>0</v>
      </c>
      <c r="N562" s="253" t="n">
        <v>1964</v>
      </c>
      <c r="O562" s="250" t="n">
        <v>0</v>
      </c>
      <c r="Q562" s="245" t="n">
        <v>10</v>
      </c>
      <c r="R562" s="245" t="n">
        <v>3</v>
      </c>
      <c r="S562" s="245" t="n">
        <v>2</v>
      </c>
      <c r="T562" s="249" t="inlineStr">
        <is>
          <t xml:space="preserve">MS1  </t>
        </is>
      </c>
      <c r="U562" s="249" t="n">
        <v>398</v>
      </c>
      <c r="V562" s="678" t="n">
        <v>12200</v>
      </c>
      <c r="W562" s="678" t="n">
        <v>12000</v>
      </c>
      <c r="X562" s="356" t="inlineStr">
        <is>
          <t>2.0:1</t>
        </is>
      </c>
      <c r="Y562" s="678" t="n">
        <v>6000</v>
      </c>
      <c r="Z562" s="249" t="inlineStr">
        <is>
          <t xml:space="preserve">C </t>
        </is>
      </c>
      <c r="AC562" s="253" t="n"/>
      <c r="AD562" s="247" t="inlineStr">
        <is>
          <t>                    </t>
        </is>
      </c>
      <c r="AE562" s="680" t="n"/>
      <c r="AF562" s="680" t="n"/>
      <c r="AG562" s="680" t="n"/>
      <c r="AH562" s="680" t="n"/>
      <c r="AI562" s="680" t="n"/>
      <c r="AJ562" s="680" t="n"/>
      <c r="AK562" s="680" t="inlineStr">
        <is>
          <t>LEASE COMMENCEMENT UNKNOWN - MAY BE 2008 OR 2009.LOT OF ASSUMPT'NS</t>
        </is>
      </c>
      <c r="AM562" s="245" t="inlineStr">
        <is>
          <t> </t>
        </is>
      </c>
    </row>
    <row r="563">
      <c r="A563" s="248" t="n">
        <v>7</v>
      </c>
      <c r="B563" s="370" t="n">
        <v>555</v>
      </c>
      <c r="C563" s="254" t="inlineStr">
        <is>
          <t>2011Q</t>
        </is>
      </c>
      <c r="D563" s="245" t="inlineStr">
        <is>
          <t xml:space="preserve">06172-00-031-000 </t>
        </is>
      </c>
      <c r="E563" s="258" t="inlineStr">
        <is>
          <t>Actual</t>
        </is>
      </c>
      <c r="F563" s="259" t="inlineStr">
        <is>
          <t>6150   LEETSDALE           DR</t>
        </is>
      </c>
      <c r="G563" s="672" t="n">
        <v>44.5</v>
      </c>
      <c r="H563" s="253" t="n">
        <v>9602</v>
      </c>
      <c r="I563" s="255" t="n">
        <v>9</v>
      </c>
      <c r="J563" s="678" t="n">
        <v>75160</v>
      </c>
      <c r="K563" s="679" t="n">
        <v>10.11617881852049</v>
      </c>
      <c r="L563" s="260" t="n">
        <v>0</v>
      </c>
      <c r="M563" s="262" t="n">
        <v>0.2562104449109073</v>
      </c>
      <c r="N563" s="253" t="n">
        <v>2006</v>
      </c>
      <c r="O563" s="250" t="n">
        <v>0</v>
      </c>
      <c r="Q563" s="245" t="n">
        <v>18</v>
      </c>
      <c r="R563" s="245" t="n">
        <v>3</v>
      </c>
      <c r="S563" s="245" t="n">
        <v>651</v>
      </c>
      <c r="T563" s="249" t="inlineStr">
        <is>
          <t xml:space="preserve">PUD  </t>
        </is>
      </c>
      <c r="U563" s="249" t="n">
        <v>396</v>
      </c>
      <c r="V563" s="678" t="n">
        <v>95897</v>
      </c>
      <c r="W563" s="678" t="n">
        <v>96000</v>
      </c>
      <c r="X563" s="356" t="inlineStr">
        <is>
          <t>1.3:1</t>
        </is>
      </c>
      <c r="Y563" s="678" t="n">
        <v>75000</v>
      </c>
      <c r="Z563" s="249" t="inlineStr">
        <is>
          <t xml:space="preserve">B </t>
        </is>
      </c>
      <c r="AC563" s="253" t="n"/>
      <c r="AD563" s="247" t="inlineStr">
        <is>
          <t xml:space="preserve">UN'TED STGE LTSDALE </t>
        </is>
      </c>
      <c r="AE563" s="680" t="n"/>
      <c r="AF563" s="680" t="n"/>
      <c r="AG563" s="680" t="n"/>
      <c r="AH563" s="680" t="n"/>
      <c r="AI563" s="680" t="n"/>
      <c r="AJ563" s="680" t="n"/>
      <c r="AK563" s="680" t="inlineStr">
        <is>
          <t>                                                                  </t>
        </is>
      </c>
      <c r="AM563" s="245" t="inlineStr">
        <is>
          <t> </t>
        </is>
      </c>
    </row>
    <row r="564">
      <c r="A564" s="248" t="n">
        <v>7</v>
      </c>
      <c r="B564" s="370" t="n">
        <v>556</v>
      </c>
      <c r="C564" s="254" t="inlineStr">
        <is>
          <t>2011Q</t>
        </is>
      </c>
      <c r="D564" s="245" t="inlineStr">
        <is>
          <t xml:space="preserve">06282-01-003-000 </t>
        </is>
      </c>
      <c r="E564" s="258" t="inlineStr">
        <is>
          <t>Actual</t>
        </is>
      </c>
      <c r="F564" s="259" t="inlineStr">
        <is>
          <t>7450 E JEWELL              AV</t>
        </is>
      </c>
      <c r="G564" s="672" t="n">
        <v>44.2</v>
      </c>
      <c r="H564" s="253" t="n">
        <v>9603</v>
      </c>
      <c r="I564" s="255" t="n">
        <v>0</v>
      </c>
      <c r="J564" s="678" t="n">
        <v>3400</v>
      </c>
      <c r="K564" s="679" t="n">
        <v>8.84</v>
      </c>
      <c r="L564" s="260" t="n">
        <v>0</v>
      </c>
      <c r="M564" s="262" t="n">
        <v>0.1080982166622305</v>
      </c>
      <c r="N564" s="253" t="n">
        <v>1977</v>
      </c>
      <c r="O564" s="250" t="n">
        <v>8901</v>
      </c>
      <c r="Q564" s="245" t="n">
        <v>19</v>
      </c>
      <c r="R564" s="245" t="n">
        <v>10</v>
      </c>
      <c r="S564" s="245" t="n">
        <v>3</v>
      </c>
      <c r="T564" s="249" t="inlineStr">
        <is>
          <t xml:space="preserve">I1   </t>
        </is>
      </c>
      <c r="U564" s="249" t="n">
        <v>398</v>
      </c>
      <c r="V564" s="678" t="n">
        <v>41625</v>
      </c>
      <c r="W564" s="678" t="n">
        <v>42000</v>
      </c>
      <c r="X564" s="356" t="inlineStr">
        <is>
          <t>2.4:1</t>
        </is>
      </c>
      <c r="Y564" s="678" t="n">
        <v>3000</v>
      </c>
      <c r="Z564" s="249" t="inlineStr">
        <is>
          <t xml:space="preserve">C </t>
        </is>
      </c>
      <c r="AC564" s="253" t="n"/>
      <c r="AD564" s="247" t="inlineStr">
        <is>
          <t xml:space="preserve">WAREHOUSE           </t>
        </is>
      </c>
      <c r="AE564" s="680" t="n"/>
      <c r="AF564" s="680" t="n"/>
      <c r="AG564" s="680" t="n"/>
      <c r="AH564" s="680" t="n"/>
      <c r="AI564" s="680" t="n"/>
      <c r="AJ564" s="680" t="n"/>
      <c r="AK564" s="680" t="inlineStr">
        <is>
          <t xml:space="preserve">BASE PEROD LEASE = 3400 SF OF 17,092 SF BLDG.                     </t>
        </is>
      </c>
      <c r="AM564" s="245" t="inlineStr">
        <is>
          <t> </t>
        </is>
      </c>
    </row>
    <row r="565">
      <c r="A565" s="248" t="n">
        <v>7</v>
      </c>
      <c r="B565" s="370" t="n">
        <v>557</v>
      </c>
      <c r="C565" s="254" t="inlineStr">
        <is>
          <t>2011Q</t>
        </is>
      </c>
      <c r="D565" s="245" t="inlineStr">
        <is>
          <t xml:space="preserve">06292-10-004-000 </t>
        </is>
      </c>
      <c r="E565" s="258" t="inlineStr">
        <is>
          <t>Actual</t>
        </is>
      </c>
      <c r="F565" s="259" t="inlineStr">
        <is>
          <t>5885 E EVANS               AV</t>
        </is>
      </c>
      <c r="G565" s="253" t="n">
        <v>44.1</v>
      </c>
      <c r="H565" s="253" t="n">
        <v>9603</v>
      </c>
      <c r="I565" s="255" t="n">
        <v>0</v>
      </c>
      <c r="J565" s="678" t="n">
        <v>12244</v>
      </c>
      <c r="K565" s="679" t="n">
        <v>5.390395295655015</v>
      </c>
      <c r="L565" s="260" t="n">
        <v>0</v>
      </c>
      <c r="M565" s="262" t="n">
        <v>0.08540909090909091</v>
      </c>
      <c r="N565" s="253" t="n">
        <v>1960</v>
      </c>
      <c r="O565" s="250" t="n">
        <v>5891</v>
      </c>
      <c r="Q565" s="245" t="n">
        <v>13</v>
      </c>
      <c r="R565" s="245" t="n">
        <v>3</v>
      </c>
      <c r="S565" s="245" t="n">
        <v>1</v>
      </c>
      <c r="T565" s="249" t="inlineStr">
        <is>
          <t xml:space="preserve">I0   </t>
        </is>
      </c>
      <c r="U565" s="249" t="n">
        <v>398</v>
      </c>
      <c r="V565" s="678" t="n">
        <v>43775</v>
      </c>
      <c r="W565" s="678" t="n">
        <v>44000</v>
      </c>
      <c r="X565" s="356" t="inlineStr">
        <is>
          <t>3.6:1</t>
        </is>
      </c>
      <c r="Y565" s="678" t="n">
        <v>12000</v>
      </c>
      <c r="Z565" s="249" t="inlineStr">
        <is>
          <t xml:space="preserve">C </t>
        </is>
      </c>
      <c r="AC565" s="253" t="n"/>
      <c r="AD565" s="247" t="inlineStr">
        <is>
          <t xml:space="preserve">PRINTSHOP PLUS      </t>
        </is>
      </c>
      <c r="AE565" s="680" t="n"/>
      <c r="AF565" s="680" t="n"/>
      <c r="AG565" s="680" t="n"/>
      <c r="AH565" s="680" t="n"/>
      <c r="AI565" s="680" t="n"/>
      <c r="AJ565" s="680" t="n"/>
      <c r="AK565" s="680" t="inlineStr">
        <is>
          <t>                                                                  </t>
        </is>
      </c>
      <c r="AM565" s="245" t="inlineStr">
        <is>
          <t> </t>
        </is>
      </c>
    </row>
    <row r="566">
      <c r="A566" s="248" t="n">
        <v>7</v>
      </c>
      <c r="B566" s="370" t="n">
        <v>558</v>
      </c>
      <c r="C566" s="254" t="inlineStr">
        <is>
          <t>2011Q</t>
        </is>
      </c>
      <c r="D566" s="245" t="inlineStr">
        <is>
          <t xml:space="preserve">06292-12-017-000 </t>
        </is>
      </c>
      <c r="E566" s="258" t="inlineStr">
        <is>
          <t>Actual</t>
        </is>
      </c>
      <c r="F566" s="259" t="inlineStr">
        <is>
          <t>2160 S IVANHOE             ST</t>
        </is>
      </c>
      <c r="G566" s="672" t="inlineStr">
        <is>
          <t>44.M</t>
        </is>
      </c>
      <c r="H566" s="253" t="n">
        <v>9603</v>
      </c>
      <c r="I566" s="255" t="n">
        <v>0</v>
      </c>
      <c r="J566" s="678" t="n">
        <v>10200</v>
      </c>
      <c r="K566" s="679" t="n">
        <v>11.94705882352941</v>
      </c>
      <c r="L566" s="260" t="n">
        <v>0</v>
      </c>
      <c r="M566" s="262" t="n">
        <v>0.2810109962251764</v>
      </c>
      <c r="N566" s="253" t="n">
        <v>1974</v>
      </c>
      <c r="O566" s="250" t="n">
        <v>0</v>
      </c>
      <c r="Q566" s="245" t="n">
        <v>10</v>
      </c>
      <c r="R566" s="245" t="n">
        <v>3</v>
      </c>
      <c r="S566" s="245" t="n">
        <v>56</v>
      </c>
      <c r="T566" s="249" t="inlineStr">
        <is>
          <t xml:space="preserve">I0   </t>
        </is>
      </c>
      <c r="U566" s="249" t="n">
        <v>396</v>
      </c>
      <c r="V566" s="678" t="n">
        <v>34151</v>
      </c>
      <c r="W566" s="678" t="n">
        <v>34000</v>
      </c>
      <c r="X566" s="356" t="inlineStr">
        <is>
          <t>3.3:1</t>
        </is>
      </c>
      <c r="Y566" s="678" t="n">
        <v>10000</v>
      </c>
      <c r="Z566" s="249" t="inlineStr">
        <is>
          <t xml:space="preserve">C </t>
        </is>
      </c>
      <c r="AC566" s="253" t="n"/>
      <c r="AD566" s="247" t="inlineStr">
        <is>
          <t>EVANS/HOLLY SELF STG</t>
        </is>
      </c>
      <c r="AE566" s="680" t="n"/>
      <c r="AF566" s="680" t="n"/>
      <c r="AG566" s="680" t="n"/>
      <c r="AH566" s="680" t="n"/>
      <c r="AI566" s="680" t="n"/>
      <c r="AJ566" s="680" t="n"/>
      <c r="AK566" s="680" t="inlineStr">
        <is>
          <t>                                                                  </t>
        </is>
      </c>
      <c r="AM566" s="245" t="inlineStr">
        <is>
          <t> </t>
        </is>
      </c>
    </row>
    <row r="567">
      <c r="A567" s="248" t="n">
        <v>7</v>
      </c>
      <c r="B567" s="370" t="n">
        <v>559</v>
      </c>
      <c r="C567" s="254" t="inlineStr">
        <is>
          <t>2011Q</t>
        </is>
      </c>
      <c r="D567" s="245" t="inlineStr">
        <is>
          <t xml:space="preserve">06292-14-004-000 </t>
        </is>
      </c>
      <c r="E567" s="258" t="inlineStr">
        <is>
          <t>Actual</t>
        </is>
      </c>
      <c r="F567" s="259" t="inlineStr">
        <is>
          <t>6300 E EVANS               AV</t>
        </is>
      </c>
      <c r="G567" s="253" t="n">
        <v>44.1</v>
      </c>
      <c r="H567" s="253" t="n">
        <v>9603</v>
      </c>
      <c r="I567" s="255" t="n">
        <v>7</v>
      </c>
      <c r="J567" s="678" t="n">
        <v>40296</v>
      </c>
      <c r="K567" s="679" t="n">
        <v>4.640907286082986</v>
      </c>
      <c r="L567" s="260" t="n">
        <v>0</v>
      </c>
      <c r="M567" s="262" t="n">
        <v>0.002352815357467515</v>
      </c>
      <c r="N567" s="253" t="n">
        <v>1963</v>
      </c>
      <c r="O567" s="250" t="n">
        <v>11042</v>
      </c>
      <c r="P567" s="250" t="n">
        <v>5161</v>
      </c>
      <c r="Q567" s="245" t="n">
        <v>15</v>
      </c>
      <c r="R567" s="245" t="n">
        <v>1</v>
      </c>
      <c r="S567" s="245" t="n">
        <v>1</v>
      </c>
      <c r="T567" s="249" t="inlineStr">
        <is>
          <t xml:space="preserve">I0   </t>
        </is>
      </c>
      <c r="U567" s="249" t="n">
        <v>398</v>
      </c>
      <c r="V567" s="678" t="n">
        <v>66517</v>
      </c>
      <c r="W567" s="678" t="n">
        <v>67000</v>
      </c>
      <c r="X567" s="356" t="inlineStr">
        <is>
          <t>1.7:1</t>
        </is>
      </c>
      <c r="Y567" s="678" t="n">
        <v>40000</v>
      </c>
      <c r="Z567" s="249" t="inlineStr">
        <is>
          <t xml:space="preserve">C </t>
        </is>
      </c>
      <c r="AC567" s="253" t="n"/>
      <c r="AD567" s="247" t="inlineStr">
        <is>
          <t xml:space="preserve">S-W LEWAN SALES     </t>
        </is>
      </c>
      <c r="AE567" s="680" t="n"/>
      <c r="AF567" s="680" t="n"/>
      <c r="AG567" s="680" t="n"/>
      <c r="AH567" s="680" t="n"/>
      <c r="AI567" s="680" t="n"/>
      <c r="AJ567" s="680" t="n"/>
      <c r="AK567" s="680" t="inlineStr">
        <is>
          <t>                                                                  </t>
        </is>
      </c>
      <c r="AM567" s="245" t="inlineStr">
        <is>
          <t> </t>
        </is>
      </c>
    </row>
    <row r="568">
      <c r="A568" s="248" t="n">
        <v>7</v>
      </c>
      <c r="B568" s="370" t="n">
        <v>560</v>
      </c>
      <c r="C568" s="254" t="inlineStr">
        <is>
          <t>2011Q</t>
        </is>
      </c>
      <c r="D568" s="245" t="inlineStr">
        <is>
          <t xml:space="preserve">06301-13-010-000 </t>
        </is>
      </c>
      <c r="E568" s="258" t="inlineStr">
        <is>
          <t>Actual</t>
        </is>
      </c>
      <c r="F568" s="259" t="inlineStr">
        <is>
          <t>4925 E PACIFIC             PL</t>
        </is>
      </c>
      <c r="G568" s="253" t="n">
        <v>44.1</v>
      </c>
      <c r="H568" s="253" t="n">
        <v>9603</v>
      </c>
      <c r="I568" s="255" t="n">
        <v>0</v>
      </c>
      <c r="J568" s="678" t="n">
        <v>6752</v>
      </c>
      <c r="K568" s="679" t="n">
        <v>7.286729857819905</v>
      </c>
      <c r="L568" s="260" t="n">
        <v>0</v>
      </c>
      <c r="M568" s="262" t="n">
        <v>0</v>
      </c>
      <c r="N568" s="253" t="n">
        <v>1973</v>
      </c>
      <c r="O568" s="250" t="n">
        <v>2832</v>
      </c>
      <c r="Q568" s="245" t="n">
        <v>20</v>
      </c>
      <c r="R568" s="245" t="n">
        <v>14</v>
      </c>
      <c r="S568" s="245" t="n">
        <v>1</v>
      </c>
      <c r="T568" s="249" t="inlineStr">
        <is>
          <t xml:space="preserve">I0   </t>
        </is>
      </c>
      <c r="U568" s="249" t="n">
        <v>398</v>
      </c>
      <c r="V568" s="678" t="n">
        <v>15625</v>
      </c>
      <c r="W568" s="678" t="n">
        <v>16000</v>
      </c>
      <c r="X568" s="356" t="inlineStr">
        <is>
          <t>2.3:1</t>
        </is>
      </c>
      <c r="Y568" s="678" t="n">
        <v>7000</v>
      </c>
      <c r="Z568" s="249" t="inlineStr">
        <is>
          <t xml:space="preserve">C </t>
        </is>
      </c>
      <c r="AC568" s="253" t="n"/>
      <c r="AD568" s="247" t="inlineStr">
        <is>
          <t>S-W CREATIVE DRYWALL</t>
        </is>
      </c>
      <c r="AE568" s="680" t="n"/>
      <c r="AF568" s="680" t="n"/>
      <c r="AG568" s="680" t="n"/>
      <c r="AH568" s="680" t="n"/>
      <c r="AI568" s="680" t="n"/>
      <c r="AJ568" s="680" t="n"/>
      <c r="AK568" s="680" t="inlineStr">
        <is>
          <t>                                                                  </t>
        </is>
      </c>
      <c r="AM568" s="245" t="inlineStr">
        <is>
          <t> </t>
        </is>
      </c>
    </row>
    <row r="569">
      <c r="A569" s="248" t="n">
        <v>7</v>
      </c>
      <c r="B569" s="370" t="n">
        <v>561</v>
      </c>
      <c r="C569" s="254" t="inlineStr">
        <is>
          <t>2011Q</t>
        </is>
      </c>
      <c r="D569" s="245" t="inlineStr">
        <is>
          <t xml:space="preserve">06302-20-007-000 </t>
        </is>
      </c>
      <c r="E569" s="258" t="inlineStr">
        <is>
          <t>Actual</t>
        </is>
      </c>
      <c r="F569" s="259" t="inlineStr">
        <is>
          <t>4875 E EVANS               AV</t>
        </is>
      </c>
      <c r="G569" s="253" t="n">
        <v>44.1</v>
      </c>
      <c r="H569" s="253" t="n">
        <v>9603</v>
      </c>
      <c r="I569" s="255" t="n">
        <v>0</v>
      </c>
      <c r="J569" s="678" t="n">
        <v>8512</v>
      </c>
      <c r="K569" s="679" t="n">
        <v>8.250117481203008</v>
      </c>
      <c r="L569" s="260" t="n">
        <v>0</v>
      </c>
      <c r="M569" s="262" t="n">
        <v>0.09715913136347455</v>
      </c>
      <c r="N569" s="253" t="n">
        <v>1973</v>
      </c>
      <c r="O569" s="250" t="n">
        <v>1054</v>
      </c>
      <c r="Q569" s="245" t="n">
        <v>14</v>
      </c>
      <c r="R569" s="245" t="n">
        <v>3</v>
      </c>
      <c r="S569" s="245" t="n">
        <v>1</v>
      </c>
      <c r="T569" s="249" t="inlineStr">
        <is>
          <t xml:space="preserve">I0   </t>
        </is>
      </c>
      <c r="U569" s="249" t="n">
        <v>398</v>
      </c>
      <c r="V569" s="678" t="n">
        <v>19718</v>
      </c>
      <c r="W569" s="678" t="n">
        <v>20000</v>
      </c>
      <c r="X569" s="356" t="inlineStr">
        <is>
          <t>2.3:1</t>
        </is>
      </c>
      <c r="Y569" s="678" t="n">
        <v>9000</v>
      </c>
      <c r="Z569" s="249" t="inlineStr">
        <is>
          <t xml:space="preserve">C </t>
        </is>
      </c>
      <c r="AC569" s="253" t="n"/>
      <c r="AD569" s="247" t="inlineStr">
        <is>
          <t>                    </t>
        </is>
      </c>
      <c r="AE569" s="680" t="n"/>
      <c r="AF569" s="680" t="n"/>
      <c r="AG569" s="680" t="n"/>
      <c r="AH569" s="680" t="n"/>
      <c r="AI569" s="680" t="n"/>
      <c r="AJ569" s="680" t="n"/>
      <c r="AK569" s="680" t="inlineStr">
        <is>
          <t xml:space="preserve">08/08 LEASE.                                                      </t>
        </is>
      </c>
      <c r="AM569" s="245" t="inlineStr">
        <is>
          <t> </t>
        </is>
      </c>
    </row>
    <row r="570">
      <c r="A570" s="248" t="n">
        <v>8</v>
      </c>
      <c r="B570" s="370" t="n">
        <v>562</v>
      </c>
      <c r="C570" s="254" t="inlineStr">
        <is>
          <t>2009Q</t>
        </is>
      </c>
      <c r="D570" s="245" t="inlineStr">
        <is>
          <t xml:space="preserve">00184-01-019-000 </t>
        </is>
      </c>
      <c r="E570" s="258" t="inlineStr">
        <is>
          <t>Actual</t>
        </is>
      </c>
      <c r="F570" s="259" t="inlineStr">
        <is>
          <t>15200 E 53RD                 AV</t>
        </is>
      </c>
      <c r="G570" s="672" t="n">
        <v>44.5</v>
      </c>
      <c r="H570" s="253" t="n">
        <v>9102</v>
      </c>
      <c r="I570" s="255" t="n">
        <v>0</v>
      </c>
      <c r="J570" s="678" t="n">
        <v>59703</v>
      </c>
      <c r="K570" s="679" t="n">
        <v>10.2211949148284</v>
      </c>
      <c r="L570" s="260" t="n">
        <v>0.07000000000000001</v>
      </c>
      <c r="M570" s="262" t="n">
        <v>0.107030722540132</v>
      </c>
      <c r="N570" s="253" t="n">
        <v>2000</v>
      </c>
      <c r="P570" s="250">
        <f>1294*2</f>
        <v/>
      </c>
      <c r="Q570" s="245" t="n">
        <v>9</v>
      </c>
      <c r="R570" s="245" t="n">
        <v>3</v>
      </c>
      <c r="S570" s="245" t="n">
        <v>1</v>
      </c>
      <c r="T570" s="249" t="inlineStr">
        <is>
          <t xml:space="preserve">PUD  </t>
        </is>
      </c>
      <c r="U570" s="249" t="n">
        <v>396</v>
      </c>
      <c r="V570" s="678" t="n">
        <v>223537</v>
      </c>
      <c r="W570" s="678" t="n">
        <v>220000</v>
      </c>
      <c r="X570" s="356" t="inlineStr">
        <is>
          <t>3.7:1</t>
        </is>
      </c>
      <c r="Y570" s="678">
        <f>ROUND(J570,-4)</f>
        <v/>
      </c>
      <c r="Z570" s="249" t="inlineStr">
        <is>
          <t xml:space="preserve">C </t>
        </is>
      </c>
      <c r="AA570" s="245" t="n">
        <v>3</v>
      </c>
      <c r="AB570" s="245" t="n">
        <v>3</v>
      </c>
      <c r="AC570" s="253" t="inlineStr">
        <is>
          <t>33</t>
        </is>
      </c>
      <c r="AD570" s="247" t="inlineStr">
        <is>
          <t xml:space="preserve">KANGAROO SELF STRGE </t>
        </is>
      </c>
      <c r="AE570" s="680" t="n"/>
      <c r="AF570" s="680" t="n"/>
      <c r="AG570" s="680" t="n"/>
      <c r="AH570" s="680" t="n"/>
      <c r="AI570" s="680" t="n"/>
      <c r="AJ570" s="680" t="n"/>
      <c r="AK570" s="680" t="inlineStr">
        <is>
          <t xml:space="preserve">KANGAROO SELF-STORAGE                                             </t>
        </is>
      </c>
    </row>
    <row r="571">
      <c r="A571" s="248" t="n">
        <v>8</v>
      </c>
      <c r="B571" s="370" t="n">
        <v>563</v>
      </c>
      <c r="C571" s="254" t="inlineStr">
        <is>
          <t>2009Q</t>
        </is>
      </c>
      <c r="D571" s="245" t="inlineStr">
        <is>
          <t xml:space="preserve">01141-01-015-000 </t>
        </is>
      </c>
      <c r="E571" s="258" t="inlineStr">
        <is>
          <t>Actual</t>
        </is>
      </c>
      <c r="F571" s="259" t="inlineStr">
        <is>
          <t>11777 E 55TH                 AV</t>
        </is>
      </c>
      <c r="G571" s="672" t="n">
        <v>44.3</v>
      </c>
      <c r="H571" s="253" t="n">
        <v>9102</v>
      </c>
      <c r="I571" s="255" t="n">
        <v>0</v>
      </c>
      <c r="J571" s="678" t="n">
        <v>171880</v>
      </c>
      <c r="K571" s="679" t="n">
        <v>4.40846520828485</v>
      </c>
      <c r="L571" s="260" t="n">
        <v>0</v>
      </c>
      <c r="M571" s="262" t="n">
        <v>0.1137626084328525</v>
      </c>
      <c r="N571" s="253" t="n">
        <v>1986</v>
      </c>
      <c r="O571" s="250" t="n">
        <v>2232</v>
      </c>
      <c r="Q571" s="245" t="n">
        <v>28</v>
      </c>
      <c r="R571" s="245" t="n">
        <v>14</v>
      </c>
      <c r="S571" s="245" t="n">
        <v>1</v>
      </c>
      <c r="T571" s="249" t="inlineStr">
        <is>
          <t xml:space="preserve">I2   </t>
        </is>
      </c>
      <c r="U571" s="249" t="n">
        <v>398</v>
      </c>
      <c r="V571" s="678" t="n">
        <v>311753</v>
      </c>
      <c r="W571" s="678" t="n">
        <v>310000</v>
      </c>
      <c r="X571" s="356" t="inlineStr">
        <is>
          <t>1.8:1</t>
        </is>
      </c>
      <c r="Y571" s="678">
        <f>ROUND(J571,-4)</f>
        <v/>
      </c>
      <c r="Z571" s="249" t="inlineStr">
        <is>
          <t xml:space="preserve">C </t>
        </is>
      </c>
      <c r="AA571" s="245" t="n">
        <v>3</v>
      </c>
      <c r="AB571" s="245" t="n">
        <v>3</v>
      </c>
      <c r="AC571" s="253" t="inlineStr">
        <is>
          <t>33</t>
        </is>
      </c>
      <c r="AD571" s="247" t="inlineStr">
        <is>
          <t xml:space="preserve">S-W G.E. DIST WHSE  </t>
        </is>
      </c>
      <c r="AE571" s="680" t="n"/>
      <c r="AF571" s="680" t="n"/>
      <c r="AG571" s="680" t="n"/>
      <c r="AH571" s="680" t="n"/>
      <c r="AI571" s="680" t="n"/>
      <c r="AJ571" s="680" t="n"/>
      <c r="AK571" s="680" t="inlineStr">
        <is>
          <t xml:space="preserve">S-T WHSE - G.E.; 25 YR. LEASE DATES FROM 1986.                    </t>
        </is>
      </c>
    </row>
    <row r="572">
      <c r="A572" s="248" t="n">
        <v>8</v>
      </c>
      <c r="B572" s="370" t="n">
        <v>564</v>
      </c>
      <c r="C572" s="254" t="inlineStr">
        <is>
          <t>2009Q</t>
        </is>
      </c>
      <c r="D572" s="245" t="inlineStr">
        <is>
          <t xml:space="preserve">01141-02-010-000 </t>
        </is>
      </c>
      <c r="E572" s="258" t="inlineStr">
        <is>
          <t>Actual</t>
        </is>
      </c>
      <c r="F572" s="259" t="inlineStr">
        <is>
          <t>11475 E 53RD                 AV</t>
        </is>
      </c>
      <c r="G572" s="672" t="n">
        <v>44.4</v>
      </c>
      <c r="H572" s="253" t="n">
        <v>9102</v>
      </c>
      <c r="I572" s="255" t="n">
        <v>0</v>
      </c>
      <c r="J572" s="678" t="n">
        <v>168112</v>
      </c>
      <c r="K572" s="679" t="n">
        <v>4.910167031502808</v>
      </c>
      <c r="L572" s="260" t="n">
        <v>0</v>
      </c>
      <c r="M572" s="262" t="n">
        <v>0.1288678527556823</v>
      </c>
      <c r="N572" s="253" t="n">
        <v>1985</v>
      </c>
      <c r="O572" s="250">
        <f>3650+1504+400+3422</f>
        <v/>
      </c>
      <c r="Q572" s="245" t="n">
        <v>20</v>
      </c>
      <c r="R572" s="245" t="n">
        <v>10</v>
      </c>
      <c r="S572" s="245" t="n">
        <v>5</v>
      </c>
      <c r="T572" s="249" t="inlineStr">
        <is>
          <t xml:space="preserve">I2   </t>
        </is>
      </c>
      <c r="U572" s="249" t="n">
        <v>398</v>
      </c>
      <c r="V572" s="678" t="n">
        <v>339340</v>
      </c>
      <c r="W572" s="678" t="n">
        <v>340000</v>
      </c>
      <c r="X572" s="356" t="inlineStr">
        <is>
          <t>2.0:1</t>
        </is>
      </c>
      <c r="Y572" s="678">
        <f>ROUND(J572,-4)</f>
        <v/>
      </c>
      <c r="Z572" s="249" t="inlineStr">
        <is>
          <t xml:space="preserve">C </t>
        </is>
      </c>
      <c r="AA572" s="245" t="n">
        <v>3</v>
      </c>
      <c r="AB572" s="245" t="n">
        <v>3</v>
      </c>
      <c r="AC572" s="253" t="inlineStr">
        <is>
          <t>33</t>
        </is>
      </c>
      <c r="AD572" s="247" t="inlineStr">
        <is>
          <t xml:space="preserve">M-W MIDWAY DIST CTR </t>
        </is>
      </c>
      <c r="AE572" s="680" t="n"/>
      <c r="AF572" s="680" t="n"/>
      <c r="AG572" s="680" t="n"/>
      <c r="AH572" s="680" t="n"/>
      <c r="AI572" s="680" t="n"/>
      <c r="AJ572" s="680" t="n"/>
      <c r="AK572" s="680" t="inlineStr">
        <is>
          <t xml:space="preserve">M-T WHSE; 6 TENANTS; LEASES 2002 - 2005.                          </t>
        </is>
      </c>
    </row>
    <row r="573">
      <c r="A573" s="248" t="n">
        <v>8</v>
      </c>
      <c r="B573" s="370" t="n">
        <v>565</v>
      </c>
      <c r="C573" s="254" t="inlineStr">
        <is>
          <t>2009Q</t>
        </is>
      </c>
      <c r="D573" s="245" t="inlineStr">
        <is>
          <t xml:space="preserve">01141-04-043-043 </t>
        </is>
      </c>
      <c r="E573" s="258" t="inlineStr">
        <is>
          <t>Actual</t>
        </is>
      </c>
      <c r="F573" s="259" t="inlineStr">
        <is>
          <t>5475   PEORIA               ST</t>
        </is>
      </c>
      <c r="G573" s="672" t="n">
        <v>44.8</v>
      </c>
      <c r="H573" s="253" t="n">
        <v>9102</v>
      </c>
      <c r="I573" s="255" t="n">
        <v>3</v>
      </c>
      <c r="J573" s="678" t="n">
        <v>1780</v>
      </c>
      <c r="K573" s="679" t="n">
        <v>11.56179775280899</v>
      </c>
      <c r="L573" s="260" t="n">
        <v>0</v>
      </c>
      <c r="M573" s="262" t="n">
        <v>0.1253644314868805</v>
      </c>
      <c r="N573" s="253" t="n">
        <v>1985</v>
      </c>
      <c r="O573" s="250" t="n">
        <v>502</v>
      </c>
      <c r="Q573" s="245" t="n">
        <v>17</v>
      </c>
      <c r="R573" s="245" t="n">
        <v>10</v>
      </c>
      <c r="S573" s="245" t="n">
        <v>1</v>
      </c>
      <c r="T573" s="249" t="inlineStr">
        <is>
          <t xml:space="preserve">I0   </t>
        </is>
      </c>
      <c r="U573" s="249" t="n">
        <v>398</v>
      </c>
      <c r="V573" s="678" t="n">
        <v>5810</v>
      </c>
      <c r="W573" s="678" t="n">
        <v>6000</v>
      </c>
      <c r="X573" s="356" t="inlineStr">
        <is>
          <t>3.3:1</t>
        </is>
      </c>
      <c r="Y573" s="678">
        <f>ROUND(J573,-2)</f>
        <v/>
      </c>
      <c r="Z573" s="249" t="inlineStr">
        <is>
          <t xml:space="preserve">C </t>
        </is>
      </c>
      <c r="AA573" s="245" t="n">
        <v>3</v>
      </c>
      <c r="AB573" s="245" t="n">
        <v>3</v>
      </c>
      <c r="AC573" s="253" t="inlineStr">
        <is>
          <t>33</t>
        </is>
      </c>
      <c r="AD573" s="247" t="inlineStr">
        <is>
          <t xml:space="preserve">PEORIA PLAZA #3-107 </t>
        </is>
      </c>
      <c r="AE573" s="680" t="n"/>
      <c r="AF573" s="680" t="n"/>
      <c r="AG573" s="680" t="n"/>
      <c r="AH573" s="680" t="n"/>
      <c r="AI573" s="680" t="n"/>
      <c r="AJ573" s="680" t="n"/>
      <c r="AK573" s="680" t="inlineStr">
        <is>
          <t xml:space="preserve">S-T WHSE.                                                         </t>
        </is>
      </c>
    </row>
    <row r="574">
      <c r="A574" s="248" t="n">
        <v>8</v>
      </c>
      <c r="B574" s="370" t="n">
        <v>566</v>
      </c>
      <c r="C574" s="254" t="inlineStr">
        <is>
          <t>2009Q</t>
        </is>
      </c>
      <c r="D574" s="245" t="inlineStr">
        <is>
          <t xml:space="preserve">01141-04-058-058 </t>
        </is>
      </c>
      <c r="E574" s="258" t="inlineStr">
        <is>
          <t>Actual</t>
        </is>
      </c>
      <c r="F574" s="259" t="inlineStr">
        <is>
          <t>5475   PEORIA               ST</t>
        </is>
      </c>
      <c r="G574" s="672" t="n">
        <v>44.8</v>
      </c>
      <c r="H574" s="253" t="n">
        <v>9102</v>
      </c>
      <c r="I574" s="255" t="n">
        <v>3</v>
      </c>
      <c r="J574" s="678" t="n">
        <v>1490</v>
      </c>
      <c r="K574" s="679" t="n">
        <v>9.664429530201343</v>
      </c>
      <c r="L574" s="260" t="n">
        <v>0</v>
      </c>
      <c r="M574" s="262" t="n">
        <v>0.1736111111111111</v>
      </c>
      <c r="N574" s="253" t="n">
        <v>1985</v>
      </c>
      <c r="O574" s="250" t="n">
        <v>678</v>
      </c>
      <c r="Q574" s="245" t="n">
        <v>17</v>
      </c>
      <c r="R574" s="245" t="n">
        <v>10</v>
      </c>
      <c r="S574" s="245" t="n">
        <v>1</v>
      </c>
      <c r="T574" s="249" t="inlineStr">
        <is>
          <t xml:space="preserve">I0   </t>
        </is>
      </c>
      <c r="U574" s="249" t="n">
        <v>398</v>
      </c>
      <c r="V574" s="678" t="n">
        <v>5810</v>
      </c>
      <c r="W574" s="678" t="n">
        <v>6000</v>
      </c>
      <c r="X574" s="356" t="inlineStr">
        <is>
          <t>3.9:1</t>
        </is>
      </c>
      <c r="Y574" s="678">
        <f>ROUND(J574,-2)</f>
        <v/>
      </c>
      <c r="Z574" s="249" t="inlineStr">
        <is>
          <t xml:space="preserve">C </t>
        </is>
      </c>
      <c r="AA574" s="245" t="n">
        <v>3</v>
      </c>
      <c r="AB574" s="245" t="n">
        <v>3</v>
      </c>
      <c r="AC574" s="253" t="inlineStr">
        <is>
          <t>33</t>
        </is>
      </c>
      <c r="AD574" s="247" t="inlineStr">
        <is>
          <t xml:space="preserve">PEORIA PLAZA #4-112 </t>
        </is>
      </c>
      <c r="AE574" s="680" t="n"/>
      <c r="AF574" s="680" t="n"/>
      <c r="AG574" s="680" t="n"/>
      <c r="AH574" s="680" t="n"/>
      <c r="AI574" s="680" t="n"/>
      <c r="AJ574" s="680" t="n"/>
      <c r="AK574" s="680" t="inlineStr">
        <is>
          <t xml:space="preserve">S-T WHSE.                                                         </t>
        </is>
      </c>
    </row>
    <row r="575">
      <c r="A575" s="248" t="n">
        <v>8</v>
      </c>
      <c r="B575" s="370" t="n">
        <v>567</v>
      </c>
      <c r="C575" s="254" t="inlineStr">
        <is>
          <t>2009Q</t>
        </is>
      </c>
      <c r="D575" s="245" t="inlineStr">
        <is>
          <t xml:space="preserve">01142-00-014-000 </t>
        </is>
      </c>
      <c r="E575" s="258" t="inlineStr">
        <is>
          <t>Actual</t>
        </is>
      </c>
      <c r="F575" s="259" t="inlineStr">
        <is>
          <t>5150   HAVANA               ST</t>
        </is>
      </c>
      <c r="G575" s="672" t="n">
        <v>44.4</v>
      </c>
      <c r="H575" s="253" t="n">
        <v>9102</v>
      </c>
      <c r="I575" s="255" t="n">
        <v>0</v>
      </c>
      <c r="J575" s="678" t="n">
        <v>151792</v>
      </c>
      <c r="K575" s="679" t="n">
        <v>6.039270844313271</v>
      </c>
      <c r="L575" s="260" t="n">
        <v>0.09816064087698956</v>
      </c>
      <c r="M575" s="262" t="n">
        <v>0.2714895501645553</v>
      </c>
      <c r="N575" s="253" t="n">
        <v>1997</v>
      </c>
      <c r="O575" s="250" t="n">
        <v>15827</v>
      </c>
      <c r="Q575" s="245" t="n">
        <v>26</v>
      </c>
      <c r="R575" s="245" t="n">
        <v>14</v>
      </c>
      <c r="S575" s="245" t="n">
        <v>5</v>
      </c>
      <c r="T575" s="249" t="inlineStr">
        <is>
          <t xml:space="preserve">I1   </t>
        </is>
      </c>
      <c r="U575" s="249" t="n">
        <v>398</v>
      </c>
      <c r="V575" s="678" t="n">
        <v>358383</v>
      </c>
      <c r="W575" s="678" t="n">
        <v>360000</v>
      </c>
      <c r="X575" s="356" t="inlineStr">
        <is>
          <t>2.4:1</t>
        </is>
      </c>
      <c r="Y575" s="678">
        <f>ROUND(J575,-4)</f>
        <v/>
      </c>
      <c r="Z575" s="249" t="inlineStr">
        <is>
          <t xml:space="preserve">C </t>
        </is>
      </c>
      <c r="AA575" s="245" t="n">
        <v>3</v>
      </c>
      <c r="AB575" s="245" t="n">
        <v>3</v>
      </c>
      <c r="AC575" s="253" t="inlineStr">
        <is>
          <t>33</t>
        </is>
      </c>
      <c r="AD575" s="247" t="inlineStr">
        <is>
          <t>MTN VIEW BUS. CENTER</t>
        </is>
      </c>
      <c r="AE575" s="680" t="n"/>
      <c r="AF575" s="680" t="n"/>
      <c r="AG575" s="680" t="n"/>
      <c r="AH575" s="680" t="n"/>
      <c r="AI575" s="680" t="n"/>
      <c r="AJ575" s="680" t="n"/>
      <c r="AK575" s="680" t="inlineStr">
        <is>
          <t>                                                                  </t>
        </is>
      </c>
    </row>
    <row r="576">
      <c r="A576" s="248" t="n">
        <v>8</v>
      </c>
      <c r="B576" s="370" t="n">
        <v>568</v>
      </c>
      <c r="C576" s="254" t="inlineStr">
        <is>
          <t>2009Q</t>
        </is>
      </c>
      <c r="D576" s="245" t="inlineStr">
        <is>
          <t xml:space="preserve">01142-01-027-000 </t>
        </is>
      </c>
      <c r="E576" s="258" t="inlineStr">
        <is>
          <t>Actual</t>
        </is>
      </c>
      <c r="F576" s="259" t="inlineStr">
        <is>
          <t>5555   JOLIET               ST</t>
        </is>
      </c>
      <c r="G576" s="672" t="n">
        <v>44.2</v>
      </c>
      <c r="H576" s="253" t="n">
        <v>9102</v>
      </c>
      <c r="I576" s="255" t="n">
        <v>0</v>
      </c>
      <c r="J576" s="678" t="n">
        <v>96836</v>
      </c>
      <c r="K576" s="679" t="n">
        <v>3.970248667850799</v>
      </c>
      <c r="L576" s="260" t="n">
        <v>0</v>
      </c>
      <c r="M576" s="262" t="n">
        <v>0</v>
      </c>
      <c r="N576" s="253" t="n">
        <v>1996</v>
      </c>
      <c r="O576" s="250" t="n">
        <v>9601</v>
      </c>
      <c r="Q576" s="245" t="n">
        <v>26</v>
      </c>
      <c r="R576" s="245" t="n">
        <v>14</v>
      </c>
      <c r="S576" s="245" t="n">
        <v>1</v>
      </c>
      <c r="T576" s="249" t="inlineStr">
        <is>
          <t xml:space="preserve">I2   </t>
        </is>
      </c>
      <c r="U576" s="249" t="n">
        <v>398</v>
      </c>
      <c r="V576" s="678" t="n">
        <v>314024</v>
      </c>
      <c r="W576" s="678" t="n">
        <v>310000</v>
      </c>
      <c r="X576" s="356" t="inlineStr">
        <is>
          <t>3.2:1</t>
        </is>
      </c>
      <c r="Y576" s="678">
        <f>ROUND(J576,-4)</f>
        <v/>
      </c>
      <c r="Z576" s="249" t="inlineStr">
        <is>
          <t xml:space="preserve">C </t>
        </is>
      </c>
      <c r="AA576" s="245" t="n">
        <v>3</v>
      </c>
      <c r="AB576" s="245" t="n">
        <v>3</v>
      </c>
      <c r="AC576" s="253" t="inlineStr">
        <is>
          <t>33</t>
        </is>
      </c>
      <c r="AD576" s="247" t="inlineStr">
        <is>
          <t xml:space="preserve">ADAM WHOLESALERS    </t>
        </is>
      </c>
      <c r="AE576" s="680" t="n"/>
      <c r="AF576" s="680" t="n"/>
      <c r="AG576" s="680" t="n"/>
      <c r="AH576" s="680" t="n"/>
      <c r="AI576" s="680" t="n"/>
      <c r="AJ576" s="680" t="n"/>
      <c r="AK576" s="680" t="inlineStr">
        <is>
          <t xml:space="preserve">S-T WHSE.                                                         </t>
        </is>
      </c>
    </row>
    <row r="577">
      <c r="A577" s="248" t="n">
        <v>8</v>
      </c>
      <c r="B577" s="370" t="n">
        <v>569</v>
      </c>
      <c r="C577" s="254" t="inlineStr">
        <is>
          <t>2009Q</t>
        </is>
      </c>
      <c r="D577" s="245" t="inlineStr">
        <is>
          <t xml:space="preserve">01142-02-007-000 </t>
        </is>
      </c>
      <c r="E577" s="258" t="inlineStr">
        <is>
          <t>Actual</t>
        </is>
      </c>
      <c r="F577" s="259" t="inlineStr">
        <is>
          <t>5353   JOLIET               ST</t>
        </is>
      </c>
      <c r="G577" s="672" t="n">
        <v>44.2</v>
      </c>
      <c r="H577" s="253" t="n">
        <v>9102</v>
      </c>
      <c r="I577" s="255" t="n">
        <v>0</v>
      </c>
      <c r="J577" s="678" t="n">
        <v>22144</v>
      </c>
      <c r="K577" s="679" t="n">
        <v>7.586705202312139</v>
      </c>
      <c r="L577" s="260" t="n">
        <v>0</v>
      </c>
      <c r="M577" s="262" t="n">
        <v>0</v>
      </c>
      <c r="N577" s="253" t="n">
        <v>1980</v>
      </c>
      <c r="O577" s="250" t="n">
        <v>4080</v>
      </c>
      <c r="Q577" s="245" t="n">
        <v>21</v>
      </c>
      <c r="R577" s="245" t="n">
        <v>3</v>
      </c>
      <c r="S577" s="245" t="n">
        <v>1</v>
      </c>
      <c r="T577" s="249" t="inlineStr">
        <is>
          <t xml:space="preserve">I2   </t>
        </is>
      </c>
      <c r="U577" s="249" t="n">
        <v>398</v>
      </c>
      <c r="V577" s="678" t="n">
        <v>61688</v>
      </c>
      <c r="W577" s="678" t="n">
        <v>60000</v>
      </c>
      <c r="X577" s="356" t="inlineStr">
        <is>
          <t>2.8:1</t>
        </is>
      </c>
      <c r="Y577" s="678">
        <f>ROUND(J577,-3)</f>
        <v/>
      </c>
      <c r="Z577" s="249" t="inlineStr">
        <is>
          <t xml:space="preserve">C </t>
        </is>
      </c>
      <c r="AA577" s="245" t="n">
        <v>3</v>
      </c>
      <c r="AB577" s="245" t="n">
        <v>3</v>
      </c>
      <c r="AC577" s="253" t="inlineStr">
        <is>
          <t>33</t>
        </is>
      </c>
      <c r="AD577" s="247" t="inlineStr">
        <is>
          <t>                    </t>
        </is>
      </c>
      <c r="AE577" s="680" t="n"/>
      <c r="AF577" s="680" t="n"/>
      <c r="AG577" s="680" t="n"/>
      <c r="AH577" s="680" t="n"/>
      <c r="AI577" s="680" t="n"/>
      <c r="AJ577" s="680" t="n"/>
      <c r="AK577" s="680" t="inlineStr">
        <is>
          <t xml:space="preserve">S-T WHSE.                                                         </t>
        </is>
      </c>
    </row>
    <row r="578">
      <c r="A578" s="248" t="n">
        <v>8</v>
      </c>
      <c r="B578" s="370" t="n">
        <v>570</v>
      </c>
      <c r="C578" s="254" t="inlineStr">
        <is>
          <t>2009W</t>
        </is>
      </c>
      <c r="D578" s="245" t="inlineStr">
        <is>
          <t>01142-03-002-000</t>
        </is>
      </c>
      <c r="E578" s="258" t="inlineStr">
        <is>
          <t>Actual</t>
        </is>
      </c>
      <c r="F578" s="259" t="inlineStr">
        <is>
          <t>11175 E 55th Ave</t>
        </is>
      </c>
      <c r="G578" s="672" t="n">
        <v>44.2</v>
      </c>
      <c r="H578" s="253" t="n">
        <v>9102</v>
      </c>
      <c r="I578" s="255" t="n">
        <v>0</v>
      </c>
      <c r="J578" s="678" t="n">
        <v>236800</v>
      </c>
      <c r="K578" s="679">
        <f>870223/J578</f>
        <v/>
      </c>
      <c r="L578" s="260" t="n">
        <v>0.35</v>
      </c>
      <c r="M578" s="262">
        <f>(870223-843917)/870223</f>
        <v/>
      </c>
      <c r="N578" s="253" t="n">
        <v>1996</v>
      </c>
      <c r="O578" s="250" t="n">
        <v>10121</v>
      </c>
      <c r="Q578" s="245" t="n">
        <v>32</v>
      </c>
      <c r="R578" s="245" t="n">
        <v>14</v>
      </c>
      <c r="S578" s="245" t="n">
        <v>5</v>
      </c>
      <c r="T578" s="249" t="inlineStr">
        <is>
          <t>I2</t>
        </is>
      </c>
      <c r="U578" s="249" t="n">
        <v>398</v>
      </c>
      <c r="V578" s="678" t="n">
        <v>492234</v>
      </c>
      <c r="W578" s="678" t="n">
        <v>500000</v>
      </c>
      <c r="X578" s="356">
        <f>5/2</f>
        <v/>
      </c>
      <c r="Y578" s="678" t="n">
        <v>200000</v>
      </c>
      <c r="Z578" s="249" t="inlineStr">
        <is>
          <t>B</t>
        </is>
      </c>
      <c r="AA578" s="245" t="n">
        <v>3</v>
      </c>
      <c r="AB578" s="245" t="n">
        <v>3</v>
      </c>
      <c r="AC578" s="253" t="n">
        <v>33</v>
      </c>
      <c r="AD578" s="247" t="inlineStr">
        <is>
          <t>Denver Buss Ctr #5</t>
        </is>
      </c>
      <c r="AE578" s="680" t="n">
        <v>3.67</v>
      </c>
      <c r="AF578" s="680" t="n"/>
      <c r="AG578" s="680">
        <f>843917/236800</f>
        <v/>
      </c>
      <c r="AH578" s="680">
        <f>AE578-AG578</f>
        <v/>
      </c>
      <c r="AI578" s="680" t="n"/>
      <c r="AJ578" s="680" t="n"/>
      <c r="AK578" s="680" t="inlineStr">
        <is>
          <t xml:space="preserve">ProLogis multi-tenant excess vacancy </t>
        </is>
      </c>
    </row>
    <row r="579">
      <c r="A579" s="248" t="n">
        <v>8</v>
      </c>
      <c r="B579" s="370" t="n">
        <v>571</v>
      </c>
      <c r="C579" s="254" t="inlineStr">
        <is>
          <t>2009Q</t>
        </is>
      </c>
      <c r="D579" s="245" t="inlineStr">
        <is>
          <t xml:space="preserve">01142-03-011-000 </t>
        </is>
      </c>
      <c r="E579" s="258" t="inlineStr">
        <is>
          <t>Actual</t>
        </is>
      </c>
      <c r="F579" s="259" t="inlineStr">
        <is>
          <t>5550   JOLIET               ST</t>
        </is>
      </c>
      <c r="G579" s="672" t="n">
        <v>44.2</v>
      </c>
      <c r="H579" s="253" t="n">
        <v>9102</v>
      </c>
      <c r="I579" s="255" t="n">
        <v>0</v>
      </c>
      <c r="J579" s="678" t="n">
        <v>19715</v>
      </c>
      <c r="K579" s="679" t="n">
        <v>5.965001268069997</v>
      </c>
      <c r="L579" s="260" t="n">
        <v>0</v>
      </c>
      <c r="M579" s="262" t="n">
        <v>0</v>
      </c>
      <c r="N579" s="253" t="n">
        <v>1985</v>
      </c>
      <c r="O579" s="250">
        <f>2371+1772</f>
        <v/>
      </c>
      <c r="Q579" s="245" t="n">
        <v>26</v>
      </c>
      <c r="R579" s="245" t="n">
        <v>3</v>
      </c>
      <c r="S579" s="245" t="n">
        <v>1</v>
      </c>
      <c r="T579" s="249" t="inlineStr">
        <is>
          <t xml:space="preserve">I2   </t>
        </is>
      </c>
      <c r="U579" s="249" t="n">
        <v>398</v>
      </c>
      <c r="V579" s="678" t="n">
        <v>46294</v>
      </c>
      <c r="W579" s="678" t="n">
        <v>46000</v>
      </c>
      <c r="X579" s="356" t="inlineStr">
        <is>
          <t>2.3:1</t>
        </is>
      </c>
      <c r="Y579" s="678">
        <f>ROUND(J579,-3)</f>
        <v/>
      </c>
      <c r="Z579" s="249" t="inlineStr">
        <is>
          <t xml:space="preserve">C </t>
        </is>
      </c>
      <c r="AA579" s="245" t="n">
        <v>3</v>
      </c>
      <c r="AB579" s="245" t="n">
        <v>3</v>
      </c>
      <c r="AC579" s="253" t="inlineStr">
        <is>
          <t>33</t>
        </is>
      </c>
      <c r="AD579" s="247" t="inlineStr">
        <is>
          <t>                    </t>
        </is>
      </c>
      <c r="AE579" s="680" t="n"/>
      <c r="AF579" s="680" t="n"/>
      <c r="AG579" s="680" t="n"/>
      <c r="AH579" s="680" t="n"/>
      <c r="AI579" s="680" t="n"/>
      <c r="AJ579" s="680" t="n"/>
      <c r="AK579" s="680" t="inlineStr">
        <is>
          <t xml:space="preserve">S-T WHSE.                                                         </t>
        </is>
      </c>
    </row>
    <row r="580">
      <c r="A580" s="248" t="n">
        <v>8</v>
      </c>
      <c r="B580" s="370" t="n">
        <v>572</v>
      </c>
      <c r="C580" s="254" t="inlineStr">
        <is>
          <t>2009Q</t>
        </is>
      </c>
      <c r="D580" s="245" t="inlineStr">
        <is>
          <t xml:space="preserve">01142-03-014-000 </t>
        </is>
      </c>
      <c r="E580" s="258" t="inlineStr">
        <is>
          <t>Actual</t>
        </is>
      </c>
      <c r="F580" s="259" t="inlineStr">
        <is>
          <t>10975 E 55TH                 AV</t>
        </is>
      </c>
      <c r="G580" s="672" t="n">
        <v>44.2</v>
      </c>
      <c r="H580" s="253" t="n">
        <v>9102</v>
      </c>
      <c r="I580" s="255" t="n">
        <v>0</v>
      </c>
      <c r="J580" s="678" t="n">
        <v>18782</v>
      </c>
      <c r="K580" s="679" t="n">
        <v>4.511606857629645</v>
      </c>
      <c r="L580" s="260" t="n">
        <v>0</v>
      </c>
      <c r="M580" s="262" t="n">
        <v>0</v>
      </c>
      <c r="N580" s="253" t="n">
        <v>1999</v>
      </c>
      <c r="O580" s="250">
        <f>4482+1185</f>
        <v/>
      </c>
      <c r="Q580" s="245" t="n">
        <v>25</v>
      </c>
      <c r="R580" s="245" t="n">
        <v>14</v>
      </c>
      <c r="S580" s="245" t="n">
        <v>5</v>
      </c>
      <c r="T580" s="249" t="inlineStr">
        <is>
          <t xml:space="preserve">I2   </t>
        </is>
      </c>
      <c r="U580" s="249" t="n">
        <v>398</v>
      </c>
      <c r="V580" s="678" t="n">
        <v>87567</v>
      </c>
      <c r="W580" s="678" t="n">
        <v>90000</v>
      </c>
      <c r="X580" s="356" t="inlineStr">
        <is>
          <t>2.4:1</t>
        </is>
      </c>
      <c r="Y580" s="678">
        <f>ROUND(J580,-3)</f>
        <v/>
      </c>
      <c r="Z580" s="249" t="inlineStr">
        <is>
          <t xml:space="preserve">C </t>
        </is>
      </c>
      <c r="AA580" s="245" t="n">
        <v>3</v>
      </c>
      <c r="AB580" s="245" t="n">
        <v>3</v>
      </c>
      <c r="AC580" s="253" t="inlineStr">
        <is>
          <t>33</t>
        </is>
      </c>
      <c r="AD580" s="247" t="inlineStr">
        <is>
          <t xml:space="preserve">M-W                 </t>
        </is>
      </c>
      <c r="AE580" s="680" t="n"/>
      <c r="AF580" s="680" t="n"/>
      <c r="AG580" s="680" t="n"/>
      <c r="AH580" s="680" t="n"/>
      <c r="AI580" s="680" t="n"/>
      <c r="AJ580" s="680" t="n"/>
      <c r="AK580" s="680" t="inlineStr">
        <is>
          <t xml:space="preserve">M-T WHSE.                                                         </t>
        </is>
      </c>
    </row>
    <row r="581">
      <c r="A581" s="248" t="n">
        <v>8</v>
      </c>
      <c r="B581" s="370" t="n">
        <v>573</v>
      </c>
      <c r="C581" s="254" t="inlineStr">
        <is>
          <t>2009Q</t>
        </is>
      </c>
      <c r="D581" s="245" t="inlineStr">
        <is>
          <t xml:space="preserve">01142-05-004-000 </t>
        </is>
      </c>
      <c r="E581" s="258" t="inlineStr">
        <is>
          <t>Actual</t>
        </is>
      </c>
      <c r="F581" s="259" t="inlineStr">
        <is>
          <t>5280   JOLIET               ST</t>
        </is>
      </c>
      <c r="G581" s="672" t="n">
        <v>44.2</v>
      </c>
      <c r="H581" s="253" t="n">
        <v>9102</v>
      </c>
      <c r="I581" s="255" t="n">
        <v>0</v>
      </c>
      <c r="J581" s="678" t="n">
        <v>83072</v>
      </c>
      <c r="K581" s="679" t="n">
        <v>3.916012615562404</v>
      </c>
      <c r="L581" s="260" t="n">
        <v>0</v>
      </c>
      <c r="M581" s="262" t="n">
        <v>0.03321129626726425</v>
      </c>
      <c r="N581" s="253" t="n">
        <v>1984</v>
      </c>
      <c r="O581" s="250">
        <f>499+1123+9724</f>
        <v/>
      </c>
      <c r="P581" s="250">
        <f>2092+14006</f>
        <v/>
      </c>
      <c r="Q581" s="245" t="n">
        <v>25</v>
      </c>
      <c r="R581" s="245" t="n">
        <v>10</v>
      </c>
      <c r="S581" s="245" t="n">
        <v>1</v>
      </c>
      <c r="T581" s="249" t="inlineStr">
        <is>
          <t xml:space="preserve">I2   </t>
        </is>
      </c>
      <c r="U581" s="249" t="n">
        <v>398</v>
      </c>
      <c r="V581" s="678" t="n">
        <v>174895</v>
      </c>
      <c r="W581" s="678" t="n">
        <v>170000</v>
      </c>
      <c r="X581" s="356" t="inlineStr">
        <is>
          <t>2.1:1</t>
        </is>
      </c>
      <c r="Y581" s="678">
        <f>ROUND(J581,-4)</f>
        <v/>
      </c>
      <c r="Z581" s="249" t="inlineStr">
        <is>
          <t xml:space="preserve">C </t>
        </is>
      </c>
      <c r="AA581" s="245" t="n">
        <v>3</v>
      </c>
      <c r="AB581" s="245" t="n">
        <v>3</v>
      </c>
      <c r="AC581" s="253" t="inlineStr">
        <is>
          <t>33</t>
        </is>
      </c>
      <c r="AD581" s="247" t="inlineStr">
        <is>
          <t xml:space="preserve">DIST/WHSE OFC DEPOT </t>
        </is>
      </c>
      <c r="AE581" s="680" t="n"/>
      <c r="AF581" s="680" t="n"/>
      <c r="AG581" s="680" t="n"/>
      <c r="AH581" s="680" t="n"/>
      <c r="AI581" s="680" t="n"/>
      <c r="AJ581" s="680" t="n"/>
      <c r="AK581" s="680" t="inlineStr">
        <is>
          <t xml:space="preserve">S-T WHS; OFFICE DEPOT; 2003 LEASE.                                </t>
        </is>
      </c>
    </row>
    <row r="582">
      <c r="A582" s="248" t="n">
        <v>8</v>
      </c>
      <c r="B582" s="370" t="n">
        <v>574</v>
      </c>
      <c r="C582" s="254" t="inlineStr">
        <is>
          <t>2009Q</t>
        </is>
      </c>
      <c r="D582" s="245" t="inlineStr">
        <is>
          <t xml:space="preserve">01142-05-006-000 </t>
        </is>
      </c>
      <c r="E582" s="258" t="inlineStr">
        <is>
          <t>Actual</t>
        </is>
      </c>
      <c r="F582" s="259" t="inlineStr">
        <is>
          <t>11000 E 53RD                 AV</t>
        </is>
      </c>
      <c r="G582" s="672" t="n">
        <v>44.2</v>
      </c>
      <c r="H582" s="253" t="n">
        <v>9102</v>
      </c>
      <c r="I582" s="255" t="n">
        <v>0</v>
      </c>
      <c r="J582" s="678" t="n">
        <v>24319</v>
      </c>
      <c r="K582" s="679" t="n">
        <v>6.90817879024631</v>
      </c>
      <c r="L582" s="260" t="n">
        <v>0</v>
      </c>
      <c r="M582" s="262" t="n">
        <v>0</v>
      </c>
      <c r="N582" s="253" t="n">
        <v>1983</v>
      </c>
      <c r="O582" s="250" t="n">
        <v>462</v>
      </c>
      <c r="P582" s="250" t="n">
        <v>3519</v>
      </c>
      <c r="Q582" s="245" t="n">
        <v>23</v>
      </c>
      <c r="R582" s="245" t="n">
        <v>7</v>
      </c>
      <c r="S582" s="245" t="n">
        <v>1</v>
      </c>
      <c r="T582" s="249" t="inlineStr">
        <is>
          <t xml:space="preserve">I2   </t>
        </is>
      </c>
      <c r="U582" s="249" t="n">
        <v>398</v>
      </c>
      <c r="V582" s="678" t="n">
        <v>100126</v>
      </c>
      <c r="W582" s="678" t="n">
        <v>100000</v>
      </c>
      <c r="X582" s="356" t="inlineStr">
        <is>
          <t>4.1:1</t>
        </is>
      </c>
      <c r="Y582" s="678">
        <f>ROUND(J582,-3)</f>
        <v/>
      </c>
      <c r="Z582" s="249" t="inlineStr">
        <is>
          <t xml:space="preserve">C </t>
        </is>
      </c>
      <c r="AA582" s="245" t="n">
        <v>3</v>
      </c>
      <c r="AB582" s="245" t="n">
        <v>3</v>
      </c>
      <c r="AC582" s="253" t="inlineStr">
        <is>
          <t>33</t>
        </is>
      </c>
      <c r="AD582" s="247" t="inlineStr">
        <is>
          <t xml:space="preserve">KEY PRODUCTS        </t>
        </is>
      </c>
      <c r="AE582" s="680" t="n"/>
      <c r="AF582" s="680" t="n"/>
      <c r="AG582" s="680" t="n"/>
      <c r="AH582" s="680" t="n"/>
      <c r="AI582" s="680" t="n"/>
      <c r="AJ582" s="680" t="n"/>
      <c r="AK582" s="680" t="inlineStr">
        <is>
          <t xml:space="preserve">S-T WHSE.                                                         </t>
        </is>
      </c>
    </row>
    <row r="583">
      <c r="A583" s="248" t="n">
        <v>8</v>
      </c>
      <c r="B583" s="370" t="n">
        <v>575</v>
      </c>
      <c r="C583" s="254" t="inlineStr">
        <is>
          <t>2009Q</t>
        </is>
      </c>
      <c r="D583" s="245" t="inlineStr">
        <is>
          <t xml:space="preserve">01143-01-010-000 </t>
        </is>
      </c>
      <c r="E583" s="258" t="inlineStr">
        <is>
          <t>Actual</t>
        </is>
      </c>
      <c r="F583" s="259" t="inlineStr">
        <is>
          <t>10705 E 51ST                 AV</t>
        </is>
      </c>
      <c r="G583" s="672" t="n">
        <v>44.2</v>
      </c>
      <c r="H583" s="253" t="n">
        <v>9102</v>
      </c>
      <c r="I583" s="255" t="n">
        <v>0</v>
      </c>
      <c r="J583" s="678" t="n">
        <v>48000</v>
      </c>
      <c r="K583" s="679" t="n">
        <v>4.849645833333334</v>
      </c>
      <c r="L583" s="260" t="n">
        <v>0.5</v>
      </c>
      <c r="M583" s="262" t="n">
        <v>0.05308806914594279</v>
      </c>
      <c r="N583" s="253" t="n">
        <v>1973</v>
      </c>
      <c r="O583" s="250" t="n">
        <v>5467</v>
      </c>
      <c r="Q583" s="245" t="n">
        <v>26</v>
      </c>
      <c r="R583" s="245" t="n">
        <v>10</v>
      </c>
      <c r="S583" s="245" t="n">
        <v>3</v>
      </c>
      <c r="T583" s="249" t="inlineStr">
        <is>
          <t xml:space="preserve">I2   </t>
        </is>
      </c>
      <c r="U583" s="249" t="n">
        <v>398</v>
      </c>
      <c r="V583" s="678" t="n">
        <v>104089</v>
      </c>
      <c r="W583" s="678" t="n">
        <v>100000</v>
      </c>
      <c r="X583" s="356" t="inlineStr">
        <is>
          <t>2.2:1</t>
        </is>
      </c>
      <c r="Y583" s="678">
        <f>ROUND(J583,-3)</f>
        <v/>
      </c>
      <c r="Z583" s="249" t="inlineStr">
        <is>
          <t xml:space="preserve">C </t>
        </is>
      </c>
      <c r="AA583" s="245" t="n">
        <v>3</v>
      </c>
      <c r="AB583" s="245" t="n">
        <v>3</v>
      </c>
      <c r="AC583" s="253" t="inlineStr">
        <is>
          <t>33</t>
        </is>
      </c>
      <c r="AD583" s="247" t="inlineStr">
        <is>
          <t>M-W DIST &amp; WHOLESALE</t>
        </is>
      </c>
      <c r="AE583" s="680" t="n"/>
      <c r="AF583" s="680" t="n"/>
      <c r="AG583" s="680" t="n"/>
      <c r="AH583" s="680" t="n"/>
      <c r="AI583" s="680" t="n"/>
      <c r="AJ583" s="680" t="n"/>
      <c r="AK583" s="680" t="inlineStr">
        <is>
          <t xml:space="preserve">M-T WHSE.                                                         </t>
        </is>
      </c>
    </row>
    <row r="584">
      <c r="A584" s="248" t="n">
        <v>8</v>
      </c>
      <c r="B584" s="370" t="n">
        <v>576</v>
      </c>
      <c r="C584" s="254" t="inlineStr">
        <is>
          <t>2009Q</t>
        </is>
      </c>
      <c r="D584" s="245" t="inlineStr">
        <is>
          <t xml:space="preserve">01143-03-024-000 </t>
        </is>
      </c>
      <c r="E584" s="258" t="inlineStr">
        <is>
          <t>Actual</t>
        </is>
      </c>
      <c r="F584" s="259" t="inlineStr">
        <is>
          <t>4890   IRONTON              ST</t>
        </is>
      </c>
      <c r="G584" s="672" t="n">
        <v>44.2</v>
      </c>
      <c r="H584" s="253" t="n">
        <v>9102</v>
      </c>
      <c r="I584" s="255" t="n">
        <v>0</v>
      </c>
      <c r="J584" s="678" t="n">
        <v>57300</v>
      </c>
      <c r="K584" s="679" t="n">
        <v>6.589703315881327</v>
      </c>
      <c r="L584" s="260" t="n">
        <v>0</v>
      </c>
      <c r="M584" s="262" t="n">
        <v>0.1988611986546254</v>
      </c>
      <c r="N584" s="253" t="n">
        <v>1973</v>
      </c>
      <c r="O584" s="250" t="n">
        <v>14305</v>
      </c>
      <c r="Q584" s="245" t="n">
        <v>14</v>
      </c>
      <c r="R584" s="245" t="n">
        <v>10</v>
      </c>
      <c r="S584" s="245" t="n">
        <v>7</v>
      </c>
      <c r="T584" s="249" t="inlineStr">
        <is>
          <t xml:space="preserve">I2   </t>
        </is>
      </c>
      <c r="U584" s="249" t="n">
        <v>397</v>
      </c>
      <c r="V584" s="678" t="n">
        <v>169147</v>
      </c>
      <c r="W584" s="678" t="n">
        <v>170000</v>
      </c>
      <c r="X584" s="356" t="inlineStr">
        <is>
          <t>3.0:1</t>
        </is>
      </c>
      <c r="Y584" s="678">
        <f>ROUND(J584,-4)</f>
        <v/>
      </c>
      <c r="Z584" s="249" t="inlineStr">
        <is>
          <t xml:space="preserve">C </t>
        </is>
      </c>
      <c r="AA584" s="245" t="n">
        <v>3</v>
      </c>
      <c r="AB584" s="245" t="n">
        <v>3</v>
      </c>
      <c r="AC584" s="253" t="inlineStr">
        <is>
          <t>33</t>
        </is>
      </c>
      <c r="AD584" s="247" t="inlineStr">
        <is>
          <t xml:space="preserve">OFC/WHSE MULIT-TEN  </t>
        </is>
      </c>
      <c r="AE584" s="680" t="n"/>
      <c r="AF584" s="680" t="n"/>
      <c r="AG584" s="680" t="n"/>
      <c r="AH584" s="680" t="n"/>
      <c r="AI584" s="680" t="n"/>
      <c r="AJ584" s="680" t="n"/>
      <c r="AK584" s="680" t="inlineStr">
        <is>
          <t xml:space="preserve">M-T WHSE; 17 TENANTS; LEASES 1995-2008.                           </t>
        </is>
      </c>
    </row>
    <row r="585">
      <c r="A585" s="248" t="n">
        <v>8</v>
      </c>
      <c r="B585" s="370" t="n">
        <v>577</v>
      </c>
      <c r="C585" s="254" t="inlineStr">
        <is>
          <t>2009Q</t>
        </is>
      </c>
      <c r="D585" s="245" t="inlineStr">
        <is>
          <t xml:space="preserve">01143-04-005-000 </t>
        </is>
      </c>
      <c r="E585" s="258" t="inlineStr">
        <is>
          <t>Actual</t>
        </is>
      </c>
      <c r="F585" s="259" t="inlineStr">
        <is>
          <t>4901   IRONTON              ST</t>
        </is>
      </c>
      <c r="G585" s="672" t="n">
        <v>44.2</v>
      </c>
      <c r="H585" s="253" t="n">
        <v>9102</v>
      </c>
      <c r="I585" s="255" t="n">
        <v>0</v>
      </c>
      <c r="J585" s="678" t="n">
        <v>25095</v>
      </c>
      <c r="K585" s="679" t="n">
        <v>2.054871488344292</v>
      </c>
      <c r="L585" s="260" t="n">
        <v>0</v>
      </c>
      <c r="M585" s="262" t="n">
        <v>0.3568173444256986</v>
      </c>
      <c r="N585" s="253" t="n">
        <v>1969</v>
      </c>
      <c r="O585" s="250" t="n">
        <v>2430</v>
      </c>
      <c r="Q585" s="245" t="n">
        <v>24</v>
      </c>
      <c r="R585" s="245" t="n">
        <v>7</v>
      </c>
      <c r="S585" s="245" t="n">
        <v>1</v>
      </c>
      <c r="T585" s="249" t="inlineStr">
        <is>
          <t xml:space="preserve">I2   </t>
        </is>
      </c>
      <c r="U585" s="249" t="n">
        <v>398</v>
      </c>
      <c r="V585" s="678" t="n">
        <v>72790</v>
      </c>
      <c r="W585" s="678" t="n">
        <v>70000</v>
      </c>
      <c r="X585" s="356" t="inlineStr">
        <is>
          <t>1.5:1</t>
        </is>
      </c>
      <c r="Y585" s="678">
        <f>ROUND(J585,-3)</f>
        <v/>
      </c>
      <c r="Z585" s="249" t="inlineStr">
        <is>
          <t xml:space="preserve">C </t>
        </is>
      </c>
      <c r="AA585" s="245" t="n">
        <v>2</v>
      </c>
      <c r="AB585" s="245" t="n">
        <v>3</v>
      </c>
      <c r="AC585" s="253" t="inlineStr">
        <is>
          <t>23</t>
        </is>
      </c>
      <c r="AD585" s="247" t="inlineStr">
        <is>
          <t xml:space="preserve">MAN T-SHIRTS        </t>
        </is>
      </c>
      <c r="AE585" s="680" t="n"/>
      <c r="AF585" s="680" t="n"/>
      <c r="AG585" s="680" t="n"/>
      <c r="AH585" s="680" t="n"/>
      <c r="AI585" s="680" t="n"/>
      <c r="AJ585" s="680" t="n"/>
      <c r="AK585" s="680" t="inlineStr">
        <is>
          <t xml:space="preserve">M-T WHSE; 3 TENANTS                                               </t>
        </is>
      </c>
    </row>
    <row r="586">
      <c r="A586" s="248" t="n">
        <v>8</v>
      </c>
      <c r="B586" s="370" t="n">
        <v>578</v>
      </c>
      <c r="C586" s="254" t="inlineStr">
        <is>
          <t>2009Q</t>
        </is>
      </c>
      <c r="D586" s="245" t="inlineStr">
        <is>
          <t xml:space="preserve">01143-04-033-000 </t>
        </is>
      </c>
      <c r="E586" s="258" t="inlineStr">
        <is>
          <t>Actual</t>
        </is>
      </c>
      <c r="F586" s="259" t="inlineStr">
        <is>
          <t>5040   HAVANA               ST</t>
        </is>
      </c>
      <c r="G586" s="672" t="n">
        <v>44.2</v>
      </c>
      <c r="H586" s="253" t="n">
        <v>9102</v>
      </c>
      <c r="I586" s="255" t="n">
        <v>0</v>
      </c>
      <c r="J586" s="678" t="n">
        <v>10604</v>
      </c>
      <c r="K586" s="679" t="n">
        <v>8.487363259147491</v>
      </c>
      <c r="L586" s="260" t="n">
        <v>0</v>
      </c>
      <c r="M586" s="262" t="n">
        <v>0</v>
      </c>
      <c r="N586" s="253" t="n">
        <v>1994</v>
      </c>
      <c r="O586" s="250" t="n">
        <v>3059</v>
      </c>
      <c r="Q586" s="245" t="n">
        <v>21</v>
      </c>
      <c r="R586" s="245" t="n">
        <v>6</v>
      </c>
      <c r="S586" s="245" t="n">
        <v>2</v>
      </c>
      <c r="T586" s="249" t="inlineStr">
        <is>
          <t xml:space="preserve">I2   </t>
        </is>
      </c>
      <c r="U586" s="249" t="n">
        <v>332</v>
      </c>
      <c r="V586" s="678" t="n">
        <v>56150</v>
      </c>
      <c r="W586" s="678" t="n">
        <v>60000</v>
      </c>
      <c r="X586" s="356" t="inlineStr">
        <is>
          <t>5.3:1</t>
        </is>
      </c>
      <c r="Y586" s="678">
        <f>ROUND(J586,-3)</f>
        <v/>
      </c>
      <c r="Z586" s="249" t="inlineStr">
        <is>
          <t xml:space="preserve">C </t>
        </is>
      </c>
      <c r="AA586" s="245" t="n">
        <v>3</v>
      </c>
      <c r="AB586" s="245" t="n">
        <v>3</v>
      </c>
      <c r="AC586" s="253" t="n">
        <v>33</v>
      </c>
      <c r="AD586" s="247" t="inlineStr">
        <is>
          <t>                    </t>
        </is>
      </c>
      <c r="AE586" s="680" t="n"/>
      <c r="AF586" s="680" t="n"/>
      <c r="AG586" s="680" t="n"/>
      <c r="AH586" s="680" t="n"/>
      <c r="AI586" s="680" t="n"/>
      <c r="AJ586" s="680" t="n"/>
      <c r="AK586" s="680" t="inlineStr">
        <is>
          <t>                                                                  </t>
        </is>
      </c>
    </row>
    <row r="587">
      <c r="A587" s="248" t="n">
        <v>8</v>
      </c>
      <c r="B587" s="370" t="n">
        <v>579</v>
      </c>
      <c r="C587" s="254" t="inlineStr">
        <is>
          <t>2009Q</t>
        </is>
      </c>
      <c r="D587" s="245" t="inlineStr">
        <is>
          <t xml:space="preserve">01143-05-010-000 </t>
        </is>
      </c>
      <c r="E587" s="258" t="inlineStr">
        <is>
          <t>Actual</t>
        </is>
      </c>
      <c r="F587" s="259" t="inlineStr">
        <is>
          <t>11001 E 51ST                 AV</t>
        </is>
      </c>
      <c r="G587" s="672" t="n">
        <v>44.2</v>
      </c>
      <c r="H587" s="253" t="n">
        <v>9102</v>
      </c>
      <c r="I587" s="255" t="n">
        <v>0</v>
      </c>
      <c r="J587" s="678" t="n">
        <v>14270</v>
      </c>
      <c r="K587" s="679" t="n">
        <v>6.208829712683952</v>
      </c>
      <c r="L587" s="260" t="n">
        <v>0</v>
      </c>
      <c r="M587" s="262" t="n">
        <v>0.2801128668171557</v>
      </c>
      <c r="N587" s="253" t="n">
        <v>1987</v>
      </c>
      <c r="O587" s="250" t="inlineStr">
        <is>
          <t> </t>
        </is>
      </c>
      <c r="P587" s="250" t="n">
        <v>6822</v>
      </c>
      <c r="Q587" s="245" t="n">
        <v>16</v>
      </c>
      <c r="R587" s="245" t="n">
        <v>3</v>
      </c>
      <c r="S587" s="245" t="n">
        <v>1</v>
      </c>
      <c r="T587" s="249" t="inlineStr">
        <is>
          <t xml:space="preserve">I2   </t>
        </is>
      </c>
      <c r="U587" s="249" t="n">
        <v>397</v>
      </c>
      <c r="V587" s="678" t="n">
        <v>48567</v>
      </c>
      <c r="W587" s="678" t="n">
        <v>49000</v>
      </c>
      <c r="X587" s="356" t="inlineStr">
        <is>
          <t>3.4:1</t>
        </is>
      </c>
      <c r="Y587" s="678">
        <f>ROUND(J587,-3)</f>
        <v/>
      </c>
      <c r="Z587" s="249" t="inlineStr">
        <is>
          <t xml:space="preserve">C </t>
        </is>
      </c>
      <c r="AA587" s="245" t="n">
        <v>3</v>
      </c>
      <c r="AB587" s="245" t="n">
        <v>3</v>
      </c>
      <c r="AC587" s="253" t="inlineStr">
        <is>
          <t>33</t>
        </is>
      </c>
      <c r="AD587" s="247" t="inlineStr">
        <is>
          <t xml:space="preserve">CMI MECHANCIAL      </t>
        </is>
      </c>
      <c r="AE587" s="680" t="n"/>
      <c r="AF587" s="680" t="n"/>
      <c r="AG587" s="680" t="n"/>
      <c r="AH587" s="680" t="n"/>
      <c r="AI587" s="680" t="n"/>
      <c r="AJ587" s="680" t="n"/>
      <c r="AK587" s="680" t="inlineStr">
        <is>
          <t xml:space="preserve">S-T WHSE; 2005 LEASE.                                             </t>
        </is>
      </c>
    </row>
    <row r="588">
      <c r="A588" s="248" t="n">
        <v>8</v>
      </c>
      <c r="B588" s="370" t="n">
        <v>580</v>
      </c>
      <c r="C588" s="254" t="inlineStr">
        <is>
          <t>2009Q</t>
        </is>
      </c>
      <c r="D588" s="245" t="inlineStr">
        <is>
          <t xml:space="preserve">01143-05-018-000 </t>
        </is>
      </c>
      <c r="E588" s="258" t="inlineStr">
        <is>
          <t>Actual</t>
        </is>
      </c>
      <c r="F588" s="259" t="inlineStr">
        <is>
          <t>11055 E 51ST                 AV</t>
        </is>
      </c>
      <c r="G588" s="672" t="n">
        <v>44.1</v>
      </c>
      <c r="H588" s="253" t="n">
        <v>9102</v>
      </c>
      <c r="I588" s="255" t="n">
        <v>0</v>
      </c>
      <c r="J588" s="678" t="n">
        <v>53947</v>
      </c>
      <c r="K588" s="679" t="n">
        <v>5.071644391717797</v>
      </c>
      <c r="L588" s="260" t="n">
        <v>0</v>
      </c>
      <c r="M588" s="262" t="n">
        <v>0</v>
      </c>
      <c r="N588" s="253" t="n">
        <v>1999</v>
      </c>
      <c r="O588" s="250" t="n">
        <v>2507</v>
      </c>
      <c r="Q588" s="245" t="n">
        <v>20</v>
      </c>
      <c r="R588" s="245" t="n">
        <v>14</v>
      </c>
      <c r="S588" s="245" t="n">
        <v>1</v>
      </c>
      <c r="T588" s="249" t="inlineStr">
        <is>
          <t xml:space="preserve">I2   </t>
        </is>
      </c>
      <c r="U588" s="249" t="n">
        <v>398</v>
      </c>
      <c r="V588" s="678" t="n">
        <v>74836</v>
      </c>
      <c r="W588" s="678" t="n">
        <v>70000</v>
      </c>
      <c r="X588" s="356" t="inlineStr">
        <is>
          <t>1.4:1</t>
        </is>
      </c>
      <c r="Y588" s="678">
        <f>ROUND(J588,-4)</f>
        <v/>
      </c>
      <c r="Z588" s="249" t="inlineStr">
        <is>
          <t xml:space="preserve">C </t>
        </is>
      </c>
      <c r="AA588" s="245" t="n">
        <v>3</v>
      </c>
      <c r="AB588" s="245" t="n">
        <v>3</v>
      </c>
      <c r="AC588" s="253" t="inlineStr">
        <is>
          <t>33</t>
        </is>
      </c>
      <c r="AD588" s="247" t="inlineStr">
        <is>
          <t xml:space="preserve">DISTRIBUTION WHSE   </t>
        </is>
      </c>
      <c r="AE588" s="680" t="n"/>
      <c r="AF588" s="680" t="n"/>
      <c r="AG588" s="680" t="n"/>
      <c r="AH588" s="680" t="n"/>
      <c r="AI588" s="680" t="n"/>
      <c r="AJ588" s="680" t="n"/>
      <c r="AK588" s="680" t="inlineStr">
        <is>
          <t xml:space="preserve">S-T WHSE.; 2003 LEASE.                                            </t>
        </is>
      </c>
    </row>
    <row r="589">
      <c r="A589" s="248" t="n">
        <v>8</v>
      </c>
      <c r="B589" s="370" t="n">
        <v>581</v>
      </c>
      <c r="C589" s="254" t="inlineStr">
        <is>
          <t>2009Q</t>
        </is>
      </c>
      <c r="D589" s="245" t="inlineStr">
        <is>
          <t xml:space="preserve">01143-06-008-000 </t>
        </is>
      </c>
      <c r="E589" s="258" t="inlineStr">
        <is>
          <t>Actual</t>
        </is>
      </c>
      <c r="F589" s="259" t="inlineStr">
        <is>
          <t>4999   KINGSTON             ST</t>
        </is>
      </c>
      <c r="G589" s="672" t="n">
        <v>43.2</v>
      </c>
      <c r="H589" s="253" t="n">
        <v>9102</v>
      </c>
      <c r="I589" s="255" t="n">
        <v>0</v>
      </c>
      <c r="J589" s="678" t="n">
        <v>45450</v>
      </c>
      <c r="K589" s="679" t="n">
        <v>5.808580858085809</v>
      </c>
      <c r="L589" s="260" t="n">
        <v>0</v>
      </c>
      <c r="M589" s="262" t="n">
        <v>0</v>
      </c>
      <c r="N589" s="253" t="n">
        <v>1980</v>
      </c>
      <c r="O589" s="250" t="n">
        <v>6453</v>
      </c>
      <c r="Q589" s="245" t="n">
        <v>26</v>
      </c>
      <c r="R589" s="245" t="n">
        <v>10</v>
      </c>
      <c r="S589" s="245" t="n">
        <v>1</v>
      </c>
      <c r="T589" s="249" t="inlineStr">
        <is>
          <t xml:space="preserve">I2   </t>
        </is>
      </c>
      <c r="U589" s="249" t="n">
        <v>401</v>
      </c>
      <c r="V589" s="678" t="n">
        <v>78320</v>
      </c>
      <c r="W589" s="678" t="n">
        <v>80000</v>
      </c>
      <c r="X589" s="356" t="inlineStr">
        <is>
          <t>1.7:1</t>
        </is>
      </c>
      <c r="Y589" s="678">
        <f>ROUND(J589,-3)</f>
        <v/>
      </c>
      <c r="Z589" s="249" t="inlineStr">
        <is>
          <t xml:space="preserve">C </t>
        </is>
      </c>
      <c r="AA589" s="245" t="n">
        <v>3</v>
      </c>
      <c r="AB589" s="245" t="n">
        <v>3</v>
      </c>
      <c r="AC589" s="253" t="inlineStr">
        <is>
          <t>33</t>
        </is>
      </c>
      <c r="AD589" s="247" t="inlineStr">
        <is>
          <t>PRINTINGPLANT/SPRINT</t>
        </is>
      </c>
      <c r="AE589" s="680" t="n"/>
      <c r="AF589" s="680" t="n"/>
      <c r="AG589" s="680" t="n"/>
      <c r="AH589" s="680" t="n"/>
      <c r="AI589" s="680" t="n"/>
      <c r="AJ589" s="680" t="n"/>
      <c r="AK589" s="680" t="inlineStr">
        <is>
          <t xml:space="preserve">S-T WHSE; MAY BE OWNER-OCCUPIED.                                  </t>
        </is>
      </c>
    </row>
    <row r="590">
      <c r="A590" s="248" t="n">
        <v>8</v>
      </c>
      <c r="B590" s="370" t="n">
        <v>582</v>
      </c>
      <c r="C590" s="254" t="inlineStr">
        <is>
          <t>2009Q</t>
        </is>
      </c>
      <c r="D590" s="245" t="inlineStr">
        <is>
          <t xml:space="preserve">01144-02-008-000 </t>
        </is>
      </c>
      <c r="E590" s="258" t="inlineStr">
        <is>
          <t>Actual</t>
        </is>
      </c>
      <c r="F590" s="259" t="inlineStr">
        <is>
          <t>5055   LIMA                 ST</t>
        </is>
      </c>
      <c r="G590" s="672" t="n">
        <v>44.2</v>
      </c>
      <c r="H590" s="253" t="n">
        <v>9102</v>
      </c>
      <c r="I590" s="255" t="n">
        <v>0</v>
      </c>
      <c r="J590" s="678" t="n">
        <v>39832</v>
      </c>
      <c r="K590" s="679" t="n">
        <v>4.407511548503716</v>
      </c>
      <c r="L590" s="260" t="n">
        <v>0</v>
      </c>
      <c r="M590" s="262" t="n">
        <v>0.3224139895192527</v>
      </c>
      <c r="N590" s="253" t="n">
        <v>1978</v>
      </c>
      <c r="O590" s="250">
        <f>114+219</f>
        <v/>
      </c>
      <c r="P590" s="250" t="n">
        <v>3874</v>
      </c>
      <c r="Q590" s="245" t="n">
        <v>26</v>
      </c>
      <c r="R590" s="245" t="n">
        <v>10</v>
      </c>
      <c r="S590" s="245" t="n">
        <v>1</v>
      </c>
      <c r="T590" s="249" t="inlineStr">
        <is>
          <t xml:space="preserve">I2   </t>
        </is>
      </c>
      <c r="U590" s="249" t="n">
        <v>398</v>
      </c>
      <c r="V590" s="678" t="n">
        <v>77488</v>
      </c>
      <c r="W590" s="678" t="n">
        <v>80000</v>
      </c>
      <c r="X590" s="356" t="inlineStr">
        <is>
          <t>1.9:1</t>
        </is>
      </c>
      <c r="Y590" s="678">
        <f>ROUND(J590,-3)</f>
        <v/>
      </c>
      <c r="Z590" s="249" t="inlineStr">
        <is>
          <t xml:space="preserve">C </t>
        </is>
      </c>
      <c r="AA590" s="245" t="n">
        <v>3</v>
      </c>
      <c r="AB590" s="245" t="n">
        <v>3</v>
      </c>
      <c r="AC590" s="253" t="inlineStr">
        <is>
          <t>33</t>
        </is>
      </c>
      <c r="AD590" s="247" t="inlineStr">
        <is>
          <t xml:space="preserve">S-W                 </t>
        </is>
      </c>
      <c r="AE590" s="680" t="n"/>
      <c r="AF590" s="680" t="n"/>
      <c r="AG590" s="680" t="n"/>
      <c r="AH590" s="680" t="n"/>
      <c r="AI590" s="680" t="n"/>
      <c r="AJ590" s="680" t="n"/>
      <c r="AK590" s="680" t="inlineStr">
        <is>
          <t xml:space="preserve">S-T WHSE                                                          </t>
        </is>
      </c>
    </row>
    <row r="591">
      <c r="A591" s="248" t="n">
        <v>8</v>
      </c>
      <c r="B591" s="370" t="n">
        <v>583</v>
      </c>
      <c r="C591" s="254" t="inlineStr">
        <is>
          <t>2009Q</t>
        </is>
      </c>
      <c r="D591" s="245" t="inlineStr">
        <is>
          <t xml:space="preserve">01144-04-011-000 </t>
        </is>
      </c>
      <c r="E591" s="258" t="inlineStr">
        <is>
          <t>Actual</t>
        </is>
      </c>
      <c r="F591" s="259" t="inlineStr">
        <is>
          <t>5010   PARIS                ST</t>
        </is>
      </c>
      <c r="G591" s="672" t="n">
        <v>44.2</v>
      </c>
      <c r="H591" s="253" t="n">
        <v>9102</v>
      </c>
      <c r="I591" s="255" t="n">
        <v>0</v>
      </c>
      <c r="J591" s="678" t="n">
        <v>14636</v>
      </c>
      <c r="K591" s="679" t="n">
        <v>7.185228204427439</v>
      </c>
      <c r="L591" s="260" t="n">
        <v>0</v>
      </c>
      <c r="M591" s="262" t="n">
        <v>0.3023306676302502</v>
      </c>
      <c r="N591" s="253" t="n">
        <v>1981</v>
      </c>
      <c r="O591" s="250" t="n">
        <v>8545</v>
      </c>
      <c r="P591" s="250" t="n">
        <v>1046</v>
      </c>
      <c r="Q591" s="245" t="n">
        <v>20</v>
      </c>
      <c r="R591" s="245" t="n">
        <v>10</v>
      </c>
      <c r="S591" s="245" t="n">
        <v>1</v>
      </c>
      <c r="T591" s="249" t="inlineStr">
        <is>
          <t xml:space="preserve">I0   </t>
        </is>
      </c>
      <c r="U591" s="249" t="n">
        <v>398</v>
      </c>
      <c r="V591" s="678" t="n">
        <v>33200</v>
      </c>
      <c r="W591" s="678" t="n">
        <v>33000</v>
      </c>
      <c r="X591" s="356" t="inlineStr">
        <is>
          <t>2.3:1</t>
        </is>
      </c>
      <c r="Y591" s="678">
        <f>ROUND(J591,-3)</f>
        <v/>
      </c>
      <c r="Z591" s="249" t="inlineStr">
        <is>
          <t xml:space="preserve">C </t>
        </is>
      </c>
      <c r="AA591" s="245" t="n">
        <v>3</v>
      </c>
      <c r="AB591" s="245" t="n">
        <v>3</v>
      </c>
      <c r="AC591" s="253" t="inlineStr">
        <is>
          <t>33</t>
        </is>
      </c>
      <c r="AD591" s="247" t="inlineStr">
        <is>
          <t xml:space="preserve">A T SYSTEMS         </t>
        </is>
      </c>
      <c r="AE591" s="680" t="n"/>
      <c r="AF591" s="680" t="n"/>
      <c r="AG591" s="680" t="n"/>
      <c r="AH591" s="680" t="n"/>
      <c r="AI591" s="680" t="n"/>
      <c r="AJ591" s="680" t="n"/>
      <c r="AK591" s="680" t="inlineStr">
        <is>
          <t xml:space="preserve">S-T WHSE; 2002 LEASE.                                             </t>
        </is>
      </c>
    </row>
    <row r="592">
      <c r="A592" s="248" t="n">
        <v>8</v>
      </c>
      <c r="B592" s="370" t="n">
        <v>584</v>
      </c>
      <c r="C592" s="254" t="inlineStr">
        <is>
          <t>2009Q</t>
        </is>
      </c>
      <c r="D592" s="245" t="inlineStr">
        <is>
          <t xml:space="preserve">01144-04-020-000 </t>
        </is>
      </c>
      <c r="E592" s="258" t="inlineStr">
        <is>
          <t>Actual</t>
        </is>
      </c>
      <c r="F592" s="259" t="inlineStr">
        <is>
          <t>5090   PARIS                ST</t>
        </is>
      </c>
      <c r="G592" s="672" t="n">
        <v>44.2</v>
      </c>
      <c r="H592" s="253" t="n">
        <v>9102</v>
      </c>
      <c r="I592" s="255" t="n">
        <v>0</v>
      </c>
      <c r="J592" s="678" t="n">
        <v>9376</v>
      </c>
      <c r="K592" s="679" t="n">
        <v>6.93259385665529</v>
      </c>
      <c r="L592" s="260" t="n">
        <v>0</v>
      </c>
      <c r="M592" s="262" t="n">
        <v>0</v>
      </c>
      <c r="N592" s="253" t="n">
        <v>1981</v>
      </c>
      <c r="O592" s="250" t="n">
        <v>1927</v>
      </c>
      <c r="P592" s="250" t="n">
        <v>952</v>
      </c>
      <c r="Q592" s="245" t="n">
        <v>19</v>
      </c>
      <c r="R592" s="245" t="n">
        <v>10</v>
      </c>
      <c r="S592" s="245" t="n">
        <v>1</v>
      </c>
      <c r="T592" s="249" t="inlineStr">
        <is>
          <t xml:space="preserve">I0   </t>
        </is>
      </c>
      <c r="U592" s="249" t="n">
        <v>398</v>
      </c>
      <c r="V592" s="678" t="n">
        <v>27477</v>
      </c>
      <c r="W592" s="678" t="n">
        <v>27000</v>
      </c>
      <c r="X592" s="356" t="inlineStr">
        <is>
          <t>2.9:1</t>
        </is>
      </c>
      <c r="Y592" s="678">
        <f>ROUND(J592,-3)</f>
        <v/>
      </c>
      <c r="Z592" s="249" t="inlineStr">
        <is>
          <t xml:space="preserve">C </t>
        </is>
      </c>
      <c r="AA592" s="245" t="n">
        <v>3</v>
      </c>
      <c r="AB592" s="245" t="n">
        <v>3</v>
      </c>
      <c r="AC592" s="253" t="inlineStr">
        <is>
          <t>33</t>
        </is>
      </c>
      <c r="AD592" s="247" t="inlineStr">
        <is>
          <t>                    </t>
        </is>
      </c>
      <c r="AE592" s="680" t="n"/>
      <c r="AF592" s="680" t="n"/>
      <c r="AG592" s="680" t="n"/>
      <c r="AH592" s="680" t="n"/>
      <c r="AI592" s="680" t="n"/>
      <c r="AJ592" s="680" t="n"/>
      <c r="AK592" s="680" t="inlineStr">
        <is>
          <t xml:space="preserve">S-T WHSE.                                                         </t>
        </is>
      </c>
    </row>
    <row r="593">
      <c r="A593" s="248" t="n">
        <v>8</v>
      </c>
      <c r="B593" s="370" t="n">
        <v>585</v>
      </c>
      <c r="C593" s="254" t="inlineStr">
        <is>
          <t>2009Q</t>
        </is>
      </c>
      <c r="D593" s="245" t="inlineStr">
        <is>
          <t xml:space="preserve">01144-05-007-000 </t>
        </is>
      </c>
      <c r="E593" s="258" t="inlineStr">
        <is>
          <t>Actual</t>
        </is>
      </c>
      <c r="F593" s="259" t="inlineStr">
        <is>
          <t>5001   OAKLAND              ST</t>
        </is>
      </c>
      <c r="G593" s="672" t="n">
        <v>44.2</v>
      </c>
      <c r="H593" s="253" t="n">
        <v>9102</v>
      </c>
      <c r="I593" s="255" t="n">
        <v>0</v>
      </c>
      <c r="J593" s="678" t="n">
        <v>9800</v>
      </c>
      <c r="K593" s="679" t="n">
        <v>8.193775510204082</v>
      </c>
      <c r="L593" s="260" t="n">
        <v>0</v>
      </c>
      <c r="M593" s="262" t="n">
        <v>0.03392321199516806</v>
      </c>
      <c r="N593" s="253" t="n">
        <v>2004</v>
      </c>
      <c r="O593" s="250" t="n">
        <v>2520</v>
      </c>
      <c r="Q593" s="245" t="n">
        <v>45</v>
      </c>
      <c r="R593" s="245" t="n">
        <v>22</v>
      </c>
      <c r="S593" s="245" t="n">
        <v>1</v>
      </c>
      <c r="T593" s="249" t="inlineStr">
        <is>
          <t xml:space="preserve">I1   </t>
        </is>
      </c>
      <c r="U593" s="249" t="n">
        <v>398</v>
      </c>
      <c r="V593" s="678" t="n">
        <v>42336</v>
      </c>
      <c r="W593" s="678" t="n">
        <v>42000</v>
      </c>
      <c r="X593" s="356" t="inlineStr">
        <is>
          <t>4.3:1</t>
        </is>
      </c>
      <c r="Y593" s="678">
        <f>ROUND(J593,-3)</f>
        <v/>
      </c>
      <c r="Z593" s="249" t="inlineStr">
        <is>
          <t xml:space="preserve">C </t>
        </is>
      </c>
      <c r="AA593" s="245" t="n">
        <v>3</v>
      </c>
      <c r="AB593" s="245" t="n">
        <v>3</v>
      </c>
      <c r="AC593" s="253" t="inlineStr">
        <is>
          <t>33</t>
        </is>
      </c>
      <c r="AD593" s="247" t="inlineStr">
        <is>
          <t>BAKER AUCTION &amp; ESTA</t>
        </is>
      </c>
      <c r="AE593" s="680" t="n"/>
      <c r="AF593" s="680" t="n"/>
      <c r="AG593" s="680" t="n"/>
      <c r="AH593" s="680" t="n"/>
      <c r="AI593" s="680" t="n"/>
      <c r="AJ593" s="680" t="n"/>
      <c r="AK593" s="680" t="inlineStr">
        <is>
          <t xml:space="preserve">S-T WHSE.; 2004 LEASE.                                            </t>
        </is>
      </c>
    </row>
    <row r="594">
      <c r="A594" s="248" t="n">
        <v>8</v>
      </c>
      <c r="B594" s="370" t="n">
        <v>586</v>
      </c>
      <c r="C594" s="254" t="inlineStr">
        <is>
          <t>2009Q</t>
        </is>
      </c>
      <c r="D594" s="245" t="inlineStr">
        <is>
          <t xml:space="preserve">01144-06-013-000 </t>
        </is>
      </c>
      <c r="E594" s="258" t="inlineStr">
        <is>
          <t>Actual</t>
        </is>
      </c>
      <c r="F594" s="259" t="inlineStr">
        <is>
          <t>4995   PARIS                ST</t>
        </is>
      </c>
      <c r="G594" s="672" t="n">
        <v>47.2</v>
      </c>
      <c r="H594" s="253" t="n">
        <v>9102</v>
      </c>
      <c r="I594" s="255" t="n">
        <v>0</v>
      </c>
      <c r="J594" s="678" t="n">
        <v>10143</v>
      </c>
      <c r="K594" s="679" t="n">
        <v>9.331558710440698</v>
      </c>
      <c r="L594" s="260" t="n">
        <v>0</v>
      </c>
      <c r="M594" s="262" t="n">
        <v>0.006951928156365557</v>
      </c>
      <c r="N594" s="253" t="n">
        <v>1979</v>
      </c>
      <c r="O594" s="250" t="n">
        <v>1451</v>
      </c>
      <c r="Q594" s="245" t="n">
        <v>20</v>
      </c>
      <c r="R594" s="245" t="n">
        <v>10</v>
      </c>
      <c r="S594" s="245" t="n">
        <v>1</v>
      </c>
      <c r="T594" s="249" t="inlineStr">
        <is>
          <t xml:space="preserve">I1   </t>
        </is>
      </c>
      <c r="U594" s="249" t="n">
        <v>401</v>
      </c>
      <c r="V594" s="678" t="n">
        <v>30504</v>
      </c>
      <c r="W594" s="678" t="n">
        <v>31000</v>
      </c>
      <c r="X594" s="356" t="inlineStr">
        <is>
          <t>3.0:1</t>
        </is>
      </c>
      <c r="Y594" s="678">
        <f>ROUND(J594,-3)</f>
        <v/>
      </c>
      <c r="Z594" s="249" t="inlineStr">
        <is>
          <t xml:space="preserve">C </t>
        </is>
      </c>
      <c r="AA594" s="245" t="n">
        <v>3</v>
      </c>
      <c r="AB594" s="245" t="n">
        <v>3</v>
      </c>
      <c r="AC594" s="253" t="inlineStr">
        <is>
          <t>33</t>
        </is>
      </c>
      <c r="AD594" s="247" t="inlineStr">
        <is>
          <t>                    </t>
        </is>
      </c>
      <c r="AE594" s="680" t="n"/>
      <c r="AF594" s="680" t="n"/>
      <c r="AG594" s="680" t="n"/>
      <c r="AH594" s="680" t="n"/>
      <c r="AI594" s="680" t="n"/>
      <c r="AJ594" s="680" t="n"/>
      <c r="AK594" s="680" t="inlineStr">
        <is>
          <t xml:space="preserve">S-T WHSE.                                                         </t>
        </is>
      </c>
    </row>
    <row r="595">
      <c r="A595" s="248" t="n">
        <v>8</v>
      </c>
      <c r="B595" s="370" t="n">
        <v>587</v>
      </c>
      <c r="C595" s="254" t="inlineStr">
        <is>
          <t>2009Q</t>
        </is>
      </c>
      <c r="D595" s="245" t="inlineStr">
        <is>
          <t xml:space="preserve">01144-06-014-000 </t>
        </is>
      </c>
      <c r="E595" s="258" t="inlineStr">
        <is>
          <t>Actual</t>
        </is>
      </c>
      <c r="F595" s="259" t="inlineStr">
        <is>
          <t>4975   PARIS                ST</t>
        </is>
      </c>
      <c r="G595" s="672" t="n">
        <v>44.2</v>
      </c>
      <c r="H595" s="253" t="n">
        <v>9102</v>
      </c>
      <c r="I595" s="255" t="n">
        <v>0</v>
      </c>
      <c r="J595" s="678" t="n">
        <v>15550</v>
      </c>
      <c r="K595" s="679" t="n">
        <v>8.842443729903536</v>
      </c>
      <c r="L595" s="260" t="n">
        <v>0</v>
      </c>
      <c r="M595" s="262" t="n">
        <v>0</v>
      </c>
      <c r="N595" s="253" t="n">
        <v>1979</v>
      </c>
      <c r="O595" s="250" t="n">
        <v>2400</v>
      </c>
      <c r="P595" s="250" t="n">
        <v>1126</v>
      </c>
      <c r="Q595" s="245" t="n">
        <v>20</v>
      </c>
      <c r="R595" s="245" t="n">
        <v>10</v>
      </c>
      <c r="S595" s="245" t="n">
        <v>1</v>
      </c>
      <c r="T595" s="249" t="inlineStr">
        <is>
          <t xml:space="preserve">I1   </t>
        </is>
      </c>
      <c r="U595" s="249" t="n">
        <v>397</v>
      </c>
      <c r="V595" s="678" t="n">
        <v>40424</v>
      </c>
      <c r="W595" s="678" t="n">
        <v>40000</v>
      </c>
      <c r="X595" s="356" t="inlineStr">
        <is>
          <t>2.6:1</t>
        </is>
      </c>
      <c r="Y595" s="678">
        <f>ROUND(J595,-3)</f>
        <v/>
      </c>
      <c r="Z595" s="249" t="inlineStr">
        <is>
          <t xml:space="preserve">C </t>
        </is>
      </c>
      <c r="AA595" s="245" t="n">
        <v>3</v>
      </c>
      <c r="AB595" s="245" t="n">
        <v>3</v>
      </c>
      <c r="AC595" s="253" t="inlineStr">
        <is>
          <t>33</t>
        </is>
      </c>
      <c r="AD595" s="247" t="inlineStr">
        <is>
          <t xml:space="preserve">RMCAT               </t>
        </is>
      </c>
      <c r="AE595" s="680" t="n"/>
      <c r="AF595" s="680" t="n"/>
      <c r="AG595" s="680" t="n"/>
      <c r="AH595" s="680" t="n"/>
      <c r="AI595" s="680" t="n"/>
      <c r="AJ595" s="680" t="n"/>
      <c r="AK595" s="680" t="inlineStr">
        <is>
          <t xml:space="preserve">S-T WHSE.                                                         </t>
        </is>
      </c>
    </row>
    <row r="596">
      <c r="A596" s="248" t="n">
        <v>8</v>
      </c>
      <c r="B596" s="370" t="n">
        <v>588</v>
      </c>
      <c r="C596" s="254" t="inlineStr">
        <is>
          <t>2009Q</t>
        </is>
      </c>
      <c r="D596" s="245" t="inlineStr">
        <is>
          <t xml:space="preserve">01144-06-016-000 </t>
        </is>
      </c>
      <c r="E596" s="258" t="inlineStr">
        <is>
          <t>Actual</t>
        </is>
      </c>
      <c r="F596" s="259" t="inlineStr">
        <is>
          <t>5015   PARIS                ST</t>
        </is>
      </c>
      <c r="G596" s="672" t="n">
        <v>44.2</v>
      </c>
      <c r="H596" s="253" t="n">
        <v>9102</v>
      </c>
      <c r="I596" s="255" t="n">
        <v>0</v>
      </c>
      <c r="J596" s="678" t="n">
        <v>16328</v>
      </c>
      <c r="K596" s="679" t="n">
        <v>5.30812101910828</v>
      </c>
      <c r="L596" s="260" t="n">
        <v>0</v>
      </c>
      <c r="M596" s="262" t="n">
        <v>0.03272144085103437</v>
      </c>
      <c r="N596" s="253" t="n">
        <v>1979</v>
      </c>
      <c r="O596" s="250" t="n">
        <v>2250</v>
      </c>
      <c r="Q596" s="245" t="n">
        <v>23</v>
      </c>
      <c r="R596" s="245" t="n">
        <v>10</v>
      </c>
      <c r="S596" s="245" t="n">
        <v>1</v>
      </c>
      <c r="T596" s="249" t="inlineStr">
        <is>
          <t xml:space="preserve">I1   </t>
        </is>
      </c>
      <c r="U596" s="249" t="n">
        <v>398</v>
      </c>
      <c r="V596" s="678" t="n">
        <v>40424</v>
      </c>
      <c r="W596" s="678" t="n">
        <v>40000</v>
      </c>
      <c r="X596" s="356" t="inlineStr">
        <is>
          <t>2.5:1</t>
        </is>
      </c>
      <c r="Y596" s="678">
        <f>ROUND(J596,-3)</f>
        <v/>
      </c>
      <c r="Z596" s="249" t="inlineStr">
        <is>
          <t xml:space="preserve">C </t>
        </is>
      </c>
      <c r="AA596" s="245" t="n">
        <v>3</v>
      </c>
      <c r="AB596" s="245" t="n">
        <v>3</v>
      </c>
      <c r="AC596" s="253" t="inlineStr">
        <is>
          <t>33</t>
        </is>
      </c>
      <c r="AD596" s="247" t="inlineStr">
        <is>
          <t>                    </t>
        </is>
      </c>
      <c r="AE596" s="680" t="n"/>
      <c r="AF596" s="680" t="n"/>
      <c r="AG596" s="680" t="n"/>
      <c r="AH596" s="680" t="n"/>
      <c r="AI596" s="680" t="n"/>
      <c r="AJ596" s="680" t="n"/>
      <c r="AK596" s="680" t="inlineStr">
        <is>
          <t xml:space="preserve">S-T WHSE.; 2006 LEASE.                                            </t>
        </is>
      </c>
    </row>
    <row r="597">
      <c r="A597" s="248" t="n">
        <v>8</v>
      </c>
      <c r="B597" s="370" t="n">
        <v>589</v>
      </c>
      <c r="C597" s="254" t="inlineStr">
        <is>
          <t>2009Q</t>
        </is>
      </c>
      <c r="D597" s="245" t="inlineStr">
        <is>
          <t xml:space="preserve">01144-10-011-000 </t>
        </is>
      </c>
      <c r="E597" s="258" t="inlineStr">
        <is>
          <t>Actual</t>
        </is>
      </c>
      <c r="F597" s="259" t="inlineStr">
        <is>
          <t>4850   MOLINE               ST</t>
        </is>
      </c>
      <c r="G597" s="672" t="n">
        <v>44.1</v>
      </c>
      <c r="H597" s="253" t="n">
        <v>9102</v>
      </c>
      <c r="I597" s="255" t="n">
        <v>0</v>
      </c>
      <c r="J597" s="678" t="n">
        <v>87133</v>
      </c>
      <c r="K597" s="679" t="n">
        <v>4.360024330621004</v>
      </c>
      <c r="L597" s="260" t="n">
        <v>0</v>
      </c>
      <c r="M597" s="262" t="n">
        <v>0</v>
      </c>
      <c r="N597" s="253" t="n">
        <v>1974</v>
      </c>
      <c r="O597" s="250" t="n">
        <v>3944</v>
      </c>
      <c r="P597" s="250" t="n">
        <v>8659</v>
      </c>
      <c r="Q597" s="245" t="n">
        <v>27</v>
      </c>
      <c r="R597" s="245" t="n">
        <v>10</v>
      </c>
      <c r="S597" s="245" t="n">
        <v>1</v>
      </c>
      <c r="T597" s="249" t="inlineStr">
        <is>
          <t xml:space="preserve">I2   </t>
        </is>
      </c>
      <c r="U597" s="249" t="n">
        <v>397</v>
      </c>
      <c r="V597" s="678" t="n">
        <v>211126</v>
      </c>
      <c r="W597" s="678" t="n">
        <v>210000</v>
      </c>
      <c r="X597" s="356" t="inlineStr">
        <is>
          <t>2.4:1</t>
        </is>
      </c>
      <c r="Y597" s="678">
        <f>ROUND(J597,-4)</f>
        <v/>
      </c>
      <c r="Z597" s="249" t="inlineStr">
        <is>
          <t xml:space="preserve">B </t>
        </is>
      </c>
      <c r="AA597" s="245" t="n">
        <v>3</v>
      </c>
      <c r="AB597" s="245" t="n">
        <v>3</v>
      </c>
      <c r="AC597" s="253" t="inlineStr">
        <is>
          <t>33</t>
        </is>
      </c>
      <c r="AD597" s="247" t="inlineStr">
        <is>
          <t xml:space="preserve">S-W WEATHER GUARD   </t>
        </is>
      </c>
      <c r="AE597" s="680" t="n"/>
      <c r="AF597" s="680" t="n"/>
      <c r="AG597" s="680" t="n"/>
      <c r="AH597" s="680" t="n"/>
      <c r="AI597" s="680" t="n"/>
      <c r="AJ597" s="680" t="n"/>
      <c r="AK597" s="680" t="inlineStr">
        <is>
          <t xml:space="preserve">S-T WHSE; 1999 LEASE.                                             </t>
        </is>
      </c>
    </row>
    <row r="598">
      <c r="A598" s="248" t="n">
        <v>8</v>
      </c>
      <c r="B598" s="370" t="n">
        <v>590</v>
      </c>
      <c r="C598" s="254" t="inlineStr">
        <is>
          <t>2009Q</t>
        </is>
      </c>
      <c r="D598" s="245" t="inlineStr">
        <is>
          <t xml:space="preserve">01153-03-006-000 </t>
        </is>
      </c>
      <c r="E598" s="258" t="inlineStr">
        <is>
          <t>Actual</t>
        </is>
      </c>
      <c r="F598" s="259" t="inlineStr">
        <is>
          <t>9305 E 49TH                 AV</t>
        </is>
      </c>
      <c r="G598" s="672" t="n">
        <v>44.1</v>
      </c>
      <c r="H598" s="253" t="n">
        <v>9103</v>
      </c>
      <c r="I598" s="255" t="n">
        <v>0</v>
      </c>
      <c r="J598" s="678" t="n">
        <v>10530</v>
      </c>
      <c r="K598" s="679" t="n">
        <v>5.650522317188984</v>
      </c>
      <c r="L598" s="260" t="n">
        <v>0</v>
      </c>
      <c r="M598" s="262" t="n">
        <v>0</v>
      </c>
      <c r="N598" s="253" t="n">
        <v>2006</v>
      </c>
      <c r="O598" s="250" t="n">
        <v>3547</v>
      </c>
      <c r="P598" s="250" t="inlineStr">
        <is>
          <t> </t>
        </is>
      </c>
      <c r="Q598" s="245" t="n">
        <v>25</v>
      </c>
      <c r="R598" s="245" t="n">
        <v>14</v>
      </c>
      <c r="S598" s="245" t="n">
        <v>1</v>
      </c>
      <c r="T598" s="249" t="inlineStr">
        <is>
          <t>CMU30</t>
        </is>
      </c>
      <c r="U598" s="249" t="n">
        <v>398</v>
      </c>
      <c r="V598" s="678" t="n">
        <v>44907</v>
      </c>
      <c r="W598" s="678" t="n">
        <v>45000</v>
      </c>
      <c r="X598" s="356" t="inlineStr">
        <is>
          <t>4.3:1</t>
        </is>
      </c>
      <c r="Y598" s="678">
        <f>ROUND(J598,-3)</f>
        <v/>
      </c>
      <c r="Z598" s="249" t="inlineStr">
        <is>
          <t xml:space="preserve">C </t>
        </is>
      </c>
      <c r="AA598" s="245" t="n">
        <v>3</v>
      </c>
      <c r="AB598" s="245" t="n">
        <v>3</v>
      </c>
      <c r="AC598" s="253" t="inlineStr">
        <is>
          <t>33</t>
        </is>
      </c>
      <c r="AD598" s="247" t="inlineStr">
        <is>
          <t xml:space="preserve">SINGLE TENANT WHSE  </t>
        </is>
      </c>
      <c r="AE598" s="680" t="n"/>
      <c r="AF598" s="680" t="n"/>
      <c r="AG598" s="680" t="n"/>
      <c r="AH598" s="680" t="n"/>
      <c r="AI598" s="680" t="n"/>
      <c r="AJ598" s="680" t="n"/>
      <c r="AK598" s="680" t="inlineStr">
        <is>
          <t xml:space="preserve">S-T WHSE; AGE OF LEASE UNKNOWN.                                   </t>
        </is>
      </c>
    </row>
    <row r="599">
      <c r="A599" s="248" t="n">
        <v>8</v>
      </c>
      <c r="B599" s="370" t="n">
        <v>591</v>
      </c>
      <c r="C599" s="254" t="inlineStr">
        <is>
          <t>2009W</t>
        </is>
      </c>
      <c r="D599" s="245" t="inlineStr">
        <is>
          <t>01154-01-002-000</t>
        </is>
      </c>
      <c r="E599" s="258" t="inlineStr">
        <is>
          <t>Actual</t>
        </is>
      </c>
      <c r="F599" s="259" t="inlineStr">
        <is>
          <t xml:space="preserve">5025 FLORENCE ST. </t>
        </is>
      </c>
      <c r="G599" s="672" t="n">
        <v>44.4</v>
      </c>
      <c r="H599" s="253" t="n">
        <v>9103</v>
      </c>
      <c r="I599" s="255" t="n">
        <v>0</v>
      </c>
      <c r="J599" s="678" t="n">
        <v>323860</v>
      </c>
      <c r="K599" s="679" t="n">
        <v>3.76</v>
      </c>
      <c r="L599" s="260" t="n">
        <v>0</v>
      </c>
      <c r="M599" s="262" t="n">
        <v>0.01</v>
      </c>
      <c r="N599" s="253" t="n">
        <v>1998</v>
      </c>
      <c r="O599" s="250" t="n">
        <v>8739</v>
      </c>
      <c r="Q599" s="245" t="n">
        <v>35</v>
      </c>
      <c r="R599" s="245" t="n">
        <v>14</v>
      </c>
      <c r="S599" s="245" t="n">
        <v>4</v>
      </c>
      <c r="T599" s="249" t="inlineStr">
        <is>
          <t>CMU30</t>
        </is>
      </c>
      <c r="U599" s="249" t="n">
        <v>398</v>
      </c>
      <c r="V599" s="678" t="n">
        <v>857261</v>
      </c>
      <c r="W599" s="678" t="n">
        <v>900000</v>
      </c>
      <c r="X599" s="356" t="inlineStr">
        <is>
          <t>2.6:1</t>
        </is>
      </c>
      <c r="Y599" s="678" t="n">
        <v>350000</v>
      </c>
      <c r="Z599" s="249" t="inlineStr">
        <is>
          <t>B</t>
        </is>
      </c>
      <c r="AA599" s="245" t="n">
        <v>3</v>
      </c>
      <c r="AB599" s="245" t="n">
        <v>3</v>
      </c>
      <c r="AC599" s="253" t="n">
        <v>33</v>
      </c>
      <c r="AD599" s="247" t="inlineStr">
        <is>
          <t>Stapleton Bus. Ctr. #2</t>
        </is>
      </c>
      <c r="AE599" s="680" t="n">
        <v>3.76</v>
      </c>
      <c r="AF599" s="680" t="n">
        <v>3.76</v>
      </c>
      <c r="AG599" s="680" t="n">
        <v>3.72</v>
      </c>
      <c r="AH599" s="680" t="n">
        <v>0.04</v>
      </c>
      <c r="AI599" s="680" t="inlineStr">
        <is>
          <t>-</t>
        </is>
      </c>
      <c r="AJ599" s="680" t="inlineStr">
        <is>
          <t>-</t>
        </is>
      </c>
      <c r="AK599" s="680" t="n"/>
    </row>
    <row r="600">
      <c r="A600" s="248" t="n">
        <v>8</v>
      </c>
      <c r="B600" s="370" t="n">
        <v>592</v>
      </c>
      <c r="C600" s="254" t="inlineStr">
        <is>
          <t>2009Q</t>
        </is>
      </c>
      <c r="D600" s="245" t="inlineStr">
        <is>
          <t xml:space="preserve">01154-02-003-000 </t>
        </is>
      </c>
      <c r="E600" s="258" t="inlineStr">
        <is>
          <t>Actual</t>
        </is>
      </c>
      <c r="F600" s="259" t="inlineStr">
        <is>
          <t>5050   FLORENCE             ST</t>
        </is>
      </c>
      <c r="G600" s="672" t="n">
        <v>46.7</v>
      </c>
      <c r="H600" s="253" t="n">
        <v>9103</v>
      </c>
      <c r="I600" s="255" t="n">
        <v>0</v>
      </c>
      <c r="J600" s="678" t="n">
        <v>34112</v>
      </c>
      <c r="K600" s="679" t="n">
        <v>12.22443714821764</v>
      </c>
      <c r="L600" s="260" t="n">
        <v>0</v>
      </c>
      <c r="M600" s="262" t="n">
        <v>0</v>
      </c>
      <c r="N600" s="253" t="n">
        <v>1998</v>
      </c>
      <c r="O600" s="250" t="n">
        <v>5312</v>
      </c>
      <c r="Q600" s="245" t="n">
        <v>26</v>
      </c>
      <c r="R600" s="245" t="n">
        <v>14</v>
      </c>
      <c r="S600" s="245" t="n">
        <v>1</v>
      </c>
      <c r="T600" s="249" t="inlineStr">
        <is>
          <t>CMU30</t>
        </is>
      </c>
      <c r="U600" s="249" t="n">
        <v>391</v>
      </c>
      <c r="V600" s="678" t="n">
        <v>206039</v>
      </c>
      <c r="W600" s="678" t="n">
        <v>210000</v>
      </c>
      <c r="X600" s="356" t="inlineStr">
        <is>
          <t>6.0:1</t>
        </is>
      </c>
      <c r="Y600" s="678">
        <f>ROUND(J600,-3)</f>
        <v/>
      </c>
      <c r="Z600" s="249" t="inlineStr">
        <is>
          <t xml:space="preserve">C </t>
        </is>
      </c>
      <c r="AA600" s="245" t="n">
        <v>3</v>
      </c>
      <c r="AB600" s="245" t="n">
        <v>3</v>
      </c>
      <c r="AC600" s="253" t="inlineStr">
        <is>
          <t>33</t>
        </is>
      </c>
      <c r="AD600" s="247" t="inlineStr">
        <is>
          <t xml:space="preserve">S-M DOMINO'S DOUGH  </t>
        </is>
      </c>
      <c r="AE600" s="680" t="n"/>
      <c r="AF600" s="680" t="n"/>
      <c r="AG600" s="680" t="n"/>
      <c r="AH600" s="680" t="n"/>
      <c r="AI600" s="680" t="n"/>
      <c r="AJ600" s="680" t="n"/>
      <c r="AK600" s="680" t="inlineStr">
        <is>
          <t xml:space="preserve">S-T INDUSTRIAL BLDG; LEASE DATES FROM 1999.                       </t>
        </is>
      </c>
    </row>
    <row r="601">
      <c r="A601" s="248" t="n">
        <v>8</v>
      </c>
      <c r="B601" s="370" t="n">
        <v>593</v>
      </c>
      <c r="C601" s="254" t="inlineStr">
        <is>
          <t>2009Q</t>
        </is>
      </c>
      <c r="D601" s="245" t="inlineStr">
        <is>
          <t xml:space="preserve">01154-03-004-000 </t>
        </is>
      </c>
      <c r="E601" s="258" t="inlineStr">
        <is>
          <t>Actual</t>
        </is>
      </c>
      <c r="F601" s="259" t="inlineStr">
        <is>
          <t>10275 E 47TH                 AV</t>
        </is>
      </c>
      <c r="G601" s="672" t="n">
        <v>44.2</v>
      </c>
      <c r="H601" s="253" t="n">
        <v>9103</v>
      </c>
      <c r="I601" s="255" t="n">
        <v>0</v>
      </c>
      <c r="J601" s="678" t="n">
        <v>50533</v>
      </c>
      <c r="K601" s="679" t="n">
        <v>7.214295608810085</v>
      </c>
      <c r="L601" s="260" t="n">
        <v>0</v>
      </c>
      <c r="M601" s="262" t="n">
        <v>0</v>
      </c>
      <c r="N601" s="253" t="n">
        <v>1998</v>
      </c>
      <c r="O601" s="250" t="n">
        <v>11472</v>
      </c>
      <c r="P601" s="250" t="n">
        <v>12133</v>
      </c>
      <c r="Q601" s="245" t="n">
        <v>22</v>
      </c>
      <c r="R601" s="245" t="n">
        <v>14</v>
      </c>
      <c r="S601" s="245" t="n">
        <v>1</v>
      </c>
      <c r="T601" s="249" t="inlineStr">
        <is>
          <t>CMU30</t>
        </is>
      </c>
      <c r="U601" s="249" t="n">
        <v>398</v>
      </c>
      <c r="V601" s="678" t="n">
        <v>202118</v>
      </c>
      <c r="W601" s="678" t="n">
        <v>200000</v>
      </c>
      <c r="X601" s="356" t="inlineStr">
        <is>
          <t>4.0:1</t>
        </is>
      </c>
      <c r="Y601" s="678">
        <f>ROUND(J601,-4)</f>
        <v/>
      </c>
      <c r="Z601" s="249" t="inlineStr">
        <is>
          <t xml:space="preserve">C </t>
        </is>
      </c>
      <c r="AA601" s="245" t="n">
        <v>3</v>
      </c>
      <c r="AB601" s="245" t="n">
        <v>3</v>
      </c>
      <c r="AC601" s="253" t="inlineStr">
        <is>
          <t>33</t>
        </is>
      </c>
      <c r="AD601" s="247" t="inlineStr">
        <is>
          <t xml:space="preserve">GUY'S FLOOR SERVICE </t>
        </is>
      </c>
      <c r="AE601" s="680" t="n"/>
      <c r="AF601" s="680" t="n"/>
      <c r="AG601" s="680" t="n"/>
      <c r="AH601" s="680" t="n"/>
      <c r="AI601" s="680" t="n"/>
      <c r="AJ601" s="680" t="n"/>
      <c r="AK601" s="680" t="inlineStr">
        <is>
          <t xml:space="preserve">S-T WHSE                                                          </t>
        </is>
      </c>
    </row>
    <row r="602">
      <c r="A602" s="248" t="n">
        <v>8</v>
      </c>
      <c r="B602" s="370" t="n">
        <v>594</v>
      </c>
      <c r="C602" s="254" t="inlineStr">
        <is>
          <t>2009Q</t>
        </is>
      </c>
      <c r="D602" s="245" t="inlineStr">
        <is>
          <t xml:space="preserve">01154-04-002-000 </t>
        </is>
      </c>
      <c r="E602" s="258" t="inlineStr">
        <is>
          <t>Actual</t>
        </is>
      </c>
      <c r="F602" s="259" t="inlineStr">
        <is>
          <t>4800   GENEVA               ST</t>
        </is>
      </c>
      <c r="G602" s="672" t="n">
        <v>44.2</v>
      </c>
      <c r="H602" s="253" t="n">
        <v>9103</v>
      </c>
      <c r="I602" s="255" t="n">
        <v>0</v>
      </c>
      <c r="J602" s="678" t="n">
        <v>20146</v>
      </c>
      <c r="K602" s="679" t="n">
        <v>5.559416261292564</v>
      </c>
      <c r="L602" s="260" t="n">
        <v>0</v>
      </c>
      <c r="M602" s="262" t="n">
        <v>0.01838392857142857</v>
      </c>
      <c r="N602" s="253" t="n">
        <v>2005</v>
      </c>
      <c r="O602" s="250" t="n">
        <v>964</v>
      </c>
      <c r="Q602" s="245" t="n">
        <v>28</v>
      </c>
      <c r="R602" s="245" t="n">
        <v>14</v>
      </c>
      <c r="S602" s="245" t="n">
        <v>1</v>
      </c>
      <c r="T602" s="249" t="inlineStr">
        <is>
          <t>CMU30</t>
        </is>
      </c>
      <c r="U602" s="249" t="n">
        <v>398</v>
      </c>
      <c r="V602" s="678" t="n">
        <v>71003</v>
      </c>
      <c r="W602" s="678" t="n">
        <v>70000</v>
      </c>
      <c r="X602" s="356" t="inlineStr">
        <is>
          <t>3.5:1</t>
        </is>
      </c>
      <c r="Y602" s="678">
        <f>ROUND(J602,-3)</f>
        <v/>
      </c>
      <c r="Z602" s="249" t="inlineStr">
        <is>
          <t xml:space="preserve">C </t>
        </is>
      </c>
      <c r="AA602" s="245" t="n">
        <v>3</v>
      </c>
      <c r="AB602" s="245" t="n">
        <v>3</v>
      </c>
      <c r="AC602" s="253" t="inlineStr">
        <is>
          <t>33</t>
        </is>
      </c>
      <c r="AD602" s="247" t="inlineStr">
        <is>
          <t xml:space="preserve">GUY'S FLOOR SERVICE </t>
        </is>
      </c>
      <c r="AE602" s="680" t="n"/>
      <c r="AF602" s="680" t="n"/>
      <c r="AG602" s="680" t="n"/>
      <c r="AH602" s="680" t="n"/>
      <c r="AI602" s="680" t="n"/>
      <c r="AJ602" s="680" t="n"/>
      <c r="AK602" s="680" t="inlineStr">
        <is>
          <t xml:space="preserve">S-T WHSE.                                                         </t>
        </is>
      </c>
    </row>
    <row r="603">
      <c r="A603" s="248" t="n">
        <v>8</v>
      </c>
      <c r="B603" s="370" t="n">
        <v>595</v>
      </c>
      <c r="C603" s="254" t="inlineStr">
        <is>
          <t>2009Q</t>
        </is>
      </c>
      <c r="D603" s="245" t="inlineStr">
        <is>
          <t xml:space="preserve">01154-04-005-000 </t>
        </is>
      </c>
      <c r="E603" s="258" t="inlineStr">
        <is>
          <t>Actual</t>
        </is>
      </c>
      <c r="F603" s="259" t="inlineStr">
        <is>
          <t>4890   GENEVA               ST</t>
        </is>
      </c>
      <c r="G603" s="672" t="n">
        <v>44.2</v>
      </c>
      <c r="H603" s="253" t="n">
        <v>9103</v>
      </c>
      <c r="I603" s="255" t="n">
        <v>0</v>
      </c>
      <c r="J603" s="678" t="n">
        <v>17750</v>
      </c>
      <c r="K603" s="679" t="n">
        <v>8.441014084507042</v>
      </c>
      <c r="L603" s="260" t="n">
        <v>0</v>
      </c>
      <c r="M603" s="262" t="n">
        <v>0.07411164802306645</v>
      </c>
      <c r="N603" s="253" t="n">
        <v>2004</v>
      </c>
      <c r="O603" s="250" t="n">
        <v>8277</v>
      </c>
      <c r="Q603" s="245" t="n">
        <v>30</v>
      </c>
      <c r="R603" s="245" t="n">
        <v>14</v>
      </c>
      <c r="S603" s="245" t="n">
        <v>1</v>
      </c>
      <c r="T603" s="249" t="inlineStr">
        <is>
          <t>CMU30</t>
        </is>
      </c>
      <c r="U603" s="249" t="n">
        <v>398</v>
      </c>
      <c r="V603" s="678" t="n">
        <v>65250</v>
      </c>
      <c r="W603" s="678" t="n">
        <v>70000</v>
      </c>
      <c r="X603" s="356" t="inlineStr">
        <is>
          <t>3.7:1</t>
        </is>
      </c>
      <c r="Y603" s="678">
        <f>ROUND(J603,-3)</f>
        <v/>
      </c>
      <c r="Z603" s="249" t="inlineStr">
        <is>
          <t xml:space="preserve">C </t>
        </is>
      </c>
      <c r="AA603" s="245" t="n">
        <v>3</v>
      </c>
      <c r="AB603" s="245" t="n">
        <v>3</v>
      </c>
      <c r="AC603" s="253" t="inlineStr">
        <is>
          <t>33</t>
        </is>
      </c>
      <c r="AD603" s="247" t="inlineStr">
        <is>
          <t xml:space="preserve">STRYKER             </t>
        </is>
      </c>
      <c r="AE603" s="680" t="n"/>
      <c r="AF603" s="680" t="n"/>
      <c r="AG603" s="680" t="n"/>
      <c r="AH603" s="680" t="n"/>
      <c r="AI603" s="680" t="n"/>
      <c r="AJ603" s="680" t="n"/>
      <c r="AK603" s="680" t="inlineStr">
        <is>
          <t xml:space="preserve">S-T WHSE.; 2005 LEASE.                                            </t>
        </is>
      </c>
    </row>
    <row r="604">
      <c r="A604" s="248" t="n">
        <v>8</v>
      </c>
      <c r="B604" s="370" t="n">
        <v>596</v>
      </c>
      <c r="C604" s="254" t="inlineStr">
        <is>
          <t>2009Q</t>
        </is>
      </c>
      <c r="D604" s="245" t="inlineStr">
        <is>
          <t xml:space="preserve">01183-00-012-000 </t>
        </is>
      </c>
      <c r="E604" s="258" t="inlineStr">
        <is>
          <t>Actual</t>
        </is>
      </c>
      <c r="F604" s="259" t="inlineStr">
        <is>
          <t>5050   COLORADO             BV</t>
        </is>
      </c>
      <c r="G604" s="672" t="n">
        <v>44.2</v>
      </c>
      <c r="H604" s="253" t="n">
        <v>9101</v>
      </c>
      <c r="I604" s="255" t="n">
        <v>5</v>
      </c>
      <c r="J604" s="678" t="n">
        <v>40896</v>
      </c>
      <c r="K604" s="679" t="n">
        <v>2.503472222222222</v>
      </c>
      <c r="L604" s="260" t="n">
        <v>0</v>
      </c>
      <c r="M604" s="262" t="n">
        <v>0.2233888769510265</v>
      </c>
      <c r="N604" s="253" t="n">
        <v>1959</v>
      </c>
      <c r="O604" s="250" t="n">
        <v>1200</v>
      </c>
      <c r="P604" s="250" t="n">
        <v>2764</v>
      </c>
      <c r="Q604" s="245" t="n">
        <v>22</v>
      </c>
      <c r="R604" s="245" t="n">
        <v>1</v>
      </c>
      <c r="S604" s="245" t="n">
        <v>1</v>
      </c>
      <c r="T604" s="249" t="inlineStr">
        <is>
          <t xml:space="preserve">I2   </t>
        </is>
      </c>
      <c r="U604" s="249" t="n">
        <v>398</v>
      </c>
      <c r="V604" s="678" t="n">
        <v>95733</v>
      </c>
      <c r="W604" s="678" t="n">
        <v>100000</v>
      </c>
      <c r="X604" s="356" t="inlineStr">
        <is>
          <t>2.3:1</t>
        </is>
      </c>
      <c r="Y604" s="678">
        <f>ROUND(J604,-3)</f>
        <v/>
      </c>
      <c r="Z604" s="249" t="inlineStr">
        <is>
          <t xml:space="preserve">C </t>
        </is>
      </c>
      <c r="AA604" s="245" t="n">
        <v>3</v>
      </c>
      <c r="AB604" s="245" t="n">
        <v>3</v>
      </c>
      <c r="AC604" s="253" t="inlineStr">
        <is>
          <t>33</t>
        </is>
      </c>
      <c r="AD604" s="247" t="inlineStr">
        <is>
          <t xml:space="preserve">S-W WEATHER GUARD   </t>
        </is>
      </c>
      <c r="AE604" s="680" t="n"/>
      <c r="AF604" s="680" t="n"/>
      <c r="AG604" s="680" t="n"/>
      <c r="AH604" s="680" t="n"/>
      <c r="AI604" s="680" t="n"/>
      <c r="AJ604" s="680" t="n"/>
      <c r="AK604" s="680" t="inlineStr">
        <is>
          <t xml:space="preserve">S-T WHSE                                                          </t>
        </is>
      </c>
    </row>
    <row r="605">
      <c r="A605" s="248" t="n">
        <v>8</v>
      </c>
      <c r="B605" s="370" t="n">
        <v>597</v>
      </c>
      <c r="C605" s="254" t="inlineStr">
        <is>
          <t>2009Q</t>
        </is>
      </c>
      <c r="D605" s="245" t="inlineStr">
        <is>
          <t xml:space="preserve">01183-00-013-000 </t>
        </is>
      </c>
      <c r="E605" s="258" t="inlineStr">
        <is>
          <t>Actual</t>
        </is>
      </c>
      <c r="F605" s="259" t="inlineStr">
        <is>
          <t>5000   COLORADO             BV</t>
        </is>
      </c>
      <c r="G605" s="672" t="n">
        <v>44.2</v>
      </c>
      <c r="H605" s="253" t="n">
        <v>9101</v>
      </c>
      <c r="I605" s="255" t="n">
        <v>5</v>
      </c>
      <c r="J605" s="678" t="n">
        <v>15058</v>
      </c>
      <c r="K605" s="679" t="n">
        <v>4.59058307876212</v>
      </c>
      <c r="L605" s="260" t="n">
        <v>0</v>
      </c>
      <c r="M605" s="262" t="n">
        <v>0</v>
      </c>
      <c r="N605" s="253" t="n">
        <v>1964</v>
      </c>
      <c r="P605" s="250" t="n">
        <v>1872</v>
      </c>
      <c r="Q605" s="245" t="n">
        <v>19</v>
      </c>
      <c r="R605" s="245" t="n">
        <v>1</v>
      </c>
      <c r="S605" s="245" t="n">
        <v>1</v>
      </c>
      <c r="T605" s="249" t="inlineStr">
        <is>
          <t xml:space="preserve">I2   </t>
        </is>
      </c>
      <c r="U605" s="249" t="n">
        <v>398</v>
      </c>
      <c r="V605" s="678" t="n">
        <v>59290</v>
      </c>
      <c r="W605" s="678" t="n">
        <v>60000</v>
      </c>
      <c r="X605" s="356" t="inlineStr">
        <is>
          <t>3.9:1</t>
        </is>
      </c>
      <c r="Y605" s="678">
        <f>ROUND(J605,-3)</f>
        <v/>
      </c>
      <c r="Z605" s="249" t="inlineStr">
        <is>
          <t xml:space="preserve">C </t>
        </is>
      </c>
      <c r="AA605" s="245" t="n">
        <v>3</v>
      </c>
      <c r="AB605" s="245" t="n">
        <v>3</v>
      </c>
      <c r="AC605" s="253" t="inlineStr">
        <is>
          <t>33</t>
        </is>
      </c>
      <c r="AD605" s="247" t="inlineStr">
        <is>
          <t>DIST J W BREWER TIRE</t>
        </is>
      </c>
      <c r="AE605" s="680" t="n"/>
      <c r="AF605" s="680" t="n"/>
      <c r="AG605" s="680" t="n"/>
      <c r="AH605" s="680" t="n"/>
      <c r="AI605" s="680" t="n"/>
      <c r="AJ605" s="680" t="n"/>
      <c r="AK605" s="680" t="inlineStr">
        <is>
          <t xml:space="preserve">S-T WHSE.; 2005 LEASE.                                            </t>
        </is>
      </c>
    </row>
    <row r="606">
      <c r="A606" s="248" t="n">
        <v>8</v>
      </c>
      <c r="B606" s="370" t="n">
        <v>598</v>
      </c>
      <c r="C606" s="254" t="inlineStr">
        <is>
          <t>2009Q</t>
        </is>
      </c>
      <c r="D606" s="245" t="inlineStr">
        <is>
          <t xml:space="preserve">01183-00-036-000 </t>
        </is>
      </c>
      <c r="E606" s="258" t="inlineStr">
        <is>
          <t>Actual</t>
        </is>
      </c>
      <c r="F606" s="259" t="inlineStr">
        <is>
          <t>4950   COLORADO             BV</t>
        </is>
      </c>
      <c r="G606" s="672" t="n">
        <v>44.2</v>
      </c>
      <c r="H606" s="253" t="n">
        <v>9101</v>
      </c>
      <c r="I606" s="255" t="n">
        <v>5</v>
      </c>
      <c r="J606" s="678" t="n">
        <v>44780</v>
      </c>
      <c r="K606" s="679" t="n">
        <v>3.752300133988387</v>
      </c>
      <c r="L606" s="260" t="n">
        <v>0</v>
      </c>
      <c r="M606" s="262" t="n">
        <v>0</v>
      </c>
      <c r="N606" s="253" t="n">
        <v>1955</v>
      </c>
      <c r="P606" s="250" t="n">
        <v>4259</v>
      </c>
      <c r="Q606" s="245" t="n">
        <v>20</v>
      </c>
      <c r="R606" s="245" t="n">
        <v>10</v>
      </c>
      <c r="S606" s="245" t="n">
        <v>1</v>
      </c>
      <c r="T606" s="249" t="inlineStr">
        <is>
          <t xml:space="preserve">I2   </t>
        </is>
      </c>
      <c r="U606" s="249" t="n">
        <v>398</v>
      </c>
      <c r="V606" s="678" t="n">
        <v>104790</v>
      </c>
      <c r="W606" s="678" t="n">
        <v>100000</v>
      </c>
      <c r="X606" s="356" t="inlineStr">
        <is>
          <t>2.3:1</t>
        </is>
      </c>
      <c r="Y606" s="678">
        <f>ROUND(J606,-3)</f>
        <v/>
      </c>
      <c r="Z606" s="249" t="inlineStr">
        <is>
          <t xml:space="preserve">C </t>
        </is>
      </c>
      <c r="AA606" s="245" t="n">
        <v>3</v>
      </c>
      <c r="AB606" s="245" t="n">
        <v>3</v>
      </c>
      <c r="AC606" s="253" t="inlineStr">
        <is>
          <t>33</t>
        </is>
      </c>
      <c r="AD606" s="247" t="inlineStr">
        <is>
          <t>                    </t>
        </is>
      </c>
      <c r="AE606" s="680" t="n"/>
      <c r="AF606" s="680" t="n"/>
      <c r="AG606" s="680" t="n"/>
      <c r="AH606" s="680" t="n"/>
      <c r="AI606" s="680" t="n"/>
      <c r="AJ606" s="680" t="n"/>
      <c r="AK606" s="680" t="inlineStr">
        <is>
          <t xml:space="preserve">S-T WHSE; 2003 LEASE.                                             </t>
        </is>
      </c>
    </row>
    <row r="607">
      <c r="A607" s="248" t="n">
        <v>8</v>
      </c>
      <c r="B607" s="370" t="n">
        <v>599</v>
      </c>
      <c r="C607" s="254" t="inlineStr">
        <is>
          <t>2009Q</t>
        </is>
      </c>
      <c r="D607" s="245" t="inlineStr">
        <is>
          <t xml:space="preserve">01183-00-057-000 </t>
        </is>
      </c>
      <c r="E607" s="258" t="inlineStr">
        <is>
          <t>Actual</t>
        </is>
      </c>
      <c r="F607" s="259" t="inlineStr">
        <is>
          <t>4101 E 48TH                 AV</t>
        </is>
      </c>
      <c r="G607" s="672" t="n">
        <v>47.2</v>
      </c>
      <c r="H607" s="253" t="n">
        <v>9101</v>
      </c>
      <c r="I607" s="255" t="n">
        <v>0</v>
      </c>
      <c r="J607" s="678" t="n">
        <v>75608</v>
      </c>
      <c r="K607" s="679" t="n">
        <v>1.983917045815258</v>
      </c>
      <c r="L607" s="260" t="n">
        <v>0</v>
      </c>
      <c r="M607" s="262" t="n">
        <v>0</v>
      </c>
      <c r="N607" s="253" t="n">
        <v>1963</v>
      </c>
      <c r="O607" s="250">
        <f>4254+1382</f>
        <v/>
      </c>
      <c r="P607" s="250" t="inlineStr">
        <is>
          <t> </t>
        </is>
      </c>
      <c r="Q607" s="245" t="n">
        <v>15</v>
      </c>
      <c r="R607" s="245" t="n">
        <v>3</v>
      </c>
      <c r="S607" s="245" t="n">
        <v>1</v>
      </c>
      <c r="T607" s="249" t="inlineStr">
        <is>
          <t xml:space="preserve">I2   </t>
        </is>
      </c>
      <c r="U607" s="249" t="n">
        <v>401</v>
      </c>
      <c r="V607" s="678" t="n">
        <v>110783</v>
      </c>
      <c r="W607" s="678" t="n">
        <v>110000</v>
      </c>
      <c r="X607" s="356" t="inlineStr">
        <is>
          <t>1.5:1</t>
        </is>
      </c>
      <c r="Y607" s="678">
        <f>ROUND(J607,-4)</f>
        <v/>
      </c>
      <c r="Z607" s="249" t="inlineStr">
        <is>
          <t xml:space="preserve">C </t>
        </is>
      </c>
      <c r="AA607" s="245" t="n">
        <v>2</v>
      </c>
      <c r="AB607" s="245" t="n">
        <v>2</v>
      </c>
      <c r="AC607" s="253" t="inlineStr">
        <is>
          <t>22</t>
        </is>
      </c>
      <c r="AD607" s="247" t="inlineStr">
        <is>
          <t>                    </t>
        </is>
      </c>
      <c r="AE607" s="680" t="n"/>
      <c r="AF607" s="680" t="n"/>
      <c r="AG607" s="680" t="n"/>
      <c r="AH607" s="680" t="n"/>
      <c r="AI607" s="680" t="n"/>
      <c r="AJ607" s="680" t="n"/>
      <c r="AK607" s="680" t="inlineStr">
        <is>
          <t xml:space="preserve">S-T WHSE. MO-TO-MO.                                               </t>
        </is>
      </c>
    </row>
    <row r="608">
      <c r="A608" s="248" t="n">
        <v>8</v>
      </c>
      <c r="B608" s="370" t="n">
        <v>600</v>
      </c>
      <c r="C608" s="254" t="inlineStr">
        <is>
          <t>2009Q</t>
        </is>
      </c>
      <c r="D608" s="245" t="inlineStr">
        <is>
          <t xml:space="preserve">01183-00-058-000 </t>
        </is>
      </c>
      <c r="E608" s="258" t="inlineStr">
        <is>
          <t>Actual</t>
        </is>
      </c>
      <c r="F608" s="259" t="inlineStr">
        <is>
          <t>4201 E 48TH                 AV</t>
        </is>
      </c>
      <c r="G608" s="672" t="n">
        <v>44.2</v>
      </c>
      <c r="H608" s="253" t="n">
        <v>9101</v>
      </c>
      <c r="I608" s="255" t="n">
        <v>0</v>
      </c>
      <c r="J608" s="678" t="n">
        <v>19692</v>
      </c>
      <c r="K608" s="679" t="n">
        <v>2.58988421694089</v>
      </c>
      <c r="L608" s="260" t="n">
        <v>0</v>
      </c>
      <c r="M608" s="262" t="n">
        <v>0</v>
      </c>
      <c r="N608" s="253" t="n">
        <v>1959</v>
      </c>
      <c r="O608" s="250" t="n">
        <v>1400</v>
      </c>
      <c r="Q608" s="245" t="n">
        <v>17</v>
      </c>
      <c r="R608" s="245" t="n">
        <v>3</v>
      </c>
      <c r="S608" s="245" t="n">
        <v>1</v>
      </c>
      <c r="T608" s="249" t="inlineStr">
        <is>
          <t xml:space="preserve">I2   </t>
        </is>
      </c>
      <c r="U608" s="249" t="n">
        <v>398</v>
      </c>
      <c r="V608" s="678" t="n">
        <v>45551</v>
      </c>
      <c r="W608" s="678" t="n">
        <v>46000</v>
      </c>
      <c r="X608" s="356" t="inlineStr">
        <is>
          <t>2.3:1</t>
        </is>
      </c>
      <c r="Y608" s="678">
        <f>ROUND(J608,-3)</f>
        <v/>
      </c>
      <c r="Z608" s="249" t="inlineStr">
        <is>
          <t xml:space="preserve">C </t>
        </is>
      </c>
      <c r="AA608" s="245" t="n">
        <v>2</v>
      </c>
      <c r="AB608" s="245" t="n">
        <v>2</v>
      </c>
      <c r="AC608" s="253" t="inlineStr">
        <is>
          <t>22</t>
        </is>
      </c>
      <c r="AD608" s="247" t="inlineStr">
        <is>
          <t>                    </t>
        </is>
      </c>
      <c r="AE608" s="680" t="n"/>
      <c r="AF608" s="680" t="n"/>
      <c r="AG608" s="680" t="n"/>
      <c r="AH608" s="680" t="n"/>
      <c r="AI608" s="680" t="n"/>
      <c r="AJ608" s="680" t="n"/>
      <c r="AK608" s="680" t="inlineStr">
        <is>
          <t xml:space="preserve">S-T WHSE; MO-TO-MO.                                               </t>
        </is>
      </c>
    </row>
    <row r="609">
      <c r="A609" s="248" t="n">
        <v>8</v>
      </c>
      <c r="B609" s="370" t="n">
        <v>601</v>
      </c>
      <c r="C609" s="254" t="inlineStr">
        <is>
          <t>2009Q</t>
        </is>
      </c>
      <c r="D609" s="245" t="inlineStr">
        <is>
          <t xml:space="preserve">01183-01-015-000 </t>
        </is>
      </c>
      <c r="E609" s="258" t="inlineStr">
        <is>
          <t>Actual</t>
        </is>
      </c>
      <c r="F609" s="259" t="inlineStr">
        <is>
          <t>4550 E 52ND                 AV</t>
        </is>
      </c>
      <c r="G609" s="672" t="n">
        <v>44.2</v>
      </c>
      <c r="H609" s="253" t="n">
        <v>9101</v>
      </c>
      <c r="I609" s="255" t="n">
        <v>0</v>
      </c>
      <c r="J609" s="678" t="n">
        <v>26010</v>
      </c>
      <c r="K609" s="679" t="n">
        <v>13.84083044982699</v>
      </c>
      <c r="L609" s="260" t="n">
        <v>0</v>
      </c>
      <c r="M609" s="262" t="n">
        <v>0</v>
      </c>
      <c r="N609" s="253" t="n">
        <v>1992</v>
      </c>
      <c r="O609" s="250">
        <f>2295*2</f>
        <v/>
      </c>
      <c r="P609" s="250" t="n">
        <v>330</v>
      </c>
      <c r="Q609" s="245" t="n">
        <v>20</v>
      </c>
      <c r="R609" s="245" t="n">
        <v>7</v>
      </c>
      <c r="S609" s="245" t="n">
        <v>1</v>
      </c>
      <c r="T609" s="249" t="inlineStr">
        <is>
          <t xml:space="preserve">I2   </t>
        </is>
      </c>
      <c r="U609" s="249" t="n">
        <v>398</v>
      </c>
      <c r="V609" s="678" t="n">
        <v>81553</v>
      </c>
      <c r="W609" s="678" t="n">
        <v>80000</v>
      </c>
      <c r="X609" s="356" t="inlineStr">
        <is>
          <t>3.1:1</t>
        </is>
      </c>
      <c r="Y609" s="678">
        <f>ROUND(J609,-3)</f>
        <v/>
      </c>
      <c r="Z609" s="249" t="inlineStr">
        <is>
          <t xml:space="preserve">C </t>
        </is>
      </c>
      <c r="AA609" s="245" t="n">
        <v>3</v>
      </c>
      <c r="AB609" s="245" t="n">
        <v>3</v>
      </c>
      <c r="AC609" s="253" t="inlineStr">
        <is>
          <t>33</t>
        </is>
      </c>
      <c r="AD609" s="247" t="inlineStr">
        <is>
          <t>S-W AMERICAN ROOFING</t>
        </is>
      </c>
      <c r="AE609" s="680" t="n"/>
      <c r="AF609" s="680" t="n"/>
      <c r="AG609" s="680" t="n"/>
      <c r="AH609" s="680" t="n"/>
      <c r="AI609" s="680" t="n"/>
      <c r="AJ609" s="680" t="n"/>
      <c r="AK609" s="680" t="inlineStr">
        <is>
          <t xml:space="preserve">S-T WHSES.; LEASE ORIGINATED IN 1989.                             </t>
        </is>
      </c>
    </row>
    <row r="610">
      <c r="A610" s="248" t="n">
        <v>8</v>
      </c>
      <c r="B610" s="370" t="n">
        <v>602</v>
      </c>
      <c r="C610" s="254" t="inlineStr">
        <is>
          <t>2009Q</t>
        </is>
      </c>
      <c r="D610" s="245" t="inlineStr">
        <is>
          <t xml:space="preserve">01183-02-011-000 </t>
        </is>
      </c>
      <c r="E610" s="258" t="inlineStr">
        <is>
          <t>Actual</t>
        </is>
      </c>
      <c r="F610" s="259" t="inlineStr">
        <is>
          <t>4770 E 51ST                 AV</t>
        </is>
      </c>
      <c r="G610" s="672" t="n">
        <v>44.7</v>
      </c>
      <c r="H610" s="253" t="n">
        <v>9101</v>
      </c>
      <c r="I610" s="255" t="n">
        <v>0</v>
      </c>
      <c r="J610" s="678" t="n">
        <v>101883</v>
      </c>
      <c r="K610" s="679" t="n">
        <v>3.182621242012897</v>
      </c>
      <c r="L610" s="260" t="n">
        <v>0</v>
      </c>
      <c r="M610" s="262" t="n">
        <v>0</v>
      </c>
      <c r="N610" s="253" t="n">
        <v>1974</v>
      </c>
      <c r="O610" s="250">
        <f>16800+8047</f>
        <v/>
      </c>
      <c r="Q610" s="245" t="n">
        <v>24</v>
      </c>
      <c r="R610" s="245" t="n">
        <v>10</v>
      </c>
      <c r="S610" s="245" t="n">
        <v>1</v>
      </c>
      <c r="T610" s="249" t="inlineStr">
        <is>
          <t xml:space="preserve">I2   </t>
        </is>
      </c>
      <c r="U610" s="249" t="n">
        <v>398</v>
      </c>
      <c r="V610" s="678" t="n">
        <v>261000</v>
      </c>
      <c r="W610" s="678" t="n">
        <v>260000</v>
      </c>
      <c r="X610" s="356" t="inlineStr">
        <is>
          <t>2.6:1</t>
        </is>
      </c>
      <c r="Y610" s="678">
        <f>ROUND(J610,-4)</f>
        <v/>
      </c>
      <c r="Z610" s="249" t="inlineStr">
        <is>
          <t xml:space="preserve">C </t>
        </is>
      </c>
      <c r="AA610" s="245" t="n">
        <v>3</v>
      </c>
      <c r="AB610" s="245" t="n">
        <v>3</v>
      </c>
      <c r="AC610" s="253" t="inlineStr">
        <is>
          <t>33</t>
        </is>
      </c>
      <c r="AD610" s="247" t="inlineStr">
        <is>
          <t>MILE-HI FROZEN FOODS</t>
        </is>
      </c>
      <c r="AE610" s="680" t="n"/>
      <c r="AF610" s="680" t="n"/>
      <c r="AG610" s="680" t="n"/>
      <c r="AH610" s="680" t="n"/>
      <c r="AI610" s="680" t="n"/>
      <c r="AJ610" s="680" t="n"/>
      <c r="AK610" s="680" t="inlineStr">
        <is>
          <t xml:space="preserve">S-T WHSE.; DATE OF LEASE UNKNOWN.                                 </t>
        </is>
      </c>
    </row>
    <row r="611">
      <c r="A611" s="248" t="n">
        <v>8</v>
      </c>
      <c r="B611" s="370" t="n">
        <v>603</v>
      </c>
      <c r="C611" s="254" t="inlineStr">
        <is>
          <t>2009Q</t>
        </is>
      </c>
      <c r="D611" s="245" t="inlineStr">
        <is>
          <t xml:space="preserve">01183-02-012-000 </t>
        </is>
      </c>
      <c r="E611" s="258" t="inlineStr">
        <is>
          <t>Actual</t>
        </is>
      </c>
      <c r="F611" s="259" t="inlineStr">
        <is>
          <t>4501 E 50TH                 AV</t>
        </is>
      </c>
      <c r="G611" s="672" t="n">
        <v>44.7</v>
      </c>
      <c r="H611" s="253" t="n">
        <v>9101</v>
      </c>
      <c r="I611" s="255" t="n">
        <v>0</v>
      </c>
      <c r="J611" s="678" t="n">
        <v>104748</v>
      </c>
      <c r="K611" s="679" t="n">
        <v>5.314125329361898</v>
      </c>
      <c r="L611" s="260" t="n">
        <v>0</v>
      </c>
      <c r="M611" s="262" t="n">
        <v>0</v>
      </c>
      <c r="N611" s="253" t="n">
        <v>1973</v>
      </c>
      <c r="O611" s="250">
        <f>529+2475+512</f>
        <v/>
      </c>
      <c r="Q611" s="245" t="n">
        <v>27</v>
      </c>
      <c r="R611" s="245" t="n">
        <v>3</v>
      </c>
      <c r="S611" s="245" t="n">
        <v>2</v>
      </c>
      <c r="T611" s="249" t="inlineStr">
        <is>
          <t xml:space="preserve">I2   </t>
        </is>
      </c>
      <c r="U611" s="249" t="n">
        <v>398</v>
      </c>
      <c r="V611" s="678" t="n">
        <v>261359</v>
      </c>
      <c r="W611" s="678" t="n">
        <v>260000</v>
      </c>
      <c r="X611" s="356" t="inlineStr">
        <is>
          <t>2.5:1</t>
        </is>
      </c>
      <c r="Y611" s="678">
        <f>ROUND(J611,-4)</f>
        <v/>
      </c>
      <c r="Z611" s="249" t="inlineStr">
        <is>
          <t xml:space="preserve">C </t>
        </is>
      </c>
      <c r="AA611" s="245" t="n">
        <v>3</v>
      </c>
      <c r="AB611" s="245" t="n">
        <v>3</v>
      </c>
      <c r="AC611" s="253" t="inlineStr">
        <is>
          <t>33</t>
        </is>
      </c>
      <c r="AD611" s="247" t="inlineStr">
        <is>
          <t>MILE HIGH FROZEN FOO</t>
        </is>
      </c>
      <c r="AE611" s="680" t="n"/>
      <c r="AF611" s="680" t="n"/>
      <c r="AG611" s="680" t="n"/>
      <c r="AH611" s="680" t="n"/>
      <c r="AI611" s="680" t="n"/>
      <c r="AJ611" s="680" t="n"/>
      <c r="AK611" s="680" t="inlineStr">
        <is>
          <t xml:space="preserve">S-T WHSE.; YR. TO YR. LEASE.                                      </t>
        </is>
      </c>
    </row>
    <row r="612">
      <c r="A612" s="248" t="n">
        <v>8</v>
      </c>
      <c r="B612" s="370" t="n">
        <v>604</v>
      </c>
      <c r="C612" s="254" t="inlineStr">
        <is>
          <t>2009Q</t>
        </is>
      </c>
      <c r="D612" s="245" t="inlineStr">
        <is>
          <t xml:space="preserve">01183-02-016-000 </t>
        </is>
      </c>
      <c r="E612" s="258" t="inlineStr">
        <is>
          <t>Actual</t>
        </is>
      </c>
      <c r="F612" s="259" t="inlineStr">
        <is>
          <t>5075   DAHLIA               ST</t>
        </is>
      </c>
      <c r="G612" s="672" t="n">
        <v>44.7</v>
      </c>
      <c r="H612" s="253" t="n">
        <v>9101</v>
      </c>
      <c r="I612" s="255" t="n">
        <v>0</v>
      </c>
      <c r="J612" s="678" t="n">
        <v>13066</v>
      </c>
      <c r="K612" s="679" t="n">
        <v>3.731057707025869</v>
      </c>
      <c r="L612" s="260" t="n">
        <v>0</v>
      </c>
      <c r="M612" s="262" t="n">
        <v>0.001764102564102564</v>
      </c>
      <c r="N612" s="253" t="n">
        <v>1966</v>
      </c>
      <c r="O612" s="250" t="n">
        <v>1560</v>
      </c>
      <c r="Q612" s="245" t="n">
        <v>20</v>
      </c>
      <c r="R612" s="245" t="n">
        <v>3</v>
      </c>
      <c r="S612" s="245" t="n">
        <v>2</v>
      </c>
      <c r="T612" s="249" t="inlineStr">
        <is>
          <t xml:space="preserve">I2   </t>
        </is>
      </c>
      <c r="U612" s="249" t="n">
        <v>398</v>
      </c>
      <c r="V612" s="678" t="n">
        <v>18315</v>
      </c>
      <c r="W612" s="678" t="n">
        <v>18000</v>
      </c>
      <c r="X612" s="356" t="inlineStr">
        <is>
          <t>1.4:1</t>
        </is>
      </c>
      <c r="Y612" s="678">
        <f>ROUND(J612,-3)</f>
        <v/>
      </c>
      <c r="Z612" s="249" t="inlineStr">
        <is>
          <t xml:space="preserve">C </t>
        </is>
      </c>
      <c r="AA612" s="245" t="n">
        <v>3</v>
      </c>
      <c r="AB612" s="245" t="n">
        <v>3</v>
      </c>
      <c r="AC612" s="253" t="inlineStr">
        <is>
          <t>33</t>
        </is>
      </c>
      <c r="AD612" s="247" t="inlineStr">
        <is>
          <t>                    </t>
        </is>
      </c>
      <c r="AE612" s="680" t="n"/>
      <c r="AF612" s="680" t="n"/>
      <c r="AG612" s="680" t="n"/>
      <c r="AH612" s="680" t="n"/>
      <c r="AI612" s="680" t="n"/>
      <c r="AJ612" s="680" t="n"/>
      <c r="AK612" s="680" t="inlineStr">
        <is>
          <t xml:space="preserve">S-T WHSE; YR. TO YR.                                              </t>
        </is>
      </c>
    </row>
    <row r="613">
      <c r="A613" s="248" t="n">
        <v>8</v>
      </c>
      <c r="B613" s="370" t="n">
        <v>605</v>
      </c>
      <c r="C613" s="254" t="inlineStr">
        <is>
          <t>2009Q</t>
        </is>
      </c>
      <c r="D613" s="245" t="inlineStr">
        <is>
          <t xml:space="preserve">01183-02-017-000 </t>
        </is>
      </c>
      <c r="E613" s="258" t="inlineStr">
        <is>
          <t>Actual</t>
        </is>
      </c>
      <c r="F613" s="259" t="inlineStr">
        <is>
          <t>5025   DAHLIA               ST</t>
        </is>
      </c>
      <c r="G613" s="672" t="n">
        <v>44.2</v>
      </c>
      <c r="H613" s="253" t="n">
        <v>9101</v>
      </c>
      <c r="I613" s="255" t="n">
        <v>0</v>
      </c>
      <c r="J613" s="678" t="n">
        <v>11440</v>
      </c>
      <c r="K613" s="679" t="n">
        <v>6.818181818181818</v>
      </c>
      <c r="L613" s="260" t="n">
        <v>0</v>
      </c>
      <c r="M613" s="262" t="n">
        <v>0.0461025641025641</v>
      </c>
      <c r="N613" s="253" t="n">
        <v>1974</v>
      </c>
      <c r="O613" s="250" t="n">
        <v>1564</v>
      </c>
      <c r="Q613" s="245" t="n">
        <v>22</v>
      </c>
      <c r="R613" s="245" t="n">
        <v>1</v>
      </c>
      <c r="S613" s="245" t="n">
        <v>1</v>
      </c>
      <c r="T613" s="249" t="inlineStr">
        <is>
          <t xml:space="preserve">I2   </t>
        </is>
      </c>
      <c r="U613" s="249" t="n">
        <v>398</v>
      </c>
      <c r="V613" s="678" t="n">
        <v>21764</v>
      </c>
      <c r="W613" s="678" t="n">
        <v>22000</v>
      </c>
      <c r="X613" s="356" t="inlineStr">
        <is>
          <t>1.9:1</t>
        </is>
      </c>
      <c r="Y613" s="678">
        <f>ROUND(J613,-3)</f>
        <v/>
      </c>
      <c r="Z613" s="249" t="inlineStr">
        <is>
          <t xml:space="preserve">C </t>
        </is>
      </c>
      <c r="AA613" s="245" t="n">
        <v>3</v>
      </c>
      <c r="AB613" s="245" t="n">
        <v>3</v>
      </c>
      <c r="AC613" s="253" t="inlineStr">
        <is>
          <t>33</t>
        </is>
      </c>
      <c r="AD613" s="247" t="inlineStr">
        <is>
          <t>                    </t>
        </is>
      </c>
      <c r="AE613" s="680" t="n"/>
      <c r="AF613" s="680" t="n"/>
      <c r="AG613" s="680" t="n"/>
      <c r="AH613" s="680" t="n"/>
      <c r="AI613" s="680" t="n"/>
      <c r="AJ613" s="680" t="n"/>
      <c r="AK613" s="680" t="inlineStr">
        <is>
          <t xml:space="preserve">M-T WHSE.                                                         </t>
        </is>
      </c>
    </row>
    <row r="614">
      <c r="A614" s="248" t="n">
        <v>8</v>
      </c>
      <c r="B614" s="370" t="n">
        <v>606</v>
      </c>
      <c r="C614" s="254" t="inlineStr">
        <is>
          <t>2009Q</t>
        </is>
      </c>
      <c r="D614" s="245" t="inlineStr">
        <is>
          <t xml:space="preserve">01184-00-015-000 </t>
        </is>
      </c>
      <c r="E614" s="258" t="inlineStr">
        <is>
          <t>Actual</t>
        </is>
      </c>
      <c r="F614" s="259" t="inlineStr">
        <is>
          <t>4990   DAHLIA               ST</t>
        </is>
      </c>
      <c r="G614" s="672" t="n">
        <v>44.2</v>
      </c>
      <c r="H614" s="253" t="n">
        <v>9101</v>
      </c>
      <c r="I614" s="255" t="n">
        <v>0</v>
      </c>
      <c r="J614" s="678" t="n">
        <v>81475</v>
      </c>
      <c r="K614" s="679" t="n">
        <v>5.100460263884627</v>
      </c>
      <c r="L614" s="260" t="n">
        <v>0</v>
      </c>
      <c r="M614" s="262" t="n">
        <v>0.3213976321108865</v>
      </c>
      <c r="N614" s="253" t="n">
        <v>1966</v>
      </c>
      <c r="O614" s="250" t="n">
        <v>4080</v>
      </c>
      <c r="P614" s="250" t="n">
        <v>1225</v>
      </c>
      <c r="Q614" s="245" t="n">
        <v>30</v>
      </c>
      <c r="R614" s="245" t="n">
        <v>3</v>
      </c>
      <c r="S614" s="245" t="n">
        <v>1</v>
      </c>
      <c r="T614" s="249" t="inlineStr">
        <is>
          <t xml:space="preserve">I2   </t>
        </is>
      </c>
      <c r="U614" s="249" t="n">
        <v>398</v>
      </c>
      <c r="V614" s="678" t="n">
        <v>169045</v>
      </c>
      <c r="W614" s="678" t="n">
        <v>170000</v>
      </c>
      <c r="X614" s="356" t="inlineStr">
        <is>
          <t>2.1:1</t>
        </is>
      </c>
      <c r="Y614" s="678">
        <f>ROUND(J614,-4)</f>
        <v/>
      </c>
      <c r="Z614" s="249" t="inlineStr">
        <is>
          <t xml:space="preserve">C </t>
        </is>
      </c>
      <c r="AA614" s="245" t="n">
        <v>3</v>
      </c>
      <c r="AB614" s="245" t="n">
        <v>3</v>
      </c>
      <c r="AC614" s="253" t="inlineStr">
        <is>
          <t>33</t>
        </is>
      </c>
      <c r="AD614" s="247" t="inlineStr">
        <is>
          <t>S-W AMICK MOVING&amp;STR</t>
        </is>
      </c>
      <c r="AE614" s="680" t="n"/>
      <c r="AF614" s="680" t="n"/>
      <c r="AG614" s="680" t="n"/>
      <c r="AH614" s="680" t="n"/>
      <c r="AI614" s="680" t="n"/>
      <c r="AJ614" s="680" t="n"/>
      <c r="AK614" s="680" t="inlineStr">
        <is>
          <t xml:space="preserve">S-T WHSE; GPMS                                                    </t>
        </is>
      </c>
    </row>
    <row r="615">
      <c r="A615" s="248" t="n">
        <v>8</v>
      </c>
      <c r="B615" s="370" t="n">
        <v>607</v>
      </c>
      <c r="C615" s="254" t="inlineStr">
        <is>
          <t>2009Q</t>
        </is>
      </c>
      <c r="D615" s="245" t="inlineStr">
        <is>
          <t xml:space="preserve">01184-00-016-000 </t>
        </is>
      </c>
      <c r="E615" s="258" t="inlineStr">
        <is>
          <t>Actual</t>
        </is>
      </c>
      <c r="F615" s="259" t="inlineStr">
        <is>
          <t>4900   DAHLIA               ST</t>
        </is>
      </c>
      <c r="G615" s="672" t="n">
        <v>44.2</v>
      </c>
      <c r="H615" s="253" t="n">
        <v>9101</v>
      </c>
      <c r="I615" s="255" t="n">
        <v>0</v>
      </c>
      <c r="J615" s="678" t="n">
        <v>40200</v>
      </c>
      <c r="K615" s="679" t="n">
        <v>3.374850746268657</v>
      </c>
      <c r="L615" s="260" t="n">
        <v>0</v>
      </c>
      <c r="M615" s="262" t="n">
        <v>0.03901407101106369</v>
      </c>
      <c r="N615" s="253" t="n">
        <v>1966</v>
      </c>
      <c r="Q615" s="245" t="n">
        <v>30</v>
      </c>
      <c r="R615" s="245" t="n">
        <v>1</v>
      </c>
      <c r="S615" s="245" t="n">
        <v>1</v>
      </c>
      <c r="T615" s="249" t="inlineStr">
        <is>
          <t xml:space="preserve">I2   </t>
        </is>
      </c>
      <c r="U615" s="249" t="n">
        <v>398</v>
      </c>
      <c r="V615" s="678" t="n">
        <v>102703</v>
      </c>
      <c r="W615" s="678" t="n">
        <v>100000</v>
      </c>
      <c r="X615" s="356" t="inlineStr">
        <is>
          <t>2.6:1</t>
        </is>
      </c>
      <c r="Y615" s="678">
        <f>ROUND(J615,-3)</f>
        <v/>
      </c>
      <c r="Z615" s="249" t="inlineStr">
        <is>
          <t xml:space="preserve">C </t>
        </is>
      </c>
      <c r="AA615" s="245" t="n">
        <v>2</v>
      </c>
      <c r="AB615" s="245" t="n">
        <v>3</v>
      </c>
      <c r="AC615" s="253" t="inlineStr">
        <is>
          <t>23</t>
        </is>
      </c>
      <c r="AD615" s="247" t="inlineStr">
        <is>
          <t xml:space="preserve">AMERICAN WHSE       </t>
        </is>
      </c>
      <c r="AE615" s="680" t="n"/>
      <c r="AF615" s="680" t="n"/>
      <c r="AG615" s="680" t="n"/>
      <c r="AH615" s="680" t="n"/>
      <c r="AI615" s="680" t="n"/>
      <c r="AJ615" s="680" t="n"/>
      <c r="AK615" s="680" t="inlineStr">
        <is>
          <t xml:space="preserve">S-T WHSE.                                                         </t>
        </is>
      </c>
    </row>
    <row r="616">
      <c r="A616" s="248" t="n">
        <v>8</v>
      </c>
      <c r="B616" s="370" t="n">
        <v>608</v>
      </c>
      <c r="C616" s="254" t="inlineStr">
        <is>
          <t>2009Q</t>
        </is>
      </c>
      <c r="D616" s="245" t="inlineStr">
        <is>
          <t xml:space="preserve">01184-00-020-000 </t>
        </is>
      </c>
      <c r="E616" s="258" t="inlineStr">
        <is>
          <t>Actual</t>
        </is>
      </c>
      <c r="F616" s="259" t="inlineStr">
        <is>
          <t>4800   DAHLIA               ST</t>
        </is>
      </c>
      <c r="G616" s="672" t="n">
        <v>44.4</v>
      </c>
      <c r="H616" s="253" t="n">
        <v>9101</v>
      </c>
      <c r="I616" s="255" t="n">
        <v>0</v>
      </c>
      <c r="J616" s="678" t="n">
        <v>28015</v>
      </c>
      <c r="K616" s="679" t="n">
        <v>4.457968945207925</v>
      </c>
      <c r="L616" s="260" t="n">
        <v>0.2284490451543816</v>
      </c>
      <c r="M616" s="262" t="n">
        <v>0.2717751621426855</v>
      </c>
      <c r="N616" s="253" t="n">
        <v>1959</v>
      </c>
      <c r="O616" s="250">
        <f>2630+5166</f>
        <v/>
      </c>
      <c r="P616" s="250" t="n">
        <v>5142</v>
      </c>
      <c r="Q616" s="245" t="n">
        <v>22</v>
      </c>
      <c r="R616" s="245" t="n">
        <v>1</v>
      </c>
      <c r="S616" s="245" t="n">
        <v>1</v>
      </c>
      <c r="T616" s="249" t="inlineStr">
        <is>
          <t xml:space="preserve">I2   </t>
        </is>
      </c>
      <c r="U616" s="249" t="n">
        <v>398</v>
      </c>
      <c r="V616" s="678" t="n">
        <v>239703</v>
      </c>
      <c r="W616" s="678" t="n">
        <v>240000</v>
      </c>
      <c r="X616" s="356" t="inlineStr">
        <is>
          <t>2.3:1</t>
        </is>
      </c>
      <c r="Y616" s="678">
        <f>ROUND(J616,-3)</f>
        <v/>
      </c>
      <c r="Z616" s="249" t="inlineStr">
        <is>
          <t xml:space="preserve">C </t>
        </is>
      </c>
      <c r="AA616" s="245" t="n">
        <v>3</v>
      </c>
      <c r="AB616" s="245" t="n">
        <v>3</v>
      </c>
      <c r="AC616" s="253" t="inlineStr">
        <is>
          <t>33</t>
        </is>
      </c>
      <c r="AD616" s="247" t="inlineStr">
        <is>
          <t>S-F-WHOLESALE FLORST</t>
        </is>
      </c>
      <c r="AE616" s="680" t="n"/>
      <c r="AF616" s="680" t="n"/>
      <c r="AG616" s="680" t="n"/>
      <c r="AH616" s="680" t="n"/>
      <c r="AI616" s="680" t="n"/>
      <c r="AJ616" s="680" t="n"/>
      <c r="AK616" s="680" t="inlineStr">
        <is>
          <t xml:space="preserve">M-T WHSE.                                                         </t>
        </is>
      </c>
    </row>
    <row r="617">
      <c r="A617" s="248" t="n">
        <v>8</v>
      </c>
      <c r="B617" s="370" t="n">
        <v>609</v>
      </c>
      <c r="C617" s="254" t="inlineStr">
        <is>
          <t>2009Q</t>
        </is>
      </c>
      <c r="D617" s="245" t="inlineStr">
        <is>
          <t xml:space="preserve">01184-01-004-000 </t>
        </is>
      </c>
      <c r="E617" s="258" t="inlineStr">
        <is>
          <t>Actual</t>
        </is>
      </c>
      <c r="F617" s="259" t="inlineStr">
        <is>
          <t>5199 E 48TH                 AV</t>
        </is>
      </c>
      <c r="G617" s="672" t="n">
        <v>44.2</v>
      </c>
      <c r="H617" s="253" t="n">
        <v>9101</v>
      </c>
      <c r="I617" s="255" t="n">
        <v>0</v>
      </c>
      <c r="J617" s="678" t="n">
        <v>14222</v>
      </c>
      <c r="K617" s="679" t="n">
        <v>5.062579102798481</v>
      </c>
      <c r="L617" s="260" t="n">
        <v>0</v>
      </c>
      <c r="M617" s="262" t="n">
        <v>0</v>
      </c>
      <c r="N617" s="253" t="n">
        <v>1986</v>
      </c>
      <c r="O617" s="250" t="n">
        <v>1731</v>
      </c>
      <c r="Q617" s="245" t="n">
        <v>18</v>
      </c>
      <c r="R617" s="245" t="n">
        <v>8</v>
      </c>
      <c r="S617" s="245" t="n">
        <v>1</v>
      </c>
      <c r="T617" s="249" t="inlineStr">
        <is>
          <t xml:space="preserve">I2   </t>
        </is>
      </c>
      <c r="U617" s="249" t="n">
        <v>398</v>
      </c>
      <c r="V617" s="678" t="n">
        <v>99260</v>
      </c>
      <c r="W617" s="678" t="n">
        <v>100000</v>
      </c>
      <c r="X617" s="356" t="inlineStr">
        <is>
          <t>7.0:1</t>
        </is>
      </c>
      <c r="Y617" s="678">
        <f>ROUND(J617,-3)</f>
        <v/>
      </c>
      <c r="Z617" s="249" t="inlineStr">
        <is>
          <t xml:space="preserve">C </t>
        </is>
      </c>
      <c r="AA617" s="245" t="n">
        <v>3</v>
      </c>
      <c r="AB617" s="245" t="n">
        <v>3</v>
      </c>
      <c r="AC617" s="253" t="inlineStr">
        <is>
          <t>33</t>
        </is>
      </c>
      <c r="AD617" s="247" t="inlineStr">
        <is>
          <t xml:space="preserve">CENTRAL STATES HOSE </t>
        </is>
      </c>
      <c r="AE617" s="680" t="n"/>
      <c r="AF617" s="680" t="n"/>
      <c r="AG617" s="680" t="n"/>
      <c r="AH617" s="680" t="n"/>
      <c r="AI617" s="680" t="n"/>
      <c r="AJ617" s="680" t="n"/>
      <c r="AK617" s="680" t="inlineStr">
        <is>
          <t xml:space="preserve">S-T WHSE.                                                         </t>
        </is>
      </c>
    </row>
    <row r="618">
      <c r="A618" s="248" t="n">
        <v>8</v>
      </c>
      <c r="B618" s="370" t="n">
        <v>610</v>
      </c>
      <c r="C618" s="254" t="inlineStr">
        <is>
          <t>2009Q</t>
        </is>
      </c>
      <c r="D618" s="245" t="inlineStr">
        <is>
          <t xml:space="preserve">01184-01-006-000 </t>
        </is>
      </c>
      <c r="E618" s="258" t="inlineStr">
        <is>
          <t>Actual</t>
        </is>
      </c>
      <c r="F618" s="259" t="inlineStr">
        <is>
          <t>4851   FOREST               ST</t>
        </is>
      </c>
      <c r="G618" s="672" t="n">
        <v>44.2</v>
      </c>
      <c r="H618" s="253" t="n">
        <v>9101</v>
      </c>
      <c r="I618" s="255" t="n">
        <v>0</v>
      </c>
      <c r="J618" s="678" t="n">
        <v>6480</v>
      </c>
      <c r="K618" s="679" t="n">
        <v>9.25925925925926</v>
      </c>
      <c r="L618" s="260" t="n">
        <v>0</v>
      </c>
      <c r="M618" s="262" t="n">
        <v>0</v>
      </c>
      <c r="N618" s="253" t="n">
        <v>1987</v>
      </c>
      <c r="O618" s="250" t="n">
        <v>1744</v>
      </c>
      <c r="Q618" s="245" t="n">
        <v>16</v>
      </c>
      <c r="R618" s="245" t="n">
        <v>8</v>
      </c>
      <c r="S618" s="245" t="n">
        <v>1</v>
      </c>
      <c r="T618" s="249" t="inlineStr">
        <is>
          <t xml:space="preserve">I2   </t>
        </is>
      </c>
      <c r="U618" s="249" t="n">
        <v>398</v>
      </c>
      <c r="V618" s="678" t="n">
        <v>45216</v>
      </c>
      <c r="W618" s="678" t="n">
        <v>45000</v>
      </c>
      <c r="X618" s="356" t="inlineStr">
        <is>
          <t>7.0:1</t>
        </is>
      </c>
      <c r="Y618" s="678">
        <f>ROUND(J618,-3)</f>
        <v/>
      </c>
      <c r="Z618" s="249" t="inlineStr">
        <is>
          <t xml:space="preserve">C </t>
        </is>
      </c>
      <c r="AA618" s="245" t="n">
        <v>3</v>
      </c>
      <c r="AB618" s="245" t="n">
        <v>3</v>
      </c>
      <c r="AC618" s="253" t="inlineStr">
        <is>
          <t>33</t>
        </is>
      </c>
      <c r="AD618" s="247" t="inlineStr">
        <is>
          <t xml:space="preserve">SEAL MASTER/DENVER  </t>
        </is>
      </c>
      <c r="AE618" s="680" t="n"/>
      <c r="AF618" s="680" t="n"/>
      <c r="AG618" s="680" t="n"/>
      <c r="AH618" s="680" t="n"/>
      <c r="AI618" s="680" t="n"/>
      <c r="AJ618" s="680" t="n"/>
      <c r="AK618" s="680" t="inlineStr">
        <is>
          <t xml:space="preserve">S-T WHSE; SEALMASTER                                              </t>
        </is>
      </c>
    </row>
    <row r="619">
      <c r="A619" s="248" t="n">
        <v>8</v>
      </c>
      <c r="B619" s="370" t="n">
        <v>611</v>
      </c>
      <c r="C619" s="254" t="inlineStr">
        <is>
          <t>2009Q</t>
        </is>
      </c>
      <c r="D619" s="245" t="inlineStr">
        <is>
          <t xml:space="preserve">01191-00-014-000 </t>
        </is>
      </c>
      <c r="E619" s="258" t="inlineStr">
        <is>
          <t>Actual</t>
        </is>
      </c>
      <c r="F619" s="259" t="inlineStr">
        <is>
          <t>4343   HOLLY                ST</t>
        </is>
      </c>
      <c r="G619" s="672" t="n">
        <v>44.1</v>
      </c>
      <c r="H619" s="253" t="n">
        <v>9101</v>
      </c>
      <c r="I619" s="255" t="n">
        <v>0</v>
      </c>
      <c r="J619" s="678" t="n">
        <v>36789</v>
      </c>
      <c r="K619" s="679" t="n">
        <v>4.892766859659138</v>
      </c>
      <c r="L619" s="260" t="n">
        <v>0</v>
      </c>
      <c r="M619" s="262" t="n">
        <v>0</v>
      </c>
      <c r="N619" s="253" t="n">
        <v>1962</v>
      </c>
      <c r="O619" s="250">
        <f>686+686</f>
        <v/>
      </c>
      <c r="P619" s="250" t="n">
        <v>2245</v>
      </c>
      <c r="Q619" s="245" t="n">
        <v>18</v>
      </c>
      <c r="R619" s="245" t="n">
        <v>1</v>
      </c>
      <c r="S619" s="245" t="n">
        <v>1</v>
      </c>
      <c r="T619" s="249" t="inlineStr">
        <is>
          <t xml:space="preserve">I2   </t>
        </is>
      </c>
      <c r="U619" s="249" t="n">
        <v>398</v>
      </c>
      <c r="V619" s="678" t="n">
        <v>157000</v>
      </c>
      <c r="W619" s="678" t="n">
        <v>160000</v>
      </c>
      <c r="X619" s="356" t="inlineStr">
        <is>
          <t>4.3:1</t>
        </is>
      </c>
      <c r="Y619" s="678">
        <f>ROUND(J619,-3)</f>
        <v/>
      </c>
      <c r="Z619" s="249" t="inlineStr">
        <is>
          <t xml:space="preserve">C </t>
        </is>
      </c>
      <c r="AA619" s="245" t="n">
        <v>3</v>
      </c>
      <c r="AB619" s="245" t="n">
        <v>3</v>
      </c>
      <c r="AC619" s="253" t="inlineStr">
        <is>
          <t>33</t>
        </is>
      </c>
      <c r="AD619" s="247" t="inlineStr">
        <is>
          <t xml:space="preserve">PROCOAT SYSTEMS     </t>
        </is>
      </c>
      <c r="AE619" s="680" t="n"/>
      <c r="AF619" s="680" t="n"/>
      <c r="AG619" s="680" t="n"/>
      <c r="AH619" s="680" t="n"/>
      <c r="AI619" s="680" t="n"/>
      <c r="AJ619" s="680" t="n"/>
      <c r="AK619" s="680" t="inlineStr">
        <is>
          <t xml:space="preserve">S-T WHSE.                                                         </t>
        </is>
      </c>
    </row>
    <row r="620">
      <c r="A620" s="248" t="n">
        <v>8</v>
      </c>
      <c r="B620" s="370" t="n">
        <v>612</v>
      </c>
      <c r="C620" s="254" t="inlineStr">
        <is>
          <t>2009Q</t>
        </is>
      </c>
      <c r="D620" s="245" t="inlineStr">
        <is>
          <t xml:space="preserve">01191-00-022-000 </t>
        </is>
      </c>
      <c r="E620" s="258" t="inlineStr">
        <is>
          <t>Actual</t>
        </is>
      </c>
      <c r="F620" s="259" t="inlineStr">
        <is>
          <t>4700   DAHLIA               ST</t>
        </is>
      </c>
      <c r="G620" s="672" t="n">
        <v>44.2</v>
      </c>
      <c r="H620" s="253" t="n">
        <v>9101</v>
      </c>
      <c r="I620" s="255" t="n">
        <v>0</v>
      </c>
      <c r="J620" s="678" t="n">
        <v>22808</v>
      </c>
      <c r="K620" s="679" t="n">
        <v>4.786566117151876</v>
      </c>
      <c r="L620" s="260" t="n">
        <v>0</v>
      </c>
      <c r="M620" s="262" t="n">
        <v>0</v>
      </c>
      <c r="N620" s="253" t="n">
        <v>1964</v>
      </c>
      <c r="P620" s="250" t="n">
        <v>2358</v>
      </c>
      <c r="Q620" s="245" t="n">
        <v>18</v>
      </c>
      <c r="R620" s="245" t="n">
        <v>3</v>
      </c>
      <c r="S620" s="245" t="n">
        <v>1</v>
      </c>
      <c r="T620" s="249" t="inlineStr">
        <is>
          <t xml:space="preserve">I2   </t>
        </is>
      </c>
      <c r="U620" s="249" t="n">
        <v>398</v>
      </c>
      <c r="V620" s="678" t="n">
        <v>133478</v>
      </c>
      <c r="W620" s="678" t="n">
        <v>130000</v>
      </c>
      <c r="X620" s="356" t="inlineStr">
        <is>
          <t>5.9:1</t>
        </is>
      </c>
      <c r="Y620" s="678">
        <f>ROUND(J620,-3)</f>
        <v/>
      </c>
      <c r="Z620" s="249" t="inlineStr">
        <is>
          <t xml:space="preserve">C </t>
        </is>
      </c>
      <c r="AA620" s="245" t="n">
        <v>3</v>
      </c>
      <c r="AB620" s="245" t="n">
        <v>3</v>
      </c>
      <c r="AC620" s="253" t="inlineStr">
        <is>
          <t>33</t>
        </is>
      </c>
      <c r="AD620" s="247" t="inlineStr">
        <is>
          <t xml:space="preserve">S-W KEENAN SUPPLY   </t>
        </is>
      </c>
      <c r="AE620" s="680" t="n"/>
      <c r="AF620" s="680" t="n"/>
      <c r="AG620" s="680" t="n"/>
      <c r="AH620" s="680" t="n"/>
      <c r="AI620" s="680" t="n"/>
      <c r="AJ620" s="680" t="n"/>
      <c r="AK620" s="680" t="inlineStr">
        <is>
          <t xml:space="preserve">S-T WHSE.                                                         </t>
        </is>
      </c>
    </row>
    <row r="621">
      <c r="A621" s="248" t="n">
        <v>8</v>
      </c>
      <c r="B621" s="370" t="n">
        <v>613</v>
      </c>
      <c r="C621" s="254" t="inlineStr">
        <is>
          <t>2009Q</t>
        </is>
      </c>
      <c r="D621" s="245" t="inlineStr">
        <is>
          <t xml:space="preserve">01191-00-052-000 </t>
        </is>
      </c>
      <c r="E621" s="258" t="inlineStr">
        <is>
          <t>Actual</t>
        </is>
      </c>
      <c r="F621" s="259" t="inlineStr">
        <is>
          <t>5555   STAPLETON N          DR</t>
        </is>
      </c>
      <c r="G621" s="672" t="n">
        <v>44.1</v>
      </c>
      <c r="H621" s="253" t="n">
        <v>9101</v>
      </c>
      <c r="I621" s="255" t="n">
        <v>0</v>
      </c>
      <c r="J621" s="678" t="n">
        <v>25200</v>
      </c>
      <c r="K621" s="679" t="n">
        <v>4.815436507936508</v>
      </c>
      <c r="L621" s="260" t="n">
        <v>0</v>
      </c>
      <c r="M621" s="262" t="n">
        <v>0.0278453056885512</v>
      </c>
      <c r="N621" s="253" t="n">
        <v>1965</v>
      </c>
      <c r="O621" s="250" t="n">
        <v>890</v>
      </c>
      <c r="P621" s="250" t="n">
        <v>2400</v>
      </c>
      <c r="Q621" s="245" t="n">
        <v>26</v>
      </c>
      <c r="R621" s="245" t="n">
        <v>10</v>
      </c>
      <c r="S621" s="245" t="n">
        <v>1</v>
      </c>
      <c r="T621" s="249" t="inlineStr">
        <is>
          <t xml:space="preserve">I2   </t>
        </is>
      </c>
      <c r="U621" s="249" t="n">
        <v>398</v>
      </c>
      <c r="V621" s="678" t="n">
        <v>102727</v>
      </c>
      <c r="W621" s="678" t="n">
        <v>100000</v>
      </c>
      <c r="X621" s="356" t="inlineStr">
        <is>
          <t>4.1:1</t>
        </is>
      </c>
      <c r="Y621" s="678">
        <f>ROUND(J621,-3)</f>
        <v/>
      </c>
      <c r="Z621" s="249" t="inlineStr">
        <is>
          <t xml:space="preserve">C </t>
        </is>
      </c>
      <c r="AA621" s="245" t="n">
        <v>3</v>
      </c>
      <c r="AB621" s="245" t="n">
        <v>3</v>
      </c>
      <c r="AC621" s="253" t="inlineStr">
        <is>
          <t>33</t>
        </is>
      </c>
      <c r="AD621" s="247" t="inlineStr">
        <is>
          <t>                    </t>
        </is>
      </c>
      <c r="AE621" s="680" t="n"/>
      <c r="AF621" s="680" t="n"/>
      <c r="AG621" s="680" t="n"/>
      <c r="AH621" s="680" t="n"/>
      <c r="AI621" s="680" t="n"/>
      <c r="AJ621" s="680" t="n"/>
      <c r="AK621" s="680" t="inlineStr">
        <is>
          <t xml:space="preserve">S-T WHSE.                                                         </t>
        </is>
      </c>
    </row>
    <row r="622">
      <c r="A622" s="248" t="n">
        <v>8</v>
      </c>
      <c r="B622" s="370" t="n">
        <v>614</v>
      </c>
      <c r="C622" s="254" t="inlineStr">
        <is>
          <t>2009Q</t>
        </is>
      </c>
      <c r="D622" s="245" t="inlineStr">
        <is>
          <t xml:space="preserve">01192-00-042-000 </t>
        </is>
      </c>
      <c r="E622" s="258" t="inlineStr">
        <is>
          <t>Actual</t>
        </is>
      </c>
      <c r="F622" s="259" t="inlineStr">
        <is>
          <t>4600 E 48TH                 AV</t>
        </is>
      </c>
      <c r="G622" s="672" t="n">
        <v>44.1</v>
      </c>
      <c r="H622" s="253" t="n">
        <v>9101</v>
      </c>
      <c r="I622" s="255" t="n">
        <v>0</v>
      </c>
      <c r="J622" s="678" t="n">
        <v>82122</v>
      </c>
      <c r="K622" s="679" t="n">
        <v>3.331932977764789</v>
      </c>
      <c r="L622" s="260" t="n">
        <v>0</v>
      </c>
      <c r="M622" s="262" t="n">
        <v>0</v>
      </c>
      <c r="N622" s="253" t="n">
        <v>1957</v>
      </c>
      <c r="O622" s="250">
        <f>3330+16342</f>
        <v/>
      </c>
      <c r="Q622" s="245" t="n">
        <v>17</v>
      </c>
      <c r="R622" s="245" t="n">
        <v>1</v>
      </c>
      <c r="S622" s="245" t="n">
        <v>1</v>
      </c>
      <c r="T622" s="249" t="inlineStr">
        <is>
          <t xml:space="preserve">I2   </t>
        </is>
      </c>
      <c r="U622" s="249" t="n">
        <v>398</v>
      </c>
      <c r="V622" s="678" t="n">
        <v>133546</v>
      </c>
      <c r="W622" s="678" t="n">
        <v>130000</v>
      </c>
      <c r="X622" s="356" t="inlineStr">
        <is>
          <t>1.6:1</t>
        </is>
      </c>
      <c r="Y622" s="678">
        <f>ROUND(J622,-4)</f>
        <v/>
      </c>
      <c r="Z622" s="249" t="inlineStr">
        <is>
          <t xml:space="preserve">C </t>
        </is>
      </c>
      <c r="AA622" s="245" t="n">
        <v>3</v>
      </c>
      <c r="AB622" s="245" t="n">
        <v>3</v>
      </c>
      <c r="AC622" s="253" t="inlineStr">
        <is>
          <t>33</t>
        </is>
      </c>
      <c r="AD622" s="247" t="inlineStr">
        <is>
          <t>                    </t>
        </is>
      </c>
      <c r="AE622" s="680" t="n"/>
      <c r="AF622" s="680" t="n"/>
      <c r="AG622" s="680" t="n"/>
      <c r="AH622" s="680" t="n"/>
      <c r="AI622" s="680" t="n"/>
      <c r="AJ622" s="680" t="n"/>
      <c r="AK622" s="680" t="inlineStr">
        <is>
          <t xml:space="preserve">S-T WHSE.; 2006 LEASE.                                            </t>
        </is>
      </c>
    </row>
    <row r="623">
      <c r="A623" s="248" t="n">
        <v>8</v>
      </c>
      <c r="B623" s="370" t="n">
        <v>615</v>
      </c>
      <c r="C623" s="254" t="inlineStr">
        <is>
          <t>2009Q</t>
        </is>
      </c>
      <c r="D623" s="245" t="inlineStr">
        <is>
          <t xml:space="preserve">01192-00-062-000 </t>
        </is>
      </c>
      <c r="E623" s="258" t="inlineStr">
        <is>
          <t>Actual</t>
        </is>
      </c>
      <c r="F623" s="259" t="inlineStr">
        <is>
          <t>4401 E 46TH                 AV</t>
        </is>
      </c>
      <c r="G623" s="672" t="n">
        <v>44.2</v>
      </c>
      <c r="H623" s="253" t="n">
        <v>9101</v>
      </c>
      <c r="I623" s="255" t="n">
        <v>0</v>
      </c>
      <c r="J623" s="678" t="n">
        <v>87758</v>
      </c>
      <c r="K623" s="679" t="n">
        <v>3.466362041067481</v>
      </c>
      <c r="L623" s="260" t="n">
        <v>0</v>
      </c>
      <c r="M623" s="262" t="n">
        <v>0.4301366530682016</v>
      </c>
      <c r="N623" s="253" t="n">
        <v>1953</v>
      </c>
      <c r="O623" s="250">
        <f>3980+1982</f>
        <v/>
      </c>
      <c r="Q623" s="245" t="n">
        <v>18</v>
      </c>
      <c r="R623" s="245" t="n">
        <v>4</v>
      </c>
      <c r="S623" s="245" t="n">
        <v>1</v>
      </c>
      <c r="T623" s="249" t="inlineStr">
        <is>
          <t xml:space="preserve">I2   </t>
        </is>
      </c>
      <c r="U623" s="249" t="n">
        <v>398</v>
      </c>
      <c r="V623" s="678" t="n">
        <v>193278</v>
      </c>
      <c r="W623" s="678" t="n">
        <v>190000</v>
      </c>
      <c r="X623" s="356" t="inlineStr">
        <is>
          <t>2.2:1</t>
        </is>
      </c>
      <c r="Y623" s="678">
        <f>ROUND(J623,-4)</f>
        <v/>
      </c>
      <c r="Z623" s="249" t="inlineStr">
        <is>
          <t xml:space="preserve">C </t>
        </is>
      </c>
      <c r="AA623" s="245" t="n">
        <v>3</v>
      </c>
      <c r="AB623" s="245" t="n">
        <v>3</v>
      </c>
      <c r="AC623" s="253" t="inlineStr">
        <is>
          <t>33</t>
        </is>
      </c>
      <c r="AD623" s="247" t="inlineStr">
        <is>
          <t xml:space="preserve">M-W UNI-WEST        </t>
        </is>
      </c>
      <c r="AE623" s="680" t="n"/>
      <c r="AF623" s="680" t="n"/>
      <c r="AG623" s="680" t="n"/>
      <c r="AH623" s="680" t="n"/>
      <c r="AI623" s="680" t="n"/>
      <c r="AJ623" s="680" t="n"/>
      <c r="AK623" s="680" t="inlineStr">
        <is>
          <t xml:space="preserve">M-T WHSE; 4 TENANTS;LEASES 1994,1996,2000.                        </t>
        </is>
      </c>
    </row>
    <row r="624">
      <c r="A624" s="248" t="n">
        <v>8</v>
      </c>
      <c r="B624" s="370" t="n">
        <v>616</v>
      </c>
      <c r="C624" s="254" t="inlineStr">
        <is>
          <t>2009Q</t>
        </is>
      </c>
      <c r="D624" s="245" t="inlineStr">
        <is>
          <t xml:space="preserve">01192-00-064-000 </t>
        </is>
      </c>
      <c r="E624" s="258" t="inlineStr">
        <is>
          <t>Actual</t>
        </is>
      </c>
      <c r="F624" s="259" t="inlineStr">
        <is>
          <t>4330 E 48TH                 AV</t>
        </is>
      </c>
      <c r="G624" s="672" t="n">
        <v>44.2</v>
      </c>
      <c r="H624" s="253" t="n">
        <v>9101</v>
      </c>
      <c r="I624" s="255" t="n">
        <v>0</v>
      </c>
      <c r="J624" s="678" t="n">
        <v>43824</v>
      </c>
      <c r="K624" s="679" t="n">
        <v>3.696581781672143</v>
      </c>
      <c r="L624" s="260" t="n">
        <v>0</v>
      </c>
      <c r="M624" s="262" t="n">
        <v>0.03388909808085235</v>
      </c>
      <c r="N624" s="253" t="n">
        <v>1973</v>
      </c>
      <c r="O624" s="250">
        <f>1474+1830</f>
        <v/>
      </c>
      <c r="Q624" s="245" t="n">
        <v>22</v>
      </c>
      <c r="R624" s="245" t="n">
        <v>10</v>
      </c>
      <c r="S624" s="245" t="n">
        <v>1</v>
      </c>
      <c r="T624" s="249" t="inlineStr">
        <is>
          <t xml:space="preserve">I2   </t>
        </is>
      </c>
      <c r="U624" s="249" t="n">
        <v>398</v>
      </c>
      <c r="V624" s="678" t="n">
        <v>117172</v>
      </c>
      <c r="W624" s="678" t="n">
        <v>120000</v>
      </c>
      <c r="X624" s="356" t="inlineStr">
        <is>
          <t>2.7:1</t>
        </is>
      </c>
      <c r="Y624" s="678">
        <f>ROUND(J624,-3)</f>
        <v/>
      </c>
      <c r="Z624" s="249" t="inlineStr">
        <is>
          <t xml:space="preserve">C </t>
        </is>
      </c>
      <c r="AA624" s="245" t="n">
        <v>3</v>
      </c>
      <c r="AB624" s="245" t="n">
        <v>3</v>
      </c>
      <c r="AC624" s="253" t="inlineStr">
        <is>
          <t>33</t>
        </is>
      </c>
      <c r="AD624" s="247" t="inlineStr">
        <is>
          <t xml:space="preserve">DIST WHSE           </t>
        </is>
      </c>
      <c r="AE624" s="680" t="n"/>
      <c r="AF624" s="680" t="n"/>
      <c r="AG624" s="680" t="n"/>
      <c r="AH624" s="680" t="n"/>
      <c r="AI624" s="680" t="n"/>
      <c r="AJ624" s="680" t="n"/>
      <c r="AK624" s="680" t="inlineStr">
        <is>
          <t xml:space="preserve">M-T WHSE; 2 TENANTS; ONE 2007 LEASE, ONE 2005 LEASE.              </t>
        </is>
      </c>
    </row>
    <row r="625">
      <c r="A625" s="248" t="n">
        <v>8</v>
      </c>
      <c r="B625" s="370" t="n">
        <v>617</v>
      </c>
      <c r="C625" s="254" t="inlineStr">
        <is>
          <t>2009Q</t>
        </is>
      </c>
      <c r="D625" s="245" t="inlineStr">
        <is>
          <t xml:space="preserve">01192-03-006-000 </t>
        </is>
      </c>
      <c r="E625" s="258" t="inlineStr">
        <is>
          <t>Actual</t>
        </is>
      </c>
      <c r="F625" s="259" t="inlineStr">
        <is>
          <t>4555   STAPLETON N          DR</t>
        </is>
      </c>
      <c r="G625" s="672" t="n">
        <v>44.2</v>
      </c>
      <c r="H625" s="253" t="n">
        <v>9101</v>
      </c>
      <c r="I625" s="255" t="n">
        <v>0</v>
      </c>
      <c r="J625" s="678" t="n">
        <v>12559</v>
      </c>
      <c r="K625" s="679" t="n">
        <v>3.931443586272792</v>
      </c>
      <c r="L625" s="260" t="n">
        <v>1</v>
      </c>
      <c r="M625" s="262" t="n">
        <v>0.5213164556962026</v>
      </c>
      <c r="N625" s="253" t="n">
        <v>1953</v>
      </c>
      <c r="P625" s="250" t="n">
        <v>1233</v>
      </c>
      <c r="Q625" s="245" t="n">
        <v>15</v>
      </c>
      <c r="R625" s="245" t="n">
        <v>3</v>
      </c>
      <c r="S625" s="245" t="n">
        <v>1</v>
      </c>
      <c r="T625" s="249" t="inlineStr">
        <is>
          <t xml:space="preserve">I2   </t>
        </is>
      </c>
      <c r="U625" s="249" t="n">
        <v>398</v>
      </c>
      <c r="V625" s="678" t="n">
        <v>25000</v>
      </c>
      <c r="W625" s="678" t="n">
        <v>25000</v>
      </c>
      <c r="X625" s="356" t="inlineStr">
        <is>
          <t>2.0:1</t>
        </is>
      </c>
      <c r="Y625" s="678">
        <f>ROUND(J625,-3)</f>
        <v/>
      </c>
      <c r="Z625" s="249" t="inlineStr">
        <is>
          <t xml:space="preserve">C </t>
        </is>
      </c>
      <c r="AA625" s="245" t="n">
        <v>3</v>
      </c>
      <c r="AB625" s="245" t="n">
        <v>2</v>
      </c>
      <c r="AC625" s="253" t="inlineStr">
        <is>
          <t>32</t>
        </is>
      </c>
      <c r="AD625" s="247" t="inlineStr">
        <is>
          <t>                    </t>
        </is>
      </c>
      <c r="AE625" s="680" t="n"/>
      <c r="AF625" s="680" t="n"/>
      <c r="AG625" s="680" t="n"/>
      <c r="AH625" s="680" t="n"/>
      <c r="AI625" s="680" t="n"/>
      <c r="AJ625" s="680" t="n"/>
      <c r="AK625" s="680" t="inlineStr">
        <is>
          <t xml:space="preserve">S-T WHSE.                                                         </t>
        </is>
      </c>
    </row>
    <row r="626">
      <c r="A626" s="248" t="n">
        <v>8</v>
      </c>
      <c r="B626" s="370" t="n">
        <v>618</v>
      </c>
      <c r="C626" s="254" t="inlineStr">
        <is>
          <t>2009Q</t>
        </is>
      </c>
      <c r="D626" s="245" t="inlineStr">
        <is>
          <t xml:space="preserve">01192-03-007-000 </t>
        </is>
      </c>
      <c r="E626" s="258" t="inlineStr">
        <is>
          <t>Actual</t>
        </is>
      </c>
      <c r="F626" s="259" t="inlineStr">
        <is>
          <t>4595   STAPLETON N          DR</t>
        </is>
      </c>
      <c r="G626" s="672" t="n">
        <v>44.2</v>
      </c>
      <c r="H626" s="253" t="n">
        <v>9101</v>
      </c>
      <c r="I626" s="255" t="n">
        <v>0</v>
      </c>
      <c r="J626" s="678" t="n">
        <v>17600</v>
      </c>
      <c r="K626" s="679" t="n">
        <v>5.267045454545454</v>
      </c>
      <c r="L626" s="260" t="n">
        <v>0</v>
      </c>
      <c r="M626" s="262" t="n">
        <v>0.1680690399137001</v>
      </c>
      <c r="N626" s="253" t="n">
        <v>1973</v>
      </c>
      <c r="O626" s="250">
        <f>1900*2</f>
        <v/>
      </c>
      <c r="P626" s="250" t="inlineStr">
        <is>
          <t> </t>
        </is>
      </c>
      <c r="Q626" s="245" t="n">
        <v>24</v>
      </c>
      <c r="R626" s="245" t="n">
        <v>14</v>
      </c>
      <c r="S626" s="245" t="n">
        <v>1</v>
      </c>
      <c r="T626" s="249" t="inlineStr">
        <is>
          <t xml:space="preserve">I2   </t>
        </is>
      </c>
      <c r="U626" s="249" t="n">
        <v>398</v>
      </c>
      <c r="V626" s="678" t="n">
        <v>43750</v>
      </c>
      <c r="W626" s="678" t="n">
        <v>44000</v>
      </c>
      <c r="X626" s="356" t="inlineStr">
        <is>
          <t>2.5:1</t>
        </is>
      </c>
      <c r="Y626" s="678">
        <f>ROUND(J626,-3)</f>
        <v/>
      </c>
      <c r="Z626" s="249" t="inlineStr">
        <is>
          <t xml:space="preserve">C </t>
        </is>
      </c>
      <c r="AA626" s="245" t="n">
        <v>3</v>
      </c>
      <c r="AB626" s="245" t="n">
        <v>3</v>
      </c>
      <c r="AC626" s="253" t="inlineStr">
        <is>
          <t>33</t>
        </is>
      </c>
      <c r="AD626" s="247" t="inlineStr">
        <is>
          <t xml:space="preserve">KAMAN TECH          </t>
        </is>
      </c>
      <c r="AE626" s="680" t="n"/>
      <c r="AF626" s="680" t="n"/>
      <c r="AG626" s="680" t="n"/>
      <c r="AH626" s="680" t="n"/>
      <c r="AI626" s="680" t="n"/>
      <c r="AJ626" s="680" t="n"/>
      <c r="AK626" s="680" t="inlineStr">
        <is>
          <t xml:space="preserve">S-T WHSE.; DATE OF LEASE UNKNOWN.                                 </t>
        </is>
      </c>
    </row>
    <row r="627">
      <c r="A627" s="248" t="n">
        <v>8</v>
      </c>
      <c r="B627" s="370" t="n">
        <v>619</v>
      </c>
      <c r="C627" s="254" t="inlineStr">
        <is>
          <t>2009Q</t>
        </is>
      </c>
      <c r="D627" s="245" t="inlineStr">
        <is>
          <t xml:space="preserve">01194-00-044-000 </t>
        </is>
      </c>
      <c r="E627" s="258" t="inlineStr">
        <is>
          <t>Actual</t>
        </is>
      </c>
      <c r="F627" s="259" t="inlineStr">
        <is>
          <t>5145 E 38TH                 AV</t>
        </is>
      </c>
      <c r="G627" s="672" t="n">
        <v>44.1</v>
      </c>
      <c r="H627" s="253" t="n">
        <v>9101</v>
      </c>
      <c r="I627" s="255" t="n">
        <v>0</v>
      </c>
      <c r="J627" s="678" t="n">
        <v>3178</v>
      </c>
      <c r="K627" s="679" t="n">
        <v>4.601636249213342</v>
      </c>
      <c r="L627" s="260" t="n">
        <v>0</v>
      </c>
      <c r="M627" s="262" t="n">
        <v>0</v>
      </c>
      <c r="N627" s="253" t="n">
        <v>1963</v>
      </c>
      <c r="Q627" s="245" t="n">
        <v>14</v>
      </c>
      <c r="R627" s="245" t="n">
        <v>3</v>
      </c>
      <c r="S627" s="245" t="n">
        <v>1</v>
      </c>
      <c r="T627" s="249" t="inlineStr">
        <is>
          <t xml:space="preserve">I0   </t>
        </is>
      </c>
      <c r="U627" s="249" t="n">
        <v>398</v>
      </c>
      <c r="V627" s="678" t="n">
        <v>12500</v>
      </c>
      <c r="W627" s="678" t="n">
        <v>13000</v>
      </c>
      <c r="X627" s="356" t="inlineStr">
        <is>
          <t>3.9:1</t>
        </is>
      </c>
      <c r="Y627" s="678">
        <f>ROUND(J627,-3)</f>
        <v/>
      </c>
      <c r="Z627" s="249" t="inlineStr">
        <is>
          <t xml:space="preserve">C </t>
        </is>
      </c>
      <c r="AA627" s="245" t="n">
        <v>3</v>
      </c>
      <c r="AB627" s="245" t="n">
        <v>3</v>
      </c>
      <c r="AC627" s="253" t="inlineStr">
        <is>
          <t>33</t>
        </is>
      </c>
      <c r="AD627" s="247" t="inlineStr">
        <is>
          <t xml:space="preserve">S-W SPECTRUM        </t>
        </is>
      </c>
      <c r="AE627" s="680" t="n"/>
      <c r="AF627" s="680" t="n"/>
      <c r="AG627" s="680" t="n"/>
      <c r="AH627" s="680" t="n"/>
      <c r="AI627" s="680" t="n"/>
      <c r="AJ627" s="680" t="n"/>
      <c r="AK627" s="680" t="inlineStr">
        <is>
          <t xml:space="preserve">S-T WHSE.                                                         </t>
        </is>
      </c>
    </row>
    <row r="628">
      <c r="A628" s="248" t="n">
        <v>8</v>
      </c>
      <c r="B628" s="370" t="n">
        <v>620</v>
      </c>
      <c r="C628" s="254" t="inlineStr">
        <is>
          <t>2009Q</t>
        </is>
      </c>
      <c r="D628" s="245" t="inlineStr">
        <is>
          <t xml:space="preserve">01194-00-051-000 </t>
        </is>
      </c>
      <c r="E628" s="258" t="inlineStr">
        <is>
          <t>Actual</t>
        </is>
      </c>
      <c r="F628" s="259" t="inlineStr">
        <is>
          <t>5135 E 38TH                 AV</t>
        </is>
      </c>
      <c r="G628" s="672" t="n">
        <v>44.1</v>
      </c>
      <c r="H628" s="253" t="n">
        <v>9101</v>
      </c>
      <c r="I628" s="255" t="n">
        <v>0</v>
      </c>
      <c r="J628" s="678" t="n">
        <v>5949</v>
      </c>
      <c r="K628" s="679" t="n">
        <v>4.601781812069255</v>
      </c>
      <c r="L628" s="260" t="n">
        <v>0</v>
      </c>
      <c r="M628" s="262" t="n">
        <v>0</v>
      </c>
      <c r="N628" s="253" t="n">
        <v>1967</v>
      </c>
      <c r="O628" s="250">
        <f>1067+1287</f>
        <v/>
      </c>
      <c r="Q628" s="245" t="n">
        <v>15</v>
      </c>
      <c r="R628" s="245" t="n">
        <v>3</v>
      </c>
      <c r="S628" s="245" t="n">
        <v>1</v>
      </c>
      <c r="T628" s="249" t="inlineStr">
        <is>
          <t xml:space="preserve">I0   </t>
        </is>
      </c>
      <c r="U628" s="249" t="n">
        <v>398</v>
      </c>
      <c r="V628" s="678" t="n">
        <v>11850</v>
      </c>
      <c r="W628" s="678" t="n">
        <v>12000</v>
      </c>
      <c r="X628" s="356" t="inlineStr">
        <is>
          <t>2.0:1</t>
        </is>
      </c>
      <c r="Y628" s="678">
        <f>ROUND(J628,-3)</f>
        <v/>
      </c>
      <c r="Z628" s="249" t="inlineStr">
        <is>
          <t xml:space="preserve">C </t>
        </is>
      </c>
      <c r="AA628" s="245" t="n">
        <v>3</v>
      </c>
      <c r="AB628" s="245" t="n">
        <v>3</v>
      </c>
      <c r="AC628" s="253" t="inlineStr">
        <is>
          <t>33</t>
        </is>
      </c>
      <c r="AD628" s="247" t="inlineStr">
        <is>
          <t>S-D-SPECTRUM GEN CON</t>
        </is>
      </c>
      <c r="AE628" s="680" t="n"/>
      <c r="AF628" s="680" t="n"/>
      <c r="AG628" s="680" t="n"/>
      <c r="AH628" s="680" t="n"/>
      <c r="AI628" s="680" t="n"/>
      <c r="AJ628" s="680" t="n"/>
      <c r="AK628" s="680" t="inlineStr">
        <is>
          <t xml:space="preserve">S-T WHSE.                                                         </t>
        </is>
      </c>
    </row>
    <row r="629">
      <c r="A629" s="248" t="n">
        <v>8</v>
      </c>
      <c r="B629" s="370" t="n">
        <v>621</v>
      </c>
      <c r="C629" s="254" t="inlineStr">
        <is>
          <t>2009Q</t>
        </is>
      </c>
      <c r="D629" s="245" t="inlineStr">
        <is>
          <t xml:space="preserve">01194-00-076-000 </t>
        </is>
      </c>
      <c r="E629" s="258" t="inlineStr">
        <is>
          <t>Actual</t>
        </is>
      </c>
      <c r="F629" s="259" t="inlineStr">
        <is>
          <t>3855   ELM                  ST</t>
        </is>
      </c>
      <c r="G629" s="672" t="n">
        <v>44.2</v>
      </c>
      <c r="H629" s="253" t="n">
        <v>9101</v>
      </c>
      <c r="I629" s="255" t="n">
        <v>0</v>
      </c>
      <c r="J629" s="678" t="n">
        <v>2000</v>
      </c>
      <c r="K629" s="679" t="n">
        <v>3.9</v>
      </c>
      <c r="L629" s="260" t="n">
        <v>0</v>
      </c>
      <c r="M629" s="262" t="n">
        <v>0.2535897435897436</v>
      </c>
      <c r="N629" s="253" t="n">
        <v>1961</v>
      </c>
      <c r="O629" s="250">
        <f>756+2408</f>
        <v/>
      </c>
      <c r="Q629" s="245" t="n">
        <v>15</v>
      </c>
      <c r="R629" s="245" t="n">
        <v>3</v>
      </c>
      <c r="S629" s="245" t="n">
        <v>1</v>
      </c>
      <c r="T629" s="249" t="inlineStr">
        <is>
          <t xml:space="preserve">I0   </t>
        </is>
      </c>
      <c r="U629" s="249" t="n">
        <v>398</v>
      </c>
      <c r="V629" s="678" t="n">
        <v>14387</v>
      </c>
      <c r="W629" s="678" t="n">
        <v>14000</v>
      </c>
      <c r="X629" s="356" t="inlineStr">
        <is>
          <t>2.0:1</t>
        </is>
      </c>
      <c r="Y629" s="678">
        <f>ROUND(J629,-3)</f>
        <v/>
      </c>
      <c r="Z629" s="249" t="inlineStr">
        <is>
          <t xml:space="preserve">B </t>
        </is>
      </c>
      <c r="AA629" s="245" t="n">
        <v>3</v>
      </c>
      <c r="AB629" s="245" t="n">
        <v>3</v>
      </c>
      <c r="AC629" s="253" t="inlineStr">
        <is>
          <t>33</t>
        </is>
      </c>
      <c r="AD629" s="247" t="inlineStr">
        <is>
          <t>                    </t>
        </is>
      </c>
      <c r="AE629" s="680" t="n"/>
      <c r="AF629" s="680" t="n"/>
      <c r="AG629" s="680" t="n"/>
      <c r="AH629" s="680" t="n"/>
      <c r="AI629" s="680" t="n"/>
      <c r="AJ629" s="680" t="n"/>
      <c r="AK629" s="680" t="inlineStr">
        <is>
          <t xml:space="preserve">M-T RETAIL; 2 UNITS; 1 OWNER-OCCUPIED.                            </t>
        </is>
      </c>
    </row>
    <row r="630">
      <c r="A630" s="248" t="n">
        <v>8</v>
      </c>
      <c r="B630" s="370" t="n">
        <v>622</v>
      </c>
      <c r="C630" s="254" t="inlineStr">
        <is>
          <t>2009Q</t>
        </is>
      </c>
      <c r="D630" s="245" t="inlineStr">
        <is>
          <t xml:space="preserve">01194-00-110-000 </t>
        </is>
      </c>
      <c r="E630" s="258" t="inlineStr">
        <is>
          <t>Actual</t>
        </is>
      </c>
      <c r="F630" s="259" t="inlineStr">
        <is>
          <t>5195 E 39TH                 AV</t>
        </is>
      </c>
      <c r="G630" s="672" t="n">
        <v>45.1</v>
      </c>
      <c r="H630" s="253" t="n">
        <v>9101</v>
      </c>
      <c r="I630" s="255" t="n">
        <v>0</v>
      </c>
      <c r="J630" s="678" t="n">
        <v>10250</v>
      </c>
      <c r="K630" s="679" t="n">
        <v>8.341463414634147</v>
      </c>
      <c r="L630" s="260" t="n">
        <v>0</v>
      </c>
      <c r="M630" s="262" t="n">
        <v>0</v>
      </c>
      <c r="N630" s="253" t="n">
        <v>1965</v>
      </c>
      <c r="O630" s="250" t="n">
        <v>2584</v>
      </c>
      <c r="Q630" s="245" t="n">
        <v>18</v>
      </c>
      <c r="R630" s="245" t="n">
        <v>1</v>
      </c>
      <c r="S630" s="245" t="n">
        <v>1</v>
      </c>
      <c r="T630" s="249" t="inlineStr">
        <is>
          <t xml:space="preserve">I1   </t>
        </is>
      </c>
      <c r="U630" s="249" t="n">
        <v>401</v>
      </c>
      <c r="V630" s="678" t="n">
        <v>18500</v>
      </c>
      <c r="W630" s="678" t="n">
        <v>19000</v>
      </c>
      <c r="X630" s="356" t="inlineStr">
        <is>
          <t>1.8:1</t>
        </is>
      </c>
      <c r="Y630" s="678">
        <f>ROUND(J630,-3)</f>
        <v/>
      </c>
      <c r="Z630" s="249" t="inlineStr">
        <is>
          <t xml:space="preserve">C </t>
        </is>
      </c>
      <c r="AA630" s="245" t="n">
        <v>3</v>
      </c>
      <c r="AB630" s="245" t="n">
        <v>3</v>
      </c>
      <c r="AC630" s="253" t="inlineStr">
        <is>
          <t>33</t>
        </is>
      </c>
      <c r="AD630" s="247" t="inlineStr">
        <is>
          <t>S-W GRANDMA'S FROZEN</t>
        </is>
      </c>
      <c r="AE630" s="680" t="n"/>
      <c r="AF630" s="680" t="n"/>
      <c r="AG630" s="680" t="n"/>
      <c r="AH630" s="680" t="n"/>
      <c r="AI630" s="680" t="n"/>
      <c r="AJ630" s="680" t="n"/>
      <c r="AK630" s="680" t="inlineStr">
        <is>
          <t xml:space="preserve">M-T INDUSTRIAL; 2 TENANTS                                         </t>
        </is>
      </c>
    </row>
    <row r="631">
      <c r="A631" s="248" t="n">
        <v>8</v>
      </c>
      <c r="B631" s="370" t="n">
        <v>623</v>
      </c>
      <c r="C631" s="254" t="inlineStr">
        <is>
          <t>2009Q</t>
        </is>
      </c>
      <c r="D631" s="245" t="inlineStr">
        <is>
          <t xml:space="preserve">01194-00-111-000 </t>
        </is>
      </c>
      <c r="E631" s="258" t="inlineStr">
        <is>
          <t>Actual</t>
        </is>
      </c>
      <c r="F631" s="259" t="inlineStr">
        <is>
          <t>5180   SMITH                RD</t>
        </is>
      </c>
      <c r="G631" s="672" t="n">
        <v>44.2</v>
      </c>
      <c r="H631" s="253" t="n">
        <v>9101</v>
      </c>
      <c r="I631" s="255" t="n">
        <v>0</v>
      </c>
      <c r="J631" s="678" t="n">
        <v>27495</v>
      </c>
      <c r="K631" s="679" t="n">
        <v>5.08139661756683</v>
      </c>
      <c r="L631" s="260" t="n">
        <v>0</v>
      </c>
      <c r="M631" s="262" t="n">
        <v>0.08616234709726367</v>
      </c>
      <c r="N631" s="253" t="n">
        <v>1974</v>
      </c>
      <c r="O631" s="250" t="n">
        <v>6743</v>
      </c>
      <c r="Q631" s="245" t="n">
        <v>17</v>
      </c>
      <c r="R631" s="245" t="n">
        <v>14</v>
      </c>
      <c r="S631" s="245" t="n">
        <v>6</v>
      </c>
      <c r="T631" s="249" t="inlineStr">
        <is>
          <t xml:space="preserve">I1   </t>
        </is>
      </c>
      <c r="U631" s="249" t="n">
        <v>398</v>
      </c>
      <c r="V631" s="678" t="n">
        <v>153000</v>
      </c>
      <c r="W631" s="678" t="n">
        <v>150000</v>
      </c>
      <c r="X631" s="356" t="inlineStr">
        <is>
          <t>2.0:1</t>
        </is>
      </c>
      <c r="Y631" s="678">
        <f>ROUND(J631,-3)</f>
        <v/>
      </c>
      <c r="Z631" s="249" t="inlineStr">
        <is>
          <t xml:space="preserve">C </t>
        </is>
      </c>
      <c r="AA631" s="245" t="n">
        <v>3</v>
      </c>
      <c r="AB631" s="245" t="n">
        <v>3</v>
      </c>
      <c r="AC631" s="253" t="inlineStr">
        <is>
          <t>33</t>
        </is>
      </c>
      <c r="AD631" s="247" t="inlineStr">
        <is>
          <t xml:space="preserve">DIST/OFC            </t>
        </is>
      </c>
      <c r="AE631" s="680" t="n"/>
      <c r="AF631" s="680" t="n"/>
      <c r="AG631" s="680" t="n"/>
      <c r="AH631" s="680" t="n"/>
      <c r="AI631" s="680" t="n"/>
      <c r="AJ631" s="680" t="n"/>
      <c r="AK631" s="680" t="inlineStr">
        <is>
          <t xml:space="preserve">M-T WHSE.; 4 TENANTS                                              </t>
        </is>
      </c>
    </row>
    <row r="632">
      <c r="A632" s="248" t="n">
        <v>8</v>
      </c>
      <c r="B632" s="370" t="n">
        <v>624</v>
      </c>
      <c r="C632" s="254" t="inlineStr">
        <is>
          <t>2009Q</t>
        </is>
      </c>
      <c r="D632" s="245" t="inlineStr">
        <is>
          <t xml:space="preserve">01194-00-136-000 </t>
        </is>
      </c>
      <c r="E632" s="258" t="inlineStr">
        <is>
          <t>Actual</t>
        </is>
      </c>
      <c r="F632" s="259" t="inlineStr">
        <is>
          <t>3931   HOLLY                ST</t>
        </is>
      </c>
      <c r="G632" s="672" t="n">
        <v>44.2</v>
      </c>
      <c r="H632" s="253" t="n">
        <v>9101</v>
      </c>
      <c r="I632" s="255" t="n">
        <v>0</v>
      </c>
      <c r="J632" s="678" t="n">
        <v>16770</v>
      </c>
      <c r="K632" s="679" t="n">
        <v>5.849731663685152</v>
      </c>
      <c r="L632" s="260" t="n">
        <v>0</v>
      </c>
      <c r="M632" s="262" t="n">
        <v>0.2797757390417941</v>
      </c>
      <c r="N632" s="253" t="n">
        <v>1980</v>
      </c>
      <c r="O632" s="250" t="n">
        <v>3949</v>
      </c>
      <c r="Q632" s="245" t="n">
        <v>14</v>
      </c>
      <c r="R632" s="245" t="n">
        <v>1</v>
      </c>
      <c r="S632" s="245" t="n">
        <v>1</v>
      </c>
      <c r="T632" s="249" t="inlineStr">
        <is>
          <t xml:space="preserve">I1   </t>
        </is>
      </c>
      <c r="U632" s="249" t="n">
        <v>398</v>
      </c>
      <c r="V632" s="678" t="n">
        <v>39942</v>
      </c>
      <c r="W632" s="678" t="n">
        <v>40000</v>
      </c>
      <c r="X632" s="356" t="inlineStr">
        <is>
          <t>2.4:1</t>
        </is>
      </c>
      <c r="Y632" s="678">
        <f>ROUND(J632,-3)</f>
        <v/>
      </c>
      <c r="Z632" s="249" t="inlineStr">
        <is>
          <t xml:space="preserve">C </t>
        </is>
      </c>
      <c r="AA632" s="245" t="n">
        <v>3</v>
      </c>
      <c r="AB632" s="245" t="n">
        <v>3</v>
      </c>
      <c r="AC632" s="253" t="inlineStr">
        <is>
          <t>33</t>
        </is>
      </c>
      <c r="AD632" s="247" t="inlineStr">
        <is>
          <t xml:space="preserve">M-W                 </t>
        </is>
      </c>
      <c r="AE632" s="680" t="n"/>
      <c r="AF632" s="680" t="n"/>
      <c r="AG632" s="680" t="n"/>
      <c r="AH632" s="680" t="n"/>
      <c r="AI632" s="680" t="n"/>
      <c r="AJ632" s="680" t="n"/>
      <c r="AK632" s="680" t="inlineStr">
        <is>
          <t xml:space="preserve">M-T RETAIL; 2 TENANTS; 2006 LEASES.                               </t>
        </is>
      </c>
    </row>
    <row r="633">
      <c r="A633" s="248" t="n">
        <v>8</v>
      </c>
      <c r="B633" s="370" t="n">
        <v>625</v>
      </c>
      <c r="C633" s="254" t="inlineStr">
        <is>
          <t>2009Q</t>
        </is>
      </c>
      <c r="D633" s="245" t="inlineStr">
        <is>
          <t xml:space="preserve">01194-00-182-000 </t>
        </is>
      </c>
      <c r="E633" s="258" t="inlineStr">
        <is>
          <t>Actual</t>
        </is>
      </c>
      <c r="F633" s="259" t="inlineStr">
        <is>
          <t>5150 E 39TH                 AV</t>
        </is>
      </c>
      <c r="G633" s="672" t="n">
        <v>44.1</v>
      </c>
      <c r="H633" s="253" t="n">
        <v>9101</v>
      </c>
      <c r="I633" s="255" t="n">
        <v>0</v>
      </c>
      <c r="J633" s="678" t="n">
        <v>18901</v>
      </c>
      <c r="K633" s="679" t="n">
        <v>5.713983387122375</v>
      </c>
      <c r="L633" s="260" t="n">
        <v>0</v>
      </c>
      <c r="M633" s="262" t="n">
        <v>0</v>
      </c>
      <c r="N633" s="253" t="n">
        <v>1959</v>
      </c>
      <c r="O633" s="250" t="n">
        <v>3532</v>
      </c>
      <c r="Q633" s="245" t="n">
        <v>12</v>
      </c>
      <c r="R633" s="245" t="n">
        <v>1</v>
      </c>
      <c r="S633" s="245" t="n">
        <v>1</v>
      </c>
      <c r="T633" s="249" t="inlineStr">
        <is>
          <t xml:space="preserve">I0   </t>
        </is>
      </c>
      <c r="U633" s="249" t="n">
        <v>398</v>
      </c>
      <c r="V633" s="678" t="n">
        <v>43080</v>
      </c>
      <c r="W633" s="678" t="n">
        <v>43000</v>
      </c>
      <c r="X633" s="356" t="inlineStr">
        <is>
          <t>2.3:1</t>
        </is>
      </c>
      <c r="Y633" s="678">
        <f>ROUND(J633,-3)</f>
        <v/>
      </c>
      <c r="Z633" s="249" t="inlineStr">
        <is>
          <t xml:space="preserve">C </t>
        </is>
      </c>
      <c r="AA633" s="245" t="n">
        <v>3</v>
      </c>
      <c r="AB633" s="245" t="n">
        <v>3</v>
      </c>
      <c r="AC633" s="253" t="inlineStr">
        <is>
          <t>33</t>
        </is>
      </c>
      <c r="AD633" s="247" t="inlineStr">
        <is>
          <t xml:space="preserve">DIST WHSE           </t>
        </is>
      </c>
      <c r="AE633" s="680" t="n"/>
      <c r="AF633" s="680" t="n"/>
      <c r="AG633" s="680" t="n"/>
      <c r="AH633" s="680" t="n"/>
      <c r="AI633" s="680" t="n"/>
      <c r="AJ633" s="680" t="n"/>
      <c r="AK633" s="680" t="inlineStr">
        <is>
          <t xml:space="preserve">S-T RETAIL; AGE OF LEASE UNKNOWN.                                 </t>
        </is>
      </c>
    </row>
    <row r="634">
      <c r="A634" s="248" t="n">
        <v>8</v>
      </c>
      <c r="B634" s="370" t="n">
        <v>626</v>
      </c>
      <c r="C634" s="254" t="inlineStr">
        <is>
          <t>2009Q</t>
        </is>
      </c>
      <c r="D634" s="245" t="inlineStr">
        <is>
          <t xml:space="preserve">01194-00-210-000 </t>
        </is>
      </c>
      <c r="E634" s="258" t="inlineStr">
        <is>
          <t>Actual</t>
        </is>
      </c>
      <c r="F634" s="259" t="inlineStr">
        <is>
          <t>5225 E 38TH                 AV</t>
        </is>
      </c>
      <c r="G634" s="672" t="n">
        <v>44.1</v>
      </c>
      <c r="H634" s="253" t="n">
        <v>9101</v>
      </c>
      <c r="I634" s="255" t="n">
        <v>0</v>
      </c>
      <c r="J634" s="678" t="n">
        <v>8145</v>
      </c>
      <c r="K634" s="679" t="n">
        <v>3.867403314917127</v>
      </c>
      <c r="L634" s="260" t="n">
        <v>0</v>
      </c>
      <c r="M634" s="262" t="n">
        <v>0.1</v>
      </c>
      <c r="N634" s="253" t="n">
        <v>1969</v>
      </c>
      <c r="O634" s="250" t="n">
        <v>1780</v>
      </c>
      <c r="Q634" s="245" t="n">
        <v>17</v>
      </c>
      <c r="R634" s="245" t="n">
        <v>1</v>
      </c>
      <c r="S634" s="245" t="n">
        <v>1</v>
      </c>
      <c r="T634" s="249" t="inlineStr">
        <is>
          <t xml:space="preserve">I0   </t>
        </is>
      </c>
      <c r="U634" s="249" t="n">
        <v>398</v>
      </c>
      <c r="V634" s="678" t="n">
        <v>16700</v>
      </c>
      <c r="W634" s="678" t="n">
        <v>17000</v>
      </c>
      <c r="X634" s="356" t="inlineStr">
        <is>
          <t>2.1:1</t>
        </is>
      </c>
      <c r="Y634" s="678">
        <f>ROUND(J634,-3)</f>
        <v/>
      </c>
      <c r="Z634" s="249" t="inlineStr">
        <is>
          <t xml:space="preserve">C </t>
        </is>
      </c>
      <c r="AA634" s="245" t="n">
        <v>3</v>
      </c>
      <c r="AB634" s="245" t="n">
        <v>3</v>
      </c>
      <c r="AC634" s="253" t="inlineStr">
        <is>
          <t>33</t>
        </is>
      </c>
      <c r="AD634" s="247" t="inlineStr">
        <is>
          <t xml:space="preserve">SW MC2 ENTERPRISES  </t>
        </is>
      </c>
      <c r="AE634" s="680" t="n"/>
      <c r="AF634" s="680" t="n"/>
      <c r="AG634" s="680" t="n"/>
      <c r="AH634" s="680" t="n"/>
      <c r="AI634" s="680" t="n"/>
      <c r="AJ634" s="680" t="n"/>
      <c r="AK634" s="680" t="inlineStr">
        <is>
          <t xml:space="preserve">S-T WHSE.; DATE OF LEASE UNKNOWN.                                 </t>
        </is>
      </c>
    </row>
    <row r="635">
      <c r="A635" s="248" t="n">
        <v>8</v>
      </c>
      <c r="B635" s="370" t="n">
        <v>627</v>
      </c>
      <c r="C635" s="254" t="inlineStr">
        <is>
          <t>2009Q</t>
        </is>
      </c>
      <c r="D635" s="245" t="inlineStr">
        <is>
          <t xml:space="preserve">01194-00-211-000 </t>
        </is>
      </c>
      <c r="E635" s="258" t="inlineStr">
        <is>
          <t>Actual</t>
        </is>
      </c>
      <c r="F635" s="259" t="inlineStr">
        <is>
          <t>4880 E 41ST                 AV</t>
        </is>
      </c>
      <c r="G635" s="672" t="n">
        <v>44.1</v>
      </c>
      <c r="H635" s="253" t="n">
        <v>9101</v>
      </c>
      <c r="I635" s="255" t="n">
        <v>0</v>
      </c>
      <c r="J635" s="678" t="n">
        <v>11308</v>
      </c>
      <c r="K635" s="679" t="n">
        <v>10.39971701450301</v>
      </c>
      <c r="L635" s="260" t="n">
        <v>0</v>
      </c>
      <c r="M635" s="262" t="n">
        <v>0</v>
      </c>
      <c r="N635" s="253" t="n">
        <v>1976</v>
      </c>
      <c r="O635" s="250" t="n">
        <v>1392</v>
      </c>
      <c r="Q635" s="245" t="n">
        <v>19</v>
      </c>
      <c r="R635" s="245" t="n">
        <v>10</v>
      </c>
      <c r="S635" s="245" t="n">
        <v>1</v>
      </c>
      <c r="T635" s="249" t="inlineStr">
        <is>
          <t xml:space="preserve">I1   </t>
        </is>
      </c>
      <c r="U635" s="249" t="n">
        <v>398</v>
      </c>
      <c r="V635" s="678" t="n">
        <v>35505</v>
      </c>
      <c r="W635" s="678" t="n">
        <v>36000</v>
      </c>
      <c r="X635" s="356" t="inlineStr">
        <is>
          <t>3.1:1</t>
        </is>
      </c>
      <c r="Y635" s="678">
        <f>ROUND(J635,-3)</f>
        <v/>
      </c>
      <c r="Z635" s="249" t="inlineStr">
        <is>
          <t xml:space="preserve">C </t>
        </is>
      </c>
      <c r="AA635" s="245" t="n">
        <v>3</v>
      </c>
      <c r="AB635" s="245" t="n">
        <v>3</v>
      </c>
      <c r="AC635" s="253" t="inlineStr">
        <is>
          <t>33</t>
        </is>
      </c>
      <c r="AD635" s="247" t="inlineStr">
        <is>
          <t>                    </t>
        </is>
      </c>
      <c r="AE635" s="680" t="n"/>
      <c r="AF635" s="680" t="n"/>
      <c r="AG635" s="680" t="n"/>
      <c r="AH635" s="680" t="n"/>
      <c r="AI635" s="680" t="n"/>
      <c r="AJ635" s="680" t="n"/>
      <c r="AK635" s="680" t="inlineStr">
        <is>
          <t xml:space="preserve">S-T WHSE.                                                         </t>
        </is>
      </c>
    </row>
    <row r="636">
      <c r="A636" s="248" t="n">
        <v>8</v>
      </c>
      <c r="B636" s="370" t="n">
        <v>628</v>
      </c>
      <c r="C636" s="254" t="inlineStr">
        <is>
          <t>2009Q</t>
        </is>
      </c>
      <c r="D636" s="245" t="inlineStr">
        <is>
          <t xml:space="preserve">01194-00-229-000 </t>
        </is>
      </c>
      <c r="E636" s="258" t="inlineStr">
        <is>
          <t>Actual</t>
        </is>
      </c>
      <c r="F636" s="259" t="inlineStr">
        <is>
          <t>3812   DAHLIA               ST</t>
        </is>
      </c>
      <c r="G636" s="672" t="n">
        <v>44.1</v>
      </c>
      <c r="H636" s="253" t="n">
        <v>9101</v>
      </c>
      <c r="I636" s="255" t="n">
        <v>0</v>
      </c>
      <c r="J636" s="678" t="n">
        <v>6579</v>
      </c>
      <c r="K636" s="679" t="n">
        <v>2.279981760145919</v>
      </c>
      <c r="L636" s="260" t="n">
        <v>0</v>
      </c>
      <c r="M636" s="262" t="n">
        <v>0.4306</v>
      </c>
      <c r="N636" s="253" t="n">
        <v>1926</v>
      </c>
      <c r="O636" s="250" t="n">
        <v>1620</v>
      </c>
      <c r="Q636" s="245" t="n">
        <v>10</v>
      </c>
      <c r="R636" s="245" t="n">
        <v>1</v>
      </c>
      <c r="S636" s="245" t="n">
        <v>1</v>
      </c>
      <c r="T636" s="249" t="inlineStr">
        <is>
          <t xml:space="preserve">I0   </t>
        </is>
      </c>
      <c r="U636" s="249" t="n">
        <v>398</v>
      </c>
      <c r="V636" s="678" t="n">
        <v>92437</v>
      </c>
      <c r="W636" s="678" t="n">
        <v>90000</v>
      </c>
      <c r="X636" s="356" t="inlineStr">
        <is>
          <t>14.1:1</t>
        </is>
      </c>
      <c r="Y636" s="678">
        <f>ROUND(J636,-3)</f>
        <v/>
      </c>
      <c r="Z636" s="249" t="inlineStr">
        <is>
          <t xml:space="preserve">C </t>
        </is>
      </c>
      <c r="AA636" s="245" t="n">
        <v>3</v>
      </c>
      <c r="AB636" s="245" t="n">
        <v>3</v>
      </c>
      <c r="AC636" s="253" t="inlineStr">
        <is>
          <t>33</t>
        </is>
      </c>
      <c r="AD636" s="247" t="inlineStr">
        <is>
          <t>                    </t>
        </is>
      </c>
      <c r="AE636" s="680" t="n"/>
      <c r="AF636" s="680" t="n"/>
      <c r="AG636" s="680" t="n"/>
      <c r="AH636" s="680" t="n"/>
      <c r="AI636" s="680" t="n"/>
      <c r="AJ636" s="680" t="n"/>
      <c r="AK636" s="680" t="inlineStr">
        <is>
          <t xml:space="preserve">S-T WHSE.; 2005 LEASE.                                            </t>
        </is>
      </c>
    </row>
    <row r="637">
      <c r="A637" s="248" t="n">
        <v>8</v>
      </c>
      <c r="B637" s="370" t="n">
        <v>629</v>
      </c>
      <c r="C637" s="254" t="inlineStr">
        <is>
          <t>2009Q</t>
        </is>
      </c>
      <c r="D637" s="245" t="inlineStr">
        <is>
          <t xml:space="preserve">01194-00-239-000 </t>
        </is>
      </c>
      <c r="E637" s="258" t="inlineStr">
        <is>
          <t>Actual</t>
        </is>
      </c>
      <c r="F637" s="259" t="inlineStr">
        <is>
          <t>5255 E 38TH                 AV</t>
        </is>
      </c>
      <c r="G637" s="672" t="n">
        <v>44.1</v>
      </c>
      <c r="H637" s="253" t="n">
        <v>9101</v>
      </c>
      <c r="I637" s="255" t="n">
        <v>0</v>
      </c>
      <c r="J637" s="678" t="n">
        <v>3540</v>
      </c>
      <c r="K637" s="679" t="n">
        <v>8.096892655367231</v>
      </c>
      <c r="L637" s="260" t="n">
        <v>0.11</v>
      </c>
      <c r="M637" s="262" t="n">
        <v>0.1233646164044238</v>
      </c>
      <c r="N637" s="253" t="n">
        <v>1958</v>
      </c>
      <c r="O637" s="250" t="n">
        <v>2612</v>
      </c>
      <c r="Q637" s="245" t="n">
        <v>13</v>
      </c>
      <c r="R637" s="245" t="n">
        <v>1</v>
      </c>
      <c r="S637" s="245" t="n">
        <v>1</v>
      </c>
      <c r="T637" s="249" t="inlineStr">
        <is>
          <t xml:space="preserve">I0   </t>
        </is>
      </c>
      <c r="U637" s="249" t="n">
        <v>398</v>
      </c>
      <c r="V637" s="678" t="n">
        <v>21300</v>
      </c>
      <c r="W637" s="678" t="n">
        <v>21000</v>
      </c>
      <c r="X637" s="356" t="inlineStr">
        <is>
          <t>2.1:1</t>
        </is>
      </c>
      <c r="Y637" s="678">
        <f>ROUND(J637,-3)</f>
        <v/>
      </c>
      <c r="Z637" s="249" t="inlineStr">
        <is>
          <t xml:space="preserve">C </t>
        </is>
      </c>
      <c r="AA637" s="245" t="n">
        <v>3</v>
      </c>
      <c r="AB637" s="245" t="n">
        <v>3</v>
      </c>
      <c r="AC637" s="253" t="inlineStr">
        <is>
          <t>33</t>
        </is>
      </c>
      <c r="AD637" s="247" t="inlineStr">
        <is>
          <t xml:space="preserve">LAWNTECH ENT'PRS    </t>
        </is>
      </c>
      <c r="AE637" s="680" t="n"/>
      <c r="AF637" s="680" t="n"/>
      <c r="AG637" s="680" t="n"/>
      <c r="AH637" s="680" t="n"/>
      <c r="AI637" s="680" t="n"/>
      <c r="AJ637" s="680" t="n"/>
      <c r="AK637" s="680" t="inlineStr">
        <is>
          <t xml:space="preserve">M-T WHSE; 4 UNITS.                                                </t>
        </is>
      </c>
    </row>
    <row r="638">
      <c r="A638" s="248" t="n">
        <v>8</v>
      </c>
      <c r="B638" s="370" t="n">
        <v>630</v>
      </c>
      <c r="C638" s="254" t="inlineStr">
        <is>
          <t>2009Q</t>
        </is>
      </c>
      <c r="D638" s="245" t="inlineStr">
        <is>
          <t xml:space="preserve">01194-00-243-243 </t>
        </is>
      </c>
      <c r="E638" s="258" t="inlineStr">
        <is>
          <t>Actual</t>
        </is>
      </c>
      <c r="F638" s="259" t="inlineStr">
        <is>
          <t>5138 E 39TH                 AV</t>
        </is>
      </c>
      <c r="G638" s="672" t="n">
        <v>44.8</v>
      </c>
      <c r="H638" s="253" t="n">
        <v>9101</v>
      </c>
      <c r="I638" s="255" t="n">
        <v>0</v>
      </c>
      <c r="J638" s="678" t="n">
        <v>6719</v>
      </c>
      <c r="K638" s="679" t="n">
        <v>7.858312248846555</v>
      </c>
      <c r="L638" s="260" t="n">
        <v>0</v>
      </c>
      <c r="M638" s="262" t="n">
        <v>0</v>
      </c>
      <c r="N638" s="253" t="n">
        <v>1962</v>
      </c>
      <c r="O638" s="250" t="inlineStr">
        <is>
          <t> </t>
        </is>
      </c>
      <c r="P638" s="250" t="n">
        <v>750</v>
      </c>
      <c r="Q638" s="245" t="n">
        <v>16</v>
      </c>
      <c r="R638" s="245" t="n">
        <v>1</v>
      </c>
      <c r="S638" s="245" t="n">
        <v>1</v>
      </c>
      <c r="T638" s="249" t="inlineStr">
        <is>
          <t xml:space="preserve">I0   </t>
        </is>
      </c>
      <c r="U638" s="249" t="n">
        <v>398</v>
      </c>
      <c r="V638" s="678" t="n">
        <v>14654</v>
      </c>
      <c r="W638" s="678" t="n">
        <v>15000</v>
      </c>
      <c r="X638" s="356" t="inlineStr">
        <is>
          <t>2.2:1</t>
        </is>
      </c>
      <c r="Y638" s="678">
        <f>ROUND(J638,-3)</f>
        <v/>
      </c>
      <c r="Z638" s="249" t="inlineStr">
        <is>
          <t xml:space="preserve">C </t>
        </is>
      </c>
      <c r="AA638" s="245" t="n">
        <v>3</v>
      </c>
      <c r="AB638" s="245" t="n">
        <v>3</v>
      </c>
      <c r="AC638" s="253" t="inlineStr">
        <is>
          <t>33</t>
        </is>
      </c>
      <c r="AD638" s="247" t="inlineStr">
        <is>
          <t>UNIT 1;39TH IND COND</t>
        </is>
      </c>
      <c r="AE638" s="680" t="n"/>
      <c r="AF638" s="680" t="n"/>
      <c r="AG638" s="680" t="n"/>
      <c r="AH638" s="680" t="n"/>
      <c r="AI638" s="680" t="n"/>
      <c r="AJ638" s="680" t="n"/>
      <c r="AK638" s="680" t="inlineStr">
        <is>
          <t xml:space="preserve">S-T WHSE.                                                         </t>
        </is>
      </c>
    </row>
    <row r="639">
      <c r="A639" s="248" t="n">
        <v>8</v>
      </c>
      <c r="B639" s="370" t="n">
        <v>631</v>
      </c>
      <c r="C639" s="254" t="inlineStr">
        <is>
          <t>2009Q</t>
        </is>
      </c>
      <c r="D639" s="245" t="inlineStr">
        <is>
          <t xml:space="preserve">01194-00-246-000 </t>
        </is>
      </c>
      <c r="E639" s="258" t="inlineStr">
        <is>
          <t>Actual</t>
        </is>
      </c>
      <c r="F639" s="259" t="inlineStr">
        <is>
          <t>4902   SMITH                RD</t>
        </is>
      </c>
      <c r="G639" s="672" t="n">
        <v>44.2</v>
      </c>
      <c r="H639" s="253" t="n">
        <v>9101</v>
      </c>
      <c r="I639" s="255" t="n">
        <v>0</v>
      </c>
      <c r="J639" s="678" t="n">
        <v>29244</v>
      </c>
      <c r="K639" s="679" t="n">
        <v>4.048693749145124</v>
      </c>
      <c r="L639" s="260" t="n">
        <v>0.12</v>
      </c>
      <c r="M639" s="262" t="n">
        <v>0</v>
      </c>
      <c r="N639" s="253" t="n">
        <v>1973</v>
      </c>
      <c r="O639" s="250" t="n">
        <v>2590</v>
      </c>
      <c r="Q639" s="245" t="n">
        <v>21</v>
      </c>
      <c r="R639" s="245" t="n">
        <v>3</v>
      </c>
      <c r="S639" s="245" t="n">
        <v>4</v>
      </c>
      <c r="T639" s="249" t="inlineStr">
        <is>
          <t xml:space="preserve">I1   </t>
        </is>
      </c>
      <c r="U639" s="249" t="n">
        <v>398</v>
      </c>
      <c r="V639" s="678" t="n">
        <v>75985</v>
      </c>
      <c r="W639" s="678" t="n">
        <v>80000</v>
      </c>
      <c r="X639" s="356" t="inlineStr">
        <is>
          <t>2.6:1</t>
        </is>
      </c>
      <c r="Y639" s="678">
        <f>ROUND(J639,-3)</f>
        <v/>
      </c>
      <c r="Z639" s="249" t="inlineStr">
        <is>
          <t xml:space="preserve">C </t>
        </is>
      </c>
      <c r="AA639" s="245" t="n">
        <v>2</v>
      </c>
      <c r="AB639" s="245" t="n">
        <v>2</v>
      </c>
      <c r="AC639" s="253" t="inlineStr">
        <is>
          <t>22</t>
        </is>
      </c>
      <c r="AD639" s="247" t="inlineStr">
        <is>
          <t xml:space="preserve">M-W 2 TENANTS       </t>
        </is>
      </c>
      <c r="AE639" s="680" t="n"/>
      <c r="AF639" s="680" t="n"/>
      <c r="AG639" s="680" t="n"/>
      <c r="AH639" s="680" t="n"/>
      <c r="AI639" s="680" t="n"/>
      <c r="AJ639" s="680" t="n"/>
      <c r="AK639" s="680" t="inlineStr">
        <is>
          <t xml:space="preserve">M-T WHSE.; 2 TENANTS; DATE OF LEASE UNKNOWN.                      </t>
        </is>
      </c>
    </row>
    <row r="640">
      <c r="A640" s="248" t="n">
        <v>8</v>
      </c>
      <c r="B640" s="370" t="n">
        <v>632</v>
      </c>
      <c r="C640" s="254" t="inlineStr">
        <is>
          <t>2009Q</t>
        </is>
      </c>
      <c r="D640" s="245" t="inlineStr">
        <is>
          <t xml:space="preserve">01194-03-002-000 </t>
        </is>
      </c>
      <c r="E640" s="258" t="inlineStr">
        <is>
          <t>Actual</t>
        </is>
      </c>
      <c r="F640" s="259" t="inlineStr">
        <is>
          <t>3875   ELM                  ST</t>
        </is>
      </c>
      <c r="G640" s="672" t="n">
        <v>44.1</v>
      </c>
      <c r="H640" s="253" t="n">
        <v>9101</v>
      </c>
      <c r="I640" s="255" t="n">
        <v>0</v>
      </c>
      <c r="J640" s="678" t="n">
        <v>7200</v>
      </c>
      <c r="K640" s="679" t="n">
        <v>5.833333333333333</v>
      </c>
      <c r="L640" s="260" t="n">
        <v>0</v>
      </c>
      <c r="M640" s="262" t="n">
        <v>0.2140714285714286</v>
      </c>
      <c r="N640" s="253" t="n">
        <v>1962</v>
      </c>
      <c r="O640" s="250" t="n">
        <v>2411</v>
      </c>
      <c r="Q640" s="245" t="n">
        <v>12</v>
      </c>
      <c r="R640" s="245" t="n">
        <v>3</v>
      </c>
      <c r="S640" s="245" t="n">
        <v>1</v>
      </c>
      <c r="T640" s="249" t="inlineStr">
        <is>
          <t xml:space="preserve">I0   </t>
        </is>
      </c>
      <c r="U640" s="249" t="n">
        <v>398</v>
      </c>
      <c r="V640" s="678" t="n">
        <v>19800</v>
      </c>
      <c r="W640" s="678" t="n">
        <v>20000</v>
      </c>
      <c r="X640" s="356" t="inlineStr">
        <is>
          <t>2.8:1</t>
        </is>
      </c>
      <c r="Y640" s="678">
        <f>ROUND(J640,-3)</f>
        <v/>
      </c>
      <c r="Z640" s="249" t="inlineStr">
        <is>
          <t xml:space="preserve">C </t>
        </is>
      </c>
      <c r="AA640" s="245" t="n">
        <v>3</v>
      </c>
      <c r="AB640" s="245" t="n">
        <v>3</v>
      </c>
      <c r="AC640" s="253" t="inlineStr">
        <is>
          <t>33</t>
        </is>
      </c>
      <c r="AD640" s="247" t="inlineStr">
        <is>
          <t xml:space="preserve">DIST    AIRPRO      </t>
        </is>
      </c>
      <c r="AE640" s="680" t="n"/>
      <c r="AF640" s="680" t="n"/>
      <c r="AG640" s="680" t="n"/>
      <c r="AH640" s="680" t="n"/>
      <c r="AI640" s="680" t="n"/>
      <c r="AJ640" s="680" t="n"/>
      <c r="AK640" s="680" t="inlineStr">
        <is>
          <t xml:space="preserve">S-T WHSE.                                                         </t>
        </is>
      </c>
    </row>
    <row r="641">
      <c r="A641" s="248" t="n">
        <v>8</v>
      </c>
      <c r="B641" s="370" t="n">
        <v>633</v>
      </c>
      <c r="C641" s="254" t="inlineStr">
        <is>
          <t>2009Q</t>
        </is>
      </c>
      <c r="D641" s="245" t="inlineStr">
        <is>
          <t xml:space="preserve">01194-03-006-000 </t>
        </is>
      </c>
      <c r="E641" s="258" t="inlineStr">
        <is>
          <t>Actual</t>
        </is>
      </c>
      <c r="F641" s="259" t="inlineStr">
        <is>
          <t>4940 E 39TH                 AV</t>
        </is>
      </c>
      <c r="G641" s="672" t="n">
        <v>43.2</v>
      </c>
      <c r="H641" s="253" t="n">
        <v>9101</v>
      </c>
      <c r="I641" s="255" t="n">
        <v>0</v>
      </c>
      <c r="J641" s="678" t="n">
        <v>6272</v>
      </c>
      <c r="K641" s="679" t="n">
        <v>6.976084183673469</v>
      </c>
      <c r="L641" s="260" t="n">
        <v>0</v>
      </c>
      <c r="M641" s="262" t="n">
        <v>0.05277231795950085</v>
      </c>
      <c r="N641" s="253" t="n">
        <v>1966</v>
      </c>
      <c r="O641" s="250" t="n">
        <v>1040</v>
      </c>
      <c r="Q641" s="245" t="n">
        <v>12</v>
      </c>
      <c r="R641" s="245" t="n">
        <v>1</v>
      </c>
      <c r="S641" s="245" t="n">
        <v>1</v>
      </c>
      <c r="T641" s="249" t="inlineStr">
        <is>
          <t xml:space="preserve">I1   </t>
        </is>
      </c>
      <c r="U641" s="249" t="n">
        <v>401</v>
      </c>
      <c r="V641" s="678" t="n">
        <v>12951</v>
      </c>
      <c r="W641" s="678" t="n">
        <v>13000</v>
      </c>
      <c r="X641" s="356" t="inlineStr">
        <is>
          <t>2.1:1</t>
        </is>
      </c>
      <c r="Y641" s="678">
        <f>ROUND(J641,-3)</f>
        <v/>
      </c>
      <c r="Z641" s="249" t="inlineStr">
        <is>
          <t xml:space="preserve">C </t>
        </is>
      </c>
      <c r="AA641" s="245" t="n">
        <v>3</v>
      </c>
      <c r="AB641" s="245" t="n">
        <v>2</v>
      </c>
      <c r="AC641" s="253" t="inlineStr">
        <is>
          <t>32</t>
        </is>
      </c>
      <c r="AD641" s="247" t="inlineStr">
        <is>
          <t>S-M BC PRINTING INC.</t>
        </is>
      </c>
      <c r="AE641" s="680" t="n"/>
      <c r="AF641" s="680" t="n"/>
      <c r="AG641" s="680" t="n"/>
      <c r="AH641" s="680" t="n"/>
      <c r="AI641" s="680" t="n"/>
      <c r="AJ641" s="680" t="n"/>
      <c r="AK641" s="680" t="inlineStr">
        <is>
          <t xml:space="preserve">S-T WHSE.;LEASE DATES FROM 2001.                                  </t>
        </is>
      </c>
    </row>
    <row r="642">
      <c r="A642" s="248" t="n">
        <v>8</v>
      </c>
      <c r="B642" s="370" t="n">
        <v>634</v>
      </c>
      <c r="C642" s="254" t="inlineStr">
        <is>
          <t>2009Q</t>
        </is>
      </c>
      <c r="D642" s="245" t="inlineStr">
        <is>
          <t xml:space="preserve">01194-03-007-000 </t>
        </is>
      </c>
      <c r="E642" s="258" t="inlineStr">
        <is>
          <t>Actual</t>
        </is>
      </c>
      <c r="F642" s="259" t="inlineStr">
        <is>
          <t>4900 E 39TH                 AV</t>
        </is>
      </c>
      <c r="G642" s="672" t="n">
        <v>44.1</v>
      </c>
      <c r="H642" s="253" t="n">
        <v>9101</v>
      </c>
      <c r="I642" s="255" t="n">
        <v>0</v>
      </c>
      <c r="J642" s="678" t="n">
        <v>5040</v>
      </c>
      <c r="K642" s="679" t="n">
        <v>7.142857142857143</v>
      </c>
      <c r="L642" s="260" t="n">
        <v>1</v>
      </c>
      <c r="M642" s="262" t="n">
        <v>0.1194444444444445</v>
      </c>
      <c r="N642" s="253" t="n">
        <v>1966</v>
      </c>
      <c r="O642" s="250" t="n">
        <v>4080</v>
      </c>
      <c r="Q642" s="245" t="n">
        <v>14</v>
      </c>
      <c r="R642" s="245" t="n">
        <v>10</v>
      </c>
      <c r="S642" s="245" t="n">
        <v>1</v>
      </c>
      <c r="T642" s="249" t="inlineStr">
        <is>
          <t xml:space="preserve">I1   </t>
        </is>
      </c>
      <c r="U642" s="249" t="n">
        <v>397</v>
      </c>
      <c r="V642" s="678" t="n">
        <v>12100</v>
      </c>
      <c r="W642" s="678" t="n">
        <v>12000</v>
      </c>
      <c r="X642" s="356" t="inlineStr">
        <is>
          <t>2.4:1</t>
        </is>
      </c>
      <c r="Y642" s="678">
        <f>ROUND(J642,-3)</f>
        <v/>
      </c>
      <c r="Z642" s="249" t="inlineStr">
        <is>
          <t xml:space="preserve">C </t>
        </is>
      </c>
      <c r="AA642" s="245" t="n">
        <v>3</v>
      </c>
      <c r="AB642" s="245" t="n">
        <v>3</v>
      </c>
      <c r="AC642" s="253" t="inlineStr">
        <is>
          <t>33</t>
        </is>
      </c>
      <c r="AD642" s="247" t="inlineStr">
        <is>
          <t>                    </t>
        </is>
      </c>
      <c r="AE642" s="680" t="n"/>
      <c r="AF642" s="680" t="n"/>
      <c r="AG642" s="680" t="n"/>
      <c r="AH642" s="680" t="n"/>
      <c r="AI642" s="680" t="n"/>
      <c r="AJ642" s="680" t="n"/>
      <c r="AK642" s="680" t="inlineStr">
        <is>
          <t xml:space="preserve">S-T WHSE.; 2005 LEASE.                                            </t>
        </is>
      </c>
    </row>
    <row r="643">
      <c r="A643" s="248" t="n">
        <v>8</v>
      </c>
      <c r="B643" s="370" t="n">
        <v>635</v>
      </c>
      <c r="C643" s="254" t="inlineStr">
        <is>
          <t>2009Q</t>
        </is>
      </c>
      <c r="D643" s="245" t="inlineStr">
        <is>
          <t xml:space="preserve">01194-04-001-000 </t>
        </is>
      </c>
      <c r="E643" s="258" t="inlineStr">
        <is>
          <t>Actual</t>
        </is>
      </c>
      <c r="F643" s="259" t="inlineStr">
        <is>
          <t>3835   ELM                  ST</t>
        </is>
      </c>
      <c r="G643" s="672" t="n">
        <v>44.2</v>
      </c>
      <c r="H643" s="253" t="n">
        <v>9101</v>
      </c>
      <c r="I643" s="255" t="n">
        <v>0</v>
      </c>
      <c r="J643" s="678" t="n">
        <v>18000</v>
      </c>
      <c r="K643" s="679" t="n">
        <v>5.223333333333334</v>
      </c>
      <c r="L643" s="260" t="n">
        <v>0</v>
      </c>
      <c r="M643" s="262" t="n">
        <v>0.1329398000425441</v>
      </c>
      <c r="N643" s="253" t="n">
        <v>1962</v>
      </c>
      <c r="O643" s="250" t="n">
        <v>9120</v>
      </c>
      <c r="Q643" s="245" t="n">
        <v>13</v>
      </c>
      <c r="R643" s="245" t="n">
        <v>3</v>
      </c>
      <c r="S643" s="245" t="n">
        <v>6</v>
      </c>
      <c r="T643" s="249" t="inlineStr">
        <is>
          <t xml:space="preserve">I0   </t>
        </is>
      </c>
      <c r="U643" s="249" t="n">
        <v>398</v>
      </c>
      <c r="V643" s="678" t="n">
        <v>41400</v>
      </c>
      <c r="W643" s="678" t="n">
        <v>41000</v>
      </c>
      <c r="X643" s="356" t="inlineStr">
        <is>
          <t>2.3:1</t>
        </is>
      </c>
      <c r="Y643" s="678">
        <f>ROUND(J643,-3)</f>
        <v/>
      </c>
      <c r="Z643" s="249" t="inlineStr">
        <is>
          <t xml:space="preserve">C </t>
        </is>
      </c>
      <c r="AA643" s="245" t="n">
        <v>3</v>
      </c>
      <c r="AB643" s="245" t="n">
        <v>3</v>
      </c>
      <c r="AC643" s="253" t="inlineStr">
        <is>
          <t>33</t>
        </is>
      </c>
      <c r="AD643" s="247" t="inlineStr">
        <is>
          <t xml:space="preserve">DIST/MULTI TENANT   </t>
        </is>
      </c>
      <c r="AE643" s="680" t="n"/>
      <c r="AF643" s="680" t="n"/>
      <c r="AG643" s="680" t="n"/>
      <c r="AH643" s="680" t="n"/>
      <c r="AI643" s="680" t="n"/>
      <c r="AJ643" s="680" t="n"/>
      <c r="AK643" s="680" t="inlineStr">
        <is>
          <t xml:space="preserve">M-T WHSE.; 4 TENANTS; LEASES 2005 - 2007.                         </t>
        </is>
      </c>
    </row>
    <row r="644">
      <c r="A644" s="248" t="n">
        <v>8</v>
      </c>
      <c r="B644" s="370" t="n">
        <v>636</v>
      </c>
      <c r="C644" s="254" t="inlineStr">
        <is>
          <t>2009Q</t>
        </is>
      </c>
      <c r="D644" s="245" t="inlineStr">
        <is>
          <t xml:space="preserve">01194-04-002-000 </t>
        </is>
      </c>
      <c r="E644" s="258" t="inlineStr">
        <is>
          <t>Actual</t>
        </is>
      </c>
      <c r="F644" s="259" t="inlineStr">
        <is>
          <t>3831   EUDORA               WY</t>
        </is>
      </c>
      <c r="G644" s="672" t="n">
        <v>44.2</v>
      </c>
      <c r="H644" s="253" t="n">
        <v>9101</v>
      </c>
      <c r="I644" s="255" t="n">
        <v>0</v>
      </c>
      <c r="J644" s="678" t="n">
        <v>20221</v>
      </c>
      <c r="K644" s="679" t="n">
        <v>5.340982147272637</v>
      </c>
      <c r="L644" s="260" t="n">
        <v>0</v>
      </c>
      <c r="M644" s="262" t="n">
        <v>0.1138888888888889</v>
      </c>
      <c r="N644" s="253" t="n">
        <v>1964</v>
      </c>
      <c r="O644" s="250" t="n">
        <v>1508</v>
      </c>
      <c r="Q644" s="245" t="n">
        <v>18</v>
      </c>
      <c r="R644" s="245" t="n">
        <v>3</v>
      </c>
      <c r="S644" s="245" t="n">
        <v>2</v>
      </c>
      <c r="T644" s="249" t="inlineStr">
        <is>
          <t xml:space="preserve">I0   </t>
        </is>
      </c>
      <c r="U644" s="249" t="n">
        <v>398</v>
      </c>
      <c r="V644" s="678" t="n">
        <v>34330</v>
      </c>
      <c r="W644" s="678" t="n">
        <v>34000</v>
      </c>
      <c r="X644" s="356" t="inlineStr">
        <is>
          <t>1.7:1</t>
        </is>
      </c>
      <c r="Y644" s="678">
        <f>ROUND(J644,-3)</f>
        <v/>
      </c>
      <c r="Z644" s="249" t="inlineStr">
        <is>
          <t xml:space="preserve">C </t>
        </is>
      </c>
      <c r="AA644" s="245" t="n">
        <v>3</v>
      </c>
      <c r="AB644" s="245" t="n">
        <v>3</v>
      </c>
      <c r="AC644" s="253" t="inlineStr">
        <is>
          <t>33</t>
        </is>
      </c>
      <c r="AD644" s="247" t="inlineStr">
        <is>
          <t xml:space="preserve">PETRIDGE FARMS      </t>
        </is>
      </c>
      <c r="AE644" s="680" t="n"/>
      <c r="AF644" s="680" t="n"/>
      <c r="AG644" s="680" t="n"/>
      <c r="AH644" s="680" t="n"/>
      <c r="AI644" s="680" t="n"/>
      <c r="AJ644" s="680" t="n"/>
      <c r="AK644" s="680" t="inlineStr">
        <is>
          <t xml:space="preserve">M-T WHSE.; 2 TENANTS; LEASES 2005 &amp; 2007.                         </t>
        </is>
      </c>
    </row>
    <row r="645">
      <c r="A645" s="248" t="n">
        <v>8</v>
      </c>
      <c r="B645" s="370" t="n">
        <v>637</v>
      </c>
      <c r="C645" s="254" t="inlineStr">
        <is>
          <t>2009Q</t>
        </is>
      </c>
      <c r="D645" s="245" t="inlineStr">
        <is>
          <t xml:space="preserve">01201-00-042-000 </t>
        </is>
      </c>
      <c r="E645" s="258" t="inlineStr">
        <is>
          <t>Actual</t>
        </is>
      </c>
      <c r="F645" s="259" t="inlineStr">
        <is>
          <t>4300   MONACO               PY</t>
        </is>
      </c>
      <c r="G645" s="672" t="n">
        <v>44.2</v>
      </c>
      <c r="H645" s="253" t="n">
        <v>9101</v>
      </c>
      <c r="I645" s="255" t="n">
        <v>0</v>
      </c>
      <c r="J645" s="678" t="n">
        <v>20000</v>
      </c>
      <c r="K645" s="679" t="n">
        <v>4.4182</v>
      </c>
      <c r="L645" s="260" t="n">
        <v>0</v>
      </c>
      <c r="M645" s="262" t="n">
        <v>0.08936897379023132</v>
      </c>
      <c r="N645" s="253" t="n">
        <v>1969</v>
      </c>
      <c r="O645" s="250">
        <f>2350+420</f>
        <v/>
      </c>
      <c r="Q645" s="245" t="n">
        <v>20</v>
      </c>
      <c r="R645" s="245" t="n">
        <v>3</v>
      </c>
      <c r="S645" s="245" t="n">
        <v>1</v>
      </c>
      <c r="T645" s="249" t="inlineStr">
        <is>
          <t xml:space="preserve">I2   </t>
        </is>
      </c>
      <c r="U645" s="249" t="n">
        <v>398</v>
      </c>
      <c r="V645" s="678" t="n">
        <v>63328</v>
      </c>
      <c r="W645" s="678" t="n">
        <v>60000</v>
      </c>
      <c r="X645" s="356" t="inlineStr">
        <is>
          <t>3.2:1</t>
        </is>
      </c>
      <c r="Y645" s="678">
        <f>ROUND(J645,-3)</f>
        <v/>
      </c>
      <c r="Z645" s="249" t="inlineStr">
        <is>
          <t xml:space="preserve">C </t>
        </is>
      </c>
      <c r="AA645" s="245" t="n">
        <v>3</v>
      </c>
      <c r="AB645" s="245" t="n">
        <v>3</v>
      </c>
      <c r="AC645" s="253" t="inlineStr">
        <is>
          <t>33</t>
        </is>
      </c>
      <c r="AD645" s="247" t="inlineStr">
        <is>
          <t>                    </t>
        </is>
      </c>
      <c r="AE645" s="680" t="n"/>
      <c r="AF645" s="680" t="n"/>
      <c r="AG645" s="680" t="n"/>
      <c r="AH645" s="680" t="n"/>
      <c r="AI645" s="680" t="n"/>
      <c r="AJ645" s="680" t="n"/>
      <c r="AK645" s="680" t="inlineStr">
        <is>
          <t xml:space="preserve">S-T WHSE.                                                         </t>
        </is>
      </c>
    </row>
    <row r="646">
      <c r="A646" s="248" t="n">
        <v>8</v>
      </c>
      <c r="B646" s="370" t="n">
        <v>638</v>
      </c>
      <c r="C646" s="254" t="inlineStr">
        <is>
          <t>2009Q</t>
        </is>
      </c>
      <c r="D646" s="245" t="inlineStr">
        <is>
          <t xml:space="preserve">01201-00-044-000 </t>
        </is>
      </c>
      <c r="E646" s="258" t="inlineStr">
        <is>
          <t>Actual</t>
        </is>
      </c>
      <c r="F646" s="259" t="inlineStr">
        <is>
          <t>4600   MONACO               PY</t>
        </is>
      </c>
      <c r="G646" s="672" t="n">
        <v>44.2</v>
      </c>
      <c r="H646" s="253" t="n">
        <v>9101</v>
      </c>
      <c r="I646" s="255" t="n">
        <v>0</v>
      </c>
      <c r="J646" s="678" t="n">
        <v>15492</v>
      </c>
      <c r="K646" s="679" t="n">
        <v>3.4856700232378</v>
      </c>
      <c r="L646" s="260" t="n">
        <v>0</v>
      </c>
      <c r="M646" s="262" t="n">
        <v>0</v>
      </c>
      <c r="N646" s="253" t="n">
        <v>1974</v>
      </c>
      <c r="P646" s="250" t="n">
        <v>1508</v>
      </c>
      <c r="Q646" s="245" t="n">
        <v>20</v>
      </c>
      <c r="R646" s="245" t="n">
        <v>14</v>
      </c>
      <c r="S646" s="245" t="n">
        <v>1</v>
      </c>
      <c r="T646" s="249" t="inlineStr">
        <is>
          <t xml:space="preserve">I2   </t>
        </is>
      </c>
      <c r="U646" s="249" t="n">
        <v>398</v>
      </c>
      <c r="V646" s="678" t="n">
        <v>87100</v>
      </c>
      <c r="W646" s="678" t="n">
        <v>90000</v>
      </c>
      <c r="X646" s="356" t="inlineStr">
        <is>
          <t>5.6:1</t>
        </is>
      </c>
      <c r="Y646" s="678">
        <f>ROUND(J646,-3)</f>
        <v/>
      </c>
      <c r="Z646" s="249" t="inlineStr">
        <is>
          <t xml:space="preserve">C </t>
        </is>
      </c>
      <c r="AA646" s="245" t="n">
        <v>3</v>
      </c>
      <c r="AB646" s="245" t="n">
        <v>3</v>
      </c>
      <c r="AC646" s="253" t="inlineStr">
        <is>
          <t>33</t>
        </is>
      </c>
      <c r="AD646" s="247" t="inlineStr">
        <is>
          <t>                    </t>
        </is>
      </c>
      <c r="AE646" s="680" t="n"/>
      <c r="AF646" s="680" t="n"/>
      <c r="AG646" s="680" t="n"/>
      <c r="AH646" s="680" t="n"/>
      <c r="AI646" s="680" t="n"/>
      <c r="AJ646" s="680" t="n"/>
      <c r="AK646" s="680" t="inlineStr">
        <is>
          <t xml:space="preserve">S-T WHSE.                                                         </t>
        </is>
      </c>
    </row>
    <row r="647">
      <c r="A647" s="248" t="n">
        <v>8</v>
      </c>
      <c r="B647" s="370" t="n">
        <v>639</v>
      </c>
      <c r="C647" s="254" t="inlineStr">
        <is>
          <t>2009Q</t>
        </is>
      </c>
      <c r="D647" s="245" t="inlineStr">
        <is>
          <t xml:space="preserve">01201-00-060-000 </t>
        </is>
      </c>
      <c r="E647" s="258" t="inlineStr">
        <is>
          <t>Actual</t>
        </is>
      </c>
      <c r="F647" s="259" t="inlineStr">
        <is>
          <t>6666   STAPLETON S          DR</t>
        </is>
      </c>
      <c r="G647" s="672" t="n">
        <v>47.1</v>
      </c>
      <c r="H647" s="253" t="n">
        <v>9101</v>
      </c>
      <c r="I647" s="255" t="n">
        <v>0</v>
      </c>
      <c r="J647" s="678" t="n">
        <v>19998</v>
      </c>
      <c r="K647" s="679" t="n">
        <v>8.23082308230823</v>
      </c>
      <c r="L647" s="260" t="n">
        <v>0</v>
      </c>
      <c r="M647" s="262" t="n">
        <v>0</v>
      </c>
      <c r="N647" s="253" t="n">
        <v>1970</v>
      </c>
      <c r="O647" s="250" t="n">
        <v>4632</v>
      </c>
      <c r="P647" s="250" t="inlineStr">
        <is>
          <t> </t>
        </is>
      </c>
      <c r="Q647" s="245" t="n">
        <v>17</v>
      </c>
      <c r="R647" s="245" t="n">
        <v>1</v>
      </c>
      <c r="S647" s="245" t="n">
        <v>1</v>
      </c>
      <c r="T647" s="249" t="inlineStr">
        <is>
          <t xml:space="preserve">I2   </t>
        </is>
      </c>
      <c r="U647" s="249" t="n">
        <v>401</v>
      </c>
      <c r="V647" s="678" t="n">
        <v>51907</v>
      </c>
      <c r="W647" s="678" t="n">
        <v>50000</v>
      </c>
      <c r="X647" s="356" t="inlineStr">
        <is>
          <t>2.6:1</t>
        </is>
      </c>
      <c r="Y647" s="678">
        <f>ROUND(J647,-3)</f>
        <v/>
      </c>
      <c r="Z647" s="249" t="inlineStr">
        <is>
          <t xml:space="preserve">C </t>
        </is>
      </c>
      <c r="AA647" s="245" t="n">
        <v>3</v>
      </c>
      <c r="AB647" s="245" t="n">
        <v>3</v>
      </c>
      <c r="AC647" s="253" t="inlineStr">
        <is>
          <t>33</t>
        </is>
      </c>
      <c r="AD647" s="247" t="inlineStr">
        <is>
          <t xml:space="preserve">LIGHT MANUFACTURING </t>
        </is>
      </c>
      <c r="AE647" s="680" t="n"/>
      <c r="AF647" s="680" t="n"/>
      <c r="AG647" s="680" t="n"/>
      <c r="AH647" s="680" t="n"/>
      <c r="AI647" s="680" t="n"/>
      <c r="AJ647" s="680" t="n"/>
      <c r="AK647" s="680" t="inlineStr">
        <is>
          <t xml:space="preserve">S-T INDUSTRIAL BLDG.                                              </t>
        </is>
      </c>
    </row>
    <row r="648">
      <c r="A648" s="248" t="n">
        <v>8</v>
      </c>
      <c r="B648" s="370" t="n">
        <v>640</v>
      </c>
      <c r="C648" s="254" t="inlineStr">
        <is>
          <t>2009Q</t>
        </is>
      </c>
      <c r="D648" s="245" t="inlineStr">
        <is>
          <t xml:space="preserve">01201-19-020-000 </t>
        </is>
      </c>
      <c r="E648" s="258" t="inlineStr">
        <is>
          <t>Actual</t>
        </is>
      </c>
      <c r="F648" s="259" t="inlineStr">
        <is>
          <t>6804 E 48TH                 AV</t>
        </is>
      </c>
      <c r="G648" s="672" t="n">
        <v>44.2</v>
      </c>
      <c r="H648" s="253" t="n">
        <v>9101</v>
      </c>
      <c r="I648" s="255" t="n">
        <v>0</v>
      </c>
      <c r="J648" s="678" t="n">
        <v>46464</v>
      </c>
      <c r="K648" s="679" t="n">
        <v>4.57074294077135</v>
      </c>
      <c r="L648" s="260" t="n">
        <v>0.125</v>
      </c>
      <c r="M648" s="262" t="n">
        <v>0.2297539729252502</v>
      </c>
      <c r="N648" s="253" t="n">
        <v>1973</v>
      </c>
      <c r="O648" s="250" t="n">
        <v>5987</v>
      </c>
      <c r="Q648" s="245" t="n">
        <v>15</v>
      </c>
      <c r="R648" s="245" t="n">
        <v>10</v>
      </c>
      <c r="S648" s="245" t="n">
        <v>8</v>
      </c>
      <c r="T648" s="249" t="inlineStr">
        <is>
          <t xml:space="preserve">I2   </t>
        </is>
      </c>
      <c r="U648" s="249" t="n">
        <v>398</v>
      </c>
      <c r="V648" s="678" t="n">
        <v>97473</v>
      </c>
      <c r="W648" s="678" t="n">
        <v>100000</v>
      </c>
      <c r="X648" s="356" t="inlineStr">
        <is>
          <t>2.1:1</t>
        </is>
      </c>
      <c r="Y648" s="678">
        <f>ROUND(J648,-3)</f>
        <v/>
      </c>
      <c r="Z648" s="249" t="inlineStr">
        <is>
          <t xml:space="preserve">C </t>
        </is>
      </c>
      <c r="AA648" s="245" t="n">
        <v>3</v>
      </c>
      <c r="AB648" s="245" t="n">
        <v>3</v>
      </c>
      <c r="AC648" s="253" t="inlineStr">
        <is>
          <t>33</t>
        </is>
      </c>
      <c r="AD648" s="247" t="inlineStr">
        <is>
          <t>                    </t>
        </is>
      </c>
      <c r="AE648" s="680" t="n"/>
      <c r="AF648" s="680" t="n"/>
      <c r="AG648" s="680" t="n"/>
      <c r="AH648" s="680" t="n"/>
      <c r="AI648" s="680" t="n"/>
      <c r="AJ648" s="680" t="n"/>
      <c r="AK648" s="680" t="inlineStr">
        <is>
          <t xml:space="preserve">M-T WHSE.; 8 TENANTS; LEASES 1995 - 2007.                         </t>
        </is>
      </c>
    </row>
    <row r="649">
      <c r="A649" s="248" t="n">
        <v>8</v>
      </c>
      <c r="B649" s="370" t="n">
        <v>641</v>
      </c>
      <c r="C649" s="254" t="inlineStr">
        <is>
          <t>2009Q</t>
        </is>
      </c>
      <c r="D649" s="245" t="inlineStr">
        <is>
          <t xml:space="preserve">01201-21-037-037 </t>
        </is>
      </c>
      <c r="E649" s="258" t="inlineStr">
        <is>
          <t>Actual</t>
        </is>
      </c>
      <c r="F649" s="259" t="inlineStr">
        <is>
          <t>4601   QUEBEC               ST</t>
        </is>
      </c>
      <c r="G649" s="672" t="n">
        <v>44.8</v>
      </c>
      <c r="H649" s="253" t="n">
        <v>9101</v>
      </c>
      <c r="I649" s="255" t="n">
        <v>0</v>
      </c>
      <c r="J649" s="678" t="n">
        <v>1510</v>
      </c>
      <c r="K649" s="679" t="n">
        <v>9.933774834437086</v>
      </c>
      <c r="L649" s="260" t="n">
        <v>0</v>
      </c>
      <c r="M649" s="262" t="n">
        <v>0.1384</v>
      </c>
      <c r="N649" s="253" t="n">
        <v>2004</v>
      </c>
      <c r="O649" s="250" t="n">
        <v>1510</v>
      </c>
      <c r="Q649" s="245" t="n">
        <v>18</v>
      </c>
      <c r="R649" s="245" t="n">
        <v>14</v>
      </c>
      <c r="S649" s="245" t="n">
        <v>1</v>
      </c>
      <c r="T649" s="249" t="inlineStr">
        <is>
          <t xml:space="preserve">I2   </t>
        </is>
      </c>
      <c r="U649" s="249" t="n">
        <v>398</v>
      </c>
      <c r="V649" s="678" t="n">
        <v>4552</v>
      </c>
      <c r="W649" s="678" t="n">
        <v>5000</v>
      </c>
      <c r="X649" s="356" t="inlineStr">
        <is>
          <t>3.0:1</t>
        </is>
      </c>
      <c r="Y649" s="678">
        <f>ROUND(J649,-2)</f>
        <v/>
      </c>
      <c r="Z649" s="249" t="inlineStr">
        <is>
          <t xml:space="preserve">C </t>
        </is>
      </c>
      <c r="AA649" s="245" t="n">
        <v>3</v>
      </c>
      <c r="AB649" s="245" t="n">
        <v>3</v>
      </c>
      <c r="AC649" s="253" t="inlineStr">
        <is>
          <t>33</t>
        </is>
      </c>
      <c r="AD649" s="247" t="inlineStr">
        <is>
          <t xml:space="preserve">C-2 (B) SOLSTICE    </t>
        </is>
      </c>
      <c r="AE649" s="680" t="n"/>
      <c r="AF649" s="680" t="n"/>
      <c r="AG649" s="680" t="n"/>
      <c r="AH649" s="680" t="n"/>
      <c r="AI649" s="680" t="n"/>
      <c r="AJ649" s="680" t="n"/>
      <c r="AK649" s="680" t="inlineStr">
        <is>
          <t xml:space="preserve">S-T WHSE. CONDO UNIT; AGE OF LEASE UNKNOWN.                       </t>
        </is>
      </c>
    </row>
    <row r="650">
      <c r="A650" s="248" t="n">
        <v>8</v>
      </c>
      <c r="B650" s="370" t="n">
        <v>642</v>
      </c>
      <c r="C650" s="254" t="inlineStr">
        <is>
          <t>2009Q</t>
        </is>
      </c>
      <c r="D650" s="245" t="inlineStr">
        <is>
          <t xml:space="preserve">01202-00-129-000 </t>
        </is>
      </c>
      <c r="E650" s="258" t="inlineStr">
        <is>
          <t>Actual</t>
        </is>
      </c>
      <c r="F650" s="259" t="inlineStr">
        <is>
          <t>5601   STAPLETON N          DR</t>
        </is>
      </c>
      <c r="G650" s="672" t="n">
        <v>44.2</v>
      </c>
      <c r="H650" s="253" t="n">
        <v>9101</v>
      </c>
      <c r="I650" s="255" t="n">
        <v>0</v>
      </c>
      <c r="J650" s="678" t="n">
        <v>36000</v>
      </c>
      <c r="K650" s="679" t="n">
        <v>4.166666666666667</v>
      </c>
      <c r="L650" s="260" t="n">
        <v>0</v>
      </c>
      <c r="M650" s="262" t="n">
        <v>0</v>
      </c>
      <c r="N650" s="253" t="n">
        <v>1961</v>
      </c>
      <c r="O650" s="250" t="n">
        <v>6276</v>
      </c>
      <c r="Q650" s="245" t="n">
        <v>17</v>
      </c>
      <c r="R650" s="245" t="n">
        <v>10</v>
      </c>
      <c r="S650" s="245" t="n">
        <v>1</v>
      </c>
      <c r="T650" s="249" t="inlineStr">
        <is>
          <t xml:space="preserve">I2   </t>
        </is>
      </c>
      <c r="U650" s="249" t="n">
        <v>398</v>
      </c>
      <c r="V650" s="678" t="n">
        <v>56220</v>
      </c>
      <c r="W650" s="678" t="n">
        <v>60000</v>
      </c>
      <c r="X650" s="356" t="inlineStr">
        <is>
          <t>1.6:1</t>
        </is>
      </c>
      <c r="Y650" s="678">
        <f>ROUND(J650,-3)</f>
        <v/>
      </c>
      <c r="Z650" s="249" t="inlineStr">
        <is>
          <t xml:space="preserve">C </t>
        </is>
      </c>
      <c r="AA650" s="245" t="n">
        <v>3</v>
      </c>
      <c r="AB650" s="245" t="n">
        <v>3</v>
      </c>
      <c r="AC650" s="253" t="inlineStr">
        <is>
          <t>33</t>
        </is>
      </c>
      <c r="AD650" s="247" t="inlineStr">
        <is>
          <t>                    </t>
        </is>
      </c>
      <c r="AE650" s="680" t="n"/>
      <c r="AF650" s="680" t="n"/>
      <c r="AG650" s="680" t="n"/>
      <c r="AH650" s="680" t="n"/>
      <c r="AI650" s="680" t="n"/>
      <c r="AJ650" s="680" t="n"/>
      <c r="AK650" s="680" t="inlineStr">
        <is>
          <t xml:space="preserve">S-T WHSE.; AGE OF LEASE UNKNOWN.                                  </t>
        </is>
      </c>
    </row>
    <row r="651">
      <c r="A651" s="248" t="n">
        <v>8</v>
      </c>
      <c r="B651" s="370" t="n">
        <v>643</v>
      </c>
      <c r="C651" s="254" t="inlineStr">
        <is>
          <t>2009Q</t>
        </is>
      </c>
      <c r="D651" s="245" t="inlineStr">
        <is>
          <t xml:space="preserve">01202-00-131-000 </t>
        </is>
      </c>
      <c r="E651" s="258" t="inlineStr">
        <is>
          <t>Actual</t>
        </is>
      </c>
      <c r="F651" s="259" t="inlineStr">
        <is>
          <t>4621   MONACO               PK</t>
        </is>
      </c>
      <c r="G651" s="672" t="n">
        <v>44.1</v>
      </c>
      <c r="H651" s="253" t="n">
        <v>9101</v>
      </c>
      <c r="I651" s="255" t="n">
        <v>0</v>
      </c>
      <c r="J651" s="678" t="n">
        <v>99494</v>
      </c>
      <c r="K651" s="679" t="n">
        <v>4.293726254849538</v>
      </c>
      <c r="L651" s="260" t="n">
        <v>0</v>
      </c>
      <c r="M651" s="262" t="n">
        <v>0</v>
      </c>
      <c r="N651" s="253" t="n">
        <v>1962</v>
      </c>
      <c r="O651" s="250">
        <f>6063+5460</f>
        <v/>
      </c>
      <c r="Q651" s="245" t="n">
        <v>21</v>
      </c>
      <c r="R651" s="245" t="n">
        <v>1</v>
      </c>
      <c r="S651" s="245" t="n">
        <v>1</v>
      </c>
      <c r="T651" s="249" t="inlineStr">
        <is>
          <t xml:space="preserve">I2   </t>
        </is>
      </c>
      <c r="U651" s="249" t="n">
        <v>398</v>
      </c>
      <c r="V651" s="678" t="n">
        <v>235873</v>
      </c>
      <c r="W651" s="678" t="n">
        <v>240000</v>
      </c>
      <c r="X651" s="356" t="inlineStr">
        <is>
          <t>2.4:1</t>
        </is>
      </c>
      <c r="Y651" s="678">
        <f>ROUND(J651,-4)</f>
        <v/>
      </c>
      <c r="Z651" s="249" t="inlineStr">
        <is>
          <t xml:space="preserve">C </t>
        </is>
      </c>
      <c r="AA651" s="245" t="n">
        <v>3</v>
      </c>
      <c r="AB651" s="245" t="n">
        <v>3</v>
      </c>
      <c r="AC651" s="253" t="inlineStr">
        <is>
          <t>33</t>
        </is>
      </c>
      <c r="AD651" s="247" t="inlineStr">
        <is>
          <t xml:space="preserve">S-W ACME MANUF.     </t>
        </is>
      </c>
      <c r="AE651" s="680" t="n"/>
      <c r="AF651" s="680" t="n"/>
      <c r="AG651" s="680" t="n"/>
      <c r="AH651" s="680" t="n"/>
      <c r="AI651" s="680" t="n"/>
      <c r="AJ651" s="680" t="n"/>
      <c r="AK651" s="680" t="inlineStr">
        <is>
          <t xml:space="preserve">S-T WHSE.                                                         </t>
        </is>
      </c>
    </row>
    <row r="652">
      <c r="A652" s="248" t="n">
        <v>8</v>
      </c>
      <c r="B652" s="370" t="n">
        <v>644</v>
      </c>
      <c r="C652" s="254" t="inlineStr">
        <is>
          <t>2009Q</t>
        </is>
      </c>
      <c r="D652" s="245" t="inlineStr">
        <is>
          <t xml:space="preserve">01203-00-048-000 </t>
        </is>
      </c>
      <c r="E652" s="258" t="inlineStr">
        <is>
          <t>Actual</t>
        </is>
      </c>
      <c r="F652" s="259" t="inlineStr">
        <is>
          <t>5700 E 39TH                 AV</t>
        </is>
      </c>
      <c r="G652" s="672" t="n">
        <v>44.2</v>
      </c>
      <c r="H652" s="253" t="n">
        <v>9101</v>
      </c>
      <c r="I652" s="255" t="n">
        <v>0</v>
      </c>
      <c r="J652" s="678" t="n">
        <v>36742</v>
      </c>
      <c r="K652" s="679" t="n">
        <v>4.899025638234173</v>
      </c>
      <c r="L652" s="260" t="n">
        <v>0</v>
      </c>
      <c r="M652" s="262" t="n">
        <v>0</v>
      </c>
      <c r="N652" s="253" t="n">
        <v>1983</v>
      </c>
      <c r="O652" s="250" t="n">
        <v>7524</v>
      </c>
      <c r="Q652" s="245" t="n">
        <v>18</v>
      </c>
      <c r="R652" s="245" t="n">
        <v>3</v>
      </c>
      <c r="S652" s="245" t="n">
        <v>1</v>
      </c>
      <c r="T652" s="249" t="inlineStr">
        <is>
          <t xml:space="preserve">I0   </t>
        </is>
      </c>
      <c r="U652" s="249" t="n">
        <v>398</v>
      </c>
      <c r="V652" s="678" t="n">
        <v>50800</v>
      </c>
      <c r="W652" s="678" t="n">
        <v>50000</v>
      </c>
      <c r="X652" s="356" t="inlineStr">
        <is>
          <t>1.4:1</t>
        </is>
      </c>
      <c r="Y652" s="678">
        <f>ROUND(J652,-3)</f>
        <v/>
      </c>
      <c r="Z652" s="249" t="inlineStr">
        <is>
          <t xml:space="preserve">C </t>
        </is>
      </c>
      <c r="AA652" s="245" t="n">
        <v>3</v>
      </c>
      <c r="AB652" s="245" t="n">
        <v>3</v>
      </c>
      <c r="AC652" s="253" t="inlineStr">
        <is>
          <t>33</t>
        </is>
      </c>
      <c r="AD652" s="247" t="inlineStr">
        <is>
          <t>                    </t>
        </is>
      </c>
      <c r="AE652" s="680" t="n"/>
      <c r="AF652" s="680" t="n"/>
      <c r="AG652" s="680" t="n"/>
      <c r="AH652" s="680" t="n"/>
      <c r="AI652" s="680" t="n"/>
      <c r="AJ652" s="680" t="n"/>
      <c r="AK652" s="680" t="inlineStr">
        <is>
          <t xml:space="preserve">S-T WHSE.; MAY BE OWNER-OCCUPIED BUT HAS LEASE DATA STATED.       </t>
        </is>
      </c>
    </row>
    <row r="653">
      <c r="A653" s="248" t="n">
        <v>8</v>
      </c>
      <c r="B653" s="370" t="n">
        <v>645</v>
      </c>
      <c r="C653" s="254" t="inlineStr">
        <is>
          <t>2009Q</t>
        </is>
      </c>
      <c r="D653" s="245" t="inlineStr">
        <is>
          <t xml:space="preserve">01203-00-081-000 </t>
        </is>
      </c>
      <c r="E653" s="258" t="inlineStr">
        <is>
          <t>Actual</t>
        </is>
      </c>
      <c r="F653" s="259" t="inlineStr">
        <is>
          <t>3930   HOLLY                ST</t>
        </is>
      </c>
      <c r="G653" s="672" t="n">
        <v>44.2</v>
      </c>
      <c r="H653" s="253" t="n">
        <v>9101</v>
      </c>
      <c r="I653" s="255" t="n">
        <v>0</v>
      </c>
      <c r="J653" s="678" t="n">
        <v>15454</v>
      </c>
      <c r="K653" s="679" t="n">
        <v>5.275139122557267</v>
      </c>
      <c r="L653" s="260" t="n">
        <v>0</v>
      </c>
      <c r="M653" s="262" t="n">
        <v>0.004980250729864331</v>
      </c>
      <c r="N653" s="253" t="n">
        <v>1972</v>
      </c>
      <c r="O653" s="250" t="n">
        <v>2179</v>
      </c>
      <c r="Q653" s="245" t="n">
        <v>15</v>
      </c>
      <c r="R653" s="245" t="n">
        <v>3</v>
      </c>
      <c r="S653" s="245" t="n">
        <v>1</v>
      </c>
      <c r="T653" s="249" t="inlineStr">
        <is>
          <t xml:space="preserve">I1   </t>
        </is>
      </c>
      <c r="U653" s="249" t="n">
        <v>398</v>
      </c>
      <c r="V653" s="678" t="n">
        <v>22080</v>
      </c>
      <c r="W653" s="678" t="n">
        <v>22000</v>
      </c>
      <c r="X653" s="356" t="inlineStr">
        <is>
          <t>1.4:1</t>
        </is>
      </c>
      <c r="Y653" s="678">
        <f>ROUND(J653,-3)</f>
        <v/>
      </c>
      <c r="Z653" s="249" t="inlineStr">
        <is>
          <t xml:space="preserve">C </t>
        </is>
      </c>
      <c r="AA653" s="245" t="n">
        <v>3</v>
      </c>
      <c r="AB653" s="245" t="n">
        <v>3</v>
      </c>
      <c r="AC653" s="253" t="inlineStr">
        <is>
          <t>33</t>
        </is>
      </c>
      <c r="AD653" s="247" t="inlineStr">
        <is>
          <t>                    </t>
        </is>
      </c>
      <c r="AE653" s="680" t="n"/>
      <c r="AF653" s="680" t="n"/>
      <c r="AG653" s="680" t="n"/>
      <c r="AH653" s="680" t="n"/>
      <c r="AI653" s="680" t="n"/>
      <c r="AJ653" s="680" t="n"/>
      <c r="AK653" s="680" t="inlineStr">
        <is>
          <t xml:space="preserve">M-T WHSE; 2 TENANTS.                                              </t>
        </is>
      </c>
    </row>
    <row r="654">
      <c r="A654" s="248" t="n">
        <v>8</v>
      </c>
      <c r="B654" s="370" t="n">
        <v>646</v>
      </c>
      <c r="C654" s="254" t="inlineStr">
        <is>
          <t>2009Q</t>
        </is>
      </c>
      <c r="D654" s="245" t="inlineStr">
        <is>
          <t xml:space="preserve">01203-00-100-000 </t>
        </is>
      </c>
      <c r="E654" s="258" t="inlineStr">
        <is>
          <t>Actual</t>
        </is>
      </c>
      <c r="F654" s="259" t="inlineStr">
        <is>
          <t>5775 E 39TH                 AV</t>
        </is>
      </c>
      <c r="G654" s="672" t="n">
        <v>44.1</v>
      </c>
      <c r="H654" s="253" t="n">
        <v>9101</v>
      </c>
      <c r="I654" s="255" t="n">
        <v>0</v>
      </c>
      <c r="J654" s="678" t="n">
        <v>25212</v>
      </c>
      <c r="K654" s="679" t="n">
        <v>3.710376011423132</v>
      </c>
      <c r="L654" s="260" t="n">
        <v>0</v>
      </c>
      <c r="M654" s="262" t="n">
        <v>0.03519124281102345</v>
      </c>
      <c r="N654" s="253" t="n">
        <v>1966</v>
      </c>
      <c r="O654" s="250">
        <f>2989</f>
        <v/>
      </c>
      <c r="Q654" s="245" t="n">
        <v>17</v>
      </c>
      <c r="R654" s="245" t="n">
        <v>1</v>
      </c>
      <c r="S654" s="245" t="n">
        <v>1</v>
      </c>
      <c r="T654" s="249" t="inlineStr">
        <is>
          <t xml:space="preserve">I1   </t>
        </is>
      </c>
      <c r="U654" s="249" t="n">
        <v>398</v>
      </c>
      <c r="V654" s="678" t="n">
        <v>38163</v>
      </c>
      <c r="W654" s="678" t="n">
        <v>38000</v>
      </c>
      <c r="X654" s="356" t="inlineStr">
        <is>
          <t>1.5:1</t>
        </is>
      </c>
      <c r="Y654" s="678">
        <f>ROUND(J654,-3)</f>
        <v/>
      </c>
      <c r="Z654" s="249" t="inlineStr">
        <is>
          <t xml:space="preserve">C </t>
        </is>
      </c>
      <c r="AA654" s="245" t="n">
        <v>3</v>
      </c>
      <c r="AB654" s="245" t="n">
        <v>3</v>
      </c>
      <c r="AC654" s="253" t="inlineStr">
        <is>
          <t>33</t>
        </is>
      </c>
      <c r="AD654" s="247" t="inlineStr">
        <is>
          <t>                    </t>
        </is>
      </c>
      <c r="AE654" s="680" t="n"/>
      <c r="AF654" s="680" t="n"/>
      <c r="AG654" s="680" t="n"/>
      <c r="AH654" s="680" t="n"/>
      <c r="AI654" s="680" t="n"/>
      <c r="AJ654" s="680" t="n"/>
      <c r="AK654" s="680" t="inlineStr">
        <is>
          <t xml:space="preserve">S-T WHSE.; 2006 LEASE.                                            </t>
        </is>
      </c>
    </row>
    <row r="655">
      <c r="A655" s="248" t="n">
        <v>8</v>
      </c>
      <c r="B655" s="370" t="n">
        <v>647</v>
      </c>
      <c r="C655" s="254" t="inlineStr">
        <is>
          <t>2009Q</t>
        </is>
      </c>
      <c r="D655" s="245" t="inlineStr">
        <is>
          <t xml:space="preserve">01203-00-126-000 </t>
        </is>
      </c>
      <c r="E655" s="258" t="inlineStr">
        <is>
          <t>Actual</t>
        </is>
      </c>
      <c r="F655" s="259" t="inlineStr">
        <is>
          <t>3837   MONACO               PY</t>
        </is>
      </c>
      <c r="G655" s="672" t="n">
        <v>44.1</v>
      </c>
      <c r="H655" s="253" t="n">
        <v>9101</v>
      </c>
      <c r="I655" s="255" t="n">
        <v>0</v>
      </c>
      <c r="J655" s="678" t="n">
        <v>60520</v>
      </c>
      <c r="K655" s="679" t="n">
        <v>4.163912756113682</v>
      </c>
      <c r="L655" s="260" t="n">
        <v>0</v>
      </c>
      <c r="M655" s="262" t="n">
        <v>0</v>
      </c>
      <c r="N655" s="253" t="n">
        <v>1969</v>
      </c>
      <c r="O655" s="250" t="n">
        <v>1566</v>
      </c>
      <c r="Q655" s="245" t="n">
        <v>22</v>
      </c>
      <c r="R655" s="245" t="n">
        <v>10</v>
      </c>
      <c r="S655" s="245" t="n">
        <v>1</v>
      </c>
      <c r="T655" s="249" t="inlineStr">
        <is>
          <t xml:space="preserve">I0   </t>
        </is>
      </c>
      <c r="U655" s="249" t="n">
        <v>398</v>
      </c>
      <c r="V655" s="678" t="n">
        <v>127296</v>
      </c>
      <c r="W655" s="678" t="n">
        <v>130000</v>
      </c>
      <c r="X655" s="356" t="inlineStr">
        <is>
          <t>2.1:1</t>
        </is>
      </c>
      <c r="Y655" s="678">
        <f>ROUND(J655,-4)</f>
        <v/>
      </c>
      <c r="Z655" s="249" t="inlineStr">
        <is>
          <t xml:space="preserve">C </t>
        </is>
      </c>
      <c r="AA655" s="245" t="n">
        <v>3</v>
      </c>
      <c r="AB655" s="245" t="n">
        <v>3</v>
      </c>
      <c r="AC655" s="253" t="inlineStr">
        <is>
          <t>33</t>
        </is>
      </c>
      <c r="AD655" s="247" t="inlineStr">
        <is>
          <t>                    </t>
        </is>
      </c>
      <c r="AE655" s="680" t="n"/>
      <c r="AF655" s="680" t="n"/>
      <c r="AG655" s="680" t="n"/>
      <c r="AH655" s="680" t="n"/>
      <c r="AI655" s="680" t="n"/>
      <c r="AJ655" s="680" t="n"/>
      <c r="AK655" s="680" t="inlineStr">
        <is>
          <t xml:space="preserve">S-T WHSE.                                                         </t>
        </is>
      </c>
    </row>
    <row r="656">
      <c r="A656" s="248" t="n">
        <v>8</v>
      </c>
      <c r="B656" s="370" t="n">
        <v>648</v>
      </c>
      <c r="C656" s="254" t="inlineStr">
        <is>
          <t>2009Q</t>
        </is>
      </c>
      <c r="D656" s="245" t="inlineStr">
        <is>
          <t xml:space="preserve">01203-00-127-000 </t>
        </is>
      </c>
      <c r="E656" s="258" t="inlineStr">
        <is>
          <t>Actual</t>
        </is>
      </c>
      <c r="F656" s="259" t="inlineStr">
        <is>
          <t>6363 E 38TH                 AV</t>
        </is>
      </c>
      <c r="G656" s="672" t="n">
        <v>44.1</v>
      </c>
      <c r="H656" s="253" t="n">
        <v>9101</v>
      </c>
      <c r="I656" s="255" t="n">
        <v>0</v>
      </c>
      <c r="J656" s="678" t="n">
        <v>38080</v>
      </c>
      <c r="K656" s="679" t="n">
        <v>3.927415966386555</v>
      </c>
      <c r="L656" s="260" t="n">
        <v>0</v>
      </c>
      <c r="M656" s="262" t="n">
        <v>0</v>
      </c>
      <c r="N656" s="253" t="n">
        <v>1971</v>
      </c>
      <c r="O656" s="250">
        <f>3600+616</f>
        <v/>
      </c>
      <c r="Q656" s="245" t="n">
        <v>22</v>
      </c>
      <c r="R656" s="245" t="n">
        <v>10</v>
      </c>
      <c r="S656" s="245" t="n">
        <v>1</v>
      </c>
      <c r="T656" s="249" t="inlineStr">
        <is>
          <t xml:space="preserve">I0   </t>
        </is>
      </c>
      <c r="U656" s="249" t="n">
        <v>398</v>
      </c>
      <c r="V656" s="678" t="n">
        <v>78900</v>
      </c>
      <c r="W656" s="678" t="n">
        <v>80000</v>
      </c>
      <c r="X656" s="356" t="inlineStr">
        <is>
          <t>2.1:1</t>
        </is>
      </c>
      <c r="Y656" s="678">
        <f>ROUND(J656,-3)</f>
        <v/>
      </c>
      <c r="Z656" s="249" t="inlineStr">
        <is>
          <t xml:space="preserve">C </t>
        </is>
      </c>
      <c r="AA656" s="245" t="n">
        <v>3</v>
      </c>
      <c r="AB656" s="245" t="n">
        <v>3</v>
      </c>
      <c r="AC656" s="253" t="inlineStr">
        <is>
          <t>33</t>
        </is>
      </c>
      <c r="AD656" s="247" t="inlineStr">
        <is>
          <t xml:space="preserve">S-W ABC DIE COMPANY </t>
        </is>
      </c>
      <c r="AE656" s="680" t="n"/>
      <c r="AF656" s="680" t="n"/>
      <c r="AG656" s="680" t="n"/>
      <c r="AH656" s="680" t="n"/>
      <c r="AI656" s="680" t="n"/>
      <c r="AJ656" s="680" t="n"/>
      <c r="AK656" s="680" t="inlineStr">
        <is>
          <t xml:space="preserve">M-T WHSE.                                                         </t>
        </is>
      </c>
    </row>
    <row r="657">
      <c r="A657" s="248" t="n">
        <v>8</v>
      </c>
      <c r="B657" s="370" t="n">
        <v>649</v>
      </c>
      <c r="C657" s="254" t="inlineStr">
        <is>
          <t>2009Q</t>
        </is>
      </c>
      <c r="D657" s="245" t="inlineStr">
        <is>
          <t xml:space="preserve">01203-00-134-000 </t>
        </is>
      </c>
      <c r="E657" s="258" t="inlineStr">
        <is>
          <t>Actual</t>
        </is>
      </c>
      <c r="F657" s="259" t="inlineStr">
        <is>
          <t>6300 E 39TH                 AV</t>
        </is>
      </c>
      <c r="G657" s="672" t="n">
        <v>44.1</v>
      </c>
      <c r="H657" s="253" t="n">
        <v>9101</v>
      </c>
      <c r="I657" s="255" t="n">
        <v>0</v>
      </c>
      <c r="J657" s="678" t="n">
        <v>29376</v>
      </c>
      <c r="K657" s="679" t="n">
        <v>4.996493736383442</v>
      </c>
      <c r="L657" s="260" t="n">
        <v>0</v>
      </c>
      <c r="M657" s="262" t="n">
        <v>0</v>
      </c>
      <c r="N657" s="253" t="n">
        <v>1971</v>
      </c>
      <c r="O657" s="250">
        <f>5061+360</f>
        <v/>
      </c>
      <c r="Q657" s="245" t="n">
        <v>22</v>
      </c>
      <c r="R657" s="245" t="n">
        <v>10</v>
      </c>
      <c r="S657" s="245" t="n">
        <v>1</v>
      </c>
      <c r="T657" s="249" t="inlineStr">
        <is>
          <t xml:space="preserve">I0   </t>
        </is>
      </c>
      <c r="U657" s="249" t="n">
        <v>398</v>
      </c>
      <c r="V657" s="678" t="n">
        <v>61218</v>
      </c>
      <c r="W657" s="678" t="n">
        <v>60000</v>
      </c>
      <c r="X657" s="356" t="inlineStr">
        <is>
          <t>2.1:1</t>
        </is>
      </c>
      <c r="Y657" s="678">
        <f>ROUND(J657,-3)</f>
        <v/>
      </c>
      <c r="Z657" s="249" t="inlineStr">
        <is>
          <t xml:space="preserve">C </t>
        </is>
      </c>
      <c r="AA657" s="245" t="n">
        <v>3</v>
      </c>
      <c r="AB657" s="245" t="n">
        <v>3</v>
      </c>
      <c r="AC657" s="253" t="inlineStr">
        <is>
          <t>33</t>
        </is>
      </c>
      <c r="AD657" s="247" t="inlineStr">
        <is>
          <t>                    </t>
        </is>
      </c>
      <c r="AE657" s="680" t="n"/>
      <c r="AF657" s="680" t="n"/>
      <c r="AG657" s="680" t="n"/>
      <c r="AH657" s="680" t="n"/>
      <c r="AI657" s="680" t="n"/>
      <c r="AJ657" s="680" t="n"/>
      <c r="AK657" s="680" t="inlineStr">
        <is>
          <t xml:space="preserve">S-T WHSE,; 2006 LEASE.                                            </t>
        </is>
      </c>
    </row>
    <row r="658">
      <c r="A658" s="248" t="n">
        <v>8</v>
      </c>
      <c r="B658" s="370" t="n">
        <v>650</v>
      </c>
      <c r="C658" s="254" t="inlineStr">
        <is>
          <t>2009Q</t>
        </is>
      </c>
      <c r="D658" s="245" t="inlineStr">
        <is>
          <t xml:space="preserve">01203-00-174-000 </t>
        </is>
      </c>
      <c r="E658" s="258" t="inlineStr">
        <is>
          <t>Actual</t>
        </is>
      </c>
      <c r="F658" s="259" t="inlineStr">
        <is>
          <t>6490   SMITH                RD</t>
        </is>
      </c>
      <c r="G658" s="672" t="n">
        <v>44.2</v>
      </c>
      <c r="H658" s="253" t="n">
        <v>9101</v>
      </c>
      <c r="I658" s="255" t="n">
        <v>0</v>
      </c>
      <c r="J658" s="678" t="n">
        <v>49046</v>
      </c>
      <c r="K658" s="679" t="n">
        <v>4.238877788198834</v>
      </c>
      <c r="L658" s="260" t="n">
        <v>0</v>
      </c>
      <c r="M658" s="262" t="n">
        <v>0.06829244829244829</v>
      </c>
      <c r="N658" s="253" t="n">
        <v>2002</v>
      </c>
      <c r="O658" s="250" t="n">
        <v>3032</v>
      </c>
      <c r="Q658" s="245" t="n">
        <v>24</v>
      </c>
      <c r="R658" s="245" t="n">
        <v>14</v>
      </c>
      <c r="S658" s="245" t="n">
        <v>1</v>
      </c>
      <c r="T658" s="249" t="inlineStr">
        <is>
          <t xml:space="preserve">I1   </t>
        </is>
      </c>
      <c r="U658" s="249" t="n">
        <v>398</v>
      </c>
      <c r="V658" s="678" t="n">
        <v>107083</v>
      </c>
      <c r="W658" s="678" t="n">
        <v>110000</v>
      </c>
      <c r="X658" s="356" t="inlineStr">
        <is>
          <t>2.2:1</t>
        </is>
      </c>
      <c r="Y658" s="678">
        <f>ROUND(J658,-3)</f>
        <v/>
      </c>
      <c r="Z658" s="249" t="inlineStr">
        <is>
          <t xml:space="preserve">C </t>
        </is>
      </c>
      <c r="AA658" s="245" t="n">
        <v>3</v>
      </c>
      <c r="AB658" s="245" t="n">
        <v>3</v>
      </c>
      <c r="AC658" s="253" t="inlineStr">
        <is>
          <t>33</t>
        </is>
      </c>
      <c r="AD658" s="247" t="inlineStr">
        <is>
          <t>                    </t>
        </is>
      </c>
      <c r="AE658" s="680" t="n"/>
      <c r="AF658" s="680" t="n"/>
      <c r="AG658" s="680" t="n"/>
      <c r="AH658" s="680" t="n"/>
      <c r="AI658" s="680" t="n"/>
      <c r="AJ658" s="680" t="n"/>
      <c r="AK658" s="680" t="inlineStr">
        <is>
          <t xml:space="preserve">S-T WHSE.; 2004 LEASE; SOME EXPENSES EXCLUDED - EXCESSIVE.        </t>
        </is>
      </c>
    </row>
    <row r="659">
      <c r="A659" s="248" t="n">
        <v>8</v>
      </c>
      <c r="B659" s="370" t="n">
        <v>651</v>
      </c>
      <c r="C659" s="254" t="inlineStr">
        <is>
          <t>2009Q</t>
        </is>
      </c>
      <c r="D659" s="245" t="inlineStr">
        <is>
          <t xml:space="preserve">01203-00-175-000 </t>
        </is>
      </c>
      <c r="E659" s="258" t="inlineStr">
        <is>
          <t>Actual</t>
        </is>
      </c>
      <c r="F659" s="259" t="inlineStr">
        <is>
          <t>6489   39TH                 AV</t>
        </is>
      </c>
      <c r="G659" s="672" t="n">
        <v>44.2</v>
      </c>
      <c r="H659" s="253" t="n">
        <v>9101</v>
      </c>
      <c r="I659" s="255" t="n">
        <v>0</v>
      </c>
      <c r="J659" s="678" t="n">
        <v>49046</v>
      </c>
      <c r="K659" s="679" t="n">
        <v>4.024691106308364</v>
      </c>
      <c r="L659" s="260" t="n">
        <v>0</v>
      </c>
      <c r="M659" s="262" t="n">
        <v>0.06503710833607741</v>
      </c>
      <c r="N659" s="253" t="n">
        <v>1998</v>
      </c>
      <c r="O659" s="250" t="n">
        <v>6360</v>
      </c>
      <c r="Q659" s="245" t="n">
        <v>24</v>
      </c>
      <c r="R659" s="245" t="n">
        <v>14</v>
      </c>
      <c r="S659" s="245" t="n">
        <v>1</v>
      </c>
      <c r="T659" s="249" t="inlineStr">
        <is>
          <t xml:space="preserve">I1   </t>
        </is>
      </c>
      <c r="U659" s="249" t="n">
        <v>398</v>
      </c>
      <c r="V659" s="678" t="n">
        <v>104440</v>
      </c>
      <c r="W659" s="678" t="n">
        <v>100000</v>
      </c>
      <c r="X659" s="356" t="inlineStr">
        <is>
          <t>2.1:1</t>
        </is>
      </c>
      <c r="Y659" s="678">
        <f>ROUND(J659,-3)</f>
        <v/>
      </c>
      <c r="Z659" s="249" t="inlineStr">
        <is>
          <t xml:space="preserve">C </t>
        </is>
      </c>
      <c r="AA659" s="245" t="n">
        <v>3</v>
      </c>
      <c r="AB659" s="245" t="n">
        <v>3</v>
      </c>
      <c r="AC659" s="253" t="inlineStr">
        <is>
          <t>33</t>
        </is>
      </c>
      <c r="AD659" s="247" t="inlineStr">
        <is>
          <t xml:space="preserve">DENVER TENT COMPANY </t>
        </is>
      </c>
      <c r="AE659" s="680" t="n"/>
      <c r="AF659" s="680" t="n"/>
      <c r="AG659" s="680" t="n"/>
      <c r="AH659" s="680" t="n"/>
      <c r="AI659" s="680" t="n"/>
      <c r="AJ659" s="680" t="n"/>
      <c r="AK659" s="680" t="inlineStr">
        <is>
          <t>S-T WHSE.; 2005 LEASE; SOME EXPENSES EXCLUDED DUE TO EXCESSIVE AMT</t>
        </is>
      </c>
    </row>
    <row r="660">
      <c r="A660" s="248" t="n">
        <v>8</v>
      </c>
      <c r="B660" s="370" t="n">
        <v>652</v>
      </c>
      <c r="C660" s="254" t="inlineStr">
        <is>
          <t>2009Q</t>
        </is>
      </c>
      <c r="D660" s="245" t="inlineStr">
        <is>
          <t xml:space="preserve">01203-00-176-000 </t>
        </is>
      </c>
      <c r="E660" s="258" t="inlineStr">
        <is>
          <t>Actual</t>
        </is>
      </c>
      <c r="F660" s="259" t="inlineStr">
        <is>
          <t>3925   MONACO               ST</t>
        </is>
      </c>
      <c r="G660" s="672" t="n">
        <v>44.2</v>
      </c>
      <c r="H660" s="253" t="n">
        <v>9101</v>
      </c>
      <c r="I660" s="255" t="n">
        <v>0</v>
      </c>
      <c r="J660" s="678" t="n">
        <v>42130</v>
      </c>
      <c r="K660" s="679" t="n">
        <v>4.863565155471161</v>
      </c>
      <c r="L660" s="260" t="n">
        <v>0</v>
      </c>
      <c r="M660" s="262" t="n">
        <v>0.108637299782335</v>
      </c>
      <c r="N660" s="253" t="n">
        <v>2000</v>
      </c>
      <c r="O660" s="250">
        <f>2485+6700</f>
        <v/>
      </c>
      <c r="Q660" s="245" t="n">
        <v>25</v>
      </c>
      <c r="R660" s="245" t="n">
        <v>14</v>
      </c>
      <c r="S660" s="245" t="n">
        <v>2</v>
      </c>
      <c r="T660" s="249" t="inlineStr">
        <is>
          <t xml:space="preserve">I1   </t>
        </is>
      </c>
      <c r="U660" s="249" t="n">
        <v>398</v>
      </c>
      <c r="V660" s="678" t="n">
        <v>98955</v>
      </c>
      <c r="W660" s="678" t="n">
        <v>100000</v>
      </c>
      <c r="X660" s="356" t="inlineStr">
        <is>
          <t>2.3:1</t>
        </is>
      </c>
      <c r="Y660" s="678">
        <f>ROUND(J660,-3)</f>
        <v/>
      </c>
      <c r="Z660" s="249" t="inlineStr">
        <is>
          <t xml:space="preserve">C </t>
        </is>
      </c>
      <c r="AA660" s="245" t="n">
        <v>3</v>
      </c>
      <c r="AB660" s="245" t="n">
        <v>3</v>
      </c>
      <c r="AC660" s="253" t="inlineStr">
        <is>
          <t>33</t>
        </is>
      </c>
      <c r="AD660" s="247" t="inlineStr">
        <is>
          <t>M-W ATLANTIC WEST FL</t>
        </is>
      </c>
      <c r="AE660" s="680" t="n"/>
      <c r="AF660" s="680" t="n"/>
      <c r="AG660" s="680" t="n"/>
      <c r="AH660" s="680" t="n"/>
      <c r="AI660" s="680" t="n"/>
      <c r="AJ660" s="680" t="n"/>
      <c r="AK660" s="680" t="inlineStr">
        <is>
          <t xml:space="preserve">M-T WHSE.; 2 TENANTS; SOME EXPENSES EXCLUDED DUE TO EXCESSIVE.    </t>
        </is>
      </c>
    </row>
    <row r="661">
      <c r="A661" s="248" t="n">
        <v>8</v>
      </c>
      <c r="B661" s="370" t="n">
        <v>653</v>
      </c>
      <c r="C661" s="254" t="inlineStr">
        <is>
          <t>2009Q</t>
        </is>
      </c>
      <c r="D661" s="245" t="inlineStr">
        <is>
          <t xml:space="preserve">01204-15-005-000 </t>
        </is>
      </c>
      <c r="E661" s="258" t="inlineStr">
        <is>
          <t>Actual</t>
        </is>
      </c>
      <c r="F661" s="259" t="inlineStr">
        <is>
          <t>6880   SMITH                RD</t>
        </is>
      </c>
      <c r="G661" s="672" t="n">
        <v>44.1</v>
      </c>
      <c r="H661" s="253" t="n">
        <v>9101</v>
      </c>
      <c r="I661" s="255" t="n">
        <v>0</v>
      </c>
      <c r="J661" s="678" t="n">
        <v>2848</v>
      </c>
      <c r="K661" s="679" t="n">
        <v>3.792134831460674</v>
      </c>
      <c r="L661" s="260" t="n">
        <v>0</v>
      </c>
      <c r="M661" s="262" t="n">
        <v>0.1944444444444444</v>
      </c>
      <c r="N661" s="253" t="n">
        <v>1959</v>
      </c>
      <c r="O661" s="250" t="n">
        <v>1923</v>
      </c>
      <c r="Q661" s="245" t="n">
        <v>13</v>
      </c>
      <c r="R661" s="245" t="n">
        <v>7</v>
      </c>
      <c r="S661" s="245" t="n">
        <v>2</v>
      </c>
      <c r="T661" s="249" t="inlineStr">
        <is>
          <t xml:space="preserve">I1   </t>
        </is>
      </c>
      <c r="U661" s="249" t="n">
        <v>398</v>
      </c>
      <c r="V661" s="678" t="n">
        <v>11741</v>
      </c>
      <c r="W661" s="678" t="n">
        <v>12000</v>
      </c>
      <c r="X661" s="356" t="inlineStr">
        <is>
          <t>4.1:1</t>
        </is>
      </c>
      <c r="Y661" s="678">
        <f>ROUND(J661,-3)</f>
        <v/>
      </c>
      <c r="Z661" s="249" t="inlineStr">
        <is>
          <t xml:space="preserve">C </t>
        </is>
      </c>
      <c r="AA661" s="245" t="n">
        <v>3</v>
      </c>
      <c r="AB661" s="245" t="n">
        <v>3</v>
      </c>
      <c r="AC661" s="253" t="inlineStr">
        <is>
          <t>33</t>
        </is>
      </c>
      <c r="AD661" s="247" t="inlineStr">
        <is>
          <t xml:space="preserve">SHOWCASE LANDSCAPE  </t>
        </is>
      </c>
      <c r="AE661" s="680" t="n"/>
      <c r="AF661" s="680" t="n"/>
      <c r="AG661" s="680" t="n"/>
      <c r="AH661" s="680" t="n"/>
      <c r="AI661" s="680" t="n"/>
      <c r="AJ661" s="680" t="n"/>
      <c r="AK661" s="680" t="inlineStr">
        <is>
          <t xml:space="preserve">S-T WHSE.                                                         </t>
        </is>
      </c>
    </row>
    <row r="662">
      <c r="A662" s="248" t="n">
        <v>8</v>
      </c>
      <c r="B662" s="370" t="n">
        <v>654</v>
      </c>
      <c r="C662" s="254" t="inlineStr">
        <is>
          <t>2009Q</t>
        </is>
      </c>
      <c r="D662" s="245" t="inlineStr">
        <is>
          <t xml:space="preserve">01213-00-077-000 </t>
        </is>
      </c>
      <c r="E662" s="258" t="inlineStr">
        <is>
          <t>Actual</t>
        </is>
      </c>
      <c r="F662" s="259" t="inlineStr">
        <is>
          <t>8025 E 40TH                 AV</t>
        </is>
      </c>
      <c r="G662" s="672" t="n">
        <v>44.2</v>
      </c>
      <c r="H662" s="253" t="n">
        <v>9101</v>
      </c>
      <c r="I662" s="255" t="n">
        <v>0</v>
      </c>
      <c r="J662" s="678" t="n">
        <v>25596</v>
      </c>
      <c r="K662" s="679" t="n">
        <v>7.911392405063292</v>
      </c>
      <c r="L662" s="260" t="n">
        <v>0.5</v>
      </c>
      <c r="M662" s="262" t="n">
        <v>0.07802469135802469</v>
      </c>
      <c r="N662" s="253" t="n">
        <v>1959</v>
      </c>
      <c r="O662" s="250" t="n">
        <v>10174</v>
      </c>
      <c r="Q662" s="245" t="n">
        <v>14</v>
      </c>
      <c r="R662" s="245" t="n">
        <v>1</v>
      </c>
      <c r="S662" s="245" t="n">
        <v>3</v>
      </c>
      <c r="T662" s="249" t="inlineStr">
        <is>
          <t xml:space="preserve">I2   </t>
        </is>
      </c>
      <c r="U662" s="249" t="n">
        <v>398</v>
      </c>
      <c r="V662" s="678" t="n">
        <v>80527</v>
      </c>
      <c r="W662" s="678" t="n">
        <v>80000</v>
      </c>
      <c r="X662" s="356" t="inlineStr">
        <is>
          <t>1.8:1</t>
        </is>
      </c>
      <c r="Y662" s="678">
        <f>ROUND(J662,-3)</f>
        <v/>
      </c>
      <c r="Z662" s="249" t="inlineStr">
        <is>
          <t xml:space="preserve">C </t>
        </is>
      </c>
      <c r="AA662" s="245" t="n">
        <v>3</v>
      </c>
      <c r="AB662" s="245" t="n">
        <v>3</v>
      </c>
      <c r="AC662" s="253" t="inlineStr">
        <is>
          <t>33</t>
        </is>
      </c>
      <c r="AD662" s="247" t="inlineStr">
        <is>
          <t xml:space="preserve">M-W ASPEN BAKERY    </t>
        </is>
      </c>
      <c r="AE662" s="680" t="n"/>
      <c r="AF662" s="680" t="n"/>
      <c r="AG662" s="680" t="n"/>
      <c r="AH662" s="680" t="n"/>
      <c r="AI662" s="680" t="n"/>
      <c r="AJ662" s="680" t="n"/>
      <c r="AK662" s="680" t="inlineStr">
        <is>
          <t xml:space="preserve">M-T WHSE; 3 UNITS; LEASES 1997 &amp; 2008.                            </t>
        </is>
      </c>
    </row>
    <row r="663">
      <c r="A663" s="248" t="n">
        <v>8</v>
      </c>
      <c r="B663" s="370" t="n">
        <v>655</v>
      </c>
      <c r="C663" s="254" t="inlineStr">
        <is>
          <t>2009Q</t>
        </is>
      </c>
      <c r="D663" s="245" t="inlineStr">
        <is>
          <t xml:space="preserve">01231-00-056-000 </t>
        </is>
      </c>
      <c r="E663" s="258" t="inlineStr">
        <is>
          <t>Actual</t>
        </is>
      </c>
      <c r="F663" s="259" t="inlineStr">
        <is>
          <t>4665   PARIS                ST</t>
        </is>
      </c>
      <c r="G663" s="672" t="n">
        <v>44.2</v>
      </c>
      <c r="H663" s="253" t="n">
        <v>9102</v>
      </c>
      <c r="I663" s="255" t="n">
        <v>0</v>
      </c>
      <c r="J663" s="678" t="n">
        <v>62914</v>
      </c>
      <c r="K663" s="679" t="n">
        <v>8.828798041771307</v>
      </c>
      <c r="L663" s="260" t="n">
        <v>0.07000000000000001</v>
      </c>
      <c r="M663" s="262" t="n">
        <v>0.2971491840023044</v>
      </c>
      <c r="N663" s="253" t="n">
        <v>1984</v>
      </c>
      <c r="O663" s="250" t="n">
        <v>19937</v>
      </c>
      <c r="Q663" s="245" t="n">
        <v>15</v>
      </c>
      <c r="R663" s="245" t="n">
        <v>3</v>
      </c>
      <c r="S663" s="245" t="n">
        <v>3</v>
      </c>
      <c r="T663" s="249" t="inlineStr">
        <is>
          <t xml:space="preserve">B8   </t>
        </is>
      </c>
      <c r="U663" s="249" t="n">
        <v>398</v>
      </c>
      <c r="V663" s="678" t="n">
        <v>231935</v>
      </c>
      <c r="W663" s="678" t="n">
        <v>230000</v>
      </c>
      <c r="X663" s="356" t="inlineStr">
        <is>
          <t>3.7:1</t>
        </is>
      </c>
      <c r="Y663" s="678">
        <f>ROUND(J663,-4)</f>
        <v/>
      </c>
      <c r="Z663" s="249" t="inlineStr">
        <is>
          <t xml:space="preserve">C </t>
        </is>
      </c>
      <c r="AA663" s="245" t="n">
        <v>3</v>
      </c>
      <c r="AB663" s="245" t="n">
        <v>3</v>
      </c>
      <c r="AC663" s="253" t="inlineStr">
        <is>
          <t>33</t>
        </is>
      </c>
      <c r="AD663" s="247" t="inlineStr">
        <is>
          <t xml:space="preserve">CT&amp;E MAJOR TENANT   </t>
        </is>
      </c>
      <c r="AE663" s="680" t="n"/>
      <c r="AF663" s="680" t="n"/>
      <c r="AG663" s="680" t="n"/>
      <c r="AH663" s="680" t="n"/>
      <c r="AI663" s="680" t="n"/>
      <c r="AJ663" s="680" t="n"/>
      <c r="AK663" s="680" t="inlineStr">
        <is>
          <t xml:space="preserve">M-T WHSE.; 8 TENANTS; LEASES 1998 - 2007.                         </t>
        </is>
      </c>
    </row>
    <row r="664">
      <c r="A664" s="248" t="n">
        <v>8</v>
      </c>
      <c r="B664" s="370" t="n">
        <v>656</v>
      </c>
      <c r="C664" s="254" t="inlineStr">
        <is>
          <t>2009Q</t>
        </is>
      </c>
      <c r="D664" s="245" t="inlineStr">
        <is>
          <t xml:space="preserve">01231-05-002-000 </t>
        </is>
      </c>
      <c r="E664" s="258" t="inlineStr">
        <is>
          <t>Actual</t>
        </is>
      </c>
      <c r="F664" s="259" t="inlineStr">
        <is>
          <t>4701   MOLINE               ST</t>
        </is>
      </c>
      <c r="G664" s="672" t="n">
        <v>44.4</v>
      </c>
      <c r="H664" s="253" t="n">
        <v>9102</v>
      </c>
      <c r="I664" s="255" t="n">
        <v>0</v>
      </c>
      <c r="J664" s="678" t="n">
        <v>104891</v>
      </c>
      <c r="K664" s="679" t="n">
        <v>5.618289462394295</v>
      </c>
      <c r="L664" s="260" t="n">
        <v>0</v>
      </c>
      <c r="M664" s="262" t="n">
        <v>0.1132548684219457</v>
      </c>
      <c r="N664" s="253" t="n">
        <v>1985</v>
      </c>
      <c r="O664" s="250" t="n">
        <v>14479</v>
      </c>
      <c r="Q664" s="245" t="n">
        <v>24</v>
      </c>
      <c r="R664" s="245" t="n">
        <v>14</v>
      </c>
      <c r="S664" s="245" t="n">
        <v>8</v>
      </c>
      <c r="T664" s="249" t="inlineStr">
        <is>
          <t xml:space="preserve">I2   </t>
        </is>
      </c>
      <c r="U664" s="249" t="n">
        <v>398</v>
      </c>
      <c r="V664" s="678" t="n">
        <v>219619</v>
      </c>
      <c r="W664" s="678" t="n">
        <v>220000</v>
      </c>
      <c r="X664" s="356" t="inlineStr">
        <is>
          <t>2.1:1</t>
        </is>
      </c>
      <c r="Y664" s="678">
        <f>ROUND(J664,-4)</f>
        <v/>
      </c>
      <c r="Z664" s="249" t="inlineStr">
        <is>
          <t xml:space="preserve">C </t>
        </is>
      </c>
      <c r="AA664" s="245" t="n">
        <v>3</v>
      </c>
      <c r="AB664" s="245" t="n">
        <v>3</v>
      </c>
      <c r="AC664" s="253" t="inlineStr">
        <is>
          <t>33</t>
        </is>
      </c>
      <c r="AD664" s="247" t="inlineStr">
        <is>
          <t xml:space="preserve">M-W DIST WAREHOUSE  </t>
        </is>
      </c>
      <c r="AE664" s="680" t="n"/>
      <c r="AF664" s="680" t="n"/>
      <c r="AG664" s="680" t="n"/>
      <c r="AH664" s="680" t="n"/>
      <c r="AI664" s="680" t="n"/>
      <c r="AJ664" s="680" t="n"/>
      <c r="AK664" s="680" t="inlineStr">
        <is>
          <t xml:space="preserve">M-T WHSE.; 4 TENANTS; LEASES 2006 - 2008.                         </t>
        </is>
      </c>
    </row>
    <row r="665">
      <c r="A665" s="248" t="n">
        <v>8</v>
      </c>
      <c r="B665" s="370" t="n">
        <v>657</v>
      </c>
      <c r="C665" s="247" t="inlineStr">
        <is>
          <t>2009W</t>
        </is>
      </c>
      <c r="D665" s="245" t="inlineStr">
        <is>
          <t>01232-00-054-000</t>
        </is>
      </c>
      <c r="E665" s="249" t="inlineStr">
        <is>
          <t>Actual</t>
        </is>
      </c>
      <c r="F665" s="245" t="inlineStr">
        <is>
          <t>4600 HAVANA               ST</t>
        </is>
      </c>
      <c r="G665" s="672" t="n">
        <v>44.3</v>
      </c>
      <c r="H665" s="245" t="n">
        <v>9102</v>
      </c>
      <c r="I665" s="249" t="n">
        <v>0</v>
      </c>
      <c r="J665" s="250" t="n">
        <v>146721</v>
      </c>
      <c r="K665" s="685" t="n">
        <v>3.34</v>
      </c>
      <c r="L665" s="365" t="n">
        <v>0</v>
      </c>
      <c r="M665" s="365" t="n">
        <v>0.01</v>
      </c>
      <c r="N665" s="245" t="n">
        <v>1977</v>
      </c>
      <c r="O665" s="245" t="n">
        <v>4338</v>
      </c>
      <c r="P665" s="245" t="n"/>
      <c r="Q665" s="245" t="n">
        <v>29</v>
      </c>
      <c r="R665" s="245" t="n">
        <v>10</v>
      </c>
      <c r="S665" s="245" t="n">
        <v>1</v>
      </c>
      <c r="T665" s="249" t="inlineStr">
        <is>
          <t>I2</t>
        </is>
      </c>
      <c r="U665" s="245" t="n">
        <v>398</v>
      </c>
      <c r="V665" s="250" t="n">
        <v>307313</v>
      </c>
      <c r="W665" s="250" t="n">
        <v>300000</v>
      </c>
      <c r="X665" s="253" t="inlineStr">
        <is>
          <t>2.0:1</t>
        </is>
      </c>
      <c r="Y665" s="250" t="n">
        <v>150000</v>
      </c>
      <c r="Z665" s="249" t="inlineStr">
        <is>
          <t>C</t>
        </is>
      </c>
      <c r="AA665" s="245" t="n">
        <v>3</v>
      </c>
      <c r="AB665" s="245" t="n">
        <v>3</v>
      </c>
      <c r="AC665" s="245" t="n">
        <v>33</v>
      </c>
      <c r="AD665" s="245" t="inlineStr">
        <is>
          <t>Office Depot Whse.</t>
        </is>
      </c>
      <c r="AE665" s="667" t="n"/>
      <c r="AF665" s="686" t="n"/>
      <c r="AG665" s="686" t="n"/>
      <c r="AH665" s="667" t="n"/>
      <c r="AI665" s="680" t="n"/>
      <c r="AJ665" s="680" t="n"/>
      <c r="AK665" s="680" t="n"/>
    </row>
    <row r="666">
      <c r="A666" s="248" t="n">
        <v>8</v>
      </c>
      <c r="B666" s="370" t="n">
        <v>658</v>
      </c>
      <c r="C666" s="254" t="inlineStr">
        <is>
          <t>2009Q</t>
        </is>
      </c>
      <c r="D666" s="245" t="inlineStr">
        <is>
          <t xml:space="preserve">01232-02-007-000 </t>
        </is>
      </c>
      <c r="E666" s="258" t="inlineStr">
        <is>
          <t>Actual</t>
        </is>
      </c>
      <c r="F666" s="259" t="inlineStr">
        <is>
          <t>11075 E 47TH                 AV</t>
        </is>
      </c>
      <c r="G666" s="672" t="n">
        <v>44.1</v>
      </c>
      <c r="H666" s="253" t="n">
        <v>9102</v>
      </c>
      <c r="I666" s="255" t="n">
        <v>0</v>
      </c>
      <c r="J666" s="678" t="n">
        <v>10000</v>
      </c>
      <c r="K666" s="679" t="n">
        <v>4.24</v>
      </c>
      <c r="L666" s="260" t="n">
        <v>0</v>
      </c>
      <c r="M666" s="262" t="n">
        <v>0</v>
      </c>
      <c r="N666" s="253" t="n">
        <v>1969</v>
      </c>
      <c r="O666" s="250" t="n">
        <v>1120</v>
      </c>
      <c r="Q666" s="245" t="n">
        <v>22</v>
      </c>
      <c r="R666" s="245" t="n">
        <v>1</v>
      </c>
      <c r="S666" s="245" t="n">
        <v>1</v>
      </c>
      <c r="T666" s="249" t="inlineStr">
        <is>
          <t xml:space="preserve">I2   </t>
        </is>
      </c>
      <c r="U666" s="249" t="n">
        <v>398</v>
      </c>
      <c r="V666" s="678" t="n">
        <v>25000</v>
      </c>
      <c r="W666" s="678" t="n">
        <v>25000</v>
      </c>
      <c r="X666" s="356" t="inlineStr">
        <is>
          <t>2.5:1</t>
        </is>
      </c>
      <c r="Y666" s="678">
        <f>ROUND(J666,-3)</f>
        <v/>
      </c>
      <c r="Z666" s="249" t="inlineStr">
        <is>
          <t xml:space="preserve">C </t>
        </is>
      </c>
      <c r="AA666" s="245" t="n">
        <v>3</v>
      </c>
      <c r="AB666" s="245" t="n">
        <v>3</v>
      </c>
      <c r="AC666" s="253" t="inlineStr">
        <is>
          <t>33</t>
        </is>
      </c>
      <c r="AD666" s="247" t="inlineStr">
        <is>
          <t xml:space="preserve">DAFFY APPLES        </t>
        </is>
      </c>
      <c r="AE666" s="680" t="n"/>
      <c r="AF666" s="680" t="n"/>
      <c r="AG666" s="680" t="n"/>
      <c r="AH666" s="680" t="n"/>
      <c r="AI666" s="680" t="n"/>
      <c r="AJ666" s="680" t="n"/>
      <c r="AK666" s="680" t="inlineStr">
        <is>
          <t xml:space="preserve">S-T WHSE; LEASE DATES FROM 2004.                                  </t>
        </is>
      </c>
    </row>
    <row r="667">
      <c r="A667" s="248" t="n">
        <v>8</v>
      </c>
      <c r="B667" s="370" t="n">
        <v>659</v>
      </c>
      <c r="C667" s="254" t="inlineStr">
        <is>
          <t>2009Q</t>
        </is>
      </c>
      <c r="D667" s="245" t="inlineStr">
        <is>
          <t xml:space="preserve">01232-03-003-000 </t>
        </is>
      </c>
      <c r="E667" s="258" t="inlineStr">
        <is>
          <t>Actual</t>
        </is>
      </c>
      <c r="F667" s="259" t="inlineStr">
        <is>
          <t>11095 E 45TH                 AV</t>
        </is>
      </c>
      <c r="G667" s="672" t="n">
        <v>44.2</v>
      </c>
      <c r="H667" s="253" t="n">
        <v>9102</v>
      </c>
      <c r="I667" s="255" t="n">
        <v>0</v>
      </c>
      <c r="J667" s="678" t="n">
        <v>24750</v>
      </c>
      <c r="K667" s="679" t="n">
        <v>6.666666666666667</v>
      </c>
      <c r="L667" s="260" t="n">
        <v>0</v>
      </c>
      <c r="M667" s="262" t="n">
        <v>0</v>
      </c>
      <c r="N667" s="253" t="n">
        <v>1970</v>
      </c>
      <c r="O667" s="250">
        <f>3905+3631</f>
        <v/>
      </c>
      <c r="Q667" s="245" t="n">
        <v>16</v>
      </c>
      <c r="R667" s="245" t="n">
        <v>14</v>
      </c>
      <c r="S667" s="245" t="n">
        <v>3</v>
      </c>
      <c r="T667" s="249" t="inlineStr">
        <is>
          <t xml:space="preserve">I2   </t>
        </is>
      </c>
      <c r="U667" s="249" t="n">
        <v>398</v>
      </c>
      <c r="V667" s="678" t="n">
        <v>44000</v>
      </c>
      <c r="W667" s="678" t="n">
        <v>44000</v>
      </c>
      <c r="X667" s="356" t="inlineStr">
        <is>
          <t>1.8:1</t>
        </is>
      </c>
      <c r="Y667" s="678">
        <f>ROUND(J667,-3)</f>
        <v/>
      </c>
      <c r="Z667" s="249" t="inlineStr">
        <is>
          <t xml:space="preserve">C </t>
        </is>
      </c>
      <c r="AA667" s="245" t="n">
        <v>3</v>
      </c>
      <c r="AB667" s="245" t="n">
        <v>3</v>
      </c>
      <c r="AC667" s="253" t="inlineStr">
        <is>
          <t>33</t>
        </is>
      </c>
      <c r="AD667" s="247" t="inlineStr">
        <is>
          <t>                    </t>
        </is>
      </c>
      <c r="AE667" s="680" t="n"/>
      <c r="AF667" s="680" t="n"/>
      <c r="AG667" s="680" t="n"/>
      <c r="AH667" s="680" t="n"/>
      <c r="AI667" s="680" t="n"/>
      <c r="AJ667" s="680" t="n"/>
      <c r="AK667" s="680" t="inlineStr">
        <is>
          <t xml:space="preserve">S-T WHSE.; AGE OF LEASE UNKNOWN.                                  </t>
        </is>
      </c>
    </row>
    <row r="668">
      <c r="A668" s="248" t="n">
        <v>8</v>
      </c>
      <c r="B668" s="370" t="n">
        <v>660</v>
      </c>
      <c r="C668" s="254" t="inlineStr">
        <is>
          <t>2009Q</t>
        </is>
      </c>
      <c r="D668" s="245" t="inlineStr">
        <is>
          <t xml:space="preserve">01232-04-007-000 </t>
        </is>
      </c>
      <c r="E668" s="258" t="inlineStr">
        <is>
          <t>Actual</t>
        </is>
      </c>
      <c r="F668" s="259" t="inlineStr">
        <is>
          <t>4690   KINGSTON             ST</t>
        </is>
      </c>
      <c r="G668" s="672" t="n">
        <v>44.2</v>
      </c>
      <c r="H668" s="253" t="n">
        <v>9102</v>
      </c>
      <c r="I668" s="255" t="n">
        <v>0</v>
      </c>
      <c r="J668" s="678" t="n">
        <v>1800</v>
      </c>
      <c r="K668" s="679" t="n">
        <v>7.666666666666667</v>
      </c>
      <c r="L668" s="260" t="n">
        <v>0</v>
      </c>
      <c r="M668" s="262" t="n">
        <v>0.163768115942029</v>
      </c>
      <c r="N668" s="253" t="n">
        <v>1968</v>
      </c>
      <c r="O668" s="250" t="n">
        <v>1936</v>
      </c>
      <c r="Q668" s="245" t="n">
        <v>14</v>
      </c>
      <c r="R668" s="245" t="n">
        <v>1</v>
      </c>
      <c r="S668" s="245" t="n">
        <v>2</v>
      </c>
      <c r="T668" s="249" t="inlineStr">
        <is>
          <t xml:space="preserve">I2   </t>
        </is>
      </c>
      <c r="U668" s="249" t="n">
        <v>398</v>
      </c>
      <c r="V668" s="678" t="n">
        <v>14025</v>
      </c>
      <c r="W668" s="678" t="n">
        <v>14000</v>
      </c>
      <c r="X668" s="356" t="inlineStr">
        <is>
          <t>2.8:1</t>
        </is>
      </c>
      <c r="Y668" s="678">
        <f>ROUND(J668,-2)</f>
        <v/>
      </c>
      <c r="Z668" s="249" t="inlineStr">
        <is>
          <t xml:space="preserve">C </t>
        </is>
      </c>
      <c r="AA668" s="245" t="n">
        <v>3</v>
      </c>
      <c r="AB668" s="245" t="n">
        <v>3</v>
      </c>
      <c r="AC668" s="253" t="inlineStr">
        <is>
          <t>33</t>
        </is>
      </c>
      <c r="AD668" s="247" t="inlineStr">
        <is>
          <t>                    </t>
        </is>
      </c>
      <c r="AE668" s="680" t="n"/>
      <c r="AF668" s="680" t="n"/>
      <c r="AG668" s="680" t="n"/>
      <c r="AH668" s="680" t="n"/>
      <c r="AI668" s="680" t="n"/>
      <c r="AJ668" s="680" t="n"/>
      <c r="AK668" s="680" t="inlineStr">
        <is>
          <t xml:space="preserve">S-T WHSE.; REFERENCE TO HOA FEES BUT NOT SHOWN AS CONDO.          </t>
        </is>
      </c>
    </row>
    <row r="669">
      <c r="A669" s="248" t="n">
        <v>8</v>
      </c>
      <c r="B669" s="370" t="n">
        <v>661</v>
      </c>
      <c r="C669" s="254" t="inlineStr">
        <is>
          <t>2009Q</t>
        </is>
      </c>
      <c r="D669" s="245" t="inlineStr">
        <is>
          <t xml:space="preserve">01232-07-007-000 </t>
        </is>
      </c>
      <c r="E669" s="258" t="inlineStr">
        <is>
          <t>Actual</t>
        </is>
      </c>
      <c r="F669" s="259" t="inlineStr">
        <is>
          <t>4675   JOLIET               ST</t>
        </is>
      </c>
      <c r="G669" s="672" t="n">
        <v>44.1</v>
      </c>
      <c r="H669" s="253" t="n">
        <v>9102</v>
      </c>
      <c r="I669" s="255" t="n">
        <v>0</v>
      </c>
      <c r="J669" s="678" t="n">
        <v>14848</v>
      </c>
      <c r="K669" s="679" t="n">
        <v>5.450700431034483</v>
      </c>
      <c r="L669" s="260" t="n">
        <v>0</v>
      </c>
      <c r="M669" s="262" t="n">
        <v>0</v>
      </c>
      <c r="N669" s="253" t="n">
        <v>1969</v>
      </c>
      <c r="O669" s="250" t="n">
        <v>1239</v>
      </c>
      <c r="P669" s="250" t="n">
        <v>2528</v>
      </c>
      <c r="Q669" s="245" t="n">
        <v>22</v>
      </c>
      <c r="R669" s="245" t="n">
        <v>8</v>
      </c>
      <c r="S669" s="245" t="n">
        <v>1</v>
      </c>
      <c r="T669" s="249" t="inlineStr">
        <is>
          <t xml:space="preserve">I2   </t>
        </is>
      </c>
      <c r="U669" s="249" t="n">
        <v>398</v>
      </c>
      <c r="V669" s="678" t="n">
        <v>44000</v>
      </c>
      <c r="W669" s="678" t="n">
        <v>44000</v>
      </c>
      <c r="X669" s="356" t="inlineStr">
        <is>
          <t>3.0:1</t>
        </is>
      </c>
      <c r="Y669" s="678">
        <f>ROUND(J669,-3)</f>
        <v/>
      </c>
      <c r="Z669" s="249" t="inlineStr">
        <is>
          <t xml:space="preserve">C </t>
        </is>
      </c>
      <c r="AA669" s="245" t="n">
        <v>3</v>
      </c>
      <c r="AB669" s="245" t="n">
        <v>3</v>
      </c>
      <c r="AC669" s="253" t="inlineStr">
        <is>
          <t>33</t>
        </is>
      </c>
      <c r="AD669" s="247" t="inlineStr">
        <is>
          <t xml:space="preserve">RED-D-ARC (AIRGAS)  </t>
        </is>
      </c>
      <c r="AE669" s="680" t="n"/>
      <c r="AF669" s="680" t="n"/>
      <c r="AG669" s="680" t="n"/>
      <c r="AH669" s="680" t="n"/>
      <c r="AI669" s="680" t="n"/>
      <c r="AJ669" s="680" t="n"/>
      <c r="AK669" s="680" t="inlineStr">
        <is>
          <t xml:space="preserve">S-T WHSE.; DATE OF LEASE UNKNOWN.                                 </t>
        </is>
      </c>
    </row>
    <row r="670">
      <c r="A670" s="248" t="n">
        <v>8</v>
      </c>
      <c r="B670" s="370" t="n">
        <v>662</v>
      </c>
      <c r="C670" s="254" t="inlineStr">
        <is>
          <t>2009Q</t>
        </is>
      </c>
      <c r="D670" s="245" t="inlineStr">
        <is>
          <t xml:space="preserve">01232-07-018-000 </t>
        </is>
      </c>
      <c r="E670" s="258" t="inlineStr">
        <is>
          <t>Actual</t>
        </is>
      </c>
      <c r="F670" s="259" t="inlineStr">
        <is>
          <t>10777 E 45TH                 AV</t>
        </is>
      </c>
      <c r="G670" s="672" t="n">
        <v>47.2</v>
      </c>
      <c r="H670" s="253" t="n">
        <v>9102</v>
      </c>
      <c r="I670" s="255" t="n">
        <v>0</v>
      </c>
      <c r="J670" s="678" t="n">
        <v>56296</v>
      </c>
      <c r="K670" s="679" t="n">
        <v>3.512682961489271</v>
      </c>
      <c r="L670" s="260" t="n">
        <v>0</v>
      </c>
      <c r="M670" s="262" t="n">
        <v>0.0606826801517067</v>
      </c>
      <c r="N670" s="253" t="n">
        <v>1968</v>
      </c>
      <c r="O670" s="250" t="n">
        <v>17654</v>
      </c>
      <c r="Q670" s="245" t="n">
        <v>21</v>
      </c>
      <c r="R670" s="245" t="n">
        <v>3</v>
      </c>
      <c r="S670" s="245" t="n">
        <v>1</v>
      </c>
      <c r="T670" s="249" t="inlineStr">
        <is>
          <t xml:space="preserve">I2   </t>
        </is>
      </c>
      <c r="U670" s="249" t="n">
        <v>401</v>
      </c>
      <c r="V670" s="678" t="n">
        <v>183748</v>
      </c>
      <c r="W670" s="678" t="n">
        <v>180000</v>
      </c>
      <c r="X670" s="356" t="inlineStr">
        <is>
          <t>3.2:1</t>
        </is>
      </c>
      <c r="Y670" s="678">
        <f>ROUND(J670,-4)</f>
        <v/>
      </c>
      <c r="Z670" s="249" t="inlineStr">
        <is>
          <t xml:space="preserve">C </t>
        </is>
      </c>
      <c r="AA670" s="245" t="n">
        <v>3</v>
      </c>
      <c r="AB670" s="245" t="n">
        <v>3</v>
      </c>
      <c r="AC670" s="253" t="inlineStr">
        <is>
          <t>33</t>
        </is>
      </c>
      <c r="AD670" s="247" t="inlineStr">
        <is>
          <t xml:space="preserve">SCOTT SYSTEMS       </t>
        </is>
      </c>
      <c r="AE670" s="680" t="n"/>
      <c r="AF670" s="680" t="n"/>
      <c r="AG670" s="680" t="n"/>
      <c r="AH670" s="680" t="n"/>
      <c r="AI670" s="680" t="n"/>
      <c r="AJ670" s="680" t="n"/>
      <c r="AK670" s="680" t="inlineStr">
        <is>
          <t xml:space="preserve">M-T INDUSTRIAL BLDG.; LEASES 2004-2007; 3 TENANTS.                </t>
        </is>
      </c>
    </row>
    <row r="671">
      <c r="A671" s="248" t="n">
        <v>8</v>
      </c>
      <c r="B671" s="370" t="n">
        <v>663</v>
      </c>
      <c r="C671" s="254" t="inlineStr">
        <is>
          <t>2009Q</t>
        </is>
      </c>
      <c r="D671" s="245" t="inlineStr">
        <is>
          <t xml:space="preserve">01233-00-016-000 </t>
        </is>
      </c>
      <c r="E671" s="258" t="inlineStr">
        <is>
          <t>Actual</t>
        </is>
      </c>
      <c r="F671" s="259" t="inlineStr">
        <is>
          <t>10700 E 40TH                 AV</t>
        </is>
      </c>
      <c r="G671" s="672" t="n">
        <v>44.2</v>
      </c>
      <c r="H671" s="253" t="n">
        <v>9104</v>
      </c>
      <c r="I671" s="255" t="n">
        <v>0</v>
      </c>
      <c r="J671" s="678" t="n">
        <v>68916</v>
      </c>
      <c r="K671" s="679" t="n">
        <v>4.956831505020605</v>
      </c>
      <c r="L671" s="260" t="n">
        <v>0</v>
      </c>
      <c r="M671" s="262" t="n">
        <v>0.04806721213096998</v>
      </c>
      <c r="N671" s="253" t="n">
        <v>1969</v>
      </c>
      <c r="O671" s="250">
        <f>7652+780+226</f>
        <v/>
      </c>
      <c r="Q671" s="245" t="n">
        <v>25</v>
      </c>
      <c r="R671" s="245" t="n">
        <v>3</v>
      </c>
      <c r="S671" s="245" t="n">
        <v>1</v>
      </c>
      <c r="T671" s="249" t="inlineStr">
        <is>
          <t xml:space="preserve">I2   </t>
        </is>
      </c>
      <c r="U671" s="249" t="n">
        <v>398</v>
      </c>
      <c r="V671" s="678" t="n">
        <v>272263</v>
      </c>
      <c r="W671" s="678" t="n">
        <v>270000</v>
      </c>
      <c r="X671" s="356" t="inlineStr">
        <is>
          <t>4.0:1</t>
        </is>
      </c>
      <c r="Y671" s="678">
        <f>ROUND(J671,-4)</f>
        <v/>
      </c>
      <c r="Z671" s="249" t="inlineStr">
        <is>
          <t xml:space="preserve">C </t>
        </is>
      </c>
      <c r="AA671" s="245" t="n">
        <v>3</v>
      </c>
      <c r="AB671" s="245" t="n">
        <v>3</v>
      </c>
      <c r="AC671" s="253" t="inlineStr">
        <is>
          <t>33</t>
        </is>
      </c>
      <c r="AD671" s="247" t="inlineStr">
        <is>
          <t>DENVER INTERMODAL EX</t>
        </is>
      </c>
      <c r="AE671" s="680" t="n"/>
      <c r="AF671" s="680" t="n"/>
      <c r="AG671" s="680" t="n"/>
      <c r="AH671" s="680" t="n"/>
      <c r="AI671" s="680" t="n"/>
      <c r="AJ671" s="680" t="n"/>
      <c r="AK671" s="680" t="inlineStr">
        <is>
          <t xml:space="preserve">S-T WHSE; 2006 LEASE.                                             </t>
        </is>
      </c>
    </row>
    <row r="672">
      <c r="A672" s="248" t="n">
        <v>8</v>
      </c>
      <c r="B672" s="370" t="n">
        <v>664</v>
      </c>
      <c r="C672" s="254" t="inlineStr">
        <is>
          <t>2009Q</t>
        </is>
      </c>
      <c r="D672" s="245" t="inlineStr">
        <is>
          <t xml:space="preserve">01233-00-026-000 </t>
        </is>
      </c>
      <c r="E672" s="258" t="inlineStr">
        <is>
          <t>Actual</t>
        </is>
      </c>
      <c r="F672" s="259" t="inlineStr">
        <is>
          <t>11200 E 40TH                 AV</t>
        </is>
      </c>
      <c r="G672" s="672" t="n">
        <v>44.2</v>
      </c>
      <c r="H672" s="253" t="n">
        <v>9104</v>
      </c>
      <c r="I672" s="255" t="n">
        <v>0</v>
      </c>
      <c r="J672" s="678" t="n">
        <v>86060</v>
      </c>
      <c r="K672" s="679" t="n">
        <v>4.426690680920288</v>
      </c>
      <c r="L672" s="260" t="n">
        <v>0</v>
      </c>
      <c r="M672" s="262" t="n">
        <v>0</v>
      </c>
      <c r="N672" s="253" t="n">
        <v>1973</v>
      </c>
      <c r="O672" s="250">
        <f>6420+6543</f>
        <v/>
      </c>
      <c r="P672" s="250" t="n">
        <v>15020</v>
      </c>
      <c r="Q672" s="245" t="n">
        <v>20</v>
      </c>
      <c r="R672" s="245" t="n">
        <v>8</v>
      </c>
      <c r="S672" s="245" t="n">
        <v>1</v>
      </c>
      <c r="T672" s="249" t="inlineStr">
        <is>
          <t xml:space="preserve">I2   </t>
        </is>
      </c>
      <c r="U672" s="249" t="n">
        <v>398</v>
      </c>
      <c r="V672" s="678" t="n">
        <v>304924</v>
      </c>
      <c r="W672" s="678" t="n">
        <v>300000</v>
      </c>
      <c r="X672" s="356" t="inlineStr">
        <is>
          <t>3.5:1</t>
        </is>
      </c>
      <c r="Y672" s="678">
        <f>ROUND(J672,-4)</f>
        <v/>
      </c>
      <c r="Z672" s="249" t="inlineStr">
        <is>
          <t xml:space="preserve">C </t>
        </is>
      </c>
      <c r="AA672" s="245" t="n">
        <v>3</v>
      </c>
      <c r="AB672" s="245" t="n">
        <v>3</v>
      </c>
      <c r="AC672" s="253" t="inlineStr">
        <is>
          <t>33</t>
        </is>
      </c>
      <c r="AD672" s="247" t="inlineStr">
        <is>
          <t xml:space="preserve">CENTER RENTAL/SALES </t>
        </is>
      </c>
      <c r="AE672" s="680" t="n"/>
      <c r="AF672" s="680" t="n"/>
      <c r="AG672" s="680" t="n"/>
      <c r="AH672" s="680" t="n"/>
      <c r="AI672" s="680" t="n"/>
      <c r="AJ672" s="680" t="n"/>
      <c r="AK672" s="680" t="inlineStr">
        <is>
          <t xml:space="preserve">S-T WHSE.                                                         </t>
        </is>
      </c>
    </row>
    <row r="673">
      <c r="A673" s="248" t="n">
        <v>8</v>
      </c>
      <c r="B673" s="370" t="n">
        <v>665</v>
      </c>
      <c r="C673" s="254" t="inlineStr">
        <is>
          <t>2009Q</t>
        </is>
      </c>
      <c r="D673" s="245" t="inlineStr">
        <is>
          <t xml:space="preserve">01233-00-046-000 </t>
        </is>
      </c>
      <c r="E673" s="258" t="inlineStr">
        <is>
          <t>Actual</t>
        </is>
      </c>
      <c r="F673" s="259" t="inlineStr">
        <is>
          <t>3990   HAVANA               ST</t>
        </is>
      </c>
      <c r="G673" s="672" t="n">
        <v>47.1</v>
      </c>
      <c r="H673" s="253" t="n">
        <v>9104</v>
      </c>
      <c r="I673" s="255" t="n">
        <v>0</v>
      </c>
      <c r="J673" s="678" t="n">
        <v>85908</v>
      </c>
      <c r="K673" s="679" t="n">
        <v>4.205254458257671</v>
      </c>
      <c r="L673" s="260" t="n">
        <v>0</v>
      </c>
      <c r="M673" s="262" t="n">
        <v>0</v>
      </c>
      <c r="N673" s="253" t="n">
        <v>1967</v>
      </c>
      <c r="O673" s="250">
        <f>1611+6300</f>
        <v/>
      </c>
      <c r="Q673" s="245" t="n">
        <v>20</v>
      </c>
      <c r="R673" s="245" t="n">
        <v>8</v>
      </c>
      <c r="S673" s="245" t="n">
        <v>1</v>
      </c>
      <c r="T673" s="249" t="inlineStr">
        <is>
          <t xml:space="preserve">I2   </t>
        </is>
      </c>
      <c r="U673" s="249" t="n">
        <v>401</v>
      </c>
      <c r="V673" s="678" t="n">
        <v>191876</v>
      </c>
      <c r="W673" s="678" t="n">
        <v>190000</v>
      </c>
      <c r="X673" s="356" t="inlineStr">
        <is>
          <t>2.2:1</t>
        </is>
      </c>
      <c r="Y673" s="678">
        <f>ROUND(J673,-4)</f>
        <v/>
      </c>
      <c r="Z673" s="249" t="inlineStr">
        <is>
          <t xml:space="preserve">C </t>
        </is>
      </c>
      <c r="AA673" s="245" t="n">
        <v>2</v>
      </c>
      <c r="AB673" s="245" t="n">
        <v>1</v>
      </c>
      <c r="AC673" s="253" t="inlineStr">
        <is>
          <t>21</t>
        </is>
      </c>
      <c r="AD673" s="247" t="inlineStr">
        <is>
          <t xml:space="preserve">RIO GRANDE BLDG MAT </t>
        </is>
      </c>
      <c r="AE673" s="680" t="n"/>
      <c r="AF673" s="680" t="n"/>
      <c r="AG673" s="680" t="n"/>
      <c r="AH673" s="680" t="n"/>
      <c r="AI673" s="680" t="n"/>
      <c r="AJ673" s="680" t="n"/>
      <c r="AK673" s="680" t="inlineStr">
        <is>
          <t xml:space="preserve">S-T INDUSTRIAL BLDG.; LEASE DATES FROM 2003.                      </t>
        </is>
      </c>
    </row>
    <row r="674">
      <c r="A674" s="248" t="n">
        <v>8</v>
      </c>
      <c r="B674" s="370" t="n">
        <v>666</v>
      </c>
      <c r="C674" s="254" t="inlineStr">
        <is>
          <t>2009Q</t>
        </is>
      </c>
      <c r="D674" s="245" t="inlineStr">
        <is>
          <t xml:space="preserve">01234-01-009-000 </t>
        </is>
      </c>
      <c r="E674" s="258" t="inlineStr">
        <is>
          <t>Actual</t>
        </is>
      </c>
      <c r="F674" s="259" t="inlineStr">
        <is>
          <t>3891   PARIS                ST</t>
        </is>
      </c>
      <c r="G674" s="672" t="n">
        <v>44.2</v>
      </c>
      <c r="H674" s="253" t="n">
        <v>9104</v>
      </c>
      <c r="I674" s="255" t="n">
        <v>0</v>
      </c>
      <c r="J674" s="678" t="n">
        <v>14149</v>
      </c>
      <c r="K674" s="679" t="n">
        <v>7.832921054491483</v>
      </c>
      <c r="L674" s="260" t="n">
        <v>0</v>
      </c>
      <c r="M674" s="262" t="n">
        <v>0.1539863572382431</v>
      </c>
      <c r="N674" s="253" t="n">
        <v>2000</v>
      </c>
      <c r="O674" s="250" t="n">
        <v>1629</v>
      </c>
      <c r="Q674" s="245" t="n">
        <v>19</v>
      </c>
      <c r="R674" s="245" t="n">
        <v>14</v>
      </c>
      <c r="S674" s="245" t="n">
        <v>1</v>
      </c>
      <c r="T674" s="249" t="inlineStr">
        <is>
          <t xml:space="preserve">I1   </t>
        </is>
      </c>
      <c r="U674" s="249" t="n">
        <v>398</v>
      </c>
      <c r="V674" s="678" t="n">
        <v>36116</v>
      </c>
      <c r="W674" s="678" t="n">
        <v>36000</v>
      </c>
      <c r="X674" s="356" t="inlineStr">
        <is>
          <t>2.6:1</t>
        </is>
      </c>
      <c r="Y674" s="678">
        <f>ROUND(J674,-3)</f>
        <v/>
      </c>
      <c r="Z674" s="249" t="inlineStr">
        <is>
          <t xml:space="preserve">C </t>
        </is>
      </c>
      <c r="AA674" s="245" t="n">
        <v>3</v>
      </c>
      <c r="AB674" s="245" t="n">
        <v>3</v>
      </c>
      <c r="AC674" s="253" t="inlineStr">
        <is>
          <t>33</t>
        </is>
      </c>
      <c r="AD674" s="247" t="inlineStr">
        <is>
          <t>                    </t>
        </is>
      </c>
      <c r="AE674" s="680" t="n"/>
      <c r="AF674" s="680" t="n"/>
      <c r="AG674" s="680" t="n"/>
      <c r="AH674" s="680" t="n"/>
      <c r="AI674" s="680" t="n"/>
      <c r="AJ674" s="680" t="n"/>
      <c r="AK674" s="680" t="inlineStr">
        <is>
          <t xml:space="preserve">S-T WHSE.; LEASE DATES FROM 2004                                  </t>
        </is>
      </c>
    </row>
    <row r="675">
      <c r="A675" s="248" t="n">
        <v>8</v>
      </c>
      <c r="B675" s="370" t="n">
        <v>667</v>
      </c>
      <c r="C675" s="254" t="inlineStr">
        <is>
          <t>2009Q</t>
        </is>
      </c>
      <c r="D675" s="245" t="inlineStr">
        <is>
          <t xml:space="preserve">01234-01-014-000 </t>
        </is>
      </c>
      <c r="E675" s="258" t="inlineStr">
        <is>
          <t>Actual</t>
        </is>
      </c>
      <c r="F675" s="259" t="inlineStr">
        <is>
          <t>3841   PARIS                ST</t>
        </is>
      </c>
      <c r="G675" s="672" t="n">
        <v>44.2</v>
      </c>
      <c r="H675" s="253" t="n">
        <v>9104</v>
      </c>
      <c r="I675" s="255" t="n">
        <v>0</v>
      </c>
      <c r="J675" s="678" t="n">
        <v>20046</v>
      </c>
      <c r="K675" s="679" t="n">
        <v>6.315474408859623</v>
      </c>
      <c r="L675" s="260" t="n">
        <v>0</v>
      </c>
      <c r="M675" s="262" t="n">
        <v>0.1250157977883096</v>
      </c>
      <c r="N675" s="253" t="n">
        <v>1978</v>
      </c>
      <c r="O675" s="250" t="n">
        <v>2278</v>
      </c>
      <c r="Q675" s="245" t="n">
        <v>20</v>
      </c>
      <c r="R675" s="245" t="n">
        <v>10</v>
      </c>
      <c r="S675" s="245" t="n">
        <v>1</v>
      </c>
      <c r="T675" s="249" t="inlineStr">
        <is>
          <t xml:space="preserve">I2   </t>
        </is>
      </c>
      <c r="U675" s="249" t="n">
        <v>398</v>
      </c>
      <c r="V675" s="678" t="n">
        <v>43000</v>
      </c>
      <c r="W675" s="678" t="n">
        <v>43000</v>
      </c>
      <c r="X675" s="356" t="inlineStr">
        <is>
          <t>2.1:1</t>
        </is>
      </c>
      <c r="Y675" s="678">
        <f>ROUND(J675,-3)</f>
        <v/>
      </c>
      <c r="Z675" s="249" t="inlineStr">
        <is>
          <t xml:space="preserve">C </t>
        </is>
      </c>
      <c r="AA675" s="245" t="n">
        <v>3</v>
      </c>
      <c r="AB675" s="245" t="n">
        <v>3</v>
      </c>
      <c r="AC675" s="253" t="inlineStr">
        <is>
          <t>33</t>
        </is>
      </c>
      <c r="AD675" s="247" t="inlineStr">
        <is>
          <t>                    </t>
        </is>
      </c>
      <c r="AE675" s="680" t="n"/>
      <c r="AF675" s="680" t="n"/>
      <c r="AG675" s="680" t="n"/>
      <c r="AH675" s="680" t="n"/>
      <c r="AI675" s="680" t="n"/>
      <c r="AJ675" s="680" t="n"/>
      <c r="AK675" s="680" t="inlineStr">
        <is>
          <t xml:space="preserve">M-T WHSE.; 3 TENANTS; LEASES 2005 - 2007.                         </t>
        </is>
      </c>
    </row>
    <row r="676">
      <c r="A676" s="248" t="n">
        <v>8</v>
      </c>
      <c r="B676" s="370" t="n">
        <v>668</v>
      </c>
      <c r="C676" s="254" t="inlineStr">
        <is>
          <t>2009Q</t>
        </is>
      </c>
      <c r="D676" s="245" t="inlineStr">
        <is>
          <t xml:space="preserve">01234-01-015-000 </t>
        </is>
      </c>
      <c r="E676" s="258" t="inlineStr">
        <is>
          <t>Actual</t>
        </is>
      </c>
      <c r="F676" s="259" t="inlineStr">
        <is>
          <t>3835   PARIS                ST</t>
        </is>
      </c>
      <c r="G676" s="672" t="n">
        <v>44.2</v>
      </c>
      <c r="H676" s="253" t="n">
        <v>9104</v>
      </c>
      <c r="I676" s="255" t="n">
        <v>0</v>
      </c>
      <c r="J676" s="678" t="n">
        <v>6214</v>
      </c>
      <c r="K676" s="679" t="n">
        <v>6.034760218860638</v>
      </c>
      <c r="L676" s="260" t="n">
        <v>0</v>
      </c>
      <c r="M676" s="262" t="n">
        <v>0.1066666666666667</v>
      </c>
      <c r="N676" s="253" t="n">
        <v>1984</v>
      </c>
      <c r="O676" s="250" t="n">
        <v>1775</v>
      </c>
      <c r="Q676" s="245" t="n">
        <v>20</v>
      </c>
      <c r="R676" s="245" t="n">
        <v>3</v>
      </c>
      <c r="S676" s="245" t="n">
        <v>2</v>
      </c>
      <c r="T676" s="249" t="inlineStr">
        <is>
          <t xml:space="preserve">I2   </t>
        </is>
      </c>
      <c r="U676" s="249" t="n">
        <v>398</v>
      </c>
      <c r="V676" s="678" t="n">
        <v>22683</v>
      </c>
      <c r="W676" s="678" t="n">
        <v>23000</v>
      </c>
      <c r="X676" s="356" t="inlineStr">
        <is>
          <t>1.8:1</t>
        </is>
      </c>
      <c r="Y676" s="678">
        <f>ROUND(J676,-3)</f>
        <v/>
      </c>
      <c r="Z676" s="249" t="inlineStr">
        <is>
          <t xml:space="preserve">C </t>
        </is>
      </c>
      <c r="AA676" s="245" t="n">
        <v>3</v>
      </c>
      <c r="AB676" s="245" t="n">
        <v>3</v>
      </c>
      <c r="AC676" s="253" t="inlineStr">
        <is>
          <t>33</t>
        </is>
      </c>
      <c r="AD676" s="247" t="inlineStr">
        <is>
          <t>                    </t>
        </is>
      </c>
      <c r="AE676" s="680" t="n"/>
      <c r="AF676" s="680" t="n"/>
      <c r="AG676" s="680" t="n"/>
      <c r="AH676" s="680" t="n"/>
      <c r="AI676" s="680" t="n"/>
      <c r="AJ676" s="680" t="n"/>
      <c r="AK676" s="680" t="inlineStr">
        <is>
          <t xml:space="preserve">M-T WHSE; 2 TENANTS; AGE OF LEASE UNKNOWN.                        </t>
        </is>
      </c>
    </row>
    <row r="677">
      <c r="A677" s="248" t="n">
        <v>8</v>
      </c>
      <c r="B677" s="370" t="n">
        <v>669</v>
      </c>
      <c r="C677" s="247" t="inlineStr">
        <is>
          <t>2009W</t>
        </is>
      </c>
      <c r="D677" s="245" t="inlineStr">
        <is>
          <t>01242-02-001-000</t>
        </is>
      </c>
      <c r="E677" s="249" t="inlineStr">
        <is>
          <t>Actual</t>
        </is>
      </c>
      <c r="F677" s="245" t="inlineStr">
        <is>
          <t>12330-360 E 46TH AV</t>
        </is>
      </c>
      <c r="G677" s="672" t="n">
        <v>44.4</v>
      </c>
      <c r="H677" s="245" t="n">
        <v>9102</v>
      </c>
      <c r="I677" s="249" t="n">
        <v>0</v>
      </c>
      <c r="J677" s="250" t="n">
        <v>587487</v>
      </c>
      <c r="K677" s="685" t="n">
        <v>4.31</v>
      </c>
      <c r="L677" s="365" t="n">
        <v>0.02</v>
      </c>
      <c r="M677" s="365" t="n"/>
      <c r="N677" s="245" t="n">
        <v>1999</v>
      </c>
      <c r="O677" s="245" t="n">
        <v>18645</v>
      </c>
      <c r="P677" s="245" t="n"/>
      <c r="Q677" s="245" t="n">
        <v>30</v>
      </c>
      <c r="R677" s="245" t="n">
        <v>14</v>
      </c>
      <c r="S677" s="245" t="n">
        <v>8</v>
      </c>
      <c r="T677" s="249" t="inlineStr">
        <is>
          <t>B4</t>
        </is>
      </c>
      <c r="U677" s="245" t="n">
        <v>398</v>
      </c>
      <c r="V677" s="250" t="n">
        <v>1400794</v>
      </c>
      <c r="W677" s="250" t="n">
        <v>1500000</v>
      </c>
      <c r="X677" s="253" t="inlineStr">
        <is>
          <t>2.5:1</t>
        </is>
      </c>
      <c r="Y677" s="250" t="n">
        <v>600000</v>
      </c>
      <c r="Z677" s="249" t="inlineStr">
        <is>
          <t>B</t>
        </is>
      </c>
      <c r="AA677" s="245" t="n">
        <v>3</v>
      </c>
      <c r="AB677" s="245" t="n">
        <v>3</v>
      </c>
      <c r="AC677" s="245" t="n">
        <v>33</v>
      </c>
      <c r="AD677" s="245" t="inlineStr">
        <is>
          <t>Peoria Business Park</t>
        </is>
      </c>
      <c r="AE677" s="667" t="n"/>
      <c r="AF677" s="686" t="n"/>
      <c r="AG677" s="686" t="n"/>
      <c r="AH677" s="667" t="n"/>
      <c r="AI677" s="680" t="n"/>
      <c r="AJ677" s="680" t="n"/>
      <c r="AK677" s="245" t="inlineStr">
        <is>
          <t>Includes parcels -002,003</t>
        </is>
      </c>
    </row>
    <row r="678">
      <c r="A678" s="248" t="n">
        <v>8</v>
      </c>
      <c r="B678" s="370" t="n">
        <v>670</v>
      </c>
      <c r="C678" s="254" t="inlineStr">
        <is>
          <t>2009Q</t>
        </is>
      </c>
      <c r="D678" s="245" t="inlineStr">
        <is>
          <t xml:space="preserve">01242-02-011-000 </t>
        </is>
      </c>
      <c r="E678" s="258" t="inlineStr">
        <is>
          <t>Actual</t>
        </is>
      </c>
      <c r="F678" s="259" t="inlineStr">
        <is>
          <t>12275 E 45TH                 AV</t>
        </is>
      </c>
      <c r="G678" s="672" t="n">
        <v>44.1</v>
      </c>
      <c r="H678" s="253" t="n">
        <v>9102</v>
      </c>
      <c r="I678" s="255" t="n">
        <v>0</v>
      </c>
      <c r="J678" s="678" t="n">
        <v>27584</v>
      </c>
      <c r="K678" s="679" t="n">
        <v>6.499854988399072</v>
      </c>
      <c r="L678" s="260" t="n">
        <v>0</v>
      </c>
      <c r="M678" s="262" t="n">
        <v>0</v>
      </c>
      <c r="N678" s="253" t="n">
        <v>2005</v>
      </c>
      <c r="O678" s="250" t="n">
        <v>6709</v>
      </c>
      <c r="Q678" s="245" t="n">
        <v>24</v>
      </c>
      <c r="R678" s="245" t="n">
        <v>2</v>
      </c>
      <c r="S678" s="245" t="n">
        <v>1</v>
      </c>
      <c r="T678" s="249" t="inlineStr">
        <is>
          <t xml:space="preserve">B4   </t>
        </is>
      </c>
      <c r="U678" s="249" t="n">
        <v>398</v>
      </c>
      <c r="V678" s="678" t="n">
        <v>111372</v>
      </c>
      <c r="W678" s="678" t="n">
        <v>110000</v>
      </c>
      <c r="X678" s="356" t="inlineStr">
        <is>
          <t>4.0:1</t>
        </is>
      </c>
      <c r="Y678" s="678">
        <f>ROUND(J678,-3)</f>
        <v/>
      </c>
      <c r="Z678" s="249" t="inlineStr">
        <is>
          <t xml:space="preserve">C </t>
        </is>
      </c>
      <c r="AA678" s="245" t="n">
        <v>3</v>
      </c>
      <c r="AB678" s="245" t="n">
        <v>3</v>
      </c>
      <c r="AC678" s="253" t="inlineStr">
        <is>
          <t>33</t>
        </is>
      </c>
      <c r="AD678" s="247" t="inlineStr">
        <is>
          <t>                    </t>
        </is>
      </c>
      <c r="AE678" s="680" t="n"/>
      <c r="AF678" s="680" t="n"/>
      <c r="AG678" s="680" t="n"/>
      <c r="AH678" s="680" t="n"/>
      <c r="AI678" s="680" t="n"/>
      <c r="AJ678" s="680" t="n"/>
      <c r="AK678" s="680" t="inlineStr">
        <is>
          <t xml:space="preserve">S-T WHSE.; AGE OF LEASE UNKNOWN.                                  </t>
        </is>
      </c>
    </row>
    <row r="679">
      <c r="A679" s="248" t="n">
        <v>8</v>
      </c>
      <c r="B679" s="370" t="n">
        <v>671</v>
      </c>
      <c r="C679" s="247" t="inlineStr">
        <is>
          <t>2009W</t>
        </is>
      </c>
      <c r="D679" s="245" t="inlineStr">
        <is>
          <t>01243-00-021-000</t>
        </is>
      </c>
      <c r="E679" s="249" t="inlineStr">
        <is>
          <t>Actual</t>
        </is>
      </c>
      <c r="F679" s="245" t="inlineStr">
        <is>
          <t>12435-875 E. 42ND AV</t>
        </is>
      </c>
      <c r="G679" s="672" t="n">
        <v>44.4</v>
      </c>
      <c r="H679" s="245" t="n">
        <v>9102</v>
      </c>
      <c r="I679" s="249" t="n">
        <v>0</v>
      </c>
      <c r="J679" s="250" t="n">
        <v>400000</v>
      </c>
      <c r="K679" s="685" t="n">
        <v>4.59</v>
      </c>
      <c r="L679" s="365" t="n">
        <v>0.09</v>
      </c>
      <c r="M679" s="365" t="n">
        <v>0.07000000000000001</v>
      </c>
      <c r="N679" s="245" t="n">
        <v>1998</v>
      </c>
      <c r="O679" s="245" t="n">
        <v>59469</v>
      </c>
      <c r="P679" s="245" t="n"/>
      <c r="Q679" s="245" t="n">
        <v>28</v>
      </c>
      <c r="R679" s="245" t="n">
        <v>14</v>
      </c>
      <c r="S679" s="245" t="n">
        <v>16</v>
      </c>
      <c r="T679" s="249" t="inlineStr">
        <is>
          <t>I0</t>
        </is>
      </c>
      <c r="U679" s="245" t="n">
        <v>398</v>
      </c>
      <c r="V679" s="250" t="n">
        <v>998049</v>
      </c>
      <c r="W679" s="250" t="n">
        <v>1000000</v>
      </c>
      <c r="X679" s="253" t="inlineStr">
        <is>
          <t>2.5:1</t>
        </is>
      </c>
      <c r="Y679" s="250" t="n">
        <v>400000</v>
      </c>
      <c r="Z679" s="249" t="inlineStr">
        <is>
          <t>B</t>
        </is>
      </c>
      <c r="AA679" s="245" t="n">
        <v>3</v>
      </c>
      <c r="AB679" s="245" t="n">
        <v>3</v>
      </c>
      <c r="AC679" s="245" t="n">
        <v>33</v>
      </c>
      <c r="AE679" s="667" t="n"/>
      <c r="AF679" s="686" t="n"/>
      <c r="AG679" s="686" t="n"/>
      <c r="AH679" s="667" t="n"/>
      <c r="AI679" s="686" t="n"/>
      <c r="AJ679" s="667" t="n"/>
      <c r="AL679" s="680" t="n"/>
    </row>
    <row r="680">
      <c r="A680" s="248" t="n">
        <v>8</v>
      </c>
      <c r="B680" s="370" t="n">
        <v>672</v>
      </c>
      <c r="C680" s="254" t="inlineStr">
        <is>
          <t>2009Q</t>
        </is>
      </c>
      <c r="D680" s="245" t="inlineStr">
        <is>
          <t xml:space="preserve">01252-00-034-000 </t>
        </is>
      </c>
      <c r="E680" s="258" t="inlineStr">
        <is>
          <t>Actual</t>
        </is>
      </c>
      <c r="F680" s="259" t="inlineStr">
        <is>
          <t>12770 E 39TH                 AV</t>
        </is>
      </c>
      <c r="G680" s="672" t="n">
        <v>44.4</v>
      </c>
      <c r="H680" s="253" t="n">
        <v>9104</v>
      </c>
      <c r="I680" s="255" t="n">
        <v>0</v>
      </c>
      <c r="J680" s="678" t="n">
        <v>121360</v>
      </c>
      <c r="K680" s="679" t="n">
        <v>3.68457481872116</v>
      </c>
      <c r="L680" s="260" t="n">
        <v>0</v>
      </c>
      <c r="M680" s="262" t="n">
        <v>0.2166830664639055</v>
      </c>
      <c r="N680" s="253" t="n">
        <v>1971</v>
      </c>
      <c r="O680" s="250" t="n">
        <v>6439</v>
      </c>
      <c r="P680" s="250" t="n">
        <v>1570</v>
      </c>
      <c r="Q680" s="245" t="n">
        <v>14</v>
      </c>
      <c r="R680" s="245" t="n">
        <v>3</v>
      </c>
      <c r="S680" s="245" t="n">
        <v>2</v>
      </c>
      <c r="T680" s="249" t="inlineStr">
        <is>
          <t xml:space="preserve">I2   </t>
        </is>
      </c>
      <c r="U680" s="249" t="n">
        <v>398</v>
      </c>
      <c r="V680" s="678" t="n">
        <v>255000</v>
      </c>
      <c r="W680" s="678" t="n">
        <v>260000</v>
      </c>
      <c r="X680" s="356" t="inlineStr">
        <is>
          <t>2.1:1</t>
        </is>
      </c>
      <c r="Y680" s="678">
        <f>ROUND(J680,-4)</f>
        <v/>
      </c>
      <c r="Z680" s="249" t="inlineStr">
        <is>
          <t xml:space="preserve">C </t>
        </is>
      </c>
      <c r="AA680" s="245" t="n">
        <v>3</v>
      </c>
      <c r="AB680" s="245" t="n">
        <v>3</v>
      </c>
      <c r="AC680" s="253" t="inlineStr">
        <is>
          <t>33</t>
        </is>
      </c>
      <c r="AD680" s="247" t="inlineStr">
        <is>
          <t xml:space="preserve">M-W UNISOURCE       </t>
        </is>
      </c>
      <c r="AE680" s="680" t="n"/>
      <c r="AF680" s="680" t="n"/>
      <c r="AG680" s="680" t="n"/>
      <c r="AH680" s="680" t="n"/>
      <c r="AI680" s="680" t="n"/>
      <c r="AJ680" s="680" t="n"/>
      <c r="AK680" s="680" t="inlineStr">
        <is>
          <t xml:space="preserve">M-T WHSE; 3 TENANTS; LEASES 2005 - 2008.                          </t>
        </is>
      </c>
    </row>
    <row r="681">
      <c r="A681" s="248" t="n">
        <v>8</v>
      </c>
      <c r="B681" s="370" t="n">
        <v>673</v>
      </c>
      <c r="C681" s="254" t="inlineStr">
        <is>
          <t>2009Q</t>
        </is>
      </c>
      <c r="D681" s="245" t="inlineStr">
        <is>
          <t xml:space="preserve">01252-00-056-000 </t>
        </is>
      </c>
      <c r="E681" s="258" t="inlineStr">
        <is>
          <t>Actual</t>
        </is>
      </c>
      <c r="F681" s="259" t="inlineStr">
        <is>
          <t>3800   QUENTIN              ST</t>
        </is>
      </c>
      <c r="G681" s="672" t="n">
        <v>44.1</v>
      </c>
      <c r="H681" s="253" t="n">
        <v>9104</v>
      </c>
      <c r="I681" s="255" t="n">
        <v>0</v>
      </c>
      <c r="J681" s="678" t="n">
        <v>25095</v>
      </c>
      <c r="K681" s="679" t="n">
        <v>4.303646144650329</v>
      </c>
      <c r="L681" s="260" t="n">
        <v>1</v>
      </c>
      <c r="M681" s="262" t="n">
        <v>0</v>
      </c>
      <c r="N681" s="253" t="n">
        <v>1990</v>
      </c>
      <c r="O681" s="250" t="n">
        <v>3274</v>
      </c>
      <c r="Q681" s="245" t="n">
        <v>24</v>
      </c>
      <c r="R681" s="245" t="n">
        <v>3</v>
      </c>
      <c r="S681" s="245" t="n">
        <v>1</v>
      </c>
      <c r="T681" s="249" t="inlineStr">
        <is>
          <t xml:space="preserve">I2   </t>
        </is>
      </c>
      <c r="U681" s="249" t="n">
        <v>401</v>
      </c>
      <c r="V681" s="678" t="n">
        <v>45240</v>
      </c>
      <c r="W681" s="678" t="n">
        <v>45000</v>
      </c>
      <c r="X681" s="356" t="inlineStr">
        <is>
          <t>1.8:1</t>
        </is>
      </c>
      <c r="Y681" s="678">
        <f>ROUND(J681,-3)</f>
        <v/>
      </c>
      <c r="Z681" s="249" t="inlineStr">
        <is>
          <t xml:space="preserve">C </t>
        </is>
      </c>
      <c r="AA681" s="245" t="n">
        <v>3</v>
      </c>
      <c r="AB681" s="245" t="n">
        <v>3</v>
      </c>
      <c r="AC681" s="253" t="inlineStr">
        <is>
          <t>33</t>
        </is>
      </c>
      <c r="AD681" s="247" t="inlineStr">
        <is>
          <t xml:space="preserve">PRINTING PLANT      </t>
        </is>
      </c>
      <c r="AE681" s="680" t="n"/>
      <c r="AF681" s="680" t="n"/>
      <c r="AG681" s="680" t="n"/>
      <c r="AH681" s="680" t="n"/>
      <c r="AI681" s="680" t="n"/>
      <c r="AJ681" s="680" t="n"/>
      <c r="AK681" s="680" t="inlineStr">
        <is>
          <t>                                                                  </t>
        </is>
      </c>
    </row>
    <row r="682">
      <c r="A682" s="248" t="n">
        <v>8</v>
      </c>
      <c r="B682" s="370" t="n">
        <v>674</v>
      </c>
      <c r="C682" s="254" t="inlineStr">
        <is>
          <t>2009Q</t>
        </is>
      </c>
      <c r="D682" s="245" t="inlineStr">
        <is>
          <t xml:space="preserve">01252-00-088-000 </t>
        </is>
      </c>
      <c r="E682" s="258" t="inlineStr">
        <is>
          <t>Actual</t>
        </is>
      </c>
      <c r="F682" s="259" t="inlineStr">
        <is>
          <t>3777   QUENTIN              ST</t>
        </is>
      </c>
      <c r="G682" s="672" t="n">
        <v>44.2</v>
      </c>
      <c r="H682" s="253" t="n">
        <v>9104</v>
      </c>
      <c r="I682" s="255" t="n">
        <v>0</v>
      </c>
      <c r="J682" s="678" t="n">
        <v>6000</v>
      </c>
      <c r="K682" s="679" t="n">
        <v>4</v>
      </c>
      <c r="L682" s="260" t="n">
        <v>0</v>
      </c>
      <c r="M682" s="262" t="n">
        <v>0</v>
      </c>
      <c r="N682" s="253" t="n">
        <v>2000</v>
      </c>
      <c r="O682" s="250">
        <f>3823+3055</f>
        <v/>
      </c>
      <c r="Q682" s="245" t="n">
        <v>24</v>
      </c>
      <c r="R682" s="245" t="n">
        <v>3</v>
      </c>
      <c r="S682" s="245" t="n">
        <v>5</v>
      </c>
      <c r="T682" s="249" t="inlineStr">
        <is>
          <t xml:space="preserve">I2   </t>
        </is>
      </c>
      <c r="U682" s="249" t="n">
        <v>398</v>
      </c>
      <c r="V682" s="678" t="n">
        <v>38408</v>
      </c>
      <c r="W682" s="678" t="n">
        <v>38000</v>
      </c>
      <c r="X682" s="356" t="inlineStr">
        <is>
          <t>3.2:1</t>
        </is>
      </c>
      <c r="Y682" s="678">
        <f>ROUND(J682,-3)</f>
        <v/>
      </c>
      <c r="Z682" s="249" t="inlineStr">
        <is>
          <t xml:space="preserve">C </t>
        </is>
      </c>
      <c r="AA682" s="245" t="n">
        <v>3</v>
      </c>
      <c r="AB682" s="245" t="n">
        <v>3</v>
      </c>
      <c r="AC682" s="253" t="inlineStr">
        <is>
          <t>33</t>
        </is>
      </c>
      <c r="AD682" s="247" t="inlineStr">
        <is>
          <t xml:space="preserve">M-W                 </t>
        </is>
      </c>
      <c r="AE682" s="680" t="n"/>
      <c r="AF682" s="680" t="n"/>
      <c r="AG682" s="680" t="n"/>
      <c r="AH682" s="680" t="n"/>
      <c r="AI682" s="680" t="n"/>
      <c r="AJ682" s="680" t="n"/>
      <c r="AK682" s="680" t="inlineStr">
        <is>
          <t xml:space="preserve">M-T WHSE.; 2 TENANTS; LEASES 2006 &amp; 2007.                         </t>
        </is>
      </c>
    </row>
    <row r="683">
      <c r="A683" s="248" t="n">
        <v>8</v>
      </c>
      <c r="B683" s="370" t="n">
        <v>675</v>
      </c>
      <c r="C683" s="254" t="inlineStr">
        <is>
          <t>2009Q</t>
        </is>
      </c>
      <c r="D683" s="245" t="inlineStr">
        <is>
          <t xml:space="preserve">01252-00-089-000 </t>
        </is>
      </c>
      <c r="E683" s="258" t="inlineStr">
        <is>
          <t>Actual</t>
        </is>
      </c>
      <c r="F683" s="259" t="inlineStr">
        <is>
          <t>12295 E 37TH                 AV</t>
        </is>
      </c>
      <c r="G683" s="672" t="n">
        <v>44.1</v>
      </c>
      <c r="H683" s="253" t="n">
        <v>9104</v>
      </c>
      <c r="I683" s="255" t="n">
        <v>0</v>
      </c>
      <c r="J683" s="678" t="n">
        <v>15000</v>
      </c>
      <c r="K683" s="679" t="n">
        <v>9</v>
      </c>
      <c r="L683" s="260" t="n">
        <v>0</v>
      </c>
      <c r="M683" s="262" t="n">
        <v>0</v>
      </c>
      <c r="N683" s="253" t="n">
        <v>1997</v>
      </c>
      <c r="O683" s="250" t="n">
        <v>1953</v>
      </c>
      <c r="Q683" s="245" t="n">
        <v>20</v>
      </c>
      <c r="R683" s="245" t="n">
        <v>3</v>
      </c>
      <c r="S683" s="245" t="n">
        <v>1</v>
      </c>
      <c r="T683" s="249" t="inlineStr">
        <is>
          <t xml:space="preserve">I2   </t>
        </is>
      </c>
      <c r="U683" s="249" t="n">
        <v>399</v>
      </c>
      <c r="V683" s="678" t="n">
        <v>111770</v>
      </c>
      <c r="W683" s="678" t="n">
        <v>110000</v>
      </c>
      <c r="X683" s="356" t="inlineStr">
        <is>
          <t>7.5:1</t>
        </is>
      </c>
      <c r="Y683" s="678">
        <f>ROUND(J683,-3)</f>
        <v/>
      </c>
      <c r="Z683" s="249" t="inlineStr">
        <is>
          <t xml:space="preserve">C </t>
        </is>
      </c>
      <c r="AA683" s="245" t="n">
        <v>3</v>
      </c>
      <c r="AB683" s="245" t="n">
        <v>3</v>
      </c>
      <c r="AC683" s="253" t="inlineStr">
        <is>
          <t>33</t>
        </is>
      </c>
      <c r="AD683" s="247" t="inlineStr">
        <is>
          <t xml:space="preserve">ARROW STAGE LINES   </t>
        </is>
      </c>
      <c r="AE683" s="680" t="n"/>
      <c r="AF683" s="680" t="n"/>
      <c r="AG683" s="680" t="n"/>
      <c r="AH683" s="680" t="n"/>
      <c r="AI683" s="680" t="n"/>
      <c r="AJ683" s="680" t="n"/>
      <c r="AK683" s="680" t="inlineStr">
        <is>
          <t xml:space="preserve">S-T WHSE.; YR-TO-YR LEASE.                                        </t>
        </is>
      </c>
    </row>
    <row r="684">
      <c r="A684" s="248" t="n">
        <v>8</v>
      </c>
      <c r="B684" s="370" t="n">
        <v>676</v>
      </c>
      <c r="C684" s="254" t="inlineStr">
        <is>
          <t>2009Q</t>
        </is>
      </c>
      <c r="D684" s="245" t="inlineStr">
        <is>
          <t xml:space="preserve">01252-00-095-000 </t>
        </is>
      </c>
      <c r="E684" s="258" t="inlineStr">
        <is>
          <t>Actual</t>
        </is>
      </c>
      <c r="F684" s="259" t="inlineStr">
        <is>
          <t>3751   REVERE               ST</t>
        </is>
      </c>
      <c r="G684" s="672" t="n">
        <v>44.1</v>
      </c>
      <c r="H684" s="253" t="n">
        <v>9104</v>
      </c>
      <c r="I684" s="255" t="n">
        <v>0</v>
      </c>
      <c r="J684" s="678" t="n">
        <v>54662</v>
      </c>
      <c r="K684" s="679" t="n">
        <v>5.10189894259266</v>
      </c>
      <c r="L684" s="260" t="n">
        <v>0</v>
      </c>
      <c r="M684" s="262" t="n">
        <v>0.1307515777395296</v>
      </c>
      <c r="N684" s="253" t="n">
        <v>1980</v>
      </c>
      <c r="O684" s="250" t="n">
        <v>3736</v>
      </c>
      <c r="Q684" s="245" t="n">
        <v>27</v>
      </c>
      <c r="R684" s="245" t="n">
        <v>14</v>
      </c>
      <c r="S684" s="245" t="n">
        <v>1</v>
      </c>
      <c r="T684" s="249" t="inlineStr">
        <is>
          <t xml:space="preserve">I2   </t>
        </is>
      </c>
      <c r="U684" s="249" t="n">
        <v>398</v>
      </c>
      <c r="V684" s="678" t="n">
        <v>99319</v>
      </c>
      <c r="W684" s="678" t="n">
        <v>100000</v>
      </c>
      <c r="X684" s="356" t="inlineStr">
        <is>
          <t>1.8:1</t>
        </is>
      </c>
      <c r="Y684" s="678">
        <f>ROUND(J684,-4)</f>
        <v/>
      </c>
      <c r="Z684" s="249" t="inlineStr">
        <is>
          <t xml:space="preserve">C </t>
        </is>
      </c>
      <c r="AA684" s="245" t="n">
        <v>3</v>
      </c>
      <c r="AB684" s="245" t="n">
        <v>3</v>
      </c>
      <c r="AC684" s="253" t="inlineStr">
        <is>
          <t>33</t>
        </is>
      </c>
      <c r="AD684" s="247" t="inlineStr">
        <is>
          <t xml:space="preserve">CONLEY              </t>
        </is>
      </c>
      <c r="AE684" s="680" t="n"/>
      <c r="AF684" s="680" t="n"/>
      <c r="AG684" s="680" t="n"/>
      <c r="AH684" s="680" t="n"/>
      <c r="AI684" s="680" t="n"/>
      <c r="AJ684" s="680" t="n"/>
      <c r="AK684" s="680" t="inlineStr">
        <is>
          <t xml:space="preserve">M-T WHSE.; 2 TENANTS; LEASES 2006-2007.                           </t>
        </is>
      </c>
    </row>
    <row r="685">
      <c r="A685" s="248" t="n">
        <v>8</v>
      </c>
      <c r="B685" s="370" t="n">
        <v>677</v>
      </c>
      <c r="C685" s="247" t="inlineStr">
        <is>
          <t>2009W</t>
        </is>
      </c>
      <c r="D685" s="245" t="inlineStr">
        <is>
          <t>01252-03-008-000</t>
        </is>
      </c>
      <c r="E685" s="249" t="inlineStr">
        <is>
          <t>Actual</t>
        </is>
      </c>
      <c r="F685" s="245" t="inlineStr">
        <is>
          <t>12695 E 39th Ave</t>
        </is>
      </c>
      <c r="G685" s="672" t="n">
        <v>44.3</v>
      </c>
      <c r="H685" s="245" t="n">
        <v>9104</v>
      </c>
      <c r="I685" s="249" t="n">
        <v>0</v>
      </c>
      <c r="J685" s="250" t="n">
        <v>153815</v>
      </c>
      <c r="K685" s="685" t="n">
        <v>3.27</v>
      </c>
      <c r="L685" s="365" t="n">
        <v>0</v>
      </c>
      <c r="M685" s="365" t="n">
        <v>0</v>
      </c>
      <c r="N685" s="245" t="n">
        <v>1973</v>
      </c>
      <c r="O685" s="250" t="n">
        <v>6892</v>
      </c>
      <c r="P685" s="245" t="n"/>
      <c r="Q685" s="245" t="n">
        <v>22</v>
      </c>
      <c r="R685" s="245" t="n">
        <v>10</v>
      </c>
      <c r="S685" s="245" t="n">
        <v>3</v>
      </c>
      <c r="T685" s="249" t="inlineStr">
        <is>
          <t>i2</t>
        </is>
      </c>
      <c r="U685" s="245" t="n">
        <v>398</v>
      </c>
      <c r="V685" s="250" t="n">
        <v>270532</v>
      </c>
      <c r="W685" s="250" t="n">
        <v>300000</v>
      </c>
      <c r="X685" s="253" t="inlineStr">
        <is>
          <t>2.0:1</t>
        </is>
      </c>
      <c r="Y685" s="250" t="n">
        <v>150000</v>
      </c>
      <c r="Z685" s="249" t="inlineStr">
        <is>
          <t>C</t>
        </is>
      </c>
      <c r="AA685" s="245" t="n">
        <v>3</v>
      </c>
      <c r="AB685" s="245" t="n">
        <v>3</v>
      </c>
      <c r="AC685" s="245" t="n">
        <v>33</v>
      </c>
      <c r="AD685" s="245" t="inlineStr">
        <is>
          <t>CERTAIN TEED</t>
        </is>
      </c>
      <c r="AE685" s="667" t="n">
        <v>3.27</v>
      </c>
      <c r="AF685" s="686" t="n">
        <v>3.27</v>
      </c>
      <c r="AG685" s="686" t="n">
        <v>3.27</v>
      </c>
      <c r="AH685" s="667" t="n">
        <v>0</v>
      </c>
      <c r="AI685" s="686" t="n">
        <v>0</v>
      </c>
      <c r="AJ685" s="667" t="n"/>
      <c r="AK685" s="245" t="inlineStr">
        <is>
          <t>BASE LEASE ON 54K SQFT AT $3.25</t>
        </is>
      </c>
    </row>
    <row r="686">
      <c r="A686" s="248" t="n">
        <v>8</v>
      </c>
      <c r="B686" s="370" t="n">
        <v>678</v>
      </c>
      <c r="C686" s="247" t="inlineStr">
        <is>
          <t>2009W</t>
        </is>
      </c>
      <c r="D686" s="245" t="inlineStr">
        <is>
          <t>01252-03-009-000</t>
        </is>
      </c>
      <c r="E686" s="249" t="inlineStr">
        <is>
          <t>Actual</t>
        </is>
      </c>
      <c r="F686" s="245" t="inlineStr">
        <is>
          <t>12850 E. 40th Ave</t>
        </is>
      </c>
      <c r="G686" s="672" t="n">
        <v>44.3</v>
      </c>
      <c r="H686" s="245" t="n">
        <v>9104</v>
      </c>
      <c r="I686" s="249" t="n">
        <v>0</v>
      </c>
      <c r="J686" s="250" t="n">
        <v>200000</v>
      </c>
      <c r="K686" s="685" t="n">
        <v>3.34</v>
      </c>
      <c r="L686" s="365" t="n">
        <v>0.04</v>
      </c>
      <c r="M686" s="365" t="n">
        <v>0</v>
      </c>
      <c r="N686" s="245" t="n">
        <v>1974</v>
      </c>
      <c r="O686" s="250" t="n">
        <v>16178</v>
      </c>
      <c r="P686" s="245" t="n"/>
      <c r="Q686" s="245" t="n">
        <v>22</v>
      </c>
      <c r="R686" s="245" t="n">
        <v>10</v>
      </c>
      <c r="S686" s="245" t="n">
        <v>3</v>
      </c>
      <c r="T686" s="249" t="inlineStr">
        <is>
          <t>I2</t>
        </is>
      </c>
      <c r="U686" s="245" t="n">
        <v>398</v>
      </c>
      <c r="V686" s="250" t="n">
        <v>442561</v>
      </c>
      <c r="W686" s="250" t="n">
        <v>500000</v>
      </c>
      <c r="X686" s="253" t="inlineStr">
        <is>
          <t>2.2:1</t>
        </is>
      </c>
      <c r="Y686" s="250" t="n">
        <v>200000</v>
      </c>
      <c r="Z686" s="249" t="inlineStr">
        <is>
          <t>C</t>
        </is>
      </c>
      <c r="AA686" s="245" t="n">
        <v>2</v>
      </c>
      <c r="AB686" s="245" t="n">
        <v>3</v>
      </c>
      <c r="AC686" s="245" t="n">
        <v>23</v>
      </c>
      <c r="AD686" s="245" t="inlineStr">
        <is>
          <t>Intertech</t>
        </is>
      </c>
      <c r="AE686" s="667" t="n">
        <v>3.34</v>
      </c>
      <c r="AF686" s="686">
        <f>AE686*0.96</f>
        <v/>
      </c>
      <c r="AG686" s="686" t="n">
        <v>3.21</v>
      </c>
      <c r="AH686" s="667" t="n">
        <v>0</v>
      </c>
      <c r="AI686" s="686" t="n">
        <v>0</v>
      </c>
      <c r="AJ686" s="667" t="n">
        <v>0</v>
      </c>
      <c r="AK686" s="245" t="inlineStr">
        <is>
          <t>10 to 15 year old long term leases</t>
        </is>
      </c>
    </row>
    <row r="687">
      <c r="A687" s="248" t="n">
        <v>8</v>
      </c>
      <c r="B687" s="370" t="n">
        <v>679</v>
      </c>
      <c r="C687" s="254" t="inlineStr">
        <is>
          <t>2009Q</t>
        </is>
      </c>
      <c r="D687" s="245" t="inlineStr">
        <is>
          <t xml:space="preserve">01261-00-013-000 </t>
        </is>
      </c>
      <c r="E687" s="258" t="inlineStr">
        <is>
          <t>Actual</t>
        </is>
      </c>
      <c r="F687" s="259" t="inlineStr">
        <is>
          <t>3737   PEORIA               ST</t>
        </is>
      </c>
      <c r="G687" s="672" t="n">
        <v>44.2</v>
      </c>
      <c r="H687" s="253" t="n">
        <v>9104</v>
      </c>
      <c r="I687" s="255" t="n">
        <v>3</v>
      </c>
      <c r="J687" s="678" t="n">
        <v>16875</v>
      </c>
      <c r="K687" s="679" t="n">
        <v>8.177777777777777</v>
      </c>
      <c r="L687" s="260" t="n">
        <v>0.6340740740740741</v>
      </c>
      <c r="M687" s="262" t="n">
        <v>0.07546376811594203</v>
      </c>
      <c r="N687" s="253" t="n">
        <v>1973</v>
      </c>
      <c r="O687" s="250">
        <f>1172*2</f>
        <v/>
      </c>
      <c r="Q687" s="245" t="n">
        <v>20</v>
      </c>
      <c r="R687" s="245" t="n">
        <v>10</v>
      </c>
      <c r="S687" s="245" t="n">
        <v>2</v>
      </c>
      <c r="T687" s="249" t="inlineStr">
        <is>
          <t xml:space="preserve">I2   </t>
        </is>
      </c>
      <c r="U687" s="249" t="n">
        <v>398</v>
      </c>
      <c r="V687" s="678" t="n">
        <v>31803</v>
      </c>
      <c r="W687" s="678" t="n">
        <v>32000</v>
      </c>
      <c r="X687" s="356" t="inlineStr">
        <is>
          <t>1.9:1</t>
        </is>
      </c>
      <c r="Y687" s="678">
        <f>ROUND(J687,-3)</f>
        <v/>
      </c>
      <c r="Z687" s="249" t="inlineStr">
        <is>
          <t xml:space="preserve">C </t>
        </is>
      </c>
      <c r="AA687" s="245" t="n">
        <v>3</v>
      </c>
      <c r="AB687" s="245" t="n">
        <v>3</v>
      </c>
      <c r="AC687" s="253" t="inlineStr">
        <is>
          <t>33</t>
        </is>
      </c>
      <c r="AD687" s="247" t="inlineStr">
        <is>
          <t xml:space="preserve">GOODYEAR            </t>
        </is>
      </c>
      <c r="AE687" s="680" t="n"/>
      <c r="AF687" s="680" t="n"/>
      <c r="AG687" s="680" t="n"/>
      <c r="AH687" s="680" t="n"/>
      <c r="AI687" s="680" t="n"/>
      <c r="AJ687" s="680" t="n"/>
      <c r="AK687" s="680" t="inlineStr">
        <is>
          <t xml:space="preserve">S-T WHSE.                                                         </t>
        </is>
      </c>
    </row>
    <row r="688">
      <c r="A688" s="248" t="n">
        <v>8</v>
      </c>
      <c r="B688" s="370" t="n">
        <v>680</v>
      </c>
      <c r="C688" s="254" t="inlineStr">
        <is>
          <t>2009Q</t>
        </is>
      </c>
      <c r="D688" s="245" t="inlineStr">
        <is>
          <t xml:space="preserve">01261-00-023-000 </t>
        </is>
      </c>
      <c r="E688" s="258" t="inlineStr">
        <is>
          <t>Actual</t>
        </is>
      </c>
      <c r="F688" s="259" t="inlineStr">
        <is>
          <t>3700   LIMA                 ST</t>
        </is>
      </c>
      <c r="G688" s="672" t="n">
        <v>44.3</v>
      </c>
      <c r="H688" s="253" t="n">
        <v>9104</v>
      </c>
      <c r="I688" s="255" t="n">
        <v>0</v>
      </c>
      <c r="J688" s="678" t="n">
        <v>152503</v>
      </c>
      <c r="K688" s="679" t="n">
        <v>3.25606709376209</v>
      </c>
      <c r="L688" s="260" t="n">
        <v>0</v>
      </c>
      <c r="M688" s="262" t="n">
        <v>0</v>
      </c>
      <c r="N688" s="253" t="n">
        <v>1986</v>
      </c>
      <c r="O688" s="250">
        <f>1428+419</f>
        <v/>
      </c>
      <c r="P688" s="250">
        <f>(2592*2)</f>
        <v/>
      </c>
      <c r="Q688" s="245" t="n">
        <v>22</v>
      </c>
      <c r="R688" s="245" t="n">
        <v>14</v>
      </c>
      <c r="S688" s="245" t="n">
        <v>1</v>
      </c>
      <c r="T688" s="249" t="inlineStr">
        <is>
          <t xml:space="preserve">I2   </t>
        </is>
      </c>
      <c r="U688" s="249" t="n">
        <v>398</v>
      </c>
      <c r="V688" s="678" t="n">
        <v>192587</v>
      </c>
      <c r="W688" s="678" t="n">
        <v>190000</v>
      </c>
      <c r="X688" s="356" t="inlineStr">
        <is>
          <t>1.3:1</t>
        </is>
      </c>
      <c r="Y688" s="678">
        <f>ROUND(J688,-4)</f>
        <v/>
      </c>
      <c r="Z688" s="249" t="inlineStr">
        <is>
          <t xml:space="preserve">C </t>
        </is>
      </c>
      <c r="AA688" s="245" t="n">
        <v>3</v>
      </c>
      <c r="AB688" s="245" t="n">
        <v>3</v>
      </c>
      <c r="AC688" s="253" t="inlineStr">
        <is>
          <t>33</t>
        </is>
      </c>
      <c r="AD688" s="247" t="inlineStr">
        <is>
          <t xml:space="preserve">S-W DELINE BOX      </t>
        </is>
      </c>
      <c r="AE688" s="680" t="n"/>
      <c r="AF688" s="680" t="n"/>
      <c r="AG688" s="680" t="n"/>
      <c r="AH688" s="680" t="n"/>
      <c r="AI688" s="680" t="n"/>
      <c r="AJ688" s="680" t="n"/>
      <c r="AK688" s="680" t="inlineStr">
        <is>
          <t xml:space="preserve">S-T WHSE.; 2006 LEASE.                                            </t>
        </is>
      </c>
    </row>
    <row r="689">
      <c r="A689" s="248" t="n">
        <v>8</v>
      </c>
      <c r="B689" s="370" t="n">
        <v>681</v>
      </c>
      <c r="C689" s="254" t="inlineStr">
        <is>
          <t>2009Q</t>
        </is>
      </c>
      <c r="D689" s="245" t="inlineStr">
        <is>
          <t xml:space="preserve">01333-27-011-000 </t>
        </is>
      </c>
      <c r="E689" s="258" t="inlineStr">
        <is>
          <t>Actual</t>
        </is>
      </c>
      <c r="F689" s="259" t="inlineStr">
        <is>
          <t>1521   SYRACUSE             ST</t>
        </is>
      </c>
      <c r="G689" s="672" t="n">
        <v>44.1</v>
      </c>
      <c r="H689" s="253" t="n">
        <v>9101</v>
      </c>
      <c r="I689" s="255" t="n">
        <v>0</v>
      </c>
      <c r="J689" s="678" t="n">
        <v>983</v>
      </c>
      <c r="K689" s="679" t="n">
        <v>5.595116988809766</v>
      </c>
      <c r="L689" s="260" t="n">
        <v>0</v>
      </c>
      <c r="M689" s="262" t="n">
        <v>0.1470909090909091</v>
      </c>
      <c r="N689" s="253" t="n">
        <v>1990</v>
      </c>
      <c r="Q689" s="245" t="n">
        <v>15</v>
      </c>
      <c r="R689" s="245" t="n">
        <v>3</v>
      </c>
      <c r="S689" s="245" t="n">
        <v>1</v>
      </c>
      <c r="T689" s="249" t="inlineStr">
        <is>
          <t xml:space="preserve">R1   </t>
        </is>
      </c>
      <c r="U689" s="249" t="n">
        <v>398</v>
      </c>
      <c r="V689" s="678" t="n">
        <v>5050</v>
      </c>
      <c r="W689" s="678" t="n">
        <v>5000</v>
      </c>
      <c r="X689" s="356" t="inlineStr">
        <is>
          <t>5.1:1</t>
        </is>
      </c>
      <c r="Y689" s="678">
        <f>ROUND(J689,-2)</f>
        <v/>
      </c>
      <c r="Z689" s="249" t="inlineStr">
        <is>
          <t xml:space="preserve">C </t>
        </is>
      </c>
      <c r="AA689" s="245" t="n">
        <v>3</v>
      </c>
      <c r="AB689" s="245" t="n">
        <v>3</v>
      </c>
      <c r="AC689" s="253" t="inlineStr">
        <is>
          <t>33</t>
        </is>
      </c>
      <c r="AD689" s="247" t="inlineStr">
        <is>
          <t xml:space="preserve">S-D AUTO STORAGE    </t>
        </is>
      </c>
      <c r="AE689" s="680" t="n"/>
      <c r="AF689" s="680" t="n"/>
      <c r="AG689" s="680" t="n"/>
      <c r="AH689" s="680" t="n"/>
      <c r="AI689" s="680" t="n"/>
      <c r="AJ689" s="680" t="n"/>
      <c r="AK689" s="680" t="inlineStr">
        <is>
          <t>                                                                  </t>
        </is>
      </c>
    </row>
    <row r="690">
      <c r="A690" s="248" t="n">
        <v>8</v>
      </c>
      <c r="B690" s="370" t="n">
        <v>682</v>
      </c>
      <c r="C690" s="254" t="inlineStr">
        <is>
          <t>2009Q</t>
        </is>
      </c>
      <c r="D690" s="245" t="inlineStr">
        <is>
          <t xml:space="preserve">02131-04-003-000 </t>
        </is>
      </c>
      <c r="E690" s="258" t="inlineStr">
        <is>
          <t>Actual</t>
        </is>
      </c>
      <c r="F690" s="259" t="inlineStr">
        <is>
          <t>5300   MONROE               ST</t>
        </is>
      </c>
      <c r="G690" s="672" t="n">
        <v>44.1</v>
      </c>
      <c r="H690" s="253" t="n">
        <v>9201</v>
      </c>
      <c r="I690" s="255" t="n">
        <v>0</v>
      </c>
      <c r="J690" s="678" t="n">
        <v>15699</v>
      </c>
      <c r="K690" s="679" t="n">
        <v>4.35696541180967</v>
      </c>
      <c r="L690" s="260" t="n">
        <v>0</v>
      </c>
      <c r="M690" s="262" t="n">
        <v>0.4841374269005848</v>
      </c>
      <c r="N690" s="253" t="n">
        <v>1964</v>
      </c>
      <c r="O690" s="678" t="n">
        <v>778</v>
      </c>
      <c r="P690" s="678" t="n"/>
      <c r="Q690" s="245" t="n">
        <v>17</v>
      </c>
      <c r="R690" s="245" t="n">
        <v>3</v>
      </c>
      <c r="S690" s="245" t="n">
        <v>1</v>
      </c>
      <c r="T690" s="249" t="inlineStr">
        <is>
          <t xml:space="preserve">I1   </t>
        </is>
      </c>
      <c r="U690" s="249" t="n">
        <v>332</v>
      </c>
      <c r="V690" s="678" t="n">
        <v>25000</v>
      </c>
      <c r="W690" s="678" t="n">
        <v>25000</v>
      </c>
      <c r="X690" s="356" t="inlineStr">
        <is>
          <t>1.6:1</t>
        </is>
      </c>
      <c r="Y690" s="678">
        <f>ROUND(J690,-3)</f>
        <v/>
      </c>
      <c r="Z690" s="249" t="inlineStr">
        <is>
          <t xml:space="preserve">C </t>
        </is>
      </c>
      <c r="AA690" s="245" t="n">
        <v>3</v>
      </c>
      <c r="AB690" s="245" t="n">
        <v>3</v>
      </c>
      <c r="AC690" s="253" t="n">
        <v>33</v>
      </c>
      <c r="AD690" s="247" t="inlineStr">
        <is>
          <t>                    </t>
        </is>
      </c>
      <c r="AE690" s="680" t="n"/>
      <c r="AF690" s="680" t="n"/>
      <c r="AG690" s="680" t="n"/>
      <c r="AH690" s="680" t="n"/>
      <c r="AI690" s="680" t="n"/>
      <c r="AJ690" s="680" t="n"/>
      <c r="AK690" s="680" t="inlineStr">
        <is>
          <t>                                                                  </t>
        </is>
      </c>
    </row>
    <row r="691">
      <c r="A691" s="248" t="n">
        <v>8</v>
      </c>
      <c r="B691" s="370" t="n">
        <v>683</v>
      </c>
      <c r="C691" s="254" t="inlineStr">
        <is>
          <t>2009Q</t>
        </is>
      </c>
      <c r="D691" s="245" t="inlineStr">
        <is>
          <t xml:space="preserve">02131-06-008-000 </t>
        </is>
      </c>
      <c r="E691" s="258" t="inlineStr">
        <is>
          <t>Actual</t>
        </is>
      </c>
      <c r="F691" s="259" t="inlineStr">
        <is>
          <t>5305   ADAMS                ST</t>
        </is>
      </c>
      <c r="G691" s="672" t="n">
        <v>44.1</v>
      </c>
      <c r="H691" s="253" t="n">
        <v>9201</v>
      </c>
      <c r="I691" s="255" t="n">
        <v>0</v>
      </c>
      <c r="J691" s="678" t="n">
        <v>1007</v>
      </c>
      <c r="K691" s="679" t="n">
        <v>13.10824230387289</v>
      </c>
      <c r="L691" s="260" t="n">
        <v>0</v>
      </c>
      <c r="M691" s="262" t="n">
        <v>0.08333333333333333</v>
      </c>
      <c r="N691" s="253" t="n">
        <v>1932</v>
      </c>
      <c r="O691" s="250" t="inlineStr">
        <is>
          <t> </t>
        </is>
      </c>
      <c r="Q691" s="245" t="n">
        <v>8</v>
      </c>
      <c r="R691" s="245" t="n">
        <v>2</v>
      </c>
      <c r="S691" s="245" t="n">
        <v>1</v>
      </c>
      <c r="T691" s="249" t="inlineStr">
        <is>
          <t xml:space="preserve">I1   </t>
        </is>
      </c>
      <c r="U691" s="249" t="n">
        <v>398</v>
      </c>
      <c r="V691" s="678" t="n">
        <v>31875</v>
      </c>
      <c r="W691" s="678" t="n">
        <v>32000</v>
      </c>
      <c r="X691" s="356" t="inlineStr">
        <is>
          <t>31.7:1</t>
        </is>
      </c>
      <c r="Y691" s="678">
        <f>ROUND(J691,-2)</f>
        <v/>
      </c>
      <c r="Z691" s="249" t="inlineStr">
        <is>
          <t xml:space="preserve">C </t>
        </is>
      </c>
      <c r="AA691" s="245" t="n">
        <v>3</v>
      </c>
      <c r="AB691" s="245" t="n">
        <v>1</v>
      </c>
      <c r="AC691" s="253" t="inlineStr">
        <is>
          <t>31</t>
        </is>
      </c>
      <c r="AD691" s="247" t="inlineStr">
        <is>
          <t xml:space="preserve">DIST/CONVERSION     </t>
        </is>
      </c>
      <c r="AE691" s="680" t="n"/>
      <c r="AF691" s="680" t="n"/>
      <c r="AG691" s="680" t="n"/>
      <c r="AH691" s="680" t="n"/>
      <c r="AI691" s="680" t="n"/>
      <c r="AJ691" s="680" t="n"/>
      <c r="AK691" s="680" t="inlineStr">
        <is>
          <t xml:space="preserve">S-T WHSE.                                                         </t>
        </is>
      </c>
    </row>
    <row r="692">
      <c r="A692" s="248" t="n">
        <v>8</v>
      </c>
      <c r="B692" s="370" t="n">
        <v>684</v>
      </c>
      <c r="C692" s="254" t="inlineStr">
        <is>
          <t>2009Q</t>
        </is>
      </c>
      <c r="D692" s="245" t="inlineStr">
        <is>
          <t xml:space="preserve">02131-07-019-000 </t>
        </is>
      </c>
      <c r="E692" s="258" t="inlineStr">
        <is>
          <t>Actual</t>
        </is>
      </c>
      <c r="F692" s="259" t="inlineStr">
        <is>
          <t>5270   STEELE               ST</t>
        </is>
      </c>
      <c r="G692" s="672" t="n">
        <v>44.1</v>
      </c>
      <c r="H692" s="253" t="n">
        <v>9201</v>
      </c>
      <c r="I692" s="255" t="n">
        <v>0</v>
      </c>
      <c r="J692" s="678" t="n">
        <v>6400</v>
      </c>
      <c r="K692" s="679" t="n">
        <v>3.46875</v>
      </c>
      <c r="L692" s="260" t="n">
        <v>0</v>
      </c>
      <c r="M692" s="262" t="n">
        <v>0.07229729729729729</v>
      </c>
      <c r="N692" s="253" t="n">
        <v>1972</v>
      </c>
      <c r="O692" s="250" t="n">
        <v>360</v>
      </c>
      <c r="Q692" s="245" t="n">
        <v>15</v>
      </c>
      <c r="R692" s="245" t="n">
        <v>7</v>
      </c>
      <c r="S692" s="245" t="n">
        <v>1</v>
      </c>
      <c r="T692" s="249" t="inlineStr">
        <is>
          <t xml:space="preserve">I1   </t>
        </is>
      </c>
      <c r="U692" s="249" t="n">
        <v>398</v>
      </c>
      <c r="V692" s="678" t="n">
        <v>12750</v>
      </c>
      <c r="W692" s="678" t="n">
        <v>13000</v>
      </c>
      <c r="X692" s="356" t="inlineStr">
        <is>
          <t>2.0:1</t>
        </is>
      </c>
      <c r="Y692" s="678">
        <f>ROUND(J692,-3)</f>
        <v/>
      </c>
      <c r="Z692" s="249" t="inlineStr">
        <is>
          <t xml:space="preserve">C </t>
        </is>
      </c>
      <c r="AA692" s="245" t="n">
        <v>3</v>
      </c>
      <c r="AB692" s="245" t="n">
        <v>3</v>
      </c>
      <c r="AC692" s="253" t="inlineStr">
        <is>
          <t>33</t>
        </is>
      </c>
      <c r="AD692" s="247" t="inlineStr">
        <is>
          <t>                    </t>
        </is>
      </c>
      <c r="AE692" s="680" t="n"/>
      <c r="AF692" s="680" t="n"/>
      <c r="AG692" s="680" t="n"/>
      <c r="AH692" s="680" t="n"/>
      <c r="AI692" s="680" t="n"/>
      <c r="AJ692" s="680" t="n"/>
      <c r="AK692" s="680" t="inlineStr">
        <is>
          <t xml:space="preserve">S-T WHSE.; MO-TO-MO LEASE                                         </t>
        </is>
      </c>
    </row>
    <row r="693">
      <c r="A693" s="248" t="n">
        <v>8</v>
      </c>
      <c r="B693" s="370" t="n">
        <v>685</v>
      </c>
      <c r="C693" s="254" t="inlineStr">
        <is>
          <t>2009Q</t>
        </is>
      </c>
      <c r="D693" s="245" t="inlineStr">
        <is>
          <t xml:space="preserve">02132-00-039-000 </t>
        </is>
      </c>
      <c r="E693" s="258" t="inlineStr">
        <is>
          <t>Actual</t>
        </is>
      </c>
      <c r="F693" s="259" t="inlineStr">
        <is>
          <t>3055 E 52ND                 AV</t>
        </is>
      </c>
      <c r="G693" s="672" t="n">
        <v>44.2</v>
      </c>
      <c r="H693" s="253" t="n">
        <v>9201</v>
      </c>
      <c r="I693" s="255" t="n">
        <v>0</v>
      </c>
      <c r="J693" s="678" t="n">
        <v>24250</v>
      </c>
      <c r="K693" s="679" t="n">
        <v>4.072577319587629</v>
      </c>
      <c r="L693" s="260" t="n">
        <v>0</v>
      </c>
      <c r="M693" s="262" t="n">
        <v>0.1206460105305792</v>
      </c>
      <c r="N693" s="253" t="n">
        <v>1963</v>
      </c>
      <c r="O693" s="250" t="n">
        <v>2784</v>
      </c>
      <c r="Q693" s="245" t="n">
        <v>14</v>
      </c>
      <c r="R693" s="245" t="n">
        <v>3</v>
      </c>
      <c r="S693" s="245" t="n">
        <v>5</v>
      </c>
      <c r="T693" s="249" t="inlineStr">
        <is>
          <t xml:space="preserve">I1   </t>
        </is>
      </c>
      <c r="U693" s="249" t="n">
        <v>398</v>
      </c>
      <c r="V693" s="678" t="n">
        <v>58000</v>
      </c>
      <c r="W693" s="678" t="n">
        <v>60000</v>
      </c>
      <c r="X693" s="356" t="inlineStr">
        <is>
          <t>2.4:1</t>
        </is>
      </c>
      <c r="Y693" s="678">
        <f>ROUND(J693,-3)</f>
        <v/>
      </c>
      <c r="Z693" s="249" t="inlineStr">
        <is>
          <t xml:space="preserve">C </t>
        </is>
      </c>
      <c r="AA693" s="245" t="n">
        <v>3</v>
      </c>
      <c r="AB693" s="245" t="n">
        <v>3</v>
      </c>
      <c r="AC693" s="253" t="inlineStr">
        <is>
          <t>33</t>
        </is>
      </c>
      <c r="AD693" s="247" t="inlineStr">
        <is>
          <t xml:space="preserve">DIST/STRGE WHSE     </t>
        </is>
      </c>
      <c r="AE693" s="680" t="n"/>
      <c r="AF693" s="680" t="n"/>
      <c r="AG693" s="680" t="n"/>
      <c r="AH693" s="680" t="n"/>
      <c r="AI693" s="680" t="n"/>
      <c r="AJ693" s="680" t="n"/>
      <c r="AK693" s="680" t="inlineStr">
        <is>
          <t xml:space="preserve">M-T WHSE; 3 TENANTS; LEASES 2006 &amp; 2007.                          </t>
        </is>
      </c>
    </row>
    <row r="694">
      <c r="A694" s="248" t="n">
        <v>8</v>
      </c>
      <c r="B694" s="370" t="n">
        <v>686</v>
      </c>
      <c r="C694" s="254" t="inlineStr">
        <is>
          <t>2009Q</t>
        </is>
      </c>
      <c r="D694" s="245" t="inlineStr">
        <is>
          <t xml:space="preserve">02134-00-023-000 </t>
        </is>
      </c>
      <c r="E694" s="258" t="inlineStr">
        <is>
          <t>Actual</t>
        </is>
      </c>
      <c r="F694" s="259" t="inlineStr">
        <is>
          <t>5000   VASQUEZ              BV</t>
        </is>
      </c>
      <c r="G694" s="672" t="n">
        <v>44.2</v>
      </c>
      <c r="H694" s="253" t="n">
        <v>9201</v>
      </c>
      <c r="I694" s="255" t="n">
        <v>0</v>
      </c>
      <c r="J694" s="678" t="n">
        <v>43087</v>
      </c>
      <c r="K694" s="679" t="n">
        <v>7.805695453385011</v>
      </c>
      <c r="L694" s="260" t="n">
        <v>0</v>
      </c>
      <c r="M694" s="262" t="n">
        <v>0</v>
      </c>
      <c r="N694" s="253" t="n">
        <v>1950</v>
      </c>
      <c r="O694" s="250" t="n">
        <v>12200</v>
      </c>
      <c r="Q694" s="245" t="n">
        <v>17</v>
      </c>
      <c r="R694" s="245" t="n">
        <v>1</v>
      </c>
      <c r="S694" s="245" t="n">
        <v>1</v>
      </c>
      <c r="T694" s="249" t="inlineStr">
        <is>
          <t xml:space="preserve">I1   </t>
        </is>
      </c>
      <c r="U694" s="249" t="n">
        <v>398</v>
      </c>
      <c r="V694" s="678" t="n">
        <v>195500</v>
      </c>
      <c r="W694" s="678" t="n">
        <v>200000</v>
      </c>
      <c r="X694" s="356" t="inlineStr">
        <is>
          <t>4.5:1</t>
        </is>
      </c>
      <c r="Y694" s="678">
        <f>ROUND(J694,-3)</f>
        <v/>
      </c>
      <c r="Z694" s="249" t="inlineStr">
        <is>
          <t xml:space="preserve">C </t>
        </is>
      </c>
      <c r="AA694" s="245" t="n">
        <v>3</v>
      </c>
      <c r="AB694" s="245" t="n">
        <v>3</v>
      </c>
      <c r="AC694" s="253" t="inlineStr">
        <is>
          <t>33</t>
        </is>
      </c>
      <c r="AD694" s="247" t="inlineStr">
        <is>
          <t xml:space="preserve">POWER MOTIVE        </t>
        </is>
      </c>
      <c r="AE694" s="680" t="n"/>
      <c r="AF694" s="680" t="n"/>
      <c r="AG694" s="680" t="n"/>
      <c r="AH694" s="680" t="n"/>
      <c r="AI694" s="680" t="n"/>
      <c r="AJ694" s="680" t="n"/>
      <c r="AK694" s="680" t="inlineStr">
        <is>
          <t xml:space="preserve">S-T WHSE.; 2005 LEASE                                             </t>
        </is>
      </c>
    </row>
    <row r="695">
      <c r="A695" s="248" t="n">
        <v>8</v>
      </c>
      <c r="B695" s="370" t="n">
        <v>687</v>
      </c>
      <c r="C695" s="254" t="inlineStr">
        <is>
          <t>2009Q</t>
        </is>
      </c>
      <c r="D695" s="245" t="inlineStr">
        <is>
          <t xml:space="preserve">02134-00-090-000 </t>
        </is>
      </c>
      <c r="E695" s="258" t="inlineStr">
        <is>
          <t>Actual</t>
        </is>
      </c>
      <c r="F695" s="259" t="inlineStr">
        <is>
          <t>4901   VASQUEZ              BV</t>
        </is>
      </c>
      <c r="G695" s="672" t="n">
        <v>44.2</v>
      </c>
      <c r="H695" s="253" t="n">
        <v>9201</v>
      </c>
      <c r="I695" s="255" t="n">
        <v>0</v>
      </c>
      <c r="J695" s="678" t="n">
        <v>28581</v>
      </c>
      <c r="K695" s="679" t="n">
        <v>3.51978587173297</v>
      </c>
      <c r="L695" s="260" t="n">
        <v>0</v>
      </c>
      <c r="M695" s="262" t="n">
        <v>0.04572610065706419</v>
      </c>
      <c r="N695" s="253" t="n">
        <v>1967</v>
      </c>
      <c r="O695" s="678" t="n">
        <v>4984</v>
      </c>
      <c r="P695" s="678" t="n"/>
      <c r="Q695" s="245" t="n">
        <v>15</v>
      </c>
      <c r="R695" s="245" t="n">
        <v>4</v>
      </c>
      <c r="S695" s="245" t="n">
        <v>2</v>
      </c>
      <c r="T695" s="249" t="inlineStr">
        <is>
          <t xml:space="preserve">I0   </t>
        </is>
      </c>
      <c r="U695" s="249" t="n">
        <v>332</v>
      </c>
      <c r="V695" s="678" t="n">
        <v>104879</v>
      </c>
      <c r="W695" s="678" t="n">
        <v>100000</v>
      </c>
      <c r="X695" s="356" t="inlineStr">
        <is>
          <t>3.7:1</t>
        </is>
      </c>
      <c r="Y695" s="678">
        <f>ROUND(J695,-3)</f>
        <v/>
      </c>
      <c r="Z695" s="249" t="inlineStr">
        <is>
          <t xml:space="preserve">C </t>
        </is>
      </c>
      <c r="AA695" s="245" t="n">
        <v>3</v>
      </c>
      <c r="AB695" s="245" t="n">
        <v>3</v>
      </c>
      <c r="AC695" s="253" t="n">
        <v>33</v>
      </c>
      <c r="AD695" s="247" t="inlineStr">
        <is>
          <t xml:space="preserve">GOODYEAR TRK ALNMT  </t>
        </is>
      </c>
      <c r="AE695" s="680" t="n"/>
      <c r="AF695" s="680" t="n"/>
      <c r="AG695" s="680" t="n"/>
      <c r="AH695" s="680" t="n"/>
      <c r="AI695" s="680" t="n"/>
      <c r="AJ695" s="680" t="n"/>
      <c r="AK695" s="680" t="inlineStr">
        <is>
          <t>                                                                  </t>
        </is>
      </c>
    </row>
    <row r="696">
      <c r="A696" s="248" t="n">
        <v>8</v>
      </c>
      <c r="B696" s="370" t="n">
        <v>688</v>
      </c>
      <c r="C696" s="254" t="inlineStr">
        <is>
          <t>2009Q</t>
        </is>
      </c>
      <c r="D696" s="245" t="inlineStr">
        <is>
          <t xml:space="preserve">02134-00-158-000 </t>
        </is>
      </c>
      <c r="E696" s="258" t="inlineStr">
        <is>
          <t>Actual</t>
        </is>
      </c>
      <c r="F696" s="259" t="inlineStr">
        <is>
          <t>5105   COOK                 ST</t>
        </is>
      </c>
      <c r="G696" s="672" t="n">
        <v>44.1</v>
      </c>
      <c r="H696" s="253" t="n">
        <v>9201</v>
      </c>
      <c r="I696" s="255" t="n">
        <v>0</v>
      </c>
      <c r="J696" s="678" t="n">
        <v>29787</v>
      </c>
      <c r="K696" s="679" t="n">
        <v>5.237184006445765</v>
      </c>
      <c r="L696" s="260" t="n">
        <v>0</v>
      </c>
      <c r="M696" s="262" t="n">
        <v>0</v>
      </c>
      <c r="N696" s="253" t="n">
        <v>1983</v>
      </c>
      <c r="O696" s="250" t="n">
        <v>1063</v>
      </c>
      <c r="Q696" s="245" t="n">
        <v>18</v>
      </c>
      <c r="R696" s="245" t="n">
        <v>10</v>
      </c>
      <c r="S696" s="245" t="n">
        <v>1</v>
      </c>
      <c r="T696" s="249" t="inlineStr">
        <is>
          <t xml:space="preserve">I1   </t>
        </is>
      </c>
      <c r="U696" s="249" t="n">
        <v>398</v>
      </c>
      <c r="V696" s="678" t="n">
        <v>130639</v>
      </c>
      <c r="W696" s="678" t="n">
        <v>130000</v>
      </c>
      <c r="X696" s="356" t="inlineStr">
        <is>
          <t>4.4:1</t>
        </is>
      </c>
      <c r="Y696" s="678">
        <f>ROUND(J696,-3)</f>
        <v/>
      </c>
      <c r="Z696" s="249" t="inlineStr">
        <is>
          <t xml:space="preserve">C </t>
        </is>
      </c>
      <c r="AA696" s="245" t="n">
        <v>3</v>
      </c>
      <c r="AB696" s="245" t="n">
        <v>3</v>
      </c>
      <c r="AC696" s="253" t="inlineStr">
        <is>
          <t>33</t>
        </is>
      </c>
      <c r="AD696" s="247" t="inlineStr">
        <is>
          <t xml:space="preserve">SAMS PRODUCE        </t>
        </is>
      </c>
      <c r="AE696" s="680" t="n"/>
      <c r="AF696" s="680" t="n"/>
      <c r="AG696" s="680" t="n"/>
      <c r="AH696" s="680" t="n"/>
      <c r="AI696" s="680" t="n"/>
      <c r="AJ696" s="680" t="n"/>
      <c r="AK696" s="680" t="inlineStr">
        <is>
          <t xml:space="preserve">S-T WHSE.; AGE OF LEASE UNKNOWN.                                  </t>
        </is>
      </c>
    </row>
    <row r="697">
      <c r="A697" s="248" t="n">
        <v>8</v>
      </c>
      <c r="B697" s="370" t="n">
        <v>689</v>
      </c>
      <c r="C697" s="254" t="inlineStr">
        <is>
          <t>2009Q</t>
        </is>
      </c>
      <c r="D697" s="245" t="inlineStr">
        <is>
          <t xml:space="preserve">02134-02-035-000 </t>
        </is>
      </c>
      <c r="E697" s="258" t="inlineStr">
        <is>
          <t>Actual</t>
        </is>
      </c>
      <c r="F697" s="259" t="inlineStr">
        <is>
          <t>3650 E 50TH                 AV</t>
        </is>
      </c>
      <c r="G697" s="672" t="n">
        <v>44.2</v>
      </c>
      <c r="H697" s="253" t="n">
        <v>9201</v>
      </c>
      <c r="I697" s="255" t="n">
        <v>0</v>
      </c>
      <c r="J697" s="678" t="n">
        <v>10014</v>
      </c>
      <c r="K697" s="679" t="n">
        <v>5.751947273816657</v>
      </c>
      <c r="L697" s="260" t="n">
        <v>0</v>
      </c>
      <c r="M697" s="262" t="n">
        <v>0</v>
      </c>
      <c r="N697" s="253" t="n">
        <v>1958</v>
      </c>
      <c r="O697" s="250" t="n">
        <v>1620</v>
      </c>
      <c r="Q697" s="245" t="n">
        <v>15</v>
      </c>
      <c r="R697" s="245" t="n">
        <v>1</v>
      </c>
      <c r="S697" s="245" t="n">
        <v>1</v>
      </c>
      <c r="T697" s="249" t="inlineStr">
        <is>
          <t xml:space="preserve">I1   </t>
        </is>
      </c>
      <c r="U697" s="249" t="n">
        <v>398</v>
      </c>
      <c r="V697" s="678" t="n">
        <v>23865</v>
      </c>
      <c r="W697" s="678" t="n">
        <v>24000</v>
      </c>
      <c r="X697" s="356" t="inlineStr">
        <is>
          <t>2.4:1</t>
        </is>
      </c>
      <c r="Y697" s="678">
        <f>ROUND(J697,-3)</f>
        <v/>
      </c>
      <c r="Z697" s="249" t="inlineStr">
        <is>
          <t xml:space="preserve">C </t>
        </is>
      </c>
      <c r="AA697" s="245" t="n">
        <v>3</v>
      </c>
      <c r="AB697" s="245" t="n">
        <v>3</v>
      </c>
      <c r="AC697" s="253" t="inlineStr">
        <is>
          <t>33</t>
        </is>
      </c>
      <c r="AD697" s="247" t="inlineStr">
        <is>
          <t>                    </t>
        </is>
      </c>
      <c r="AE697" s="680" t="n"/>
      <c r="AF697" s="680" t="n"/>
      <c r="AG697" s="680" t="n"/>
      <c r="AH697" s="680" t="n"/>
      <c r="AI697" s="680" t="n"/>
      <c r="AJ697" s="680" t="n"/>
      <c r="AK697" s="680" t="inlineStr">
        <is>
          <t xml:space="preserve">S-T WHSE; CHECKED OWNER-OCC BUT HAS 2008 LEASE DATA.              </t>
        </is>
      </c>
    </row>
    <row r="698">
      <c r="A698" s="248" t="n">
        <v>8</v>
      </c>
      <c r="B698" s="370" t="n">
        <v>690</v>
      </c>
      <c r="C698" s="254" t="inlineStr">
        <is>
          <t>2009Q</t>
        </is>
      </c>
      <c r="D698" s="245" t="inlineStr">
        <is>
          <t xml:space="preserve">02134-02-036-000 </t>
        </is>
      </c>
      <c r="E698" s="258" t="inlineStr">
        <is>
          <t>Actual</t>
        </is>
      </c>
      <c r="F698" s="259" t="inlineStr">
        <is>
          <t>3625 E 48TH                 AV</t>
        </is>
      </c>
      <c r="G698" s="672" t="n">
        <v>44.2</v>
      </c>
      <c r="H698" s="253" t="n">
        <v>9201</v>
      </c>
      <c r="I698" s="255" t="n">
        <v>0</v>
      </c>
      <c r="J698" s="678" t="n">
        <v>62114</v>
      </c>
      <c r="K698" s="679" t="n">
        <v>1.738738448658917</v>
      </c>
      <c r="L698" s="260" t="n">
        <v>0</v>
      </c>
      <c r="M698" s="262" t="n">
        <v>0.01666666666666667</v>
      </c>
      <c r="N698" s="253" t="n">
        <v>1968</v>
      </c>
      <c r="O698" s="250" t="n">
        <v>7962</v>
      </c>
      <c r="Q698" s="245" t="n">
        <v>17</v>
      </c>
      <c r="R698" s="245" t="n">
        <v>3</v>
      </c>
      <c r="S698" s="245" t="n">
        <v>1</v>
      </c>
      <c r="T698" s="249" t="inlineStr">
        <is>
          <t xml:space="preserve">I1   </t>
        </is>
      </c>
      <c r="U698" s="249" t="n">
        <v>398</v>
      </c>
      <c r="V698" s="678" t="n">
        <v>141100</v>
      </c>
      <c r="W698" s="678" t="n">
        <v>140000</v>
      </c>
      <c r="X698" s="356" t="inlineStr">
        <is>
          <t>2.3:1</t>
        </is>
      </c>
      <c r="Y698" s="678">
        <f>ROUND(J698,-4)</f>
        <v/>
      </c>
      <c r="Z698" s="249" t="inlineStr">
        <is>
          <t xml:space="preserve">C </t>
        </is>
      </c>
      <c r="AA698" s="245" t="n">
        <v>2</v>
      </c>
      <c r="AB698" s="245" t="n">
        <v>2</v>
      </c>
      <c r="AC698" s="253" t="inlineStr">
        <is>
          <t>22</t>
        </is>
      </c>
      <c r="AD698" s="247" t="inlineStr">
        <is>
          <t>                    </t>
        </is>
      </c>
      <c r="AE698" s="680" t="n"/>
      <c r="AF698" s="680" t="n"/>
      <c r="AG698" s="680" t="n"/>
      <c r="AH698" s="680" t="n"/>
      <c r="AI698" s="680" t="n"/>
      <c r="AJ698" s="680" t="n"/>
      <c r="AK698" s="680" t="inlineStr">
        <is>
          <t xml:space="preserve">S-T WHSE.                                                         </t>
        </is>
      </c>
    </row>
    <row r="699">
      <c r="A699" s="248" t="n">
        <v>8</v>
      </c>
      <c r="B699" s="370" t="n">
        <v>691</v>
      </c>
      <c r="C699" s="254" t="inlineStr">
        <is>
          <t>2009Q</t>
        </is>
      </c>
      <c r="D699" s="245" t="inlineStr">
        <is>
          <t xml:space="preserve">02143-00-032-000 </t>
        </is>
      </c>
      <c r="E699" s="258" t="inlineStr">
        <is>
          <t>Actual</t>
        </is>
      </c>
      <c r="F699" s="259" t="inlineStr">
        <is>
          <t>707 E 50TH                 AV</t>
        </is>
      </c>
      <c r="G699" s="672" t="n">
        <v>45.6</v>
      </c>
      <c r="H699" s="253" t="n">
        <v>9201</v>
      </c>
      <c r="I699" s="255" t="n">
        <v>0</v>
      </c>
      <c r="J699" s="678" t="n">
        <v>15977</v>
      </c>
      <c r="K699" s="679" t="n">
        <v>10.64029542467297</v>
      </c>
      <c r="L699" s="260" t="n">
        <v>0</v>
      </c>
      <c r="M699" s="262" t="n">
        <v>0.02713529411764706</v>
      </c>
      <c r="N699" s="253" t="n">
        <v>1956</v>
      </c>
      <c r="O699" s="250" t="n">
        <v>851</v>
      </c>
      <c r="Q699" s="245" t="n">
        <v>15</v>
      </c>
      <c r="R699" s="245" t="n">
        <v>1</v>
      </c>
      <c r="S699" s="245" t="n">
        <v>1</v>
      </c>
      <c r="T699" s="249" t="inlineStr">
        <is>
          <t xml:space="preserve">I1   </t>
        </is>
      </c>
      <c r="U699" s="249" t="n">
        <v>401</v>
      </c>
      <c r="V699" s="678" t="n">
        <v>31600</v>
      </c>
      <c r="W699" s="678" t="n">
        <v>32000</v>
      </c>
      <c r="X699" s="356" t="inlineStr">
        <is>
          <t>2.0:1</t>
        </is>
      </c>
      <c r="Y699" s="678">
        <f>ROUND(J699,-3)</f>
        <v/>
      </c>
      <c r="Z699" s="249" t="inlineStr">
        <is>
          <t xml:space="preserve">C </t>
        </is>
      </c>
      <c r="AA699" s="245" t="n">
        <v>3</v>
      </c>
      <c r="AB699" s="245" t="n">
        <v>3</v>
      </c>
      <c r="AC699" s="253" t="inlineStr">
        <is>
          <t>33</t>
        </is>
      </c>
      <c r="AD699" s="247" t="inlineStr">
        <is>
          <t xml:space="preserve">CASTLE ROCK MEATS   </t>
        </is>
      </c>
      <c r="AE699" s="680" t="n"/>
      <c r="AF699" s="680" t="n"/>
      <c r="AG699" s="680" t="n"/>
      <c r="AH699" s="680" t="n"/>
      <c r="AI699" s="680" t="n"/>
      <c r="AJ699" s="680" t="n"/>
      <c r="AK699" s="680" t="inlineStr">
        <is>
          <t xml:space="preserve">S-T INDUSTRIAL BLDG; LEASE DATES FROM 2002.                       </t>
        </is>
      </c>
    </row>
    <row r="700">
      <c r="A700" s="248" t="n">
        <v>8</v>
      </c>
      <c r="B700" s="370" t="n">
        <v>692</v>
      </c>
      <c r="C700" s="254" t="inlineStr">
        <is>
          <t>2009Q</t>
        </is>
      </c>
      <c r="D700" s="245" t="inlineStr">
        <is>
          <t xml:space="preserve">02143-00-149-000 </t>
        </is>
      </c>
      <c r="E700" s="258" t="inlineStr">
        <is>
          <t>Actual</t>
        </is>
      </c>
      <c r="F700" s="259" t="inlineStr">
        <is>
          <t>4950   WASHINGTON           ST</t>
        </is>
      </c>
      <c r="G700" s="672" t="n">
        <v>44.1</v>
      </c>
      <c r="H700" s="253" t="n">
        <v>9201</v>
      </c>
      <c r="I700" s="255" t="n">
        <v>0</v>
      </c>
      <c r="J700" s="678" t="n">
        <v>19989</v>
      </c>
      <c r="K700" s="679" t="n">
        <v>4.322377307519136</v>
      </c>
      <c r="L700" s="260" t="n">
        <v>0</v>
      </c>
      <c r="M700" s="262" t="n">
        <v>0</v>
      </c>
      <c r="N700" s="253" t="n">
        <v>1948</v>
      </c>
      <c r="O700" s="250">
        <f>2865*2</f>
        <v/>
      </c>
      <c r="Q700" s="245" t="n">
        <v>18</v>
      </c>
      <c r="R700" s="245" t="n">
        <v>1</v>
      </c>
      <c r="S700" s="245" t="n">
        <v>1</v>
      </c>
      <c r="T700" s="249" t="inlineStr">
        <is>
          <t xml:space="preserve">I2   </t>
        </is>
      </c>
      <c r="U700" s="249" t="n">
        <v>398</v>
      </c>
      <c r="V700" s="678" t="n">
        <v>100554</v>
      </c>
      <c r="W700" s="678" t="n">
        <v>100000</v>
      </c>
      <c r="X700" s="356" t="inlineStr">
        <is>
          <t>5.0:1</t>
        </is>
      </c>
      <c r="Y700" s="678">
        <f>ROUND(J700,-3)</f>
        <v/>
      </c>
      <c r="Z700" s="249" t="inlineStr">
        <is>
          <t xml:space="preserve">C </t>
        </is>
      </c>
      <c r="AA700" s="245" t="n">
        <v>2</v>
      </c>
      <c r="AB700" s="245" t="n">
        <v>2</v>
      </c>
      <c r="AC700" s="253" t="inlineStr">
        <is>
          <t>22</t>
        </is>
      </c>
      <c r="AD700" s="247" t="inlineStr">
        <is>
          <t>                    </t>
        </is>
      </c>
      <c r="AE700" s="680" t="n"/>
      <c r="AF700" s="680" t="n"/>
      <c r="AG700" s="680" t="n"/>
      <c r="AH700" s="680" t="n"/>
      <c r="AI700" s="680" t="n"/>
      <c r="AJ700" s="680" t="n"/>
      <c r="AK700" s="680" t="inlineStr">
        <is>
          <t xml:space="preserve">PORTION OF OWNER-OCC WHSE; ASSUMED TO BE NET                      </t>
        </is>
      </c>
    </row>
    <row r="701">
      <c r="A701" s="248" t="n">
        <v>8</v>
      </c>
      <c r="B701" s="370" t="n">
        <v>693</v>
      </c>
      <c r="C701" s="254" t="inlineStr">
        <is>
          <t>2009Q</t>
        </is>
      </c>
      <c r="D701" s="245" t="inlineStr">
        <is>
          <t xml:space="preserve">02143-05-061-000 </t>
        </is>
      </c>
      <c r="E701" s="258" t="inlineStr">
        <is>
          <t>Actual</t>
        </is>
      </c>
      <c r="F701" s="259" t="inlineStr">
        <is>
          <t>5169   CLARKSON             ST</t>
        </is>
      </c>
      <c r="G701" s="672" t="n">
        <v>44.2</v>
      </c>
      <c r="H701" s="253" t="n">
        <v>9201</v>
      </c>
      <c r="I701" s="255" t="n">
        <v>0</v>
      </c>
      <c r="J701" s="678" t="n">
        <v>3247</v>
      </c>
      <c r="K701" s="679" t="n">
        <v>22.17431475207884</v>
      </c>
      <c r="L701" s="260" t="n">
        <v>0</v>
      </c>
      <c r="M701" s="262" t="n">
        <v>0</v>
      </c>
      <c r="N701" s="253" t="n">
        <v>1979</v>
      </c>
      <c r="O701" s="250" t="n">
        <v>1224</v>
      </c>
      <c r="P701" s="250" t="n">
        <v>697</v>
      </c>
      <c r="Q701" s="245" t="n">
        <v>10</v>
      </c>
      <c r="R701" s="245" t="n">
        <v>1</v>
      </c>
      <c r="S701" s="245" t="n">
        <v>1</v>
      </c>
      <c r="T701" s="249" t="inlineStr">
        <is>
          <t xml:space="preserve">I1   </t>
        </is>
      </c>
      <c r="U701" s="249" t="n">
        <v>397</v>
      </c>
      <c r="V701" s="678" t="n">
        <v>9380</v>
      </c>
      <c r="W701" s="678" t="n">
        <v>9000</v>
      </c>
      <c r="X701" s="356" t="inlineStr">
        <is>
          <t>2.9:1</t>
        </is>
      </c>
      <c r="Y701" s="678">
        <f>ROUND(J701,-3)</f>
        <v/>
      </c>
      <c r="Z701" s="249" t="inlineStr">
        <is>
          <t xml:space="preserve">C </t>
        </is>
      </c>
      <c r="AA701" s="245" t="n">
        <v>3</v>
      </c>
      <c r="AB701" s="245" t="n">
        <v>3</v>
      </c>
      <c r="AC701" s="253" t="inlineStr">
        <is>
          <t>33</t>
        </is>
      </c>
      <c r="AD701" s="247" t="inlineStr">
        <is>
          <t xml:space="preserve">MEZA CONSTRUCTION   </t>
        </is>
      </c>
      <c r="AE701" s="680" t="n"/>
      <c r="AF701" s="680" t="n"/>
      <c r="AG701" s="680" t="n"/>
      <c r="AH701" s="680" t="n"/>
      <c r="AI701" s="680" t="n"/>
      <c r="AJ701" s="680" t="n"/>
      <c r="AK701" s="680" t="inlineStr">
        <is>
          <t xml:space="preserve">S-T WHSE.                                                         </t>
        </is>
      </c>
    </row>
    <row r="702">
      <c r="A702" s="248" t="n">
        <v>8</v>
      </c>
      <c r="B702" s="370" t="n">
        <v>694</v>
      </c>
      <c r="C702" s="254" t="inlineStr">
        <is>
          <t>2009Q</t>
        </is>
      </c>
      <c r="D702" s="245" t="inlineStr">
        <is>
          <t xml:space="preserve">02144-00-098-000 </t>
        </is>
      </c>
      <c r="E702" s="258" t="inlineStr">
        <is>
          <t>Actual</t>
        </is>
      </c>
      <c r="F702" s="259" t="inlineStr">
        <is>
          <t>5150   RACE                 CT</t>
        </is>
      </c>
      <c r="G702" s="672" t="n">
        <v>44.2</v>
      </c>
      <c r="H702" s="253" t="n">
        <v>9201</v>
      </c>
      <c r="I702" s="255" t="n">
        <v>0</v>
      </c>
      <c r="J702" s="678" t="n">
        <v>27624</v>
      </c>
      <c r="K702" s="679" t="n">
        <v>7.62380538662033</v>
      </c>
      <c r="L702" s="260" t="n">
        <v>0</v>
      </c>
      <c r="M702" s="262" t="n">
        <v>0</v>
      </c>
      <c r="N702" s="253" t="n">
        <v>1999</v>
      </c>
      <c r="O702" s="250" t="n">
        <v>4027</v>
      </c>
      <c r="P702" s="250" t="n">
        <v>1052</v>
      </c>
      <c r="Q702" s="245" t="n">
        <v>19</v>
      </c>
      <c r="R702" s="245" t="n">
        <v>3</v>
      </c>
      <c r="S702" s="245" t="n">
        <v>1</v>
      </c>
      <c r="T702" s="249" t="inlineStr">
        <is>
          <t xml:space="preserve">I2   </t>
        </is>
      </c>
      <c r="U702" s="249" t="n">
        <v>398</v>
      </c>
      <c r="V702" s="678" t="n">
        <v>144374</v>
      </c>
      <c r="W702" s="678" t="n">
        <v>140000</v>
      </c>
      <c r="X702" s="356" t="inlineStr">
        <is>
          <t>5.2:1</t>
        </is>
      </c>
      <c r="Y702" s="678">
        <f>ROUND(J702,-3)</f>
        <v/>
      </c>
      <c r="Z702" s="249" t="inlineStr">
        <is>
          <t xml:space="preserve">C </t>
        </is>
      </c>
      <c r="AA702" s="245" t="n">
        <v>3</v>
      </c>
      <c r="AB702" s="245" t="n">
        <v>3</v>
      </c>
      <c r="AC702" s="253" t="inlineStr">
        <is>
          <t>33</t>
        </is>
      </c>
      <c r="AD702" s="247" t="inlineStr">
        <is>
          <t xml:space="preserve">S-W                 </t>
        </is>
      </c>
      <c r="AE702" s="680" t="n"/>
      <c r="AF702" s="680" t="n"/>
      <c r="AG702" s="680" t="n"/>
      <c r="AH702" s="680" t="n"/>
      <c r="AI702" s="680" t="n"/>
      <c r="AJ702" s="680" t="n"/>
      <c r="AK702" s="680" t="inlineStr">
        <is>
          <t xml:space="preserve">S-T WHSE; 2006 LEASE.                                             </t>
        </is>
      </c>
    </row>
    <row r="703">
      <c r="A703" s="248" t="n">
        <v>8</v>
      </c>
      <c r="B703" s="370" t="n">
        <v>695</v>
      </c>
      <c r="C703" s="254" t="inlineStr">
        <is>
          <t>2009Q</t>
        </is>
      </c>
      <c r="D703" s="245" t="inlineStr">
        <is>
          <t xml:space="preserve">02144-00-110-000 </t>
        </is>
      </c>
      <c r="E703" s="258" t="inlineStr">
        <is>
          <t>Actual</t>
        </is>
      </c>
      <c r="F703" s="259" t="inlineStr">
        <is>
          <t>5130   FRANKLIN             ST</t>
        </is>
      </c>
      <c r="G703" s="672" t="n">
        <v>44.1</v>
      </c>
      <c r="H703" s="253" t="n">
        <v>9201</v>
      </c>
      <c r="I703" s="255" t="n">
        <v>0</v>
      </c>
      <c r="J703" s="678" t="n">
        <v>21422</v>
      </c>
      <c r="K703" s="679" t="n">
        <v>4.184483241527402</v>
      </c>
      <c r="L703" s="260" t="n">
        <v>0</v>
      </c>
      <c r="M703" s="262" t="n">
        <v>0</v>
      </c>
      <c r="N703" s="253" t="n">
        <v>1983</v>
      </c>
      <c r="O703" s="250" t="n">
        <v>2148</v>
      </c>
      <c r="Q703" s="245" t="n">
        <v>20</v>
      </c>
      <c r="R703" s="245" t="n">
        <v>1</v>
      </c>
      <c r="S703" s="245" t="n">
        <v>1</v>
      </c>
      <c r="T703" s="249" t="inlineStr">
        <is>
          <t xml:space="preserve">I2   </t>
        </is>
      </c>
      <c r="U703" s="249" t="n">
        <v>398</v>
      </c>
      <c r="V703" s="678" t="n">
        <v>59113</v>
      </c>
      <c r="W703" s="678" t="n">
        <v>60000</v>
      </c>
      <c r="X703" s="356" t="inlineStr">
        <is>
          <t>2.8:1</t>
        </is>
      </c>
      <c r="Y703" s="678">
        <f>ROUND(J703,-3)</f>
        <v/>
      </c>
      <c r="Z703" s="249" t="inlineStr">
        <is>
          <t xml:space="preserve">C </t>
        </is>
      </c>
      <c r="AA703" s="245" t="n">
        <v>3</v>
      </c>
      <c r="AB703" s="245" t="n">
        <v>3</v>
      </c>
      <c r="AC703" s="253" t="inlineStr">
        <is>
          <t>33</t>
        </is>
      </c>
      <c r="AD703" s="247" t="inlineStr">
        <is>
          <t>                    </t>
        </is>
      </c>
      <c r="AE703" s="680" t="n"/>
      <c r="AF703" s="680" t="n"/>
      <c r="AG703" s="680" t="n"/>
      <c r="AH703" s="680" t="n"/>
      <c r="AI703" s="680" t="n"/>
      <c r="AJ703" s="680" t="n"/>
      <c r="AK703" s="680" t="inlineStr">
        <is>
          <t xml:space="preserve">S-T WHSE; 2006 LEASE.                                             </t>
        </is>
      </c>
    </row>
    <row r="704">
      <c r="A704" s="248" t="n">
        <v>8</v>
      </c>
      <c r="B704" s="370" t="n">
        <v>696</v>
      </c>
      <c r="C704" s="247" t="inlineStr">
        <is>
          <t>2009W</t>
        </is>
      </c>
      <c r="D704" s="245" t="inlineStr">
        <is>
          <t>02144-04-005-T/B</t>
        </is>
      </c>
      <c r="E704" s="249" t="inlineStr">
        <is>
          <t>Actual</t>
        </is>
      </c>
      <c r="F704" s="245" t="inlineStr">
        <is>
          <t>4800 RACE ST</t>
        </is>
      </c>
      <c r="G704" s="672" t="n">
        <v>44.2</v>
      </c>
      <c r="H704" s="245" t="n">
        <v>9201</v>
      </c>
      <c r="I704" s="249" t="n">
        <v>0</v>
      </c>
      <c r="J704" s="250" t="n">
        <v>56859</v>
      </c>
      <c r="K704" s="685" t="n">
        <v>3.96</v>
      </c>
      <c r="L704" s="365" t="n">
        <v>0</v>
      </c>
      <c r="M704" s="365" t="inlineStr">
        <is>
          <t xml:space="preserve">    NNN</t>
        </is>
      </c>
      <c r="N704" s="245" t="n">
        <v>1962</v>
      </c>
      <c r="O704" s="245" t="n">
        <v>6097</v>
      </c>
      <c r="P704" s="245" t="n">
        <v>8921</v>
      </c>
      <c r="Q704" s="245" t="n">
        <v>20</v>
      </c>
      <c r="R704" s="245" t="n">
        <v>3</v>
      </c>
      <c r="S704" s="245" t="n">
        <v>1</v>
      </c>
      <c r="T704" s="249" t="inlineStr">
        <is>
          <t>I2</t>
        </is>
      </c>
      <c r="U704" s="245" t="n">
        <v>398</v>
      </c>
      <c r="V704" s="250" t="n">
        <v>139000</v>
      </c>
      <c r="W704" s="250" t="n">
        <v>140000</v>
      </c>
      <c r="X704" s="253" t="inlineStr">
        <is>
          <t>2.3:1</t>
        </is>
      </c>
      <c r="Y704" s="250" t="n">
        <v>60000</v>
      </c>
      <c r="Z704" s="249" t="inlineStr">
        <is>
          <t>C</t>
        </is>
      </c>
      <c r="AA704" s="245" t="n">
        <v>3</v>
      </c>
      <c r="AB704" s="245" t="n">
        <v>3</v>
      </c>
      <c r="AC704" s="245" t="n">
        <v>33</v>
      </c>
      <c r="AE704" s="667" t="n"/>
      <c r="AF704" s="686" t="n"/>
      <c r="AG704" s="686" t="n"/>
      <c r="AH704" s="667" t="n"/>
      <c r="AI704" s="686" t="n"/>
      <c r="AJ704" s="667" t="n"/>
      <c r="AL704" s="680" t="n"/>
      <c r="AM704" s="680" t="n"/>
      <c r="AN704" s="680" t="n"/>
    </row>
    <row r="705">
      <c r="A705" s="248" t="n">
        <v>8</v>
      </c>
      <c r="B705" s="370" t="n">
        <v>697</v>
      </c>
      <c r="C705" s="254" t="inlineStr">
        <is>
          <t>2009Q</t>
        </is>
      </c>
      <c r="D705" s="245" t="inlineStr">
        <is>
          <t xml:space="preserve">02153-00-047-000 </t>
        </is>
      </c>
      <c r="E705" s="258" t="inlineStr">
        <is>
          <t>Actual</t>
        </is>
      </c>
      <c r="F705" s="259" t="inlineStr">
        <is>
          <t>601 W 50TH                 AV</t>
        </is>
      </c>
      <c r="G705" s="672" t="n">
        <v>44.1</v>
      </c>
      <c r="H705" s="253" t="n">
        <v>9208</v>
      </c>
      <c r="I705" s="255" t="n">
        <v>0</v>
      </c>
      <c r="J705" s="678" t="n">
        <v>95263</v>
      </c>
      <c r="K705" s="679" t="n">
        <v>4.512255545174937</v>
      </c>
      <c r="L705" s="260" t="n">
        <v>0</v>
      </c>
      <c r="M705" s="262" t="n">
        <v>0.03456546570788482</v>
      </c>
      <c r="N705" s="253" t="n">
        <v>1977</v>
      </c>
      <c r="O705" s="250">
        <f>225+1313+397</f>
        <v/>
      </c>
      <c r="Q705" s="245" t="n">
        <v>24</v>
      </c>
      <c r="R705" s="245" t="n">
        <v>1</v>
      </c>
      <c r="S705" s="245" t="n">
        <v>1</v>
      </c>
      <c r="T705" s="249" t="inlineStr">
        <is>
          <t xml:space="preserve">I2   </t>
        </is>
      </c>
      <c r="U705" s="249" t="n">
        <v>398</v>
      </c>
      <c r="V705" s="678" t="n">
        <v>153950</v>
      </c>
      <c r="W705" s="678" t="n">
        <v>150000</v>
      </c>
      <c r="X705" s="356" t="inlineStr">
        <is>
          <t>1.6:1</t>
        </is>
      </c>
      <c r="Y705" s="678">
        <f>ROUND(J705,-4)</f>
        <v/>
      </c>
      <c r="Z705" s="249" t="inlineStr">
        <is>
          <t xml:space="preserve">C </t>
        </is>
      </c>
      <c r="AA705" s="245" t="n">
        <v>3</v>
      </c>
      <c r="AB705" s="245" t="n">
        <v>3</v>
      </c>
      <c r="AC705" s="253" t="inlineStr">
        <is>
          <t>33</t>
        </is>
      </c>
      <c r="AD705" s="247" t="inlineStr">
        <is>
          <t xml:space="preserve">DIST WAREHOUSE      </t>
        </is>
      </c>
      <c r="AE705" s="680" t="n"/>
      <c r="AF705" s="680" t="n"/>
      <c r="AG705" s="680" t="n"/>
      <c r="AH705" s="680" t="n"/>
      <c r="AI705" s="680" t="n"/>
      <c r="AJ705" s="680" t="n"/>
      <c r="AK705" s="680" t="inlineStr">
        <is>
          <t xml:space="preserve">S-T WHSE.; AGE OF LEASE UNKNOWN.                                  </t>
        </is>
      </c>
    </row>
    <row r="706">
      <c r="A706" s="248" t="n">
        <v>8</v>
      </c>
      <c r="B706" s="370" t="n">
        <v>698</v>
      </c>
      <c r="C706" s="254" t="inlineStr">
        <is>
          <t>2009Q</t>
        </is>
      </c>
      <c r="D706" s="245" t="inlineStr">
        <is>
          <t xml:space="preserve">02153-09-014-000 </t>
        </is>
      </c>
      <c r="E706" s="258" t="inlineStr">
        <is>
          <t>Actual</t>
        </is>
      </c>
      <c r="F706" s="259" t="inlineStr">
        <is>
          <t>4855   BROADWAY             ST</t>
        </is>
      </c>
      <c r="G706" s="672" t="n">
        <v>44.2</v>
      </c>
      <c r="H706" s="253" t="n">
        <v>9201</v>
      </c>
      <c r="I706" s="255" t="n">
        <v>0</v>
      </c>
      <c r="J706" s="678" t="n">
        <v>14000</v>
      </c>
      <c r="K706" s="679" t="n">
        <v>5.271428571428571</v>
      </c>
      <c r="L706" s="260" t="n">
        <v>0</v>
      </c>
      <c r="M706" s="262" t="n">
        <v>0.1157046070460705</v>
      </c>
      <c r="N706" s="253" t="n">
        <v>1968</v>
      </c>
      <c r="O706" s="250" t="n">
        <v>1143</v>
      </c>
      <c r="Q706" s="245" t="n">
        <v>18</v>
      </c>
      <c r="R706" s="245" t="n">
        <v>1</v>
      </c>
      <c r="S706" s="245" t="n">
        <v>2</v>
      </c>
      <c r="T706" s="249" t="inlineStr">
        <is>
          <t xml:space="preserve">I1   </t>
        </is>
      </c>
      <c r="U706" s="249" t="n">
        <v>398</v>
      </c>
      <c r="V706" s="678" t="n">
        <v>24000</v>
      </c>
      <c r="W706" s="678" t="n">
        <v>24000</v>
      </c>
      <c r="X706" s="356" t="inlineStr">
        <is>
          <t>1.7:1</t>
        </is>
      </c>
      <c r="Y706" s="678">
        <f>ROUND(J706,-3)</f>
        <v/>
      </c>
      <c r="Z706" s="249" t="inlineStr">
        <is>
          <t xml:space="preserve">C </t>
        </is>
      </c>
      <c r="AA706" s="245" t="n">
        <v>3</v>
      </c>
      <c r="AB706" s="245" t="n">
        <v>3</v>
      </c>
      <c r="AC706" s="253" t="inlineStr">
        <is>
          <t>33</t>
        </is>
      </c>
      <c r="AD706" s="247" t="inlineStr">
        <is>
          <t>                    </t>
        </is>
      </c>
      <c r="AE706" s="680" t="n"/>
      <c r="AF706" s="680" t="n"/>
      <c r="AG706" s="680" t="n"/>
      <c r="AH706" s="680" t="n"/>
      <c r="AI706" s="680" t="n"/>
      <c r="AJ706" s="680" t="n"/>
      <c r="AK706" s="680" t="inlineStr">
        <is>
          <t xml:space="preserve">S-T WHSE.; 2005 LEASE.                                            </t>
        </is>
      </c>
    </row>
    <row r="707">
      <c r="A707" s="248" t="n">
        <v>8</v>
      </c>
      <c r="B707" s="370" t="n">
        <v>699</v>
      </c>
      <c r="C707" s="254" t="inlineStr">
        <is>
          <t>2009Q</t>
        </is>
      </c>
      <c r="D707" s="245" t="inlineStr">
        <is>
          <t xml:space="preserve">02154-00-045-000 </t>
        </is>
      </c>
      <c r="E707" s="258" t="inlineStr">
        <is>
          <t>Actual</t>
        </is>
      </c>
      <c r="F707" s="259" t="inlineStr">
        <is>
          <t>5055   WASHINGTON           ST</t>
        </is>
      </c>
      <c r="G707" s="672" t="n">
        <v>44.1</v>
      </c>
      <c r="H707" s="253" t="n">
        <v>9201</v>
      </c>
      <c r="I707" s="255" t="n">
        <v>0</v>
      </c>
      <c r="J707" s="678" t="n">
        <v>16140</v>
      </c>
      <c r="K707" s="679" t="n">
        <v>5.576208178438661</v>
      </c>
      <c r="L707" s="260" t="n">
        <v>0</v>
      </c>
      <c r="M707" s="262" t="n">
        <v>0</v>
      </c>
      <c r="N707" s="253" t="n">
        <v>1951</v>
      </c>
      <c r="Q707" s="245" t="n">
        <v>17</v>
      </c>
      <c r="R707" s="245" t="n">
        <v>2</v>
      </c>
      <c r="S707" s="245" t="n">
        <v>1</v>
      </c>
      <c r="T707" s="249" t="inlineStr">
        <is>
          <t xml:space="preserve">I1   </t>
        </is>
      </c>
      <c r="U707" s="249" t="n">
        <v>398</v>
      </c>
      <c r="V707" s="678" t="n">
        <v>47915</v>
      </c>
      <c r="W707" s="678" t="n">
        <v>48000</v>
      </c>
      <c r="X707" s="356" t="inlineStr">
        <is>
          <t>3.0:1</t>
        </is>
      </c>
      <c r="Y707" s="678">
        <f>ROUND(J707,-3)</f>
        <v/>
      </c>
      <c r="Z707" s="249" t="inlineStr">
        <is>
          <t xml:space="preserve">C </t>
        </is>
      </c>
      <c r="AA707" s="245" t="n">
        <v>1</v>
      </c>
      <c r="AB707" s="245" t="n">
        <v>3</v>
      </c>
      <c r="AC707" s="253" t="inlineStr">
        <is>
          <t>13</t>
        </is>
      </c>
      <c r="AD707" s="247" t="inlineStr">
        <is>
          <t>WESTERN WATERPROOFIN</t>
        </is>
      </c>
      <c r="AE707" s="680" t="n"/>
      <c r="AF707" s="680" t="n"/>
      <c r="AG707" s="680" t="n"/>
      <c r="AH707" s="680" t="n"/>
      <c r="AI707" s="680" t="n"/>
      <c r="AJ707" s="680" t="n"/>
      <c r="AK707" s="680" t="inlineStr">
        <is>
          <t xml:space="preserve">S-T WHSE.; 2005 LEASE; WESTERN WATERPROOFING CO.                  </t>
        </is>
      </c>
    </row>
    <row r="708">
      <c r="A708" s="248" t="n">
        <v>8</v>
      </c>
      <c r="B708" s="370" t="n">
        <v>700</v>
      </c>
      <c r="C708" s="254" t="inlineStr">
        <is>
          <t>2009Q</t>
        </is>
      </c>
      <c r="D708" s="245" t="inlineStr">
        <is>
          <t xml:space="preserve">02154-17-014-000 </t>
        </is>
      </c>
      <c r="E708" s="258" t="inlineStr">
        <is>
          <t>Actual</t>
        </is>
      </c>
      <c r="F708" s="259" t="inlineStr">
        <is>
          <t>4850   BROADWAY             ST</t>
        </is>
      </c>
      <c r="G708" s="672" t="n">
        <v>46.2</v>
      </c>
      <c r="H708" s="253" t="n">
        <v>9201</v>
      </c>
      <c r="I708" s="255" t="n">
        <v>0</v>
      </c>
      <c r="J708" s="678" t="n">
        <v>10354</v>
      </c>
      <c r="K708" s="679" t="n">
        <v>5.273324319103728</v>
      </c>
      <c r="L708" s="260" t="n">
        <v>0</v>
      </c>
      <c r="M708" s="262" t="n">
        <v>0.1352014652014652</v>
      </c>
      <c r="N708" s="253" t="n">
        <v>1967</v>
      </c>
      <c r="O708" s="250">
        <f>3174+200</f>
        <v/>
      </c>
      <c r="Q708" s="245" t="n">
        <v>17</v>
      </c>
      <c r="R708" s="245" t="n">
        <v>14</v>
      </c>
      <c r="S708" s="245" t="n">
        <v>3</v>
      </c>
      <c r="T708" s="249" t="inlineStr">
        <is>
          <t xml:space="preserve">I1   </t>
        </is>
      </c>
      <c r="U708" s="249" t="n">
        <v>401</v>
      </c>
      <c r="V708" s="678" t="n">
        <v>21063</v>
      </c>
      <c r="W708" s="678" t="n">
        <v>21000</v>
      </c>
      <c r="X708" s="356" t="inlineStr">
        <is>
          <t>2.0:1</t>
        </is>
      </c>
      <c r="Y708" s="678">
        <f>ROUND(J708,-3)</f>
        <v/>
      </c>
      <c r="Z708" s="249" t="inlineStr">
        <is>
          <t xml:space="preserve">C </t>
        </is>
      </c>
      <c r="AA708" s="245" t="n">
        <v>3</v>
      </c>
      <c r="AB708" s="245" t="n">
        <v>3</v>
      </c>
      <c r="AC708" s="253" t="inlineStr">
        <is>
          <t>33</t>
        </is>
      </c>
      <c r="AD708" s="247" t="inlineStr">
        <is>
          <t>                    </t>
        </is>
      </c>
      <c r="AE708" s="680" t="n"/>
      <c r="AF708" s="680" t="n"/>
      <c r="AG708" s="680" t="n"/>
      <c r="AH708" s="680" t="n"/>
      <c r="AI708" s="680" t="n"/>
      <c r="AJ708" s="680" t="n"/>
      <c r="AK708" s="680" t="inlineStr">
        <is>
          <t xml:space="preserve">M-T WHSE.; 2 TENANTS; LEASES 2005 &amp; 2008.                         </t>
        </is>
      </c>
    </row>
    <row r="709">
      <c r="A709" s="248" t="n">
        <v>8</v>
      </c>
      <c r="B709" s="370" t="n">
        <v>701</v>
      </c>
      <c r="C709" s="254" t="inlineStr">
        <is>
          <t>2009Q</t>
        </is>
      </c>
      <c r="D709" s="245" t="inlineStr">
        <is>
          <t xml:space="preserve">02154-18-021-000 </t>
        </is>
      </c>
      <c r="E709" s="258" t="inlineStr">
        <is>
          <t>Actual</t>
        </is>
      </c>
      <c r="F709" s="259" t="inlineStr">
        <is>
          <t>4836   LEAF                 CT</t>
        </is>
      </c>
      <c r="G709" s="672" t="n">
        <v>44.1</v>
      </c>
      <c r="H709" s="253" t="n">
        <v>9201</v>
      </c>
      <c r="I709" s="255" t="n">
        <v>0</v>
      </c>
      <c r="J709" s="678" t="n">
        <v>23874</v>
      </c>
      <c r="K709" s="679" t="n">
        <v>5.302839909525006</v>
      </c>
      <c r="L709" s="260" t="n">
        <v>0</v>
      </c>
      <c r="M709" s="262" t="n">
        <v>0.1517772511848341</v>
      </c>
      <c r="N709" s="253" t="n">
        <v>1969</v>
      </c>
      <c r="O709" s="250">
        <f>2173+432</f>
        <v/>
      </c>
      <c r="Q709" s="245" t="n">
        <v>23</v>
      </c>
      <c r="R709" s="245" t="n">
        <v>14</v>
      </c>
      <c r="S709" s="245" t="n">
        <v>2</v>
      </c>
      <c r="T709" s="249" t="inlineStr">
        <is>
          <t xml:space="preserve">I0   </t>
        </is>
      </c>
      <c r="U709" s="249" t="n">
        <v>398</v>
      </c>
      <c r="V709" s="678" t="n">
        <v>47500</v>
      </c>
      <c r="W709" s="678" t="n">
        <v>48000</v>
      </c>
      <c r="X709" s="356" t="inlineStr">
        <is>
          <t>2.0:1</t>
        </is>
      </c>
      <c r="Y709" s="678">
        <f>ROUND(J709,-3)</f>
        <v/>
      </c>
      <c r="Z709" s="249" t="inlineStr">
        <is>
          <t xml:space="preserve">C </t>
        </is>
      </c>
      <c r="AA709" s="245" t="n">
        <v>3</v>
      </c>
      <c r="AB709" s="245" t="n">
        <v>3</v>
      </c>
      <c r="AC709" s="253" t="inlineStr">
        <is>
          <t>33</t>
        </is>
      </c>
      <c r="AD709" s="247" t="inlineStr">
        <is>
          <t xml:space="preserve">WAREHOUSE DIST.     </t>
        </is>
      </c>
      <c r="AE709" s="680" t="n"/>
      <c r="AF709" s="680" t="n"/>
      <c r="AG709" s="680" t="n"/>
      <c r="AH709" s="680" t="n"/>
      <c r="AI709" s="680" t="n"/>
      <c r="AJ709" s="680" t="n"/>
      <c r="AK709" s="680" t="inlineStr">
        <is>
          <t xml:space="preserve">S-T WHSE.; 2005 LEASE.                                            </t>
        </is>
      </c>
    </row>
    <row r="710">
      <c r="A710" s="248" t="n">
        <v>8</v>
      </c>
      <c r="B710" s="370" t="n">
        <v>702</v>
      </c>
      <c r="C710" s="254" t="inlineStr">
        <is>
          <t>2009Q</t>
        </is>
      </c>
      <c r="D710" s="245" t="inlineStr">
        <is>
          <t xml:space="preserve">02154-23-035-000 </t>
        </is>
      </c>
      <c r="E710" s="258" t="inlineStr">
        <is>
          <t>Actual</t>
        </is>
      </c>
      <c r="F710" s="259" t="inlineStr">
        <is>
          <t>4881   WASHINGTON           ST</t>
        </is>
      </c>
      <c r="G710" s="672" t="n">
        <v>47.1</v>
      </c>
      <c r="H710" s="253" t="n">
        <v>9201</v>
      </c>
      <c r="I710" s="255" t="n">
        <v>0</v>
      </c>
      <c r="J710" s="678" t="n">
        <v>1778</v>
      </c>
      <c r="K710" s="679" t="n">
        <v>7.424071991001125</v>
      </c>
      <c r="L710" s="260" t="n">
        <v>0</v>
      </c>
      <c r="M710" s="262" t="n">
        <v>0.04674242424242425</v>
      </c>
      <c r="N710" s="253" t="n">
        <v>1890</v>
      </c>
      <c r="P710" s="250" t="n">
        <v>893</v>
      </c>
      <c r="Q710" s="245" t="n">
        <v>10</v>
      </c>
      <c r="R710" s="245" t="n">
        <v>7</v>
      </c>
      <c r="S710" s="245" t="n">
        <v>1</v>
      </c>
      <c r="T710" s="249" t="inlineStr">
        <is>
          <t xml:space="preserve">I1   </t>
        </is>
      </c>
      <c r="U710" s="249" t="n">
        <v>401</v>
      </c>
      <c r="V710" s="678" t="n">
        <v>9810</v>
      </c>
      <c r="W710" s="678" t="n">
        <v>10000</v>
      </c>
      <c r="X710" s="356" t="inlineStr">
        <is>
          <t>5.5:1</t>
        </is>
      </c>
      <c r="Y710" s="678">
        <f>ROUND(J710,-2)</f>
        <v/>
      </c>
      <c r="Z710" s="249" t="inlineStr">
        <is>
          <t xml:space="preserve">C </t>
        </is>
      </c>
      <c r="AA710" s="245" t="n">
        <v>3</v>
      </c>
      <c r="AB710" s="245" t="n">
        <v>3</v>
      </c>
      <c r="AC710" s="253" t="inlineStr">
        <is>
          <t>33</t>
        </is>
      </c>
      <c r="AD710" s="247" t="inlineStr">
        <is>
          <t>                    </t>
        </is>
      </c>
      <c r="AE710" s="680" t="n"/>
      <c r="AF710" s="680" t="n"/>
      <c r="AG710" s="680" t="n"/>
      <c r="AH710" s="680" t="n"/>
      <c r="AI710" s="680" t="n"/>
      <c r="AJ710" s="680" t="n"/>
      <c r="AK710" s="680" t="inlineStr">
        <is>
          <t xml:space="preserve">S-T INDUSTRIAL; MO-TO-MO LEASE.                                   </t>
        </is>
      </c>
    </row>
    <row r="711">
      <c r="A711" s="248" t="n">
        <v>8</v>
      </c>
      <c r="B711" s="370" t="n">
        <v>703</v>
      </c>
      <c r="C711" s="254" t="inlineStr">
        <is>
          <t>2009Q</t>
        </is>
      </c>
      <c r="D711" s="245" t="inlineStr">
        <is>
          <t xml:space="preserve">02154-23-038-000 </t>
        </is>
      </c>
      <c r="E711" s="258" t="inlineStr">
        <is>
          <t>Actual</t>
        </is>
      </c>
      <c r="F711" s="259" t="inlineStr">
        <is>
          <t>650 E 49TH                 AV</t>
        </is>
      </c>
      <c r="G711" s="672" t="n">
        <v>44.1</v>
      </c>
      <c r="H711" s="253" t="n">
        <v>9201</v>
      </c>
      <c r="I711" s="255" t="n">
        <v>0</v>
      </c>
      <c r="J711" s="678" t="n">
        <v>6000</v>
      </c>
      <c r="K711" s="679" t="n">
        <v>6.1475</v>
      </c>
      <c r="L711" s="260" t="n">
        <v>0.5</v>
      </c>
      <c r="M711" s="262" t="n">
        <v>0.08133387555917039</v>
      </c>
      <c r="N711" s="253" t="n">
        <v>1980</v>
      </c>
      <c r="O711" s="250" t="n">
        <v>702</v>
      </c>
      <c r="Q711" s="245" t="n">
        <v>14</v>
      </c>
      <c r="R711" s="245" t="n">
        <v>7</v>
      </c>
      <c r="S711" s="245" t="n">
        <v>1</v>
      </c>
      <c r="T711" s="249" t="inlineStr">
        <is>
          <t xml:space="preserve">I1   </t>
        </is>
      </c>
      <c r="U711" s="249" t="n">
        <v>398</v>
      </c>
      <c r="V711" s="678" t="n">
        <v>19115</v>
      </c>
      <c r="W711" s="678" t="n">
        <v>19000</v>
      </c>
      <c r="X711" s="356" t="inlineStr">
        <is>
          <t>3.2:1</t>
        </is>
      </c>
      <c r="Y711" s="678">
        <f>ROUND(J711,-3)</f>
        <v/>
      </c>
      <c r="Z711" s="249" t="inlineStr">
        <is>
          <t xml:space="preserve">C </t>
        </is>
      </c>
      <c r="AA711" s="245" t="n">
        <v>3</v>
      </c>
      <c r="AB711" s="245" t="n">
        <v>3</v>
      </c>
      <c r="AC711" s="253" t="inlineStr">
        <is>
          <t>33</t>
        </is>
      </c>
      <c r="AD711" s="247" t="inlineStr">
        <is>
          <t>                    </t>
        </is>
      </c>
      <c r="AE711" s="680" t="n"/>
      <c r="AF711" s="680" t="n"/>
      <c r="AG711" s="680" t="n"/>
      <c r="AH711" s="680" t="n"/>
      <c r="AI711" s="680" t="n"/>
      <c r="AJ711" s="680" t="n"/>
      <c r="AK711" s="680" t="inlineStr">
        <is>
          <t xml:space="preserve">S-T WHSE.                                                         </t>
        </is>
      </c>
    </row>
    <row r="712">
      <c r="A712" s="248" t="n">
        <v>8</v>
      </c>
      <c r="B712" s="370" t="n">
        <v>704</v>
      </c>
      <c r="C712" s="254" t="inlineStr">
        <is>
          <t>2009Q</t>
        </is>
      </c>
      <c r="D712" s="245" t="inlineStr">
        <is>
          <t xml:space="preserve">02164-09-026-000 </t>
        </is>
      </c>
      <c r="E712" s="258" t="inlineStr">
        <is>
          <t>Actual</t>
        </is>
      </c>
      <c r="F712" s="259" t="inlineStr">
        <is>
          <t>1440 W 52ND                 AV</t>
        </is>
      </c>
      <c r="G712" s="672" t="n">
        <v>44.2</v>
      </c>
      <c r="H712" s="253" t="n">
        <v>9208</v>
      </c>
      <c r="I712" s="255" t="n">
        <v>0</v>
      </c>
      <c r="J712" s="678" t="n">
        <v>35940</v>
      </c>
      <c r="K712" s="679" t="n">
        <v>4.674457429048414</v>
      </c>
      <c r="L712" s="260" t="n">
        <v>0</v>
      </c>
      <c r="M712" s="262" t="n">
        <v>0.01836904761904762</v>
      </c>
      <c r="N712" s="253" t="n">
        <v>1975</v>
      </c>
      <c r="O712" s="250">
        <f>4481+2571</f>
        <v/>
      </c>
      <c r="S712" s="245" t="n">
        <v>1</v>
      </c>
      <c r="T712" s="249" t="inlineStr">
        <is>
          <t xml:space="preserve">I0   </t>
        </is>
      </c>
      <c r="U712" s="249" t="n">
        <v>398</v>
      </c>
      <c r="V712" s="678" t="n">
        <v>97490</v>
      </c>
      <c r="W712" s="678" t="n">
        <v>100000</v>
      </c>
      <c r="X712" s="356" t="inlineStr">
        <is>
          <t>2.7:1</t>
        </is>
      </c>
      <c r="Y712" s="678">
        <f>ROUND(J712,-3)</f>
        <v/>
      </c>
      <c r="Z712" s="249" t="inlineStr">
        <is>
          <t xml:space="preserve">C </t>
        </is>
      </c>
      <c r="AA712" s="245" t="n">
        <v>3</v>
      </c>
      <c r="AB712" s="245" t="n">
        <v>3</v>
      </c>
      <c r="AC712" s="253" t="inlineStr">
        <is>
          <t>33</t>
        </is>
      </c>
      <c r="AD712" s="247" t="inlineStr">
        <is>
          <t>                    </t>
        </is>
      </c>
      <c r="AE712" s="680" t="n"/>
      <c r="AF712" s="680" t="n"/>
      <c r="AG712" s="680" t="n"/>
      <c r="AH712" s="680" t="n"/>
      <c r="AI712" s="680" t="n"/>
      <c r="AJ712" s="680" t="n"/>
      <c r="AK712" s="680" t="inlineStr">
        <is>
          <t xml:space="preserve">M-T WHSE.; 2 TENANTS.                                             </t>
        </is>
      </c>
    </row>
    <row r="713">
      <c r="A713" s="248" t="n">
        <v>8</v>
      </c>
      <c r="B713" s="370" t="n">
        <v>705</v>
      </c>
      <c r="C713" s="254" t="inlineStr">
        <is>
          <t>2009Q</t>
        </is>
      </c>
      <c r="D713" s="245" t="inlineStr">
        <is>
          <t xml:space="preserve">02164-09-027-000 </t>
        </is>
      </c>
      <c r="E713" s="258" t="inlineStr">
        <is>
          <t>Actual</t>
        </is>
      </c>
      <c r="F713" s="259" t="inlineStr">
        <is>
          <t>5120   OSAGE                ST</t>
        </is>
      </c>
      <c r="G713" s="672" t="n">
        <v>44.2</v>
      </c>
      <c r="H713" s="253" t="n">
        <v>9208</v>
      </c>
      <c r="I713" s="255" t="n">
        <v>0</v>
      </c>
      <c r="J713" s="678" t="n">
        <v>25864</v>
      </c>
      <c r="K713" s="679" t="n">
        <v>10.4045777915249</v>
      </c>
      <c r="L713" s="260" t="n">
        <v>0</v>
      </c>
      <c r="M713" s="262" t="n">
        <v>0.05744990784232119</v>
      </c>
      <c r="N713" s="253" t="n">
        <v>2005</v>
      </c>
      <c r="O713" s="250">
        <f>6421+2871</f>
        <v/>
      </c>
      <c r="S713" s="245" t="n">
        <v>4</v>
      </c>
      <c r="T713" s="249" t="inlineStr">
        <is>
          <t xml:space="preserve">I0   </t>
        </is>
      </c>
      <c r="U713" s="249" t="n">
        <v>398</v>
      </c>
      <c r="V713" s="678" t="n">
        <v>87400</v>
      </c>
      <c r="W713" s="678" t="n">
        <v>90000</v>
      </c>
      <c r="X713" s="356" t="inlineStr">
        <is>
          <t>3.4:1</t>
        </is>
      </c>
      <c r="Y713" s="678">
        <f>ROUND(J713,-3)</f>
        <v/>
      </c>
      <c r="Z713" s="249" t="inlineStr">
        <is>
          <t xml:space="preserve">C </t>
        </is>
      </c>
      <c r="AA713" s="245" t="n">
        <v>3</v>
      </c>
      <c r="AB713" s="245" t="n">
        <v>3</v>
      </c>
      <c r="AC713" s="253" t="inlineStr">
        <is>
          <t>33</t>
        </is>
      </c>
      <c r="AD713" s="247" t="inlineStr">
        <is>
          <t xml:space="preserve">4-UNIT WAREHOUSE    </t>
        </is>
      </c>
      <c r="AE713" s="680" t="n"/>
      <c r="AF713" s="680" t="n"/>
      <c r="AG713" s="680" t="n"/>
      <c r="AH713" s="680" t="n"/>
      <c r="AI713" s="680" t="n"/>
      <c r="AJ713" s="680" t="n"/>
      <c r="AK713" s="680" t="inlineStr">
        <is>
          <t xml:space="preserve">M-T WHSE; 2 TENANTS; 2005 LEASES.                                 </t>
        </is>
      </c>
    </row>
    <row r="714">
      <c r="A714" s="248" t="n">
        <v>8</v>
      </c>
      <c r="B714" s="370" t="n">
        <v>706</v>
      </c>
      <c r="C714" s="254" t="inlineStr">
        <is>
          <t>2009Q</t>
        </is>
      </c>
      <c r="D714" s="245" t="inlineStr">
        <is>
          <t xml:space="preserve">02184-17-033-000 </t>
        </is>
      </c>
      <c r="E714" s="258" t="inlineStr">
        <is>
          <t>Actual</t>
        </is>
      </c>
      <c r="F714" s="259" t="inlineStr">
        <is>
          <t>4955   LOWELL               BV</t>
        </is>
      </c>
      <c r="G714" s="672" t="inlineStr">
        <is>
          <t>44.M</t>
        </is>
      </c>
      <c r="H714" s="253" t="n">
        <v>9208</v>
      </c>
      <c r="I714" s="255" t="n">
        <v>0</v>
      </c>
      <c r="J714" s="678" t="n">
        <v>5029</v>
      </c>
      <c r="K714" s="679" t="n">
        <v>7.158480811294492</v>
      </c>
      <c r="L714" s="260" t="n">
        <v>0.21</v>
      </c>
      <c r="M714" s="262" t="n">
        <v>0.2489166666666667</v>
      </c>
      <c r="N714" s="253" t="n">
        <v>1936</v>
      </c>
      <c r="O714" s="250" t="inlineStr">
        <is>
          <t> </t>
        </is>
      </c>
      <c r="P714" s="250" t="n">
        <v>515</v>
      </c>
      <c r="Q714" s="245" t="n">
        <v>12</v>
      </c>
      <c r="R714" s="245" t="n">
        <v>1</v>
      </c>
      <c r="S714" s="245" t="n">
        <v>1</v>
      </c>
      <c r="T714" s="249" t="inlineStr">
        <is>
          <t xml:space="preserve">B2   </t>
        </is>
      </c>
      <c r="U714" s="249" t="n">
        <v>398</v>
      </c>
      <c r="V714" s="678" t="n">
        <v>12500</v>
      </c>
      <c r="W714" s="678" t="n">
        <v>13000</v>
      </c>
      <c r="X714" s="356" t="inlineStr">
        <is>
          <t>3.8:1</t>
        </is>
      </c>
      <c r="Y714" s="678">
        <f>ROUND(J714,-3)</f>
        <v/>
      </c>
      <c r="Z714" s="249" t="inlineStr">
        <is>
          <t xml:space="preserve">C </t>
        </is>
      </c>
      <c r="AA714" s="245" t="n">
        <v>3</v>
      </c>
      <c r="AB714" s="245" t="n">
        <v>3</v>
      </c>
      <c r="AC714" s="253" t="inlineStr">
        <is>
          <t>33</t>
        </is>
      </c>
      <c r="AD714" s="247" t="inlineStr">
        <is>
          <t>S-W SHAWN'S SQUEEGEE</t>
        </is>
      </c>
      <c r="AE714" s="680" t="n"/>
      <c r="AF714" s="680" t="n"/>
      <c r="AG714" s="680" t="n"/>
      <c r="AH714" s="680" t="n"/>
      <c r="AI714" s="680" t="n"/>
      <c r="AJ714" s="680" t="n"/>
      <c r="AK714" s="680" t="inlineStr">
        <is>
          <t xml:space="preserve">M-T WHSE.; 3 TENANTS; AGE OF LEASES UNKNOWN.                      </t>
        </is>
      </c>
    </row>
    <row r="715">
      <c r="A715" s="248" t="n">
        <v>8</v>
      </c>
      <c r="B715" s="370" t="n">
        <v>707</v>
      </c>
      <c r="C715" s="254" t="inlineStr">
        <is>
          <t>2009Q</t>
        </is>
      </c>
      <c r="D715" s="245" t="inlineStr">
        <is>
          <t xml:space="preserve">02211-00-059-059 </t>
        </is>
      </c>
      <c r="E715" s="258" t="inlineStr">
        <is>
          <t>Actual</t>
        </is>
      </c>
      <c r="F715" s="259" t="inlineStr">
        <is>
          <t>4640   PECOS                ST</t>
        </is>
      </c>
      <c r="G715" s="672" t="n">
        <v>44.8</v>
      </c>
      <c r="H715" s="253" t="n">
        <v>9208</v>
      </c>
      <c r="I715" s="255" t="n">
        <v>0</v>
      </c>
      <c r="J715" s="678" t="n">
        <v>1449</v>
      </c>
      <c r="K715" s="679" t="n">
        <v>7.453416149068323</v>
      </c>
      <c r="L715" s="260" t="n">
        <v>0</v>
      </c>
      <c r="M715" s="262" t="n">
        <v>0</v>
      </c>
      <c r="N715" s="253" t="n">
        <v>2005</v>
      </c>
      <c r="Q715" s="245" t="n">
        <v>9</v>
      </c>
      <c r="R715" s="245" t="n">
        <v>1</v>
      </c>
      <c r="S715" s="245" t="n">
        <v>1</v>
      </c>
      <c r="T715" s="249" t="inlineStr">
        <is>
          <t xml:space="preserve">I0   </t>
        </is>
      </c>
      <c r="U715" s="249" t="n">
        <v>356</v>
      </c>
      <c r="V715" s="678" t="n">
        <v>3521</v>
      </c>
      <c r="W715" s="678" t="n">
        <v>4000</v>
      </c>
      <c r="X715" s="356" t="inlineStr">
        <is>
          <t>2.4:1</t>
        </is>
      </c>
      <c r="Y715" s="678">
        <f>ROUND(J715,-2)</f>
        <v/>
      </c>
      <c r="Z715" s="249" t="inlineStr">
        <is>
          <t xml:space="preserve">C </t>
        </is>
      </c>
      <c r="AA715" s="245" t="n">
        <v>3</v>
      </c>
      <c r="AB715" s="245" t="n">
        <v>3</v>
      </c>
      <c r="AC715" s="253" t="inlineStr">
        <is>
          <t>33</t>
        </is>
      </c>
      <c r="AD715" s="247" t="inlineStr">
        <is>
          <t>PECOS BUSINESS PLAZA</t>
        </is>
      </c>
      <c r="AE715" s="680" t="n"/>
      <c r="AF715" s="680" t="n"/>
      <c r="AG715" s="680" t="n"/>
      <c r="AH715" s="680" t="n"/>
      <c r="AI715" s="680" t="n"/>
      <c r="AJ715" s="680" t="n"/>
      <c r="AK715" s="680" t="inlineStr">
        <is>
          <t xml:space="preserve">WHS CONDO UNIT - S.T.; LEASE 2005?                                </t>
        </is>
      </c>
    </row>
    <row r="716">
      <c r="A716" s="248" t="n">
        <v>8</v>
      </c>
      <c r="B716" s="370" t="n">
        <v>708</v>
      </c>
      <c r="C716" s="254" t="inlineStr">
        <is>
          <t>2009Q</t>
        </is>
      </c>
      <c r="D716" s="245" t="inlineStr">
        <is>
          <t xml:space="preserve">02211-13-016-000 </t>
        </is>
      </c>
      <c r="E716" s="258" t="inlineStr">
        <is>
          <t>Actual</t>
        </is>
      </c>
      <c r="F716" s="259" t="inlineStr">
        <is>
          <t>4640   LIPAN                ST</t>
        </is>
      </c>
      <c r="G716" s="672" t="n">
        <v>47.1</v>
      </c>
      <c r="H716" s="253" t="n">
        <v>9208</v>
      </c>
      <c r="I716" s="255" t="n">
        <v>0</v>
      </c>
      <c r="J716" s="678" t="n">
        <v>12000</v>
      </c>
      <c r="K716" s="679" t="n">
        <v>10</v>
      </c>
      <c r="L716" s="260" t="n">
        <v>0</v>
      </c>
      <c r="M716" s="262" t="n">
        <v>0.07563333333333333</v>
      </c>
      <c r="N716" s="253" t="n">
        <v>1971</v>
      </c>
      <c r="P716" s="250" t="n">
        <v>2470</v>
      </c>
      <c r="Q716" s="245" t="n">
        <v>16</v>
      </c>
      <c r="R716" s="245" t="n">
        <v>1</v>
      </c>
      <c r="S716" s="245" t="n">
        <v>1</v>
      </c>
      <c r="T716" s="249" t="inlineStr">
        <is>
          <t xml:space="preserve">I1   </t>
        </is>
      </c>
      <c r="U716" s="249" t="n">
        <v>401</v>
      </c>
      <c r="V716" s="678" t="n">
        <v>42630</v>
      </c>
      <c r="W716" s="678" t="n">
        <v>43000</v>
      </c>
      <c r="X716" s="356" t="inlineStr">
        <is>
          <t>3.6:1</t>
        </is>
      </c>
      <c r="Y716" s="678">
        <f>ROUND(J716,-3)</f>
        <v/>
      </c>
      <c r="Z716" s="249" t="inlineStr">
        <is>
          <t xml:space="preserve">C </t>
        </is>
      </c>
      <c r="AA716" s="245" t="n">
        <v>3</v>
      </c>
      <c r="AB716" s="245" t="n">
        <v>3</v>
      </c>
      <c r="AC716" s="253" t="inlineStr">
        <is>
          <t>33</t>
        </is>
      </c>
      <c r="AD716" s="247" t="inlineStr">
        <is>
          <t>                    </t>
        </is>
      </c>
      <c r="AE716" s="680" t="n"/>
      <c r="AF716" s="680" t="n"/>
      <c r="AG716" s="680" t="n"/>
      <c r="AH716" s="680" t="n"/>
      <c r="AI716" s="680" t="n"/>
      <c r="AJ716" s="680" t="n"/>
      <c r="AK716" s="680" t="inlineStr">
        <is>
          <t xml:space="preserve">S-T WHSE; 2006 LEASE.                                             </t>
        </is>
      </c>
    </row>
    <row r="717">
      <c r="A717" s="248" t="n">
        <v>8</v>
      </c>
      <c r="B717" s="370" t="n">
        <v>709</v>
      </c>
      <c r="C717" s="254" t="inlineStr">
        <is>
          <t>2009Q</t>
        </is>
      </c>
      <c r="D717" s="245" t="inlineStr">
        <is>
          <t xml:space="preserve">02211-13-022-000 </t>
        </is>
      </c>
      <c r="E717" s="258" t="inlineStr">
        <is>
          <t>Actual</t>
        </is>
      </c>
      <c r="F717" s="259" t="inlineStr">
        <is>
          <t>1051 W 46TH                 AV</t>
        </is>
      </c>
      <c r="G717" s="672" t="n">
        <v>44.1</v>
      </c>
      <c r="H717" s="253" t="n">
        <v>9208</v>
      </c>
      <c r="I717" s="255" t="n">
        <v>0</v>
      </c>
      <c r="J717" s="678" t="n">
        <v>4008</v>
      </c>
      <c r="K717" s="679" t="n">
        <v>6.736526946107785</v>
      </c>
      <c r="L717" s="260" t="n">
        <v>0.42</v>
      </c>
      <c r="M717" s="262" t="n">
        <v>0</v>
      </c>
      <c r="N717" s="253" t="n">
        <v>1980</v>
      </c>
      <c r="O717" s="250" t="n">
        <v>484</v>
      </c>
      <c r="Q717" s="245" t="n">
        <v>17</v>
      </c>
      <c r="R717" s="245" t="n">
        <v>3</v>
      </c>
      <c r="S717" s="245" t="n">
        <v>1</v>
      </c>
      <c r="T717" s="249" t="inlineStr">
        <is>
          <t xml:space="preserve">I1   </t>
        </is>
      </c>
      <c r="U717" s="249" t="n">
        <v>398</v>
      </c>
      <c r="V717" s="678" t="n">
        <v>6625</v>
      </c>
      <c r="W717" s="678" t="n">
        <v>7000</v>
      </c>
      <c r="X717" s="356" t="inlineStr">
        <is>
          <t>1.7:1</t>
        </is>
      </c>
      <c r="Y717" s="678">
        <f>ROUND(J717,-3)</f>
        <v/>
      </c>
      <c r="Z717" s="249" t="inlineStr">
        <is>
          <t xml:space="preserve">C </t>
        </is>
      </c>
      <c r="AA717" s="245" t="n">
        <v>3</v>
      </c>
      <c r="AB717" s="245" t="n">
        <v>3</v>
      </c>
      <c r="AC717" s="253" t="inlineStr">
        <is>
          <t>33</t>
        </is>
      </c>
      <c r="AD717" s="247" t="inlineStr">
        <is>
          <t xml:space="preserve">MILE HIGH DOOR SEAL </t>
        </is>
      </c>
      <c r="AE717" s="680" t="n"/>
      <c r="AF717" s="680" t="n"/>
      <c r="AG717" s="680" t="n"/>
      <c r="AH717" s="680" t="n"/>
      <c r="AI717" s="680" t="n"/>
      <c r="AJ717" s="680" t="n"/>
      <c r="AK717" s="680" t="inlineStr">
        <is>
          <t xml:space="preserve">S-T WHSE.; MO-TO-MO LEASE.                                        </t>
        </is>
      </c>
    </row>
    <row r="718">
      <c r="A718" s="248" t="n">
        <v>8</v>
      </c>
      <c r="B718" s="370" t="n">
        <v>710</v>
      </c>
      <c r="C718" s="254" t="inlineStr">
        <is>
          <t>2009Q</t>
        </is>
      </c>
      <c r="D718" s="245" t="inlineStr">
        <is>
          <t xml:space="preserve">02211-16-021-000 </t>
        </is>
      </c>
      <c r="E718" s="258" t="inlineStr">
        <is>
          <t>Actual</t>
        </is>
      </c>
      <c r="F718" s="259" t="inlineStr">
        <is>
          <t>4535   JASON                ST</t>
        </is>
      </c>
      <c r="G718" s="672" t="n">
        <v>44.1</v>
      </c>
      <c r="H718" s="253" t="n">
        <v>9208</v>
      </c>
      <c r="I718" s="255" t="n">
        <v>0</v>
      </c>
      <c r="J718" s="678" t="n">
        <v>15319</v>
      </c>
      <c r="K718" s="679" t="n">
        <v>3.133363796592467</v>
      </c>
      <c r="L718" s="260" t="n">
        <v>0</v>
      </c>
      <c r="M718" s="262" t="n">
        <v>0.2472291666666667</v>
      </c>
      <c r="N718" s="253" t="n">
        <v>1955</v>
      </c>
      <c r="P718" s="250" t="n">
        <v>903</v>
      </c>
      <c r="Q718" s="245" t="n">
        <v>15</v>
      </c>
      <c r="R718" s="245" t="n">
        <v>1</v>
      </c>
      <c r="S718" s="245" t="n">
        <v>1</v>
      </c>
      <c r="T718" s="249" t="inlineStr">
        <is>
          <t xml:space="preserve">I1   </t>
        </is>
      </c>
      <c r="U718" s="249" t="n">
        <v>398</v>
      </c>
      <c r="V718" s="678" t="n">
        <v>42100</v>
      </c>
      <c r="W718" s="678" t="n">
        <v>42000</v>
      </c>
      <c r="X718" s="356" t="inlineStr">
        <is>
          <t>2.7:1</t>
        </is>
      </c>
      <c r="Y718" s="678">
        <f>ROUND(J718,-3)</f>
        <v/>
      </c>
      <c r="Z718" s="249" t="inlineStr">
        <is>
          <t xml:space="preserve">C </t>
        </is>
      </c>
      <c r="AA718" s="245" t="n">
        <v>3</v>
      </c>
      <c r="AB718" s="245" t="n">
        <v>3</v>
      </c>
      <c r="AC718" s="253" t="inlineStr">
        <is>
          <t>33</t>
        </is>
      </c>
      <c r="AD718" s="247" t="inlineStr">
        <is>
          <t>FRONTRANGE REST.SUPP</t>
        </is>
      </c>
      <c r="AE718" s="680" t="n"/>
      <c r="AF718" s="680" t="n"/>
      <c r="AG718" s="680" t="n"/>
      <c r="AH718" s="680" t="n"/>
      <c r="AI718" s="680" t="n"/>
      <c r="AJ718" s="680" t="n"/>
      <c r="AK718" s="680" t="inlineStr">
        <is>
          <t xml:space="preserve">S-T WHSE; AGE OF LEASE UNKNOWN.                                   </t>
        </is>
      </c>
    </row>
    <row r="719">
      <c r="A719" s="248" t="n">
        <v>8</v>
      </c>
      <c r="B719" s="370" t="n">
        <v>711</v>
      </c>
      <c r="C719" s="254" t="inlineStr">
        <is>
          <t>2009Q</t>
        </is>
      </c>
      <c r="D719" s="245" t="inlineStr">
        <is>
          <t xml:space="preserve">02211-21-014-000 </t>
        </is>
      </c>
      <c r="E719" s="258" t="inlineStr">
        <is>
          <t>Actual</t>
        </is>
      </c>
      <c r="F719" s="259" t="inlineStr">
        <is>
          <t>4455   JASON                ST</t>
        </is>
      </c>
      <c r="G719" s="672" t="n">
        <v>44.1</v>
      </c>
      <c r="H719" s="253" t="n">
        <v>9208</v>
      </c>
      <c r="I719" s="255" t="n">
        <v>0</v>
      </c>
      <c r="J719" s="678" t="n">
        <v>10000</v>
      </c>
      <c r="K719" s="679" t="n">
        <v>5.1716</v>
      </c>
      <c r="L719" s="260" t="n">
        <v>0</v>
      </c>
      <c r="M719" s="262" t="n">
        <v>0</v>
      </c>
      <c r="N719" s="253" t="n">
        <v>1980</v>
      </c>
      <c r="O719" s="250">
        <f>926*2</f>
        <v/>
      </c>
      <c r="Q719" s="245" t="n">
        <v>34</v>
      </c>
      <c r="R719" s="245" t="n">
        <v>1</v>
      </c>
      <c r="S719" s="245" t="n">
        <v>2</v>
      </c>
      <c r="T719" s="249" t="inlineStr">
        <is>
          <t xml:space="preserve">I1   </t>
        </is>
      </c>
      <c r="U719" s="249" t="n">
        <v>398</v>
      </c>
      <c r="V719" s="678" t="n">
        <v>128774</v>
      </c>
      <c r="W719" s="678" t="n">
        <v>130000</v>
      </c>
      <c r="X719" s="356" t="inlineStr">
        <is>
          <t>2.8:1</t>
        </is>
      </c>
      <c r="Y719" s="678">
        <f>ROUND(J719,-3)</f>
        <v/>
      </c>
      <c r="Z719" s="249" t="inlineStr">
        <is>
          <t xml:space="preserve">C </t>
        </is>
      </c>
      <c r="AA719" s="245" t="n">
        <v>3</v>
      </c>
      <c r="AB719" s="245" t="n">
        <v>3</v>
      </c>
      <c r="AC719" s="253" t="inlineStr">
        <is>
          <t>33</t>
        </is>
      </c>
      <c r="AD719" s="247" t="inlineStr">
        <is>
          <t xml:space="preserve">IMAGO GLOBAL COMM   </t>
        </is>
      </c>
      <c r="AE719" s="680" t="n"/>
      <c r="AF719" s="680" t="n"/>
      <c r="AG719" s="680" t="n"/>
      <c r="AH719" s="680" t="n"/>
      <c r="AI719" s="680" t="n"/>
      <c r="AJ719" s="680" t="n"/>
      <c r="AK719" s="680" t="inlineStr">
        <is>
          <t xml:space="preserve">M-T RETAIL; 2 TENANTS; YR-TO-YR LEASE.                            </t>
        </is>
      </c>
    </row>
    <row r="720">
      <c r="A720" s="248" t="n">
        <v>8</v>
      </c>
      <c r="B720" s="370" t="n">
        <v>712</v>
      </c>
      <c r="C720" s="254" t="inlineStr">
        <is>
          <t>2009Q</t>
        </is>
      </c>
      <c r="D720" s="245" t="inlineStr">
        <is>
          <t xml:space="preserve">02211-22-014-000 </t>
        </is>
      </c>
      <c r="E720" s="258" t="inlineStr">
        <is>
          <t>Actual</t>
        </is>
      </c>
      <c r="F720" s="259" t="inlineStr">
        <is>
          <t>4414   JASON                ST</t>
        </is>
      </c>
      <c r="G720" s="672" t="n">
        <v>44.1</v>
      </c>
      <c r="H720" s="253" t="n">
        <v>9208</v>
      </c>
      <c r="I720" s="255" t="n">
        <v>0</v>
      </c>
      <c r="J720" s="678" t="n">
        <v>4130</v>
      </c>
      <c r="K720" s="679" t="n">
        <v>11.62227602905569</v>
      </c>
      <c r="L720" s="260" t="n">
        <v>0</v>
      </c>
      <c r="M720" s="262" t="n">
        <v>0</v>
      </c>
      <c r="N720" s="253" t="n">
        <v>1973</v>
      </c>
      <c r="O720" s="250">
        <f>590+885</f>
        <v/>
      </c>
      <c r="Q720" s="245" t="n">
        <v>14</v>
      </c>
      <c r="R720" s="245" t="n">
        <v>3</v>
      </c>
      <c r="S720" s="245" t="n">
        <v>1</v>
      </c>
      <c r="T720" s="249" t="inlineStr">
        <is>
          <t xml:space="preserve">I1   </t>
        </is>
      </c>
      <c r="U720" s="249" t="n">
        <v>401</v>
      </c>
      <c r="V720" s="678" t="n">
        <v>6250</v>
      </c>
      <c r="W720" s="678" t="n">
        <v>6000</v>
      </c>
      <c r="X720" s="356" t="inlineStr">
        <is>
          <t>1.5:1</t>
        </is>
      </c>
      <c r="Y720" s="678">
        <f>ROUND(J720,-3)</f>
        <v/>
      </c>
      <c r="Z720" s="249" t="inlineStr">
        <is>
          <t xml:space="preserve">C </t>
        </is>
      </c>
      <c r="AA720" s="245" t="n">
        <v>3</v>
      </c>
      <c r="AB720" s="245" t="n">
        <v>3</v>
      </c>
      <c r="AC720" s="253" t="inlineStr">
        <is>
          <t>33</t>
        </is>
      </c>
      <c r="AD720" s="247" t="inlineStr">
        <is>
          <t xml:space="preserve">S-W                 </t>
        </is>
      </c>
      <c r="AE720" s="680" t="n"/>
      <c r="AF720" s="680" t="n"/>
      <c r="AG720" s="680" t="n"/>
      <c r="AH720" s="680" t="n"/>
      <c r="AI720" s="680" t="n"/>
      <c r="AJ720" s="680" t="n"/>
      <c r="AK720" s="680" t="inlineStr">
        <is>
          <t xml:space="preserve">S-T WHSE.                                                         </t>
        </is>
      </c>
    </row>
    <row r="721">
      <c r="A721" s="248" t="n">
        <v>8</v>
      </c>
      <c r="B721" s="370" t="n">
        <v>713</v>
      </c>
      <c r="C721" s="254" t="inlineStr">
        <is>
          <t>2009Q</t>
        </is>
      </c>
      <c r="D721" s="245" t="inlineStr">
        <is>
          <t xml:space="preserve">02214-18-011-000 </t>
        </is>
      </c>
      <c r="E721" s="258" t="inlineStr">
        <is>
          <t>Actual</t>
        </is>
      </c>
      <c r="F721" s="259" t="inlineStr">
        <is>
          <t>4101   INCA                 ST</t>
        </is>
      </c>
      <c r="G721" s="672" t="n">
        <v>44.1</v>
      </c>
      <c r="H721" s="253" t="n">
        <v>9208</v>
      </c>
      <c r="I721" s="255" t="n">
        <v>0</v>
      </c>
      <c r="J721" s="678" t="n">
        <v>2320</v>
      </c>
      <c r="K721" s="679" t="n">
        <v>7.758620689655173</v>
      </c>
      <c r="L721" s="260" t="n">
        <v>0</v>
      </c>
      <c r="M721" s="262" t="n">
        <v>0</v>
      </c>
      <c r="N721" s="253" t="n">
        <v>1935</v>
      </c>
      <c r="O721" s="250" t="n">
        <v>1021</v>
      </c>
      <c r="Q721" s="245" t="n">
        <v>17</v>
      </c>
      <c r="R721" s="245" t="n">
        <v>1</v>
      </c>
      <c r="S721" s="245" t="n">
        <v>1</v>
      </c>
      <c r="T721" s="249" t="inlineStr">
        <is>
          <t xml:space="preserve">I1   </t>
        </is>
      </c>
      <c r="U721" s="249" t="n">
        <v>398</v>
      </c>
      <c r="V721" s="678" t="n">
        <v>12500</v>
      </c>
      <c r="W721" s="678" t="n">
        <v>13000</v>
      </c>
      <c r="X721" s="356" t="inlineStr">
        <is>
          <t>5.4:1</t>
        </is>
      </c>
      <c r="Y721" s="678">
        <f>ROUND(J721,-3)</f>
        <v/>
      </c>
      <c r="Z721" s="249" t="inlineStr">
        <is>
          <t xml:space="preserve">C </t>
        </is>
      </c>
      <c r="AA721" s="245" t="n">
        <v>3</v>
      </c>
      <c r="AB721" s="245" t="n">
        <v>3</v>
      </c>
      <c r="AC721" s="253" t="inlineStr">
        <is>
          <t>33</t>
        </is>
      </c>
      <c r="AD721" s="247" t="inlineStr">
        <is>
          <t>S-W COM CITY ELECTRC</t>
        </is>
      </c>
      <c r="AE721" s="680" t="n"/>
      <c r="AF721" s="680" t="n"/>
      <c r="AG721" s="680" t="n"/>
      <c r="AH721" s="680" t="n"/>
      <c r="AI721" s="680" t="n"/>
      <c r="AJ721" s="680" t="n"/>
      <c r="AK721" s="680" t="inlineStr">
        <is>
          <t xml:space="preserve">S-T WHSE.; AGE OF LEASE UNKNOWN.                                  </t>
        </is>
      </c>
    </row>
    <row r="722">
      <c r="A722" s="248" t="n">
        <v>8</v>
      </c>
      <c r="B722" s="370" t="n">
        <v>714</v>
      </c>
      <c r="C722" s="254" t="inlineStr">
        <is>
          <t>2009Q</t>
        </is>
      </c>
      <c r="D722" s="245" t="inlineStr">
        <is>
          <t xml:space="preserve">02214-41-006-000 </t>
        </is>
      </c>
      <c r="E722" s="258" t="inlineStr">
        <is>
          <t>Actual</t>
        </is>
      </c>
      <c r="F722" s="259" t="inlineStr">
        <is>
          <t>1627 W 38TH                 AV</t>
        </is>
      </c>
      <c r="G722" s="672" t="n">
        <v>44.1</v>
      </c>
      <c r="H722" s="253" t="n">
        <v>9208</v>
      </c>
      <c r="I722" s="255" t="n">
        <v>9</v>
      </c>
      <c r="J722" s="678" t="n">
        <v>6599</v>
      </c>
      <c r="K722" s="679" t="n">
        <v>7.311713896044855</v>
      </c>
      <c r="L722" s="260" t="n">
        <v>0</v>
      </c>
      <c r="M722" s="262" t="n">
        <v>0.07050777202072539</v>
      </c>
      <c r="N722" s="253" t="n">
        <v>1952</v>
      </c>
      <c r="Q722" s="245" t="n">
        <v>12</v>
      </c>
      <c r="R722" s="245" t="n">
        <v>3</v>
      </c>
      <c r="S722" s="245" t="n">
        <v>1</v>
      </c>
      <c r="T722" s="249" t="inlineStr">
        <is>
          <t xml:space="preserve">R2   </t>
        </is>
      </c>
      <c r="U722" s="249" t="n">
        <v>401</v>
      </c>
      <c r="V722" s="678" t="n">
        <v>9440</v>
      </c>
      <c r="W722" s="678" t="n">
        <v>9000</v>
      </c>
      <c r="X722" s="356" t="inlineStr">
        <is>
          <t>1.4:1</t>
        </is>
      </c>
      <c r="Y722" s="678">
        <f>ROUND(J722,-3)</f>
        <v/>
      </c>
      <c r="Z722" s="249" t="inlineStr">
        <is>
          <t xml:space="preserve">C </t>
        </is>
      </c>
      <c r="AA722" s="245" t="n">
        <v>3</v>
      </c>
      <c r="AB722" s="245" t="n">
        <v>3</v>
      </c>
      <c r="AC722" s="253" t="inlineStr">
        <is>
          <t>33</t>
        </is>
      </c>
      <c r="AD722" s="247" t="inlineStr">
        <is>
          <t>                    </t>
        </is>
      </c>
      <c r="AE722" s="680" t="n"/>
      <c r="AF722" s="680" t="n"/>
      <c r="AG722" s="680" t="n"/>
      <c r="AH722" s="680" t="n"/>
      <c r="AI722" s="680" t="n"/>
      <c r="AJ722" s="680" t="n"/>
      <c r="AK722" s="680" t="inlineStr">
        <is>
          <t xml:space="preserve">M-T WHSE; 3 TENANTS; YR-TO-YR LEASES.                             </t>
        </is>
      </c>
    </row>
    <row r="723">
      <c r="A723" s="248" t="n">
        <v>8</v>
      </c>
      <c r="B723" s="370" t="n">
        <v>715</v>
      </c>
      <c r="C723" s="254" t="inlineStr">
        <is>
          <t>2009Q</t>
        </is>
      </c>
      <c r="D723" s="245" t="inlineStr">
        <is>
          <t xml:space="preserve">02214-44-001-000 </t>
        </is>
      </c>
      <c r="E723" s="258" t="inlineStr">
        <is>
          <t>Actual</t>
        </is>
      </c>
      <c r="F723" s="259" t="inlineStr">
        <is>
          <t>3850   MARIPOSA             ST</t>
        </is>
      </c>
      <c r="G723" s="672" t="n">
        <v>44.1</v>
      </c>
      <c r="H723" s="253" t="n">
        <v>9208</v>
      </c>
      <c r="I723" s="255" t="n">
        <v>0</v>
      </c>
      <c r="J723" s="678" t="n">
        <v>5980</v>
      </c>
      <c r="K723" s="679" t="n">
        <v>8.695652173913043</v>
      </c>
      <c r="L723" s="260" t="n">
        <v>0</v>
      </c>
      <c r="M723" s="262" t="n">
        <v>0.03165384615384615</v>
      </c>
      <c r="N723" s="253" t="n">
        <v>1955</v>
      </c>
      <c r="O723" s="250" t="n">
        <v>1552</v>
      </c>
      <c r="Q723" s="245" t="n">
        <v>13</v>
      </c>
      <c r="R723" s="245" t="n">
        <v>1</v>
      </c>
      <c r="S723" s="245" t="n">
        <v>1</v>
      </c>
      <c r="T723" s="249" t="inlineStr">
        <is>
          <t xml:space="preserve">B4   </t>
        </is>
      </c>
      <c r="U723" s="249" t="n">
        <v>398</v>
      </c>
      <c r="V723" s="678" t="n">
        <v>12535</v>
      </c>
      <c r="W723" s="678" t="n">
        <v>13000</v>
      </c>
      <c r="X723" s="356" t="inlineStr">
        <is>
          <t>2.1:1</t>
        </is>
      </c>
      <c r="Y723" s="678">
        <f>ROUND(J723,-3)</f>
        <v/>
      </c>
      <c r="Z723" s="249" t="inlineStr">
        <is>
          <t xml:space="preserve">C </t>
        </is>
      </c>
      <c r="AA723" s="245" t="n">
        <v>3</v>
      </c>
      <c r="AB723" s="245" t="n">
        <v>3</v>
      </c>
      <c r="AC723" s="253" t="inlineStr">
        <is>
          <t>33</t>
        </is>
      </c>
      <c r="AD723" s="247" t="inlineStr">
        <is>
          <t>                    </t>
        </is>
      </c>
      <c r="AE723" s="680" t="n"/>
      <c r="AF723" s="680" t="n"/>
      <c r="AG723" s="680" t="n"/>
      <c r="AH723" s="680" t="n"/>
      <c r="AI723" s="680" t="n"/>
      <c r="AJ723" s="680" t="n"/>
      <c r="AK723" s="680" t="inlineStr">
        <is>
          <t xml:space="preserve">M-T WHSE. 3 TENANTS; LEASES 2004 - 2008.                          </t>
        </is>
      </c>
    </row>
    <row r="724">
      <c r="A724" s="248" t="n">
        <v>8</v>
      </c>
      <c r="B724" s="370" t="n">
        <v>716</v>
      </c>
      <c r="C724" s="254" t="inlineStr">
        <is>
          <t>2009Q</t>
        </is>
      </c>
      <c r="D724" s="245" t="inlineStr">
        <is>
          <t xml:space="preserve">02214-47-016-000 </t>
        </is>
      </c>
      <c r="E724" s="258" t="inlineStr">
        <is>
          <t>Actual</t>
        </is>
      </c>
      <c r="F724" s="259" t="inlineStr">
        <is>
          <t>3819   INCA                 ST</t>
        </is>
      </c>
      <c r="G724" s="672" t="n">
        <v>44.1</v>
      </c>
      <c r="H724" s="253" t="n">
        <v>9208</v>
      </c>
      <c r="I724" s="255" t="n">
        <v>0</v>
      </c>
      <c r="J724" s="678" t="n">
        <v>7360</v>
      </c>
      <c r="K724" s="679" t="n">
        <v>5.298913043478261</v>
      </c>
      <c r="L724" s="260" t="n">
        <v>0</v>
      </c>
      <c r="M724" s="262" t="n">
        <v>0.05435897435897436</v>
      </c>
      <c r="N724" s="253" t="n">
        <v>1972</v>
      </c>
      <c r="O724" s="250" t="n">
        <v>430</v>
      </c>
      <c r="Q724" s="245" t="n">
        <v>23</v>
      </c>
      <c r="R724" s="245" t="n">
        <v>3</v>
      </c>
      <c r="S724" s="245" t="n">
        <v>1</v>
      </c>
      <c r="T724" s="249" t="inlineStr">
        <is>
          <t xml:space="preserve">I0   </t>
        </is>
      </c>
      <c r="U724" s="249" t="n">
        <v>398</v>
      </c>
      <c r="V724" s="678" t="n">
        <v>18750</v>
      </c>
      <c r="W724" s="678" t="n">
        <v>19000</v>
      </c>
      <c r="X724" s="356" t="inlineStr">
        <is>
          <t>2.5:1</t>
        </is>
      </c>
      <c r="Y724" s="678">
        <f>ROUND(J724,-3)</f>
        <v/>
      </c>
      <c r="Z724" s="249" t="inlineStr">
        <is>
          <t xml:space="preserve">C </t>
        </is>
      </c>
      <c r="AA724" s="245" t="n">
        <v>3</v>
      </c>
      <c r="AB724" s="245" t="n">
        <v>3</v>
      </c>
      <c r="AC724" s="253" t="inlineStr">
        <is>
          <t>33</t>
        </is>
      </c>
      <c r="AD724" s="247" t="inlineStr">
        <is>
          <t>                    </t>
        </is>
      </c>
      <c r="AE724" s="680" t="n"/>
      <c r="AF724" s="680" t="n"/>
      <c r="AG724" s="680" t="n"/>
      <c r="AH724" s="680" t="n"/>
      <c r="AI724" s="680" t="n"/>
      <c r="AJ724" s="680" t="n"/>
      <c r="AK724" s="680" t="inlineStr">
        <is>
          <t xml:space="preserve">M-T WHSE; 2 TENANTS; LEASES 2000,2004.                            </t>
        </is>
      </c>
    </row>
    <row r="725">
      <c r="A725" s="248" t="n">
        <v>8</v>
      </c>
      <c r="B725" s="370" t="n">
        <v>717</v>
      </c>
      <c r="C725" s="254" t="inlineStr">
        <is>
          <t>2009Q</t>
        </is>
      </c>
      <c r="D725" s="245" t="inlineStr">
        <is>
          <t xml:space="preserve">02221-01-012-000 </t>
        </is>
      </c>
      <c r="E725" s="258" t="inlineStr">
        <is>
          <t>Actual</t>
        </is>
      </c>
      <c r="F725" s="259" t="inlineStr">
        <is>
          <t>4801   WASHINGTON           ST</t>
        </is>
      </c>
      <c r="G725" s="672" t="n">
        <v>44.1</v>
      </c>
      <c r="H725" s="253" t="n">
        <v>9201</v>
      </c>
      <c r="I725" s="255" t="n">
        <v>0</v>
      </c>
      <c r="J725" s="678" t="n">
        <v>1497</v>
      </c>
      <c r="K725" s="679" t="n">
        <v>24.04809619238477</v>
      </c>
      <c r="L725" s="260" t="n">
        <v>0</v>
      </c>
      <c r="M725" s="262" t="n">
        <v>0</v>
      </c>
      <c r="N725" s="253" t="n">
        <v>1886</v>
      </c>
      <c r="O725" s="250" t="n">
        <v>600</v>
      </c>
      <c r="Q725" s="245" t="n">
        <v>12</v>
      </c>
      <c r="R725" s="245" t="n">
        <v>7</v>
      </c>
      <c r="S725" s="245" t="n">
        <v>1</v>
      </c>
      <c r="T725" s="249" t="inlineStr">
        <is>
          <t xml:space="preserve">I1   </t>
        </is>
      </c>
      <c r="U725" s="249" t="n">
        <v>398</v>
      </c>
      <c r="V725" s="678" t="n">
        <v>6834</v>
      </c>
      <c r="W725" s="678" t="n">
        <v>7000</v>
      </c>
      <c r="X725" s="356" t="inlineStr">
        <is>
          <t>4.6:1</t>
        </is>
      </c>
      <c r="Y725" s="678">
        <f>ROUND(J725,-2)</f>
        <v/>
      </c>
      <c r="Z725" s="249" t="inlineStr">
        <is>
          <t xml:space="preserve">C </t>
        </is>
      </c>
      <c r="AA725" s="245" t="n">
        <v>3</v>
      </c>
      <c r="AB725" s="245" t="n">
        <v>3</v>
      </c>
      <c r="AC725" s="253" t="inlineStr">
        <is>
          <t>33</t>
        </is>
      </c>
      <c r="AD725" s="247" t="inlineStr">
        <is>
          <t xml:space="preserve">S-W POOR BOY AUTO   </t>
        </is>
      </c>
      <c r="AE725" s="680" t="n"/>
      <c r="AF725" s="680" t="n"/>
      <c r="AG725" s="680" t="n"/>
      <c r="AH725" s="680" t="n"/>
      <c r="AI725" s="680" t="n"/>
      <c r="AJ725" s="680" t="n"/>
      <c r="AK725" s="680" t="inlineStr">
        <is>
          <t xml:space="preserve">S-T WHSE.                                                         </t>
        </is>
      </c>
    </row>
    <row r="726">
      <c r="A726" s="248" t="n">
        <v>8</v>
      </c>
      <c r="B726" s="370" t="n">
        <v>718</v>
      </c>
      <c r="C726" s="254" t="inlineStr">
        <is>
          <t>2009Q</t>
        </is>
      </c>
      <c r="D726" s="245" t="inlineStr">
        <is>
          <t xml:space="preserve">02222-00-048-000 </t>
        </is>
      </c>
      <c r="E726" s="258" t="inlineStr">
        <is>
          <t>Actual</t>
        </is>
      </c>
      <c r="F726" s="259" t="inlineStr">
        <is>
          <t>301 W 45TH                 AV</t>
        </is>
      </c>
      <c r="G726" s="672" t="n">
        <v>44.1</v>
      </c>
      <c r="H726" s="253" t="n">
        <v>9208</v>
      </c>
      <c r="I726" s="255" t="n">
        <v>0</v>
      </c>
      <c r="J726" s="678" t="n">
        <v>13678</v>
      </c>
      <c r="K726" s="679" t="n">
        <v>15.35312180143296</v>
      </c>
      <c r="L726" s="260" t="n">
        <v>0</v>
      </c>
      <c r="M726" s="262" t="n">
        <v>0.01935714285714286</v>
      </c>
      <c r="N726" s="253" t="n">
        <v>1963</v>
      </c>
      <c r="O726" s="250" t="n">
        <v>3272</v>
      </c>
      <c r="Q726" s="245" t="n">
        <v>13</v>
      </c>
      <c r="R726" s="245" t="n">
        <v>1</v>
      </c>
      <c r="S726" s="245" t="n">
        <v>1</v>
      </c>
      <c r="T726" s="249" t="inlineStr">
        <is>
          <t xml:space="preserve">I2   </t>
        </is>
      </c>
      <c r="U726" s="249" t="n">
        <v>398</v>
      </c>
      <c r="V726" s="678" t="n">
        <v>29006</v>
      </c>
      <c r="W726" s="678" t="n">
        <v>29000</v>
      </c>
      <c r="X726" s="356" t="inlineStr">
        <is>
          <t>2.1:1</t>
        </is>
      </c>
      <c r="Y726" s="678">
        <f>ROUND(J726,-3)</f>
        <v/>
      </c>
      <c r="Z726" s="249" t="inlineStr">
        <is>
          <t xml:space="preserve">C </t>
        </is>
      </c>
      <c r="AA726" s="245" t="n">
        <v>3</v>
      </c>
      <c r="AB726" s="245" t="n">
        <v>3</v>
      </c>
      <c r="AC726" s="253" t="inlineStr">
        <is>
          <t>33</t>
        </is>
      </c>
      <c r="AD726" s="247" t="inlineStr">
        <is>
          <t>ENV'RNMNTAL DEMO'LTN</t>
        </is>
      </c>
      <c r="AE726" s="680" t="n"/>
      <c r="AF726" s="680" t="n"/>
      <c r="AG726" s="680" t="n"/>
      <c r="AH726" s="680" t="n"/>
      <c r="AI726" s="680" t="n"/>
      <c r="AJ726" s="680" t="n"/>
      <c r="AK726" s="680" t="inlineStr">
        <is>
          <t xml:space="preserve">S-T WHSE.; 2006 LEASE.                                            </t>
        </is>
      </c>
    </row>
    <row r="727">
      <c r="A727" s="248" t="n">
        <v>8</v>
      </c>
      <c r="B727" s="370" t="n">
        <v>719</v>
      </c>
      <c r="C727" s="254" t="inlineStr">
        <is>
          <t>2009Q</t>
        </is>
      </c>
      <c r="D727" s="245" t="inlineStr">
        <is>
          <t xml:space="preserve">02222-00-063-000 </t>
        </is>
      </c>
      <c r="E727" s="258" t="inlineStr">
        <is>
          <t>Actual</t>
        </is>
      </c>
      <c r="F727" s="259" t="inlineStr">
        <is>
          <t>750 W 48TH                 AV</t>
        </is>
      </c>
      <c r="G727" s="672" t="n">
        <v>44.2</v>
      </c>
      <c r="H727" s="253" t="n">
        <v>9208</v>
      </c>
      <c r="I727" s="255" t="n">
        <v>0</v>
      </c>
      <c r="J727" s="678" t="n">
        <v>11507</v>
      </c>
      <c r="K727" s="679" t="n">
        <v>9.401234031459111</v>
      </c>
      <c r="L727" s="260" t="n">
        <v>0</v>
      </c>
      <c r="M727" s="262" t="n">
        <v>0</v>
      </c>
      <c r="N727" s="253" t="n">
        <v>1967</v>
      </c>
      <c r="O727" s="250" t="n">
        <v>4376</v>
      </c>
      <c r="Q727" s="245" t="n">
        <v>13</v>
      </c>
      <c r="R727" s="245" t="n">
        <v>3</v>
      </c>
      <c r="S727" s="245" t="n">
        <v>1</v>
      </c>
      <c r="T727" s="249" t="inlineStr">
        <is>
          <t xml:space="preserve">I2   </t>
        </is>
      </c>
      <c r="U727" s="249" t="n">
        <v>398</v>
      </c>
      <c r="V727" s="678" t="n">
        <v>72660</v>
      </c>
      <c r="W727" s="678" t="n">
        <v>70000</v>
      </c>
      <c r="X727" s="356" t="inlineStr">
        <is>
          <t>6.3:1</t>
        </is>
      </c>
      <c r="Y727" s="678">
        <f>ROUND(J727,-3)</f>
        <v/>
      </c>
      <c r="Z727" s="249" t="inlineStr">
        <is>
          <t xml:space="preserve">C </t>
        </is>
      </c>
      <c r="AA727" s="245" t="n">
        <v>3</v>
      </c>
      <c r="AB727" s="245" t="n">
        <v>3</v>
      </c>
      <c r="AC727" s="253" t="inlineStr">
        <is>
          <t>33</t>
        </is>
      </c>
      <c r="AD727" s="247" t="inlineStr">
        <is>
          <t>S-D AAA WATERPROOFNG</t>
        </is>
      </c>
      <c r="AE727" s="680" t="n"/>
      <c r="AF727" s="680" t="n"/>
      <c r="AG727" s="680" t="n"/>
      <c r="AH727" s="680" t="n"/>
      <c r="AI727" s="680" t="n"/>
      <c r="AJ727" s="680" t="n"/>
      <c r="AK727" s="680" t="inlineStr">
        <is>
          <t xml:space="preserve">S-T WHSE.                                                         </t>
        </is>
      </c>
    </row>
    <row r="728">
      <c r="A728" s="248" t="n">
        <v>8</v>
      </c>
      <c r="B728" s="370" t="n">
        <v>720</v>
      </c>
      <c r="C728" s="254" t="inlineStr">
        <is>
          <t>2009Q</t>
        </is>
      </c>
      <c r="D728" s="245" t="inlineStr">
        <is>
          <t xml:space="preserve">02223-12-018-000 </t>
        </is>
      </c>
      <c r="E728" s="258" t="inlineStr">
        <is>
          <t>Actual</t>
        </is>
      </c>
      <c r="F728" s="259" t="inlineStr">
        <is>
          <t>4200   FOX                  ST</t>
        </is>
      </c>
      <c r="G728" s="672" t="n">
        <v>44.1</v>
      </c>
      <c r="H728" s="253" t="n">
        <v>9208</v>
      </c>
      <c r="I728" s="255" t="n">
        <v>0</v>
      </c>
      <c r="J728" s="678" t="n">
        <v>1305</v>
      </c>
      <c r="K728" s="679" t="n">
        <v>5.517241379310345</v>
      </c>
      <c r="L728" s="260" t="n">
        <v>0</v>
      </c>
      <c r="M728" s="262" t="n">
        <v>0.1693055555555555</v>
      </c>
      <c r="N728" s="253" t="n">
        <v>1953</v>
      </c>
      <c r="O728" s="250" t="n">
        <v>392</v>
      </c>
      <c r="Q728" s="245" t="n">
        <v>11</v>
      </c>
      <c r="R728" s="245" t="n">
        <v>3</v>
      </c>
      <c r="S728" s="245" t="n">
        <v>1</v>
      </c>
      <c r="T728" s="249" t="inlineStr">
        <is>
          <t xml:space="preserve">I1   </t>
        </is>
      </c>
      <c r="U728" s="249" t="n">
        <v>398</v>
      </c>
      <c r="V728" s="678" t="n">
        <v>7519</v>
      </c>
      <c r="W728" s="678" t="n">
        <v>8000</v>
      </c>
      <c r="X728" s="356" t="inlineStr">
        <is>
          <t>2.4:1</t>
        </is>
      </c>
      <c r="Y728" s="678">
        <f>ROUND(J728,-2)</f>
        <v/>
      </c>
      <c r="Z728" s="249" t="inlineStr">
        <is>
          <t xml:space="preserve">C </t>
        </is>
      </c>
      <c r="AA728" s="245" t="n">
        <v>3</v>
      </c>
      <c r="AB728" s="245" t="n">
        <v>3</v>
      </c>
      <c r="AC728" s="253" t="inlineStr">
        <is>
          <t>33</t>
        </is>
      </c>
      <c r="AD728" s="247" t="inlineStr">
        <is>
          <t xml:space="preserve">S-W                 </t>
        </is>
      </c>
      <c r="AE728" s="680" t="n"/>
      <c r="AF728" s="680" t="n"/>
      <c r="AG728" s="680" t="n"/>
      <c r="AH728" s="680" t="n"/>
      <c r="AI728" s="680" t="n"/>
      <c r="AJ728" s="680" t="n"/>
      <c r="AK728" s="680" t="inlineStr">
        <is>
          <t xml:space="preserve">M-T WHSE.; 2 TENANTS; 2006 LEASE.                                 </t>
        </is>
      </c>
    </row>
    <row r="729">
      <c r="A729" s="248" t="n">
        <v>8</v>
      </c>
      <c r="B729" s="370" t="n">
        <v>721</v>
      </c>
      <c r="C729" s="254" t="inlineStr">
        <is>
          <t>2009Q</t>
        </is>
      </c>
      <c r="D729" s="245" t="inlineStr">
        <is>
          <t xml:space="preserve">02223-13-024-000 </t>
        </is>
      </c>
      <c r="E729" s="258" t="inlineStr">
        <is>
          <t>Actual</t>
        </is>
      </c>
      <c r="F729" s="259" t="inlineStr">
        <is>
          <t>4256   ELATI                ST</t>
        </is>
      </c>
      <c r="G729" s="672" t="inlineStr">
        <is>
          <t>44.M</t>
        </is>
      </c>
      <c r="H729" s="253" t="n">
        <v>9208</v>
      </c>
      <c r="I729" s="255" t="n">
        <v>0</v>
      </c>
      <c r="J729" s="678" t="n">
        <v>2000</v>
      </c>
      <c r="K729" s="679" t="n">
        <v>4.2</v>
      </c>
      <c r="L729" s="260" t="n">
        <v>1</v>
      </c>
      <c r="M729" s="262" t="n">
        <v>0.1045238095238095</v>
      </c>
      <c r="N729" s="253" t="n">
        <v>1978</v>
      </c>
      <c r="O729" s="250" t="n">
        <v>150</v>
      </c>
      <c r="Q729" s="245" t="n">
        <v>10</v>
      </c>
      <c r="R729" s="245" t="n">
        <v>7</v>
      </c>
      <c r="S729" s="245" t="n">
        <v>1</v>
      </c>
      <c r="T729" s="249" t="inlineStr">
        <is>
          <t xml:space="preserve">I1   </t>
        </is>
      </c>
      <c r="U729" s="249" t="n">
        <v>398</v>
      </c>
      <c r="V729" s="678" t="n">
        <v>7175</v>
      </c>
      <c r="W729" s="678" t="n">
        <v>7000</v>
      </c>
      <c r="X729" s="356" t="inlineStr">
        <is>
          <t>3.6:1</t>
        </is>
      </c>
      <c r="Y729" s="678">
        <f>ROUND(J729,-3)</f>
        <v/>
      </c>
      <c r="Z729" s="249" t="inlineStr">
        <is>
          <t xml:space="preserve">C </t>
        </is>
      </c>
      <c r="AA729" s="245" t="n">
        <v>3</v>
      </c>
      <c r="AB729" s="245" t="n">
        <v>3</v>
      </c>
      <c r="AC729" s="253" t="inlineStr">
        <is>
          <t>33</t>
        </is>
      </c>
      <c r="AD729" s="247" t="inlineStr">
        <is>
          <t>S-W ALEX MANUFACTURG</t>
        </is>
      </c>
      <c r="AE729" s="680" t="n"/>
      <c r="AF729" s="680" t="n"/>
      <c r="AG729" s="680" t="n"/>
      <c r="AH729" s="680" t="n"/>
      <c r="AI729" s="680" t="n"/>
      <c r="AJ729" s="680" t="n"/>
      <c r="AK729" s="680" t="inlineStr">
        <is>
          <t xml:space="preserve">S-T WHSE.; AGE OF LEASE UNKNOWN.                                  </t>
        </is>
      </c>
    </row>
    <row r="730">
      <c r="A730" s="248" t="n">
        <v>8</v>
      </c>
      <c r="B730" s="370" t="n">
        <v>722</v>
      </c>
      <c r="C730" s="254" t="inlineStr">
        <is>
          <t>2009Q</t>
        </is>
      </c>
      <c r="D730" s="245" t="inlineStr">
        <is>
          <t xml:space="preserve">02223-19-009-000 </t>
        </is>
      </c>
      <c r="E730" s="258" t="inlineStr">
        <is>
          <t>Actual</t>
        </is>
      </c>
      <c r="F730" s="259" t="inlineStr">
        <is>
          <t>450 W 42ND                 AV</t>
        </is>
      </c>
      <c r="G730" s="672" t="n">
        <v>44.1</v>
      </c>
      <c r="H730" s="253" t="n">
        <v>9208</v>
      </c>
      <c r="I730" s="255" t="n">
        <v>0</v>
      </c>
      <c r="J730" s="678" t="n">
        <v>6144</v>
      </c>
      <c r="K730" s="679" t="n">
        <v>6.429036458333333</v>
      </c>
      <c r="L730" s="260" t="n">
        <v>0</v>
      </c>
      <c r="M730" s="262" t="n">
        <v>0.04810126582278481</v>
      </c>
      <c r="N730" s="253" t="n">
        <v>1973</v>
      </c>
      <c r="O730" s="250" t="n">
        <v>1593</v>
      </c>
      <c r="Q730" s="245" t="n">
        <v>14</v>
      </c>
      <c r="R730" s="245" t="n">
        <v>14</v>
      </c>
      <c r="S730" s="245" t="n">
        <v>1</v>
      </c>
      <c r="T730" s="249" t="inlineStr">
        <is>
          <t xml:space="preserve">I1   </t>
        </is>
      </c>
      <c r="U730" s="249" t="n">
        <v>398</v>
      </c>
      <c r="V730" s="678" t="n">
        <v>30805</v>
      </c>
      <c r="W730" s="678" t="n">
        <v>31000</v>
      </c>
      <c r="X730" s="356" t="inlineStr">
        <is>
          <t>5.0:1</t>
        </is>
      </c>
      <c r="Y730" s="678">
        <f>ROUND(J730,-3)</f>
        <v/>
      </c>
      <c r="Z730" s="249" t="inlineStr">
        <is>
          <t xml:space="preserve">C </t>
        </is>
      </c>
      <c r="AA730" s="245" t="n">
        <v>3</v>
      </c>
      <c r="AB730" s="245" t="n">
        <v>3</v>
      </c>
      <c r="AC730" s="253" t="inlineStr">
        <is>
          <t>33</t>
        </is>
      </c>
      <c r="AD730" s="247" t="inlineStr">
        <is>
          <t xml:space="preserve">SHERMAN WILLIAMS    </t>
        </is>
      </c>
      <c r="AE730" s="680" t="n"/>
      <c r="AF730" s="680" t="n"/>
      <c r="AG730" s="680" t="n"/>
      <c r="AH730" s="680" t="n"/>
      <c r="AI730" s="680" t="n"/>
      <c r="AJ730" s="680" t="n"/>
      <c r="AK730" s="680" t="inlineStr">
        <is>
          <t xml:space="preserve">S-T WHSE.; 2005 LEASE.                                            </t>
        </is>
      </c>
    </row>
    <row r="731">
      <c r="A731" s="248" t="n">
        <v>8</v>
      </c>
      <c r="B731" s="370" t="n">
        <v>723</v>
      </c>
      <c r="C731" s="254" t="inlineStr">
        <is>
          <t>2009Q</t>
        </is>
      </c>
      <c r="D731" s="245" t="inlineStr">
        <is>
          <t xml:space="preserve">02223-25-012-012 </t>
        </is>
      </c>
      <c r="E731" s="258" t="inlineStr">
        <is>
          <t>Actual</t>
        </is>
      </c>
      <c r="F731" s="259" t="inlineStr">
        <is>
          <t>4001   ELATI                ST</t>
        </is>
      </c>
      <c r="G731" s="672" t="n">
        <v>44.8</v>
      </c>
      <c r="H731" s="253" t="n">
        <v>9208</v>
      </c>
      <c r="I731" s="255" t="n">
        <v>0</v>
      </c>
      <c r="J731" s="678" t="n">
        <v>2406</v>
      </c>
      <c r="K731" s="679" t="n">
        <v>12.42394014962593</v>
      </c>
      <c r="L731" s="260" t="n">
        <v>0</v>
      </c>
      <c r="M731" s="262" t="n">
        <v>0</v>
      </c>
      <c r="N731" s="253" t="n">
        <v>1962</v>
      </c>
      <c r="O731" s="250" t="n">
        <v>2149</v>
      </c>
      <c r="Q731" s="245" t="n">
        <v>13</v>
      </c>
      <c r="R731" s="245" t="n">
        <v>1</v>
      </c>
      <c r="S731" s="245" t="n">
        <v>1</v>
      </c>
      <c r="T731" s="249" t="inlineStr">
        <is>
          <t xml:space="preserve">I1   </t>
        </is>
      </c>
      <c r="U731" s="249" t="n">
        <v>398</v>
      </c>
      <c r="V731" s="678" t="n">
        <v>4537</v>
      </c>
      <c r="W731" s="678" t="n">
        <v>5000</v>
      </c>
      <c r="X731" s="356" t="inlineStr">
        <is>
          <t>1.9:1</t>
        </is>
      </c>
      <c r="Y731" s="678">
        <f>ROUND(J731,-3)</f>
        <v/>
      </c>
      <c r="Z731" s="249" t="inlineStr">
        <is>
          <t xml:space="preserve">C </t>
        </is>
      </c>
      <c r="AA731" s="245" t="n">
        <v>3</v>
      </c>
      <c r="AB731" s="245" t="n">
        <v>3</v>
      </c>
      <c r="AC731" s="253" t="inlineStr">
        <is>
          <t>33</t>
        </is>
      </c>
      <c r="AD731" s="247" t="inlineStr">
        <is>
          <t xml:space="preserve">CLINICA TEPEYAC     </t>
        </is>
      </c>
      <c r="AE731" s="680" t="n"/>
      <c r="AF731" s="680" t="n"/>
      <c r="AG731" s="680" t="n"/>
      <c r="AH731" s="680" t="n"/>
      <c r="AI731" s="680" t="n"/>
      <c r="AJ731" s="680" t="n"/>
      <c r="AK731" s="680" t="inlineStr">
        <is>
          <t xml:space="preserve">S-T WHSE CONDO UNIT.                                              </t>
        </is>
      </c>
    </row>
    <row r="732">
      <c r="A732" s="248" t="n">
        <v>8</v>
      </c>
      <c r="B732" s="370" t="n">
        <v>724</v>
      </c>
      <c r="C732" s="254" t="inlineStr">
        <is>
          <t>2009Q</t>
        </is>
      </c>
      <c r="D732" s="245" t="inlineStr">
        <is>
          <t xml:space="preserve">02223-26-019-000 </t>
        </is>
      </c>
      <c r="E732" s="258" t="inlineStr">
        <is>
          <t>Actual</t>
        </is>
      </c>
      <c r="F732" s="259" t="inlineStr">
        <is>
          <t>3990   FOX                  ST</t>
        </is>
      </c>
      <c r="G732" s="672" t="n">
        <v>44.1</v>
      </c>
      <c r="H732" s="253" t="n">
        <v>9208</v>
      </c>
      <c r="I732" s="255" t="n">
        <v>0</v>
      </c>
      <c r="J732" s="678" t="n">
        <v>4608</v>
      </c>
      <c r="K732" s="679" t="n">
        <v>9.114583333333334</v>
      </c>
      <c r="L732" s="260" t="n">
        <v>0</v>
      </c>
      <c r="M732" s="262" t="n">
        <v>0</v>
      </c>
      <c r="N732" s="253" t="n">
        <v>1973</v>
      </c>
      <c r="O732" s="250" t="n">
        <v>960</v>
      </c>
      <c r="Q732" s="245" t="n">
        <v>14</v>
      </c>
      <c r="R732" s="245" t="n">
        <v>14</v>
      </c>
      <c r="S732" s="245" t="n">
        <v>1</v>
      </c>
      <c r="T732" s="249" t="inlineStr">
        <is>
          <t xml:space="preserve">I1   </t>
        </is>
      </c>
      <c r="U732" s="249" t="n">
        <v>398</v>
      </c>
      <c r="V732" s="678" t="n">
        <v>6250</v>
      </c>
      <c r="W732" s="678" t="n">
        <v>6000</v>
      </c>
      <c r="X732" s="356" t="inlineStr">
        <is>
          <t>1.4:1</t>
        </is>
      </c>
      <c r="Y732" s="678">
        <f>ROUND(J732,-3)</f>
        <v/>
      </c>
      <c r="Z732" s="249" t="inlineStr">
        <is>
          <t xml:space="preserve">C </t>
        </is>
      </c>
      <c r="AA732" s="245" t="n">
        <v>3</v>
      </c>
      <c r="AB732" s="245" t="n">
        <v>3</v>
      </c>
      <c r="AC732" s="253" t="inlineStr">
        <is>
          <t>33</t>
        </is>
      </c>
      <c r="AD732" s="247" t="inlineStr">
        <is>
          <t>S-W HUWA SALES &amp; SER</t>
        </is>
      </c>
      <c r="AE732" s="680" t="n"/>
      <c r="AF732" s="680" t="n"/>
      <c r="AG732" s="680" t="n"/>
      <c r="AH732" s="680" t="n"/>
      <c r="AI732" s="680" t="n"/>
      <c r="AJ732" s="680" t="n"/>
      <c r="AK732" s="680" t="inlineStr">
        <is>
          <t xml:space="preserve">S-T WHSE; ONE YEAR LEASE FOR 2007, APPARENTLY OWNER-OCC 2008.     </t>
        </is>
      </c>
    </row>
    <row r="733">
      <c r="A733" s="248" t="n">
        <v>8</v>
      </c>
      <c r="B733" s="370" t="n">
        <v>725</v>
      </c>
      <c r="C733" s="254" t="inlineStr">
        <is>
          <t>2009Q</t>
        </is>
      </c>
      <c r="D733" s="245" t="inlineStr">
        <is>
          <t xml:space="preserve">02224-03-017-000 </t>
        </is>
      </c>
      <c r="E733" s="258" t="inlineStr">
        <is>
          <t>Actual</t>
        </is>
      </c>
      <c r="F733" s="259" t="inlineStr">
        <is>
          <t>4398   BROADWAY             ST</t>
        </is>
      </c>
      <c r="G733" s="672" t="n">
        <v>44.1</v>
      </c>
      <c r="H733" s="253" t="n">
        <v>9201</v>
      </c>
      <c r="I733" s="255" t="n">
        <v>0</v>
      </c>
      <c r="J733" s="678" t="n">
        <v>10464</v>
      </c>
      <c r="K733" s="679" t="n">
        <v>5.897075688073395</v>
      </c>
      <c r="L733" s="260" t="n">
        <v>0</v>
      </c>
      <c r="M733" s="262" t="n">
        <v>0</v>
      </c>
      <c r="N733" s="253" t="n">
        <v>1983</v>
      </c>
      <c r="Q733" s="245" t="n">
        <v>20</v>
      </c>
      <c r="R733" s="245" t="n">
        <v>3</v>
      </c>
      <c r="S733" s="245" t="n">
        <v>1</v>
      </c>
      <c r="T733" s="249" t="inlineStr">
        <is>
          <t xml:space="preserve">I1   </t>
        </is>
      </c>
      <c r="U733" s="249" t="n">
        <v>398</v>
      </c>
      <c r="V733" s="678" t="n">
        <v>12750</v>
      </c>
      <c r="W733" s="678" t="n">
        <v>13000</v>
      </c>
      <c r="X733" s="356" t="inlineStr">
        <is>
          <t>1.2:1</t>
        </is>
      </c>
      <c r="Y733" s="678">
        <f>ROUND(J733,-3)</f>
        <v/>
      </c>
      <c r="Z733" s="249" t="inlineStr">
        <is>
          <t xml:space="preserve">C </t>
        </is>
      </c>
      <c r="AA733" s="245" t="n">
        <v>3</v>
      </c>
      <c r="AB733" s="245" t="n">
        <v>3</v>
      </c>
      <c r="AC733" s="253" t="inlineStr">
        <is>
          <t>33</t>
        </is>
      </c>
      <c r="AD733" s="247" t="inlineStr">
        <is>
          <t>DAN'S W'LDNG &amp;REPAIR</t>
        </is>
      </c>
      <c r="AE733" s="680" t="n"/>
      <c r="AF733" s="680" t="n"/>
      <c r="AG733" s="680" t="n"/>
      <c r="AH733" s="680" t="n"/>
      <c r="AI733" s="680" t="n"/>
      <c r="AJ733" s="680" t="n"/>
      <c r="AK733" s="680" t="inlineStr">
        <is>
          <t>                                                                  </t>
        </is>
      </c>
    </row>
    <row r="734">
      <c r="A734" s="248" t="n">
        <v>8</v>
      </c>
      <c r="B734" s="370" t="n">
        <v>726</v>
      </c>
      <c r="C734" s="254" t="inlineStr">
        <is>
          <t>2009Q</t>
        </is>
      </c>
      <c r="D734" s="245" t="inlineStr">
        <is>
          <t xml:space="preserve">02224-03-026-000 </t>
        </is>
      </c>
      <c r="E734" s="258" t="inlineStr">
        <is>
          <t>Actual</t>
        </is>
      </c>
      <c r="F734" s="259" t="inlineStr">
        <is>
          <t>4330   BROADWAY             ST</t>
        </is>
      </c>
      <c r="G734" s="672" t="n">
        <v>44.1</v>
      </c>
      <c r="H734" s="253" t="n">
        <v>9201</v>
      </c>
      <c r="I734" s="255" t="n">
        <v>0</v>
      </c>
      <c r="J734" s="678" t="n">
        <v>10009</v>
      </c>
      <c r="K734" s="679" t="n">
        <v>7.623139174742732</v>
      </c>
      <c r="L734" s="260" t="n">
        <v>0</v>
      </c>
      <c r="M734" s="262" t="n">
        <v>0.04587155963302753</v>
      </c>
      <c r="N734" s="253" t="n">
        <v>1985</v>
      </c>
      <c r="O734" s="250" t="n">
        <v>976</v>
      </c>
      <c r="Q734" s="245" t="n">
        <v>19</v>
      </c>
      <c r="R734" s="245" t="n">
        <v>3</v>
      </c>
      <c r="S734" s="245" t="n">
        <v>1</v>
      </c>
      <c r="T734" s="249" t="inlineStr">
        <is>
          <t xml:space="preserve">I1   </t>
        </is>
      </c>
      <c r="U734" s="249" t="n">
        <v>398</v>
      </c>
      <c r="V734" s="678" t="n">
        <v>25628</v>
      </c>
      <c r="W734" s="678" t="n">
        <v>26000</v>
      </c>
      <c r="X734" s="356" t="inlineStr">
        <is>
          <t>2.6:1</t>
        </is>
      </c>
      <c r="Y734" s="678">
        <f>ROUND(J734,-3)</f>
        <v/>
      </c>
      <c r="Z734" s="249" t="inlineStr">
        <is>
          <t xml:space="preserve">C </t>
        </is>
      </c>
      <c r="AA734" s="245" t="n">
        <v>3</v>
      </c>
      <c r="AB734" s="245" t="n">
        <v>3</v>
      </c>
      <c r="AC734" s="253" t="inlineStr">
        <is>
          <t>33</t>
        </is>
      </c>
      <c r="AD734" s="247" t="inlineStr">
        <is>
          <t xml:space="preserve">ROCKY MTN. BATTERY  </t>
        </is>
      </c>
      <c r="AE734" s="680" t="n"/>
      <c r="AF734" s="680" t="n"/>
      <c r="AG734" s="680" t="n"/>
      <c r="AH734" s="680" t="n"/>
      <c r="AI734" s="680" t="n"/>
      <c r="AJ734" s="680" t="n"/>
      <c r="AK734" s="680" t="inlineStr">
        <is>
          <t xml:space="preserve">S.T.WHSE; AGE OF LEASE UNKNOWN                                    </t>
        </is>
      </c>
    </row>
    <row r="735">
      <c r="A735" s="248" t="n">
        <v>8</v>
      </c>
      <c r="B735" s="370" t="n">
        <v>727</v>
      </c>
      <c r="C735" s="254" t="inlineStr">
        <is>
          <t>2009Q</t>
        </is>
      </c>
      <c r="D735" s="245" t="inlineStr">
        <is>
          <t xml:space="preserve">02231-07-011-000 </t>
        </is>
      </c>
      <c r="E735" s="258" t="inlineStr">
        <is>
          <t>Actual</t>
        </is>
      </c>
      <c r="F735" s="259" t="inlineStr">
        <is>
          <t>1717 E 47TH                 AV</t>
        </is>
      </c>
      <c r="G735" s="672" t="n">
        <v>44.1</v>
      </c>
      <c r="H735" s="253" t="n">
        <v>9201</v>
      </c>
      <c r="I735" s="255" t="n">
        <v>0</v>
      </c>
      <c r="J735" s="678" t="n">
        <v>3500</v>
      </c>
      <c r="K735" s="679" t="n">
        <v>12</v>
      </c>
      <c r="L735" s="260" t="n">
        <v>0</v>
      </c>
      <c r="M735" s="262" t="n">
        <v>0.03780952380952381</v>
      </c>
      <c r="N735" s="253" t="n">
        <v>1953</v>
      </c>
      <c r="O735" s="250" t="n">
        <v>469</v>
      </c>
      <c r="Q735" s="245" t="n">
        <v>14</v>
      </c>
      <c r="R735" s="245" t="n">
        <v>1</v>
      </c>
      <c r="S735" s="245" t="n">
        <v>1</v>
      </c>
      <c r="T735" s="249" t="inlineStr">
        <is>
          <t xml:space="preserve">I1   </t>
        </is>
      </c>
      <c r="U735" s="249" t="n">
        <v>398</v>
      </c>
      <c r="V735" s="678" t="n">
        <v>7192</v>
      </c>
      <c r="W735" s="678" t="n">
        <v>7000</v>
      </c>
      <c r="X735" s="356" t="inlineStr">
        <is>
          <t>2.1:1</t>
        </is>
      </c>
      <c r="Y735" s="678">
        <f>ROUND(J735,-3)</f>
        <v/>
      </c>
      <c r="Z735" s="249" t="inlineStr">
        <is>
          <t xml:space="preserve">C </t>
        </is>
      </c>
      <c r="AA735" s="245" t="n">
        <v>3</v>
      </c>
      <c r="AB735" s="245" t="n">
        <v>3</v>
      </c>
      <c r="AC735" s="253" t="inlineStr">
        <is>
          <t>33</t>
        </is>
      </c>
      <c r="AD735" s="247" t="inlineStr">
        <is>
          <t xml:space="preserve">PEAK COACH WORKS    </t>
        </is>
      </c>
      <c r="AE735" s="680" t="n"/>
      <c r="AF735" s="680" t="n"/>
      <c r="AG735" s="680" t="n"/>
      <c r="AH735" s="680" t="n"/>
      <c r="AI735" s="680" t="n"/>
      <c r="AJ735" s="680" t="n"/>
      <c r="AK735" s="680" t="inlineStr">
        <is>
          <t xml:space="preserve">S.T WHSE                                                          </t>
        </is>
      </c>
    </row>
    <row r="736">
      <c r="A736" s="248" t="n">
        <v>8</v>
      </c>
      <c r="B736" s="370" t="n">
        <v>728</v>
      </c>
      <c r="C736" s="254" t="inlineStr">
        <is>
          <t>2009Q</t>
        </is>
      </c>
      <c r="D736" s="245" t="inlineStr">
        <is>
          <t xml:space="preserve">02232-00-219-000 </t>
        </is>
      </c>
      <c r="E736" s="258" t="inlineStr">
        <is>
          <t>Actual</t>
        </is>
      </c>
      <c r="F736" s="259" t="inlineStr">
        <is>
          <t>4303   BRIGHTON             BV</t>
        </is>
      </c>
      <c r="G736" s="672" t="n">
        <v>44.4</v>
      </c>
      <c r="H736" s="253" t="n">
        <v>9201</v>
      </c>
      <c r="I736" s="255" t="n">
        <v>0</v>
      </c>
      <c r="J736" s="678" t="n">
        <v>5600</v>
      </c>
      <c r="K736" s="679" t="n">
        <v>6.989642857142857</v>
      </c>
      <c r="L736" s="260" t="n">
        <v>0</v>
      </c>
      <c r="M736" s="262" t="n">
        <v>0.09322466915333913</v>
      </c>
      <c r="N736" s="253" t="n">
        <v>1952</v>
      </c>
      <c r="O736" s="250" t="n">
        <v>8274</v>
      </c>
      <c r="Q736" s="245" t="n">
        <v>18</v>
      </c>
      <c r="R736" s="245" t="n">
        <v>10</v>
      </c>
      <c r="S736" s="245" t="n">
        <v>1</v>
      </c>
      <c r="T736" s="249" t="inlineStr">
        <is>
          <t xml:space="preserve">I1   </t>
        </is>
      </c>
      <c r="U736" s="249" t="n">
        <v>398</v>
      </c>
      <c r="V736" s="678" t="n">
        <v>208740</v>
      </c>
      <c r="W736" s="678" t="n">
        <v>210000</v>
      </c>
      <c r="X736" s="356" t="inlineStr">
        <is>
          <t>1.4:1</t>
        </is>
      </c>
      <c r="Y736" s="678">
        <f>ROUND(J736,-3)</f>
        <v/>
      </c>
      <c r="Z736" s="249" t="inlineStr">
        <is>
          <t xml:space="preserve">C </t>
        </is>
      </c>
      <c r="AA736" s="245" t="n">
        <v>3</v>
      </c>
      <c r="AB736" s="245" t="n">
        <v>3</v>
      </c>
      <c r="AC736" s="253" t="inlineStr">
        <is>
          <t>33</t>
        </is>
      </c>
      <c r="AD736" s="247" t="inlineStr">
        <is>
          <t xml:space="preserve">FORNEY MUSEUM       </t>
        </is>
      </c>
      <c r="AE736" s="680" t="n"/>
      <c r="AF736" s="680" t="n"/>
      <c r="AG736" s="680" t="n"/>
      <c r="AH736" s="680" t="n"/>
      <c r="AI736" s="680" t="n"/>
      <c r="AJ736" s="680" t="n"/>
      <c r="AK736" s="680" t="inlineStr">
        <is>
          <t xml:space="preserve">M-T WHSE; 3 TENANTS; AGE OF LEASES UNKNOWN.                       </t>
        </is>
      </c>
    </row>
    <row r="737">
      <c r="A737" s="248" t="n">
        <v>8</v>
      </c>
      <c r="B737" s="370" t="n">
        <v>729</v>
      </c>
      <c r="C737" s="254" t="inlineStr">
        <is>
          <t>2009Q</t>
        </is>
      </c>
      <c r="D737" s="245" t="inlineStr">
        <is>
          <t xml:space="preserve">02234-00-047-000 </t>
        </is>
      </c>
      <c r="E737" s="258" t="inlineStr">
        <is>
          <t>Actual</t>
        </is>
      </c>
      <c r="F737" s="259" t="inlineStr">
        <is>
          <t>3801   RACE                 ST</t>
        </is>
      </c>
      <c r="G737" s="672" t="n">
        <v>44.1</v>
      </c>
      <c r="H737" s="253" t="n">
        <v>9201</v>
      </c>
      <c r="I737" s="255" t="n">
        <v>0</v>
      </c>
      <c r="J737" s="678" t="n">
        <v>34608</v>
      </c>
      <c r="K737" s="679" t="n">
        <v>4.308252427184466</v>
      </c>
      <c r="L737" s="260" t="n">
        <v>0</v>
      </c>
      <c r="M737" s="262" t="n">
        <v>0</v>
      </c>
      <c r="N737" s="253" t="n">
        <v>1955</v>
      </c>
      <c r="P737" s="250" t="n">
        <v>3270</v>
      </c>
      <c r="Q737" s="245" t="n">
        <v>16</v>
      </c>
      <c r="R737" s="245" t="n">
        <v>3</v>
      </c>
      <c r="S737" s="245" t="n">
        <v>1</v>
      </c>
      <c r="T737" s="249" t="inlineStr">
        <is>
          <t xml:space="preserve">I1   </t>
        </is>
      </c>
      <c r="U737" s="249" t="n">
        <v>398</v>
      </c>
      <c r="V737" s="678" t="n">
        <v>44471</v>
      </c>
      <c r="W737" s="678" t="n">
        <v>44000</v>
      </c>
      <c r="X737" s="356" t="inlineStr">
        <is>
          <t>1.3:1</t>
        </is>
      </c>
      <c r="Y737" s="678">
        <f>ROUND(J737,-3)</f>
        <v/>
      </c>
      <c r="Z737" s="249" t="inlineStr">
        <is>
          <t xml:space="preserve">C </t>
        </is>
      </c>
      <c r="AA737" s="245" t="n">
        <v>3</v>
      </c>
      <c r="AB737" s="245" t="n">
        <v>3</v>
      </c>
      <c r="AC737" s="253" t="inlineStr">
        <is>
          <t>33</t>
        </is>
      </c>
      <c r="AD737" s="247" t="inlineStr">
        <is>
          <t xml:space="preserve">S-W                 </t>
        </is>
      </c>
      <c r="AE737" s="680" t="n"/>
      <c r="AF737" s="680" t="n"/>
      <c r="AG737" s="680" t="n"/>
      <c r="AH737" s="680" t="n"/>
      <c r="AI737" s="680" t="n"/>
      <c r="AJ737" s="680" t="n"/>
      <c r="AK737" s="680" t="inlineStr">
        <is>
          <t xml:space="preserve">ST WHSE; 2003 LEASE                                               </t>
        </is>
      </c>
    </row>
    <row r="738">
      <c r="A738" s="248" t="n">
        <v>8</v>
      </c>
      <c r="B738" s="370" t="n">
        <v>730</v>
      </c>
      <c r="C738" s="254" t="inlineStr">
        <is>
          <t>2009Q</t>
        </is>
      </c>
      <c r="D738" s="245" t="inlineStr">
        <is>
          <t xml:space="preserve">02234-03-001-000 </t>
        </is>
      </c>
      <c r="E738" s="258" t="inlineStr">
        <is>
          <t>Actual</t>
        </is>
      </c>
      <c r="F738" s="259" t="inlineStr">
        <is>
          <t>1806 E 40TH                 AV</t>
        </is>
      </c>
      <c r="G738" s="672" t="n">
        <v>47.1</v>
      </c>
      <c r="H738" s="253" t="n">
        <v>9201</v>
      </c>
      <c r="I738" s="255" t="n">
        <v>0</v>
      </c>
      <c r="J738" s="678" t="n">
        <v>8754</v>
      </c>
      <c r="K738" s="679" t="n">
        <v>3.427004797806717</v>
      </c>
      <c r="L738" s="260" t="n">
        <v>0</v>
      </c>
      <c r="M738" s="262" t="n">
        <v>0</v>
      </c>
      <c r="N738" s="253" t="n">
        <v>1986</v>
      </c>
      <c r="O738" s="250" t="n">
        <v>1400</v>
      </c>
      <c r="Q738" s="245" t="n">
        <v>18</v>
      </c>
      <c r="R738" s="245" t="n">
        <v>8</v>
      </c>
      <c r="S738" s="245" t="n">
        <v>1</v>
      </c>
      <c r="T738" s="249" t="inlineStr">
        <is>
          <t xml:space="preserve">I2   </t>
        </is>
      </c>
      <c r="U738" s="249" t="n">
        <v>401</v>
      </c>
      <c r="V738" s="678" t="n">
        <v>14062</v>
      </c>
      <c r="W738" s="678" t="n">
        <v>14000</v>
      </c>
      <c r="X738" s="356" t="inlineStr">
        <is>
          <t>1.6:1</t>
        </is>
      </c>
      <c r="Y738" s="678">
        <f>ROUND(J738,-3)</f>
        <v/>
      </c>
      <c r="Z738" s="249" t="inlineStr">
        <is>
          <t xml:space="preserve">C </t>
        </is>
      </c>
      <c r="AA738" s="245" t="n">
        <v>3</v>
      </c>
      <c r="AB738" s="245" t="n">
        <v>3</v>
      </c>
      <c r="AC738" s="253" t="inlineStr">
        <is>
          <t>33</t>
        </is>
      </c>
      <c r="AD738" s="247" t="inlineStr">
        <is>
          <t>                    </t>
        </is>
      </c>
      <c r="AE738" s="680" t="n"/>
      <c r="AF738" s="680" t="n"/>
      <c r="AG738" s="680" t="n"/>
      <c r="AH738" s="680" t="n"/>
      <c r="AI738" s="680" t="n"/>
      <c r="AJ738" s="680" t="n"/>
      <c r="AK738" s="680" t="inlineStr">
        <is>
          <t xml:space="preserve">ST INDUSTRIAL BLDG; DATE OF LEASE UNKNOWN.                        </t>
        </is>
      </c>
    </row>
    <row r="739">
      <c r="A739" s="248" t="n">
        <v>8</v>
      </c>
      <c r="B739" s="370" t="n">
        <v>731</v>
      </c>
      <c r="C739" s="254" t="inlineStr">
        <is>
          <t>2009Q</t>
        </is>
      </c>
      <c r="D739" s="245" t="inlineStr">
        <is>
          <t xml:space="preserve">02234-05-003-000 </t>
        </is>
      </c>
      <c r="E739" s="258" t="inlineStr">
        <is>
          <t>Actual</t>
        </is>
      </c>
      <c r="F739" s="259" t="inlineStr">
        <is>
          <t>3939   WILLIAMS             ST</t>
        </is>
      </c>
      <c r="G739" s="672" t="n">
        <v>44.3</v>
      </c>
      <c r="H739" s="253" t="n">
        <v>9201</v>
      </c>
      <c r="I739" s="255" t="n">
        <v>0</v>
      </c>
      <c r="J739" s="678" t="n">
        <v>12000</v>
      </c>
      <c r="K739" s="679" t="n">
        <v>8.5</v>
      </c>
      <c r="L739" s="260" t="n">
        <v>0</v>
      </c>
      <c r="M739" s="262" t="n">
        <v>0.03997058823529412</v>
      </c>
      <c r="N739" s="253" t="n">
        <v>1928</v>
      </c>
      <c r="P739" s="250" t="n">
        <v>3625</v>
      </c>
      <c r="Q739" s="245" t="n">
        <v>17</v>
      </c>
      <c r="R739" s="245" t="n">
        <v>3</v>
      </c>
      <c r="S739" s="245" t="n">
        <v>10</v>
      </c>
      <c r="T739" s="249" t="inlineStr">
        <is>
          <t xml:space="preserve">I2   </t>
        </is>
      </c>
      <c r="U739" s="249" t="n">
        <v>398</v>
      </c>
      <c r="V739" s="678" t="n">
        <v>291789</v>
      </c>
      <c r="W739" s="678" t="n">
        <v>290000</v>
      </c>
      <c r="X739" s="356" t="inlineStr">
        <is>
          <t>1.4:1</t>
        </is>
      </c>
      <c r="Y739" s="678">
        <f>ROUND(J739,-3)</f>
        <v/>
      </c>
      <c r="Z739" s="249" t="inlineStr">
        <is>
          <t xml:space="preserve">C </t>
        </is>
      </c>
      <c r="AA739" s="245" t="n">
        <v>3</v>
      </c>
      <c r="AB739" s="245" t="n">
        <v>3</v>
      </c>
      <c r="AC739" s="253" t="inlineStr">
        <is>
          <t>33</t>
        </is>
      </c>
      <c r="AD739" s="247" t="inlineStr">
        <is>
          <t>                    </t>
        </is>
      </c>
      <c r="AE739" s="680" t="n"/>
      <c r="AF739" s="680" t="n"/>
      <c r="AG739" s="680" t="n"/>
      <c r="AH739" s="680" t="n"/>
      <c r="AI739" s="680" t="n"/>
      <c r="AJ739" s="680" t="n"/>
      <c r="AK739" s="680" t="inlineStr">
        <is>
          <t xml:space="preserve">M-T WHSE.; 2 TENANTS; 2006 LEASE.                                 </t>
        </is>
      </c>
    </row>
    <row r="740">
      <c r="A740" s="248" t="n">
        <v>8</v>
      </c>
      <c r="B740" s="370" t="n">
        <v>732</v>
      </c>
      <c r="C740" s="254" t="inlineStr">
        <is>
          <t>2009Q</t>
        </is>
      </c>
      <c r="D740" s="245" t="inlineStr">
        <is>
          <t xml:space="preserve">02241-05-014-000 </t>
        </is>
      </c>
      <c r="E740" s="258" t="inlineStr">
        <is>
          <t>Actual</t>
        </is>
      </c>
      <c r="F740" s="259" t="inlineStr">
        <is>
          <t>3538 E 46TH                 AV</t>
        </is>
      </c>
      <c r="G740" s="672" t="n">
        <v>44.2</v>
      </c>
      <c r="H740" s="253" t="n">
        <v>9201</v>
      </c>
      <c r="I740" s="255" t="n">
        <v>0</v>
      </c>
      <c r="J740" s="678" t="n">
        <v>3850</v>
      </c>
      <c r="K740" s="679" t="n">
        <v>6.345714285714286</v>
      </c>
      <c r="L740" s="260" t="n">
        <v>0</v>
      </c>
      <c r="M740" s="262" t="n">
        <v>0</v>
      </c>
      <c r="N740" s="253" t="n">
        <v>1981</v>
      </c>
      <c r="P740" s="250" t="n">
        <v>486</v>
      </c>
      <c r="Q740" s="245" t="n">
        <v>16</v>
      </c>
      <c r="R740" s="245" t="n">
        <v>7</v>
      </c>
      <c r="S740" s="245" t="n">
        <v>1</v>
      </c>
      <c r="T740" s="249" t="inlineStr">
        <is>
          <t xml:space="preserve">I2   </t>
        </is>
      </c>
      <c r="U740" s="249" t="n">
        <v>398</v>
      </c>
      <c r="V740" s="678" t="n">
        <v>26453</v>
      </c>
      <c r="W740" s="678" t="n">
        <v>26000</v>
      </c>
      <c r="X740" s="356" t="inlineStr">
        <is>
          <t>11.2:1</t>
        </is>
      </c>
      <c r="Y740" s="678">
        <f>ROUND(J740,-3)</f>
        <v/>
      </c>
      <c r="Z740" s="249" t="inlineStr">
        <is>
          <t xml:space="preserve">C </t>
        </is>
      </c>
      <c r="AA740" s="245" t="n">
        <v>3</v>
      </c>
      <c r="AB740" s="245" t="n">
        <v>3</v>
      </c>
      <c r="AC740" s="253" t="inlineStr">
        <is>
          <t>33</t>
        </is>
      </c>
      <c r="AD740" s="247" t="inlineStr">
        <is>
          <t xml:space="preserve">S-W                 </t>
        </is>
      </c>
      <c r="AE740" s="680" t="n"/>
      <c r="AF740" s="680" t="n"/>
      <c r="AG740" s="680" t="n"/>
      <c r="AH740" s="680" t="n"/>
      <c r="AI740" s="680" t="n"/>
      <c r="AJ740" s="680" t="n"/>
      <c r="AK740" s="680" t="inlineStr">
        <is>
          <t xml:space="preserve">ST WHSE; 2003 LEASE                                               </t>
        </is>
      </c>
    </row>
    <row r="741">
      <c r="A741" s="248" t="n">
        <v>8</v>
      </c>
      <c r="B741" s="370" t="n">
        <v>733</v>
      </c>
      <c r="C741" s="254" t="inlineStr">
        <is>
          <t>2009Q</t>
        </is>
      </c>
      <c r="D741" s="245" t="inlineStr">
        <is>
          <t xml:space="preserve">02241-25-018-000 </t>
        </is>
      </c>
      <c r="E741" s="258" t="inlineStr">
        <is>
          <t>Actual</t>
        </is>
      </c>
      <c r="F741" s="259" t="inlineStr">
        <is>
          <t>4625   COLORADO             BL</t>
        </is>
      </c>
      <c r="G741" s="672" t="n">
        <v>44.1</v>
      </c>
      <c r="H741" s="253" t="n">
        <v>9201</v>
      </c>
      <c r="I741" s="255" t="n">
        <v>0</v>
      </c>
      <c r="J741" s="678" t="n">
        <v>18000</v>
      </c>
      <c r="K741" s="679" t="n">
        <v>5</v>
      </c>
      <c r="L741" s="260" t="n">
        <v>0</v>
      </c>
      <c r="M741" s="262" t="n">
        <v>0</v>
      </c>
      <c r="N741" s="253" t="n">
        <v>1969</v>
      </c>
      <c r="O741" s="250" t="n">
        <v>3944</v>
      </c>
      <c r="Q741" s="245" t="n">
        <v>15</v>
      </c>
      <c r="R741" s="245" t="n">
        <v>1</v>
      </c>
      <c r="S741" s="245" t="n">
        <v>1</v>
      </c>
      <c r="T741" s="249" t="inlineStr">
        <is>
          <t xml:space="preserve">I1   </t>
        </is>
      </c>
      <c r="U741" s="249" t="n">
        <v>398</v>
      </c>
      <c r="V741" s="678" t="n">
        <v>29936</v>
      </c>
      <c r="W741" s="678" t="n">
        <v>30000</v>
      </c>
      <c r="X741" s="356" t="inlineStr">
        <is>
          <t>1.6:1</t>
        </is>
      </c>
      <c r="Y741" s="678">
        <f>ROUND(J741,-3)</f>
        <v/>
      </c>
      <c r="Z741" s="249" t="inlineStr">
        <is>
          <t xml:space="preserve">C </t>
        </is>
      </c>
      <c r="AA741" s="245" t="n">
        <v>3</v>
      </c>
      <c r="AB741" s="245" t="n">
        <v>3</v>
      </c>
      <c r="AC741" s="253" t="inlineStr">
        <is>
          <t>33</t>
        </is>
      </c>
      <c r="AD741" s="247" t="inlineStr">
        <is>
          <t>                    </t>
        </is>
      </c>
      <c r="AE741" s="680" t="n"/>
      <c r="AF741" s="680" t="n"/>
      <c r="AG741" s="680" t="n"/>
      <c r="AH741" s="680" t="n"/>
      <c r="AI741" s="680" t="n"/>
      <c r="AJ741" s="680" t="n"/>
      <c r="AK741" s="680" t="inlineStr">
        <is>
          <t xml:space="preserve">M-T WHSE; 2 TENANTS; LEASES 2005 &amp; 2007.                          </t>
        </is>
      </c>
    </row>
    <row r="742">
      <c r="A742" s="248" t="n">
        <v>8</v>
      </c>
      <c r="B742" s="370" t="n">
        <v>734</v>
      </c>
      <c r="C742" s="254" t="inlineStr">
        <is>
          <t>2009Q</t>
        </is>
      </c>
      <c r="D742" s="245" t="inlineStr">
        <is>
          <t xml:space="preserve">02243-02-014-000 </t>
        </is>
      </c>
      <c r="E742" s="258" t="inlineStr">
        <is>
          <t>Actual</t>
        </is>
      </c>
      <c r="F742" s="259" t="inlineStr">
        <is>
          <t>3029 E 42ND                 AV</t>
        </is>
      </c>
      <c r="G742" s="672" t="n">
        <v>43.1</v>
      </c>
      <c r="H742" s="253" t="n">
        <v>9201</v>
      </c>
      <c r="I742" s="255" t="n">
        <v>0</v>
      </c>
      <c r="J742" s="678" t="n">
        <v>13201</v>
      </c>
      <c r="K742" s="679" t="n">
        <v>5.772289978031967</v>
      </c>
      <c r="L742" s="260" t="n">
        <v>0</v>
      </c>
      <c r="M742" s="262" t="n">
        <v>0</v>
      </c>
      <c r="N742" s="253" t="n">
        <v>1954</v>
      </c>
      <c r="O742" s="250" t="n">
        <v>3100</v>
      </c>
      <c r="Q742" s="245" t="n">
        <v>13</v>
      </c>
      <c r="R742" s="245" t="n">
        <v>3</v>
      </c>
      <c r="S742" s="245" t="n">
        <v>1</v>
      </c>
      <c r="T742" s="249" t="inlineStr">
        <is>
          <t xml:space="preserve">I1   </t>
        </is>
      </c>
      <c r="U742" s="249" t="n">
        <v>401</v>
      </c>
      <c r="V742" s="678" t="n">
        <v>20801</v>
      </c>
      <c r="W742" s="678" t="n">
        <v>21000</v>
      </c>
      <c r="X742" s="356" t="inlineStr">
        <is>
          <t>1.6:1</t>
        </is>
      </c>
      <c r="Y742" s="678">
        <f>ROUND(J742,-3)</f>
        <v/>
      </c>
      <c r="Z742" s="249" t="inlineStr">
        <is>
          <t xml:space="preserve">C </t>
        </is>
      </c>
      <c r="AA742" s="245" t="n">
        <v>3</v>
      </c>
      <c r="AB742" s="245" t="n">
        <v>3</v>
      </c>
      <c r="AC742" s="253" t="inlineStr">
        <is>
          <t>33</t>
        </is>
      </c>
      <c r="AD742" s="247" t="inlineStr">
        <is>
          <t xml:space="preserve">WESTERN BELTING CO  </t>
        </is>
      </c>
      <c r="AE742" s="680" t="n"/>
      <c r="AF742" s="680" t="n"/>
      <c r="AG742" s="680" t="n"/>
      <c r="AH742" s="680" t="n"/>
      <c r="AI742" s="680" t="n"/>
      <c r="AJ742" s="680" t="n"/>
      <c r="AK742" s="680" t="inlineStr">
        <is>
          <t xml:space="preserve">S-T WHSE; CHECK OWNER-OCC BUT STATES 3 YR LEASE BEGINNING IN 2007 </t>
        </is>
      </c>
    </row>
    <row r="743">
      <c r="A743" s="248" t="n">
        <v>8</v>
      </c>
      <c r="B743" s="370" t="n">
        <v>735</v>
      </c>
      <c r="C743" s="254" t="inlineStr">
        <is>
          <t>2009Q</t>
        </is>
      </c>
      <c r="D743" s="245" t="inlineStr">
        <is>
          <t xml:space="preserve">02243-02-020-000 </t>
        </is>
      </c>
      <c r="E743" s="258" t="inlineStr">
        <is>
          <t>Actual</t>
        </is>
      </c>
      <c r="F743" s="259" t="inlineStr">
        <is>
          <t>3020 E 43RD                 AV</t>
        </is>
      </c>
      <c r="G743" s="672" t="n">
        <v>44.1</v>
      </c>
      <c r="H743" s="253" t="n">
        <v>9201</v>
      </c>
      <c r="I743" s="255" t="n">
        <v>0</v>
      </c>
      <c r="J743" s="678" t="n">
        <v>3800</v>
      </c>
      <c r="K743" s="679" t="n">
        <v>6.947368421052632</v>
      </c>
      <c r="L743" s="260" t="n">
        <v>0.32</v>
      </c>
      <c r="M743" s="262" t="n">
        <v>0.09647727272727273</v>
      </c>
      <c r="N743" s="253" t="n">
        <v>1946</v>
      </c>
      <c r="O743" s="250" t="n">
        <v>1650</v>
      </c>
      <c r="Q743" s="245" t="n">
        <v>12</v>
      </c>
      <c r="R743" s="245" t="n">
        <v>3</v>
      </c>
      <c r="S743" s="245" t="n">
        <v>1</v>
      </c>
      <c r="T743" s="249" t="inlineStr">
        <is>
          <t xml:space="preserve">I1   </t>
        </is>
      </c>
      <c r="U743" s="249" t="n">
        <v>398</v>
      </c>
      <c r="V743" s="678" t="n">
        <v>24533</v>
      </c>
      <c r="W743" s="678" t="n">
        <v>25000</v>
      </c>
      <c r="X743" s="356" t="inlineStr">
        <is>
          <t>1.8:1</t>
        </is>
      </c>
      <c r="Y743" s="678">
        <f>ROUND(J743,-3)</f>
        <v/>
      </c>
      <c r="Z743" s="249" t="inlineStr">
        <is>
          <t xml:space="preserve">C </t>
        </is>
      </c>
      <c r="AA743" s="245" t="n">
        <v>2</v>
      </c>
      <c r="AB743" s="245" t="n">
        <v>3</v>
      </c>
      <c r="AC743" s="253" t="inlineStr">
        <is>
          <t>23</t>
        </is>
      </c>
      <c r="AD743" s="247" t="inlineStr">
        <is>
          <t xml:space="preserve">MW-GOSPEL CHURCH    </t>
        </is>
      </c>
      <c r="AE743" s="680" t="n"/>
      <c r="AF743" s="680" t="n"/>
      <c r="AG743" s="680" t="n"/>
      <c r="AH743" s="680" t="n"/>
      <c r="AI743" s="680" t="n"/>
      <c r="AJ743" s="680" t="n"/>
      <c r="AK743" s="680" t="inlineStr">
        <is>
          <t xml:space="preserve">M-T WHSE; 3 TENANTS; ONLY 2008 LEASE ENCODED.                     </t>
        </is>
      </c>
    </row>
    <row r="744">
      <c r="A744" s="248" t="n">
        <v>8</v>
      </c>
      <c r="B744" s="370" t="n">
        <v>736</v>
      </c>
      <c r="C744" s="254" t="inlineStr">
        <is>
          <t>2009Q</t>
        </is>
      </c>
      <c r="D744" s="245" t="inlineStr">
        <is>
          <t xml:space="preserve">02243-06-001-000 </t>
        </is>
      </c>
      <c r="E744" s="258" t="inlineStr">
        <is>
          <t>Actual</t>
        </is>
      </c>
      <c r="F744" s="259" t="inlineStr">
        <is>
          <t>4242   ELIZABETH            ST</t>
        </is>
      </c>
      <c r="G744" s="672" t="n">
        <v>47.2</v>
      </c>
      <c r="H744" s="253" t="n">
        <v>9201</v>
      </c>
      <c r="I744" s="255" t="n">
        <v>0</v>
      </c>
      <c r="J744" s="678" t="n">
        <v>18566</v>
      </c>
      <c r="K744" s="679" t="n">
        <v>3.192933318970161</v>
      </c>
      <c r="L744" s="260" t="n">
        <v>0</v>
      </c>
      <c r="M744" s="262" t="n">
        <v>0</v>
      </c>
      <c r="N744" s="253" t="n">
        <v>1950</v>
      </c>
      <c r="O744" s="250" t="n">
        <v>1000</v>
      </c>
      <c r="Q744" s="245" t="n">
        <v>18</v>
      </c>
      <c r="R744" s="245" t="n">
        <v>10</v>
      </c>
      <c r="S744" s="245" t="n">
        <v>1</v>
      </c>
      <c r="T744" s="249" t="inlineStr">
        <is>
          <t xml:space="preserve">I1   </t>
        </is>
      </c>
      <c r="U744" s="249" t="n">
        <v>401</v>
      </c>
      <c r="V744" s="678" t="n">
        <v>32937</v>
      </c>
      <c r="W744" s="678" t="n">
        <v>33000</v>
      </c>
      <c r="X744" s="356" t="inlineStr">
        <is>
          <t>1.8:1</t>
        </is>
      </c>
      <c r="Y744" s="678">
        <f>ROUND(J744,-3)</f>
        <v/>
      </c>
      <c r="Z744" s="249" t="inlineStr">
        <is>
          <t xml:space="preserve">C </t>
        </is>
      </c>
      <c r="AA744" s="245" t="n">
        <v>2</v>
      </c>
      <c r="AB744" s="245" t="n">
        <v>3</v>
      </c>
      <c r="AC744" s="253" t="inlineStr">
        <is>
          <t>23</t>
        </is>
      </c>
      <c r="AD744" s="247" t="inlineStr">
        <is>
          <t>                    </t>
        </is>
      </c>
      <c r="AE744" s="680" t="n"/>
      <c r="AF744" s="680" t="n"/>
      <c r="AG744" s="680" t="n"/>
      <c r="AH744" s="680" t="n"/>
      <c r="AI744" s="680" t="n"/>
      <c r="AJ744" s="680" t="n"/>
      <c r="AK744" s="680" t="inlineStr">
        <is>
          <t xml:space="preserve">S-T INDUSTRIAL BLDG; AGE OF LEASE UNKNOWN.                        </t>
        </is>
      </c>
    </row>
    <row r="745">
      <c r="A745" s="248" t="n">
        <v>8</v>
      </c>
      <c r="B745" s="370" t="n">
        <v>737</v>
      </c>
      <c r="C745" s="254" t="inlineStr">
        <is>
          <t>2009Q</t>
        </is>
      </c>
      <c r="D745" s="245" t="inlineStr">
        <is>
          <t xml:space="preserve">02243-06-012-000 </t>
        </is>
      </c>
      <c r="E745" s="258" t="inlineStr">
        <is>
          <t>Actual</t>
        </is>
      </c>
      <c r="F745" s="259" t="inlineStr">
        <is>
          <t>2640 E 43RD                 AV</t>
        </is>
      </c>
      <c r="G745" s="672" t="n">
        <v>44.2</v>
      </c>
      <c r="H745" s="253" t="n">
        <v>9201</v>
      </c>
      <c r="I745" s="255" t="n">
        <v>0</v>
      </c>
      <c r="J745" s="678" t="n">
        <v>10164</v>
      </c>
      <c r="K745" s="679" t="n">
        <v>6.477272727272728</v>
      </c>
      <c r="L745" s="260" t="n">
        <v>0</v>
      </c>
      <c r="M745" s="262" t="n">
        <v>0.1809068124857598</v>
      </c>
      <c r="N745" s="253" t="n">
        <v>1982</v>
      </c>
      <c r="O745" s="250" t="n">
        <v>2216</v>
      </c>
      <c r="Q745" s="245" t="n">
        <v>12</v>
      </c>
      <c r="R745" s="245" t="n">
        <v>3</v>
      </c>
      <c r="S745" s="245" t="n">
        <v>1</v>
      </c>
      <c r="T745" s="249" t="inlineStr">
        <is>
          <t xml:space="preserve">I1   </t>
        </is>
      </c>
      <c r="U745" s="249" t="n">
        <v>398</v>
      </c>
      <c r="V745" s="678" t="n">
        <v>9375</v>
      </c>
      <c r="W745" s="678" t="n">
        <v>9000</v>
      </c>
      <c r="X745" s="356" t="inlineStr">
        <is>
          <t>0.9:1</t>
        </is>
      </c>
      <c r="Y745" s="678">
        <f>ROUND(J745,-3)</f>
        <v/>
      </c>
      <c r="Z745" s="249" t="inlineStr">
        <is>
          <t xml:space="preserve">C </t>
        </is>
      </c>
      <c r="AA745" s="245" t="n">
        <v>3</v>
      </c>
      <c r="AB745" s="245" t="n">
        <v>1</v>
      </c>
      <c r="AC745" s="253" t="inlineStr">
        <is>
          <t>31</t>
        </is>
      </c>
      <c r="AD745" s="247" t="inlineStr">
        <is>
          <t xml:space="preserve">S-D COLO REFACING &amp; </t>
        </is>
      </c>
      <c r="AE745" s="680" t="n"/>
      <c r="AF745" s="680" t="n"/>
      <c r="AG745" s="680" t="n"/>
      <c r="AH745" s="680" t="n"/>
      <c r="AI745" s="680" t="n"/>
      <c r="AJ745" s="680" t="n"/>
      <c r="AK745" s="680" t="inlineStr">
        <is>
          <t xml:space="preserve">S-T WHSE.                                                         </t>
        </is>
      </c>
    </row>
    <row r="746">
      <c r="A746" s="248" t="n">
        <v>8</v>
      </c>
      <c r="B746" s="370" t="n">
        <v>738</v>
      </c>
      <c r="C746" s="254" t="inlineStr">
        <is>
          <t>2009Q</t>
        </is>
      </c>
      <c r="D746" s="245" t="inlineStr">
        <is>
          <t xml:space="preserve">02244-12-014-000 </t>
        </is>
      </c>
      <c r="E746" s="258" t="inlineStr">
        <is>
          <t>Actual</t>
        </is>
      </c>
      <c r="F746" s="259" t="inlineStr">
        <is>
          <t>4190   MADISON              ST</t>
        </is>
      </c>
      <c r="G746" s="672" t="n">
        <v>44.2</v>
      </c>
      <c r="H746" s="253" t="n">
        <v>9201</v>
      </c>
      <c r="I746" s="255" t="n">
        <v>0</v>
      </c>
      <c r="J746" s="678" t="n">
        <v>10591</v>
      </c>
      <c r="K746" s="679" t="n">
        <v>4.702105561325654</v>
      </c>
      <c r="L746" s="260" t="n">
        <v>0</v>
      </c>
      <c r="M746" s="262" t="n">
        <v>0</v>
      </c>
      <c r="N746" s="253" t="n">
        <v>1970</v>
      </c>
      <c r="O746" s="250" t="n">
        <v>760</v>
      </c>
      <c r="Q746" s="245" t="n">
        <v>13</v>
      </c>
      <c r="R746" s="245" t="n">
        <v>3</v>
      </c>
      <c r="S746" s="245" t="n">
        <v>1</v>
      </c>
      <c r="T746" s="249" t="inlineStr">
        <is>
          <t xml:space="preserve">I0   </t>
        </is>
      </c>
      <c r="U746" s="249" t="n">
        <v>398</v>
      </c>
      <c r="V746" s="678" t="n">
        <v>19013</v>
      </c>
      <c r="W746" s="678" t="n">
        <v>19000</v>
      </c>
      <c r="X746" s="356" t="inlineStr">
        <is>
          <t>1.8:1</t>
        </is>
      </c>
      <c r="Y746" s="678">
        <f>ROUND(J746,-3)</f>
        <v/>
      </c>
      <c r="Z746" s="249" t="inlineStr">
        <is>
          <t xml:space="preserve">C </t>
        </is>
      </c>
      <c r="AA746" s="245" t="n">
        <v>3</v>
      </c>
      <c r="AB746" s="245" t="n">
        <v>3</v>
      </c>
      <c r="AC746" s="253" t="inlineStr">
        <is>
          <t>33</t>
        </is>
      </c>
      <c r="AD746" s="247" t="inlineStr">
        <is>
          <t xml:space="preserve">SW-WODEN WOODS      </t>
        </is>
      </c>
      <c r="AE746" s="680" t="n"/>
      <c r="AF746" s="680" t="n"/>
      <c r="AG746" s="680" t="n"/>
      <c r="AH746" s="680" t="n"/>
      <c r="AI746" s="680" t="n"/>
      <c r="AJ746" s="680" t="n"/>
      <c r="AK746" s="680" t="inlineStr">
        <is>
          <t xml:space="preserve">S-T WHSE.                                                         </t>
        </is>
      </c>
    </row>
    <row r="747">
      <c r="A747" s="248" t="n">
        <v>8</v>
      </c>
      <c r="B747" s="370" t="n">
        <v>739</v>
      </c>
      <c r="C747" s="254" t="inlineStr">
        <is>
          <t>2009Q</t>
        </is>
      </c>
      <c r="D747" s="245" t="inlineStr">
        <is>
          <t xml:space="preserve">02244-16-019-000 </t>
        </is>
      </c>
      <c r="E747" s="258" t="inlineStr">
        <is>
          <t>Actual</t>
        </is>
      </c>
      <c r="F747" s="259" t="inlineStr">
        <is>
          <t>4100   JACKSON              ST</t>
        </is>
      </c>
      <c r="G747" s="672" t="n">
        <v>44.2</v>
      </c>
      <c r="H747" s="253" t="n">
        <v>9201</v>
      </c>
      <c r="I747" s="255" t="n">
        <v>0</v>
      </c>
      <c r="J747" s="678" t="n">
        <v>11135</v>
      </c>
      <c r="K747" s="679" t="n">
        <v>11.813560844185</v>
      </c>
      <c r="L747" s="260" t="n">
        <v>0</v>
      </c>
      <c r="M747" s="262" t="n">
        <v>0</v>
      </c>
      <c r="N747" s="253" t="n">
        <v>1977</v>
      </c>
      <c r="O747" s="250" t="n">
        <v>2178</v>
      </c>
      <c r="Q747" s="245" t="n">
        <v>14</v>
      </c>
      <c r="R747" s="245" t="n">
        <v>3</v>
      </c>
      <c r="S747" s="245" t="n">
        <v>1</v>
      </c>
      <c r="T747" s="249" t="inlineStr">
        <is>
          <t xml:space="preserve">I1   </t>
        </is>
      </c>
      <c r="U747" s="249" t="n">
        <v>398</v>
      </c>
      <c r="V747" s="678" t="n">
        <v>26090</v>
      </c>
      <c r="W747" s="678" t="n">
        <v>26000</v>
      </c>
      <c r="X747" s="356" t="inlineStr">
        <is>
          <t>2.7:1</t>
        </is>
      </c>
      <c r="Y747" s="678">
        <f>ROUND(J747,-3)</f>
        <v/>
      </c>
      <c r="Z747" s="249" t="inlineStr">
        <is>
          <t xml:space="preserve">C </t>
        </is>
      </c>
      <c r="AA747" s="245" t="n">
        <v>3</v>
      </c>
      <c r="AB747" s="245" t="n">
        <v>3</v>
      </c>
      <c r="AC747" s="253" t="inlineStr">
        <is>
          <t>33</t>
        </is>
      </c>
      <c r="AD747" s="247" t="inlineStr">
        <is>
          <t>UNITED PRINTING EQUI</t>
        </is>
      </c>
      <c r="AE747" s="680" t="n"/>
      <c r="AF747" s="680" t="n"/>
      <c r="AG747" s="680" t="n"/>
      <c r="AH747" s="680" t="n"/>
      <c r="AI747" s="680" t="n"/>
      <c r="AJ747" s="680" t="n"/>
      <c r="AK747" s="680" t="inlineStr">
        <is>
          <t xml:space="preserve">S-T WHSE; 2005 LEASE.                                             </t>
        </is>
      </c>
    </row>
    <row r="748">
      <c r="A748" s="248" t="n">
        <v>8</v>
      </c>
      <c r="B748" s="370" t="n">
        <v>740</v>
      </c>
      <c r="C748" s="254" t="inlineStr">
        <is>
          <t>2009Q</t>
        </is>
      </c>
      <c r="D748" s="245" t="inlineStr">
        <is>
          <t xml:space="preserve">02244-16-021-000 </t>
        </is>
      </c>
      <c r="E748" s="258" t="inlineStr">
        <is>
          <t>Actual</t>
        </is>
      </c>
      <c r="F748" s="259" t="inlineStr">
        <is>
          <t>4140   JACKSON              ST</t>
        </is>
      </c>
      <c r="G748" s="672" t="n">
        <v>44.2</v>
      </c>
      <c r="H748" s="253" t="n">
        <v>9201</v>
      </c>
      <c r="I748" s="255" t="n">
        <v>0</v>
      </c>
      <c r="J748" s="678" t="n">
        <v>9658</v>
      </c>
      <c r="K748" s="679" t="n">
        <v>7.414060882170221</v>
      </c>
      <c r="L748" s="260" t="n">
        <v>0</v>
      </c>
      <c r="M748" s="262" t="n">
        <v>0.2341875567348649</v>
      </c>
      <c r="N748" s="253" t="n">
        <v>1977</v>
      </c>
      <c r="O748" s="250">
        <f>4893+2308</f>
        <v/>
      </c>
      <c r="Q748" s="245" t="n">
        <v>14</v>
      </c>
      <c r="R748" s="245" t="n">
        <v>3</v>
      </c>
      <c r="S748" s="245" t="n">
        <v>1</v>
      </c>
      <c r="T748" s="249" t="inlineStr">
        <is>
          <t xml:space="preserve">I1   </t>
        </is>
      </c>
      <c r="U748" s="249" t="n">
        <v>398</v>
      </c>
      <c r="V748" s="678" t="n">
        <v>32800</v>
      </c>
      <c r="W748" s="678" t="n">
        <v>33000</v>
      </c>
      <c r="X748" s="356" t="inlineStr">
        <is>
          <t>3.4:1</t>
        </is>
      </c>
      <c r="Y748" s="678">
        <f>ROUND(J748,-3)</f>
        <v/>
      </c>
      <c r="Z748" s="249" t="inlineStr">
        <is>
          <t xml:space="preserve">C </t>
        </is>
      </c>
      <c r="AA748" s="245" t="n">
        <v>3</v>
      </c>
      <c r="AB748" s="245" t="n">
        <v>3</v>
      </c>
      <c r="AC748" s="253" t="inlineStr">
        <is>
          <t>33</t>
        </is>
      </c>
      <c r="AD748" s="247" t="inlineStr">
        <is>
          <t xml:space="preserve">CAP AIRFREIGHT      </t>
        </is>
      </c>
      <c r="AE748" s="680" t="n"/>
      <c r="AF748" s="680" t="n"/>
      <c r="AG748" s="680" t="n"/>
      <c r="AH748" s="680" t="n"/>
      <c r="AI748" s="680" t="n"/>
      <c r="AJ748" s="680" t="n"/>
      <c r="AK748" s="680" t="inlineStr">
        <is>
          <t xml:space="preserve">S-T WHSE; 2006 LEASE                                              </t>
        </is>
      </c>
    </row>
    <row r="749">
      <c r="A749" s="248" t="n">
        <v>8</v>
      </c>
      <c r="B749" s="370" t="n">
        <v>741</v>
      </c>
      <c r="C749" s="254" t="inlineStr">
        <is>
          <t>2009Q</t>
        </is>
      </c>
      <c r="D749" s="245" t="inlineStr">
        <is>
          <t xml:space="preserve">02244-16-024-000 </t>
        </is>
      </c>
      <c r="E749" s="258" t="inlineStr">
        <is>
          <t>Actual</t>
        </is>
      </c>
      <c r="F749" s="259" t="inlineStr">
        <is>
          <t>4120   JACKSON              ST</t>
        </is>
      </c>
      <c r="G749" s="672" t="n">
        <v>44.2</v>
      </c>
      <c r="H749" s="253" t="n">
        <v>9201</v>
      </c>
      <c r="I749" s="255" t="n">
        <v>0</v>
      </c>
      <c r="J749" s="678" t="n">
        <v>9594</v>
      </c>
      <c r="K749" s="679" t="n">
        <v>9.028246820929748</v>
      </c>
      <c r="L749" s="260" t="n">
        <v>0</v>
      </c>
      <c r="M749" s="262" t="n">
        <v>0</v>
      </c>
      <c r="N749" s="253" t="n">
        <v>1977</v>
      </c>
      <c r="O749" s="250" t="n">
        <v>4239</v>
      </c>
      <c r="Q749" s="245" t="n">
        <v>21</v>
      </c>
      <c r="R749" s="245" t="n">
        <v>14</v>
      </c>
      <c r="S749" s="245" t="n">
        <v>1</v>
      </c>
      <c r="T749" s="249" t="inlineStr">
        <is>
          <t xml:space="preserve">I1   </t>
        </is>
      </c>
      <c r="U749" s="249" t="n">
        <v>398</v>
      </c>
      <c r="V749" s="678" t="n">
        <v>24615</v>
      </c>
      <c r="W749" s="678" t="n">
        <v>25000</v>
      </c>
      <c r="X749" s="356" t="inlineStr">
        <is>
          <t>2.6:1</t>
        </is>
      </c>
      <c r="Y749" s="678">
        <f>ROUND(J749,-3)</f>
        <v/>
      </c>
      <c r="Z749" s="249" t="inlineStr">
        <is>
          <t xml:space="preserve">C </t>
        </is>
      </c>
      <c r="AA749" s="245" t="n">
        <v>3</v>
      </c>
      <c r="AB749" s="245" t="n">
        <v>3</v>
      </c>
      <c r="AC749" s="253" t="inlineStr">
        <is>
          <t>33</t>
        </is>
      </c>
      <c r="AD749" s="247" t="inlineStr">
        <is>
          <t>                    </t>
        </is>
      </c>
      <c r="AE749" s="680" t="n"/>
      <c r="AF749" s="680" t="n"/>
      <c r="AG749" s="680" t="n"/>
      <c r="AH749" s="680" t="n"/>
      <c r="AI749" s="680" t="n"/>
      <c r="AJ749" s="680" t="n"/>
      <c r="AK749" s="680" t="inlineStr">
        <is>
          <t xml:space="preserve">S-T WHSE; 2006 LEASE.                                             </t>
        </is>
      </c>
    </row>
    <row r="750">
      <c r="A750" s="248" t="n">
        <v>8</v>
      </c>
      <c r="B750" s="370" t="n">
        <v>742</v>
      </c>
      <c r="C750" s="254" t="inlineStr">
        <is>
          <t>2009Q</t>
        </is>
      </c>
      <c r="D750" s="245" t="inlineStr">
        <is>
          <t xml:space="preserve">02263-04-016-000 </t>
        </is>
      </c>
      <c r="E750" s="258" t="inlineStr">
        <is>
          <t>Actual</t>
        </is>
      </c>
      <c r="F750" s="259" t="inlineStr">
        <is>
          <t>3518   LARIMER              ST</t>
        </is>
      </c>
      <c r="G750" s="672" t="n">
        <v>44.1</v>
      </c>
      <c r="H750" s="253" t="n">
        <v>9210</v>
      </c>
      <c r="I750" s="255" t="n">
        <v>0</v>
      </c>
      <c r="J750" s="678" t="n">
        <v>8312</v>
      </c>
      <c r="K750" s="679" t="n">
        <v>4.331087584215592</v>
      </c>
      <c r="L750" s="260" t="n">
        <v>0</v>
      </c>
      <c r="M750" s="262" t="n">
        <v>0</v>
      </c>
      <c r="N750" s="253" t="n">
        <v>1958</v>
      </c>
      <c r="O750" s="250" t="n">
        <v>1137</v>
      </c>
      <c r="Q750" s="245" t="n">
        <v>14</v>
      </c>
      <c r="R750" s="245" t="n">
        <v>3</v>
      </c>
      <c r="S750" s="245" t="n">
        <v>1</v>
      </c>
      <c r="T750" s="249" t="inlineStr">
        <is>
          <t xml:space="preserve">I1   </t>
        </is>
      </c>
      <c r="U750" s="249" t="n">
        <v>398</v>
      </c>
      <c r="V750" s="678" t="n">
        <v>12488</v>
      </c>
      <c r="W750" s="678" t="n">
        <v>12000</v>
      </c>
      <c r="X750" s="356" t="inlineStr">
        <is>
          <t>1.5:1</t>
        </is>
      </c>
      <c r="Y750" s="678">
        <f>ROUND(J750,-3)</f>
        <v/>
      </c>
      <c r="Z750" s="249" t="inlineStr">
        <is>
          <t xml:space="preserve">C </t>
        </is>
      </c>
      <c r="AA750" s="245" t="n">
        <v>2</v>
      </c>
      <c r="AB750" s="245" t="n">
        <v>2</v>
      </c>
      <c r="AC750" s="253" t="inlineStr">
        <is>
          <t>22</t>
        </is>
      </c>
      <c r="AD750" s="247" t="inlineStr">
        <is>
          <t xml:space="preserve">SCHERER METALS, INC </t>
        </is>
      </c>
      <c r="AE750" s="680" t="n"/>
      <c r="AF750" s="680" t="n"/>
      <c r="AG750" s="680" t="n"/>
      <c r="AH750" s="680" t="n"/>
      <c r="AI750" s="680" t="n"/>
      <c r="AJ750" s="680" t="n"/>
      <c r="AK750" s="680" t="inlineStr">
        <is>
          <t xml:space="preserve">S-T WHSE.                                                         </t>
        </is>
      </c>
    </row>
    <row r="751">
      <c r="A751" s="248" t="n">
        <v>8</v>
      </c>
      <c r="B751" s="370" t="n">
        <v>743</v>
      </c>
      <c r="C751" s="254" t="inlineStr">
        <is>
          <t>2009Q</t>
        </is>
      </c>
      <c r="D751" s="245" t="inlineStr">
        <is>
          <t xml:space="preserve">02271-00-019-000 </t>
        </is>
      </c>
      <c r="E751" s="258" t="inlineStr">
        <is>
          <t>Actual</t>
        </is>
      </c>
      <c r="F751" s="259" t="inlineStr">
        <is>
          <t>3325   BRIGHTON             BV</t>
        </is>
      </c>
      <c r="G751" s="672" t="n">
        <v>44.1</v>
      </c>
      <c r="H751" s="253" t="n">
        <v>9210</v>
      </c>
      <c r="I751" s="255" t="n">
        <v>0</v>
      </c>
      <c r="J751" s="678" t="n">
        <v>7668</v>
      </c>
      <c r="K751" s="679" t="n">
        <v>5.94679186228482</v>
      </c>
      <c r="L751" s="260" t="n">
        <v>0</v>
      </c>
      <c r="M751" s="262" t="n">
        <v>0.1280701754385965</v>
      </c>
      <c r="N751" s="253" t="n">
        <v>1948</v>
      </c>
      <c r="O751" s="250">
        <f>850*2</f>
        <v/>
      </c>
      <c r="Q751" s="245" t="n">
        <v>15</v>
      </c>
      <c r="R751" s="245" t="n">
        <v>1</v>
      </c>
      <c r="S751" s="245" t="n">
        <v>1</v>
      </c>
      <c r="T751" s="249" t="inlineStr">
        <is>
          <t xml:space="preserve">I2   </t>
        </is>
      </c>
      <c r="U751" s="249" t="n">
        <v>398</v>
      </c>
      <c r="V751" s="678" t="n">
        <v>18830</v>
      </c>
      <c r="W751" s="678" t="n">
        <v>19000</v>
      </c>
      <c r="X751" s="356" t="inlineStr">
        <is>
          <t>2.5:1</t>
        </is>
      </c>
      <c r="Y751" s="678">
        <f>ROUND(J751,-3)</f>
        <v/>
      </c>
      <c r="Z751" s="249" t="inlineStr">
        <is>
          <t xml:space="preserve">C </t>
        </is>
      </c>
      <c r="AA751" s="245" t="n">
        <v>3</v>
      </c>
      <c r="AB751" s="245" t="n">
        <v>3</v>
      </c>
      <c r="AC751" s="253" t="inlineStr">
        <is>
          <t>33</t>
        </is>
      </c>
      <c r="AD751" s="247" t="inlineStr">
        <is>
          <t>PYRAMID PRINT&amp;GRPHCS</t>
        </is>
      </c>
      <c r="AE751" s="680" t="n"/>
      <c r="AF751" s="680" t="n"/>
      <c r="AG751" s="680" t="n"/>
      <c r="AH751" s="680" t="n"/>
      <c r="AI751" s="680" t="n"/>
      <c r="AJ751" s="680" t="n"/>
      <c r="AK751" s="680" t="inlineStr">
        <is>
          <t xml:space="preserve">M-T WHSE.; 2 TENANTS; 2005 LEASES.                                </t>
        </is>
      </c>
    </row>
    <row r="752">
      <c r="A752" s="248" t="n">
        <v>8</v>
      </c>
      <c r="B752" s="370" t="n">
        <v>744</v>
      </c>
      <c r="C752" s="254" t="inlineStr">
        <is>
          <t>2009Q</t>
        </is>
      </c>
      <c r="D752" s="245" t="inlineStr">
        <is>
          <t xml:space="preserve">02271-06-006-000 </t>
        </is>
      </c>
      <c r="E752" s="258" t="inlineStr">
        <is>
          <t>Actual</t>
        </is>
      </c>
      <c r="F752" s="259" t="inlineStr">
        <is>
          <t>3726   BRIGHTON             BV</t>
        </is>
      </c>
      <c r="G752" s="672" t="n">
        <v>44.1</v>
      </c>
      <c r="H752" s="253" t="n">
        <v>9210</v>
      </c>
      <c r="I752" s="255" t="n">
        <v>0</v>
      </c>
      <c r="J752" s="678" t="n">
        <v>7232</v>
      </c>
      <c r="K752" s="679" t="n">
        <v>6.05641592920354</v>
      </c>
      <c r="L752" s="260" t="n">
        <v>0</v>
      </c>
      <c r="M752" s="262" t="n">
        <v>0</v>
      </c>
      <c r="N752" s="253" t="n">
        <v>1975</v>
      </c>
      <c r="O752" s="250" t="inlineStr">
        <is>
          <t> </t>
        </is>
      </c>
      <c r="P752" s="250" t="inlineStr">
        <is>
          <t> </t>
        </is>
      </c>
      <c r="Q752" s="245" t="n">
        <v>13</v>
      </c>
      <c r="R752" s="245" t="n">
        <v>3</v>
      </c>
      <c r="S752" s="245" t="n">
        <v>1</v>
      </c>
      <c r="T752" s="249" t="inlineStr">
        <is>
          <t xml:space="preserve">I1   </t>
        </is>
      </c>
      <c r="U752" s="249" t="n">
        <v>398</v>
      </c>
      <c r="V752" s="678" t="n">
        <v>9375</v>
      </c>
      <c r="W752" s="678" t="n">
        <v>9000</v>
      </c>
      <c r="X752" s="356" t="inlineStr">
        <is>
          <t>1.3:1</t>
        </is>
      </c>
      <c r="Y752" s="678">
        <f>ROUND(J752,-3)</f>
        <v/>
      </c>
      <c r="Z752" s="249" t="inlineStr">
        <is>
          <t xml:space="preserve">C </t>
        </is>
      </c>
      <c r="AA752" s="245" t="n">
        <v>3</v>
      </c>
      <c r="AB752" s="245" t="n">
        <v>3</v>
      </c>
      <c r="AC752" s="253" t="inlineStr">
        <is>
          <t>33</t>
        </is>
      </c>
      <c r="AD752" s="247" t="inlineStr">
        <is>
          <t xml:space="preserve">BIG DOG/IRON HORSE  </t>
        </is>
      </c>
      <c r="AE752" s="680" t="n"/>
      <c r="AF752" s="680" t="n"/>
      <c r="AG752" s="680" t="n"/>
      <c r="AH752" s="680" t="n"/>
      <c r="AI752" s="680" t="n"/>
      <c r="AJ752" s="680" t="n"/>
      <c r="AK752" s="680" t="inlineStr">
        <is>
          <t xml:space="preserve">S-T WHSE.                                                         </t>
        </is>
      </c>
    </row>
    <row r="753">
      <c r="A753" s="248" t="n">
        <v>8</v>
      </c>
      <c r="B753" s="370" t="n">
        <v>745</v>
      </c>
      <c r="C753" s="254" t="inlineStr">
        <is>
          <t>2009Q</t>
        </is>
      </c>
      <c r="D753" s="245" t="inlineStr">
        <is>
          <t xml:space="preserve">02271-06-039-000 </t>
        </is>
      </c>
      <c r="E753" s="258" t="inlineStr">
        <is>
          <t>Actual</t>
        </is>
      </c>
      <c r="F753" s="259" t="inlineStr">
        <is>
          <t>3610   BRIGHTON             BV</t>
        </is>
      </c>
      <c r="G753" s="672" t="n">
        <v>47.1</v>
      </c>
      <c r="H753" s="253" t="n">
        <v>9210</v>
      </c>
      <c r="I753" s="255" t="n">
        <v>0</v>
      </c>
      <c r="J753" s="678" t="n">
        <v>7331</v>
      </c>
      <c r="K753" s="679" t="n">
        <v>4.992497612876824</v>
      </c>
      <c r="L753" s="260" t="n">
        <v>0</v>
      </c>
      <c r="M753" s="262" t="n">
        <v>0</v>
      </c>
      <c r="N753" s="253" t="n">
        <v>1954</v>
      </c>
      <c r="O753" s="250" t="n">
        <v>672</v>
      </c>
      <c r="Q753" s="245" t="n">
        <v>20</v>
      </c>
      <c r="R753" s="245" t="n">
        <v>3</v>
      </c>
      <c r="S753" s="245" t="n">
        <v>1</v>
      </c>
      <c r="T753" s="249" t="inlineStr">
        <is>
          <t xml:space="preserve">I1   </t>
        </is>
      </c>
      <c r="U753" s="249" t="n">
        <v>401</v>
      </c>
      <c r="V753" s="678" t="n">
        <v>21875</v>
      </c>
      <c r="W753" s="678" t="n">
        <v>22000</v>
      </c>
      <c r="X753" s="356" t="inlineStr">
        <is>
          <t>3.0:1</t>
        </is>
      </c>
      <c r="Y753" s="678">
        <f>ROUND(J753,-3)</f>
        <v/>
      </c>
      <c r="Z753" s="249" t="inlineStr">
        <is>
          <t xml:space="preserve">A </t>
        </is>
      </c>
      <c r="AA753" s="245" t="n">
        <v>3</v>
      </c>
      <c r="AB753" s="245" t="n">
        <v>3</v>
      </c>
      <c r="AC753" s="253" t="inlineStr">
        <is>
          <t>33</t>
        </is>
      </c>
      <c r="AD753" s="247" t="inlineStr">
        <is>
          <t>                    </t>
        </is>
      </c>
      <c r="AE753" s="680" t="n"/>
      <c r="AF753" s="680" t="n"/>
      <c r="AG753" s="680" t="n"/>
      <c r="AH753" s="680" t="n"/>
      <c r="AI753" s="680" t="n"/>
      <c r="AJ753" s="680" t="n"/>
      <c r="AK753" s="680" t="inlineStr">
        <is>
          <t xml:space="preserve">S-T INDUSTRIAL; -017,021 INCLUDED=+15625SF LAND;AGE OF LEASE UNK. </t>
        </is>
      </c>
    </row>
    <row r="754">
      <c r="A754" s="248" t="n">
        <v>8</v>
      </c>
      <c r="B754" s="370" t="n">
        <v>746</v>
      </c>
      <c r="C754" s="254" t="inlineStr">
        <is>
          <t>2009Q</t>
        </is>
      </c>
      <c r="D754" s="245" t="inlineStr">
        <is>
          <t xml:space="preserve">02271-07-021-000 </t>
        </is>
      </c>
      <c r="E754" s="258" t="inlineStr">
        <is>
          <t>Actual</t>
        </is>
      </c>
      <c r="F754" s="259" t="inlineStr">
        <is>
          <t>3606   DELGANY              ST</t>
        </is>
      </c>
      <c r="G754" s="672" t="n">
        <v>44.1</v>
      </c>
      <c r="H754" s="253" t="n">
        <v>9210</v>
      </c>
      <c r="I754" s="255" t="n">
        <v>0</v>
      </c>
      <c r="J754" s="678" t="n">
        <v>7200</v>
      </c>
      <c r="K754" s="679" t="n">
        <v>7</v>
      </c>
      <c r="L754" s="260" t="n">
        <v>0</v>
      </c>
      <c r="M754" s="262" t="n">
        <v>0</v>
      </c>
      <c r="N754" s="253" t="n">
        <v>1972</v>
      </c>
      <c r="O754" s="250" t="n">
        <v>1037</v>
      </c>
      <c r="Q754" s="245" t="n">
        <v>16</v>
      </c>
      <c r="R754" s="245" t="n">
        <v>7</v>
      </c>
      <c r="S754" s="245" t="n">
        <v>1</v>
      </c>
      <c r="T754" s="249" t="inlineStr">
        <is>
          <t xml:space="preserve">I1   </t>
        </is>
      </c>
      <c r="U754" s="249" t="n">
        <v>398</v>
      </c>
      <c r="V754" s="678" t="n">
        <v>18750</v>
      </c>
      <c r="W754" s="678" t="n">
        <v>19000</v>
      </c>
      <c r="X754" s="356" t="inlineStr">
        <is>
          <t>2.6:1</t>
        </is>
      </c>
      <c r="Y754" s="678">
        <f>ROUND(J754,-3)</f>
        <v/>
      </c>
      <c r="Z754" s="249" t="inlineStr">
        <is>
          <t xml:space="preserve">C </t>
        </is>
      </c>
      <c r="AA754" s="245" t="n">
        <v>3</v>
      </c>
      <c r="AB754" s="245" t="n">
        <v>3</v>
      </c>
      <c r="AC754" s="253" t="inlineStr">
        <is>
          <t>33</t>
        </is>
      </c>
      <c r="AD754" s="247" t="inlineStr">
        <is>
          <t>S-W AMERICAN BARRICA</t>
        </is>
      </c>
      <c r="AE754" s="680" t="n"/>
      <c r="AF754" s="680" t="n"/>
      <c r="AG754" s="680" t="n"/>
      <c r="AH754" s="680" t="n"/>
      <c r="AI754" s="680" t="n"/>
      <c r="AJ754" s="680" t="n"/>
      <c r="AK754" s="680" t="inlineStr">
        <is>
          <t xml:space="preserve">S-T WHSE; DATE OF LEASE UNKNOWN.                                  </t>
        </is>
      </c>
    </row>
    <row r="755">
      <c r="A755" s="248" t="n">
        <v>8</v>
      </c>
      <c r="B755" s="370" t="n">
        <v>747</v>
      </c>
      <c r="C755" s="254" t="inlineStr">
        <is>
          <t>2009Q</t>
        </is>
      </c>
      <c r="D755" s="245" t="inlineStr">
        <is>
          <t xml:space="preserve">02271-08-038-000 </t>
        </is>
      </c>
      <c r="E755" s="258" t="inlineStr">
        <is>
          <t>Actual</t>
        </is>
      </c>
      <c r="F755" s="259" t="inlineStr">
        <is>
          <t>3615   DELGANY              ST</t>
        </is>
      </c>
      <c r="G755" s="672" t="n">
        <v>44.1</v>
      </c>
      <c r="H755" s="253" t="n">
        <v>9210</v>
      </c>
      <c r="I755" s="255" t="n">
        <v>0</v>
      </c>
      <c r="J755" s="678" t="n">
        <v>4400</v>
      </c>
      <c r="K755" s="679" t="n">
        <v>4.636363636363637</v>
      </c>
      <c r="L755" s="260" t="n">
        <v>0</v>
      </c>
      <c r="M755" s="262" t="n">
        <v>0.1318627450980392</v>
      </c>
      <c r="N755" s="253" t="n">
        <v>1954</v>
      </c>
      <c r="O755" s="250" t="n">
        <v>247</v>
      </c>
      <c r="Q755" s="245" t="n">
        <v>13</v>
      </c>
      <c r="R755" s="245" t="n">
        <v>3</v>
      </c>
      <c r="S755" s="245" t="n">
        <v>1</v>
      </c>
      <c r="T755" s="249" t="inlineStr">
        <is>
          <t xml:space="preserve">I1   </t>
        </is>
      </c>
      <c r="U755" s="249" t="n">
        <v>398</v>
      </c>
      <c r="V755" s="678" t="n">
        <v>17625</v>
      </c>
      <c r="W755" s="678" t="n">
        <v>18000</v>
      </c>
      <c r="X755" s="356" t="inlineStr">
        <is>
          <t>4.0:1</t>
        </is>
      </c>
      <c r="Y755" s="678">
        <f>ROUND(J755,-3)</f>
        <v/>
      </c>
      <c r="Z755" s="249" t="inlineStr">
        <is>
          <t xml:space="preserve">C </t>
        </is>
      </c>
      <c r="AA755" s="245" t="n">
        <v>3</v>
      </c>
      <c r="AB755" s="245" t="n">
        <v>3</v>
      </c>
      <c r="AC755" s="253" t="inlineStr">
        <is>
          <t>33</t>
        </is>
      </c>
      <c r="AD755" s="247" t="inlineStr">
        <is>
          <t>S-W LIGHT BLUB SERVC</t>
        </is>
      </c>
      <c r="AE755" s="680" t="n"/>
      <c r="AF755" s="680" t="n"/>
      <c r="AG755" s="680" t="n"/>
      <c r="AH755" s="680" t="n"/>
      <c r="AI755" s="680" t="n"/>
      <c r="AJ755" s="680" t="n"/>
      <c r="AK755" s="680" t="inlineStr">
        <is>
          <t xml:space="preserve">S-T WHSE.                                                         </t>
        </is>
      </c>
    </row>
    <row r="756">
      <c r="A756" s="248" t="n">
        <v>8</v>
      </c>
      <c r="B756" s="370" t="n">
        <v>748</v>
      </c>
      <c r="C756" s="254" t="inlineStr">
        <is>
          <t>2009Q</t>
        </is>
      </c>
      <c r="D756" s="245" t="inlineStr">
        <is>
          <t xml:space="preserve">02271-11-021-000 </t>
        </is>
      </c>
      <c r="E756" s="258" t="inlineStr">
        <is>
          <t>Actual</t>
        </is>
      </c>
      <c r="F756" s="259" t="inlineStr">
        <is>
          <t>3537   DELGANY              ST</t>
        </is>
      </c>
      <c r="G756" s="672" t="n">
        <v>44.1</v>
      </c>
      <c r="H756" s="253" t="n">
        <v>9210</v>
      </c>
      <c r="I756" s="255" t="n">
        <v>0</v>
      </c>
      <c r="J756" s="678" t="n">
        <v>8500</v>
      </c>
      <c r="K756" s="679" t="n">
        <v>7.058823529411764</v>
      </c>
      <c r="L756" s="260" t="n">
        <v>0</v>
      </c>
      <c r="M756" s="262" t="n">
        <v>0</v>
      </c>
      <c r="N756" s="253" t="n">
        <v>1976</v>
      </c>
      <c r="O756" s="250" t="n">
        <v>1200</v>
      </c>
      <c r="Q756" s="245" t="n">
        <v>13</v>
      </c>
      <c r="R756" s="245" t="n">
        <v>3</v>
      </c>
      <c r="S756" s="245" t="n">
        <v>1</v>
      </c>
      <c r="T756" s="249" t="inlineStr">
        <is>
          <t xml:space="preserve">I1   </t>
        </is>
      </c>
      <c r="U756" s="249" t="n">
        <v>398</v>
      </c>
      <c r="V756" s="678" t="n">
        <v>9375</v>
      </c>
      <c r="W756" s="678" t="n">
        <v>9000</v>
      </c>
      <c r="X756" s="356" t="inlineStr">
        <is>
          <t>1.6:1</t>
        </is>
      </c>
      <c r="Y756" s="678">
        <f>ROUND(J756,-3)</f>
        <v/>
      </c>
      <c r="Z756" s="249" t="inlineStr">
        <is>
          <t xml:space="preserve">C </t>
        </is>
      </c>
      <c r="AA756" s="245" t="n">
        <v>3</v>
      </c>
      <c r="AB756" s="245" t="n">
        <v>3</v>
      </c>
      <c r="AC756" s="253" t="inlineStr">
        <is>
          <t>33</t>
        </is>
      </c>
      <c r="AD756" s="247" t="inlineStr">
        <is>
          <t xml:space="preserve">WHSE STORAGE        </t>
        </is>
      </c>
      <c r="AE756" s="680" t="n"/>
      <c r="AF756" s="680" t="n"/>
      <c r="AG756" s="680" t="n"/>
      <c r="AH756" s="680" t="n"/>
      <c r="AI756" s="680" t="n"/>
      <c r="AJ756" s="680" t="n"/>
      <c r="AK756" s="680" t="inlineStr">
        <is>
          <t xml:space="preserve">S-T WHSE.; DATE OF LEASE UNKNOWN.                                 </t>
        </is>
      </c>
    </row>
    <row r="757">
      <c r="A757" s="248" t="n">
        <v>8</v>
      </c>
      <c r="B757" s="370" t="n">
        <v>749</v>
      </c>
      <c r="C757" s="254" t="inlineStr">
        <is>
          <t>2009Q</t>
        </is>
      </c>
      <c r="D757" s="245" t="inlineStr">
        <is>
          <t xml:space="preserve">02271-12-020-000 </t>
        </is>
      </c>
      <c r="E757" s="258" t="inlineStr">
        <is>
          <t>Actual</t>
        </is>
      </c>
      <c r="F757" s="259" t="inlineStr">
        <is>
          <t>3551   BRIGHTON             BV</t>
        </is>
      </c>
      <c r="G757" s="672" t="n">
        <v>44.2</v>
      </c>
      <c r="H757" s="253" t="n">
        <v>9210</v>
      </c>
      <c r="I757" s="255" t="n">
        <v>0</v>
      </c>
      <c r="J757" s="678" t="n">
        <v>5340</v>
      </c>
      <c r="K757" s="679" t="n">
        <v>4.943820224719101</v>
      </c>
      <c r="L757" s="260" t="n">
        <v>0</v>
      </c>
      <c r="M757" s="262" t="n">
        <v>0.2010227272727273</v>
      </c>
      <c r="N757" s="253" t="n">
        <v>1955</v>
      </c>
      <c r="O757" s="250">
        <f>980+1000+980</f>
        <v/>
      </c>
      <c r="Q757" s="245" t="n">
        <v>16</v>
      </c>
      <c r="R757" s="245" t="n">
        <v>3</v>
      </c>
      <c r="S757" s="245" t="n">
        <v>1</v>
      </c>
      <c r="T757" s="249" t="inlineStr">
        <is>
          <t xml:space="preserve">I1   </t>
        </is>
      </c>
      <c r="U757" s="249" t="n">
        <v>398</v>
      </c>
      <c r="V757" s="678" t="n">
        <v>6250</v>
      </c>
      <c r="W757" s="678" t="n">
        <v>6000</v>
      </c>
      <c r="X757" s="356" t="inlineStr">
        <is>
          <t>1.2:1</t>
        </is>
      </c>
      <c r="Y757" s="678">
        <f>ROUND(J757,-3)</f>
        <v/>
      </c>
      <c r="Z757" s="249" t="inlineStr">
        <is>
          <t xml:space="preserve">C </t>
        </is>
      </c>
      <c r="AA757" s="245" t="n">
        <v>2</v>
      </c>
      <c r="AB757" s="245" t="n">
        <v>1</v>
      </c>
      <c r="AC757" s="253" t="inlineStr">
        <is>
          <t>21</t>
        </is>
      </c>
      <c r="AD757" s="247" t="inlineStr">
        <is>
          <t>                    </t>
        </is>
      </c>
      <c r="AE757" s="680" t="n"/>
      <c r="AF757" s="680" t="n"/>
      <c r="AG757" s="680" t="n"/>
      <c r="AH757" s="680" t="n"/>
      <c r="AI757" s="680" t="n"/>
      <c r="AJ757" s="680" t="n"/>
      <c r="AK757" s="680" t="inlineStr">
        <is>
          <t xml:space="preserve">S-T WHSE.; 2006 LEASE.                                            </t>
        </is>
      </c>
    </row>
    <row r="758">
      <c r="A758" s="248" t="n">
        <v>8</v>
      </c>
      <c r="B758" s="370" t="n">
        <v>750</v>
      </c>
      <c r="C758" s="254" t="inlineStr">
        <is>
          <t>2009Q</t>
        </is>
      </c>
      <c r="D758" s="245" t="inlineStr">
        <is>
          <t xml:space="preserve">02271-12-028-000 </t>
        </is>
      </c>
      <c r="E758" s="258" t="inlineStr">
        <is>
          <t>Actual</t>
        </is>
      </c>
      <c r="F758" s="259" t="inlineStr">
        <is>
          <t>3515   BRIGHTON             BV</t>
        </is>
      </c>
      <c r="G758" s="672" t="n">
        <v>46.1</v>
      </c>
      <c r="H758" s="253" t="n">
        <v>9210</v>
      </c>
      <c r="I758" s="255" t="n">
        <v>0</v>
      </c>
      <c r="J758" s="678" t="n">
        <v>4752</v>
      </c>
      <c r="K758" s="679" t="n">
        <v>7.575757575757576</v>
      </c>
      <c r="L758" s="260" t="n">
        <v>0</v>
      </c>
      <c r="M758" s="262" t="n">
        <v>0.16625</v>
      </c>
      <c r="N758" s="253" t="n">
        <v>1971</v>
      </c>
      <c r="O758" s="250">
        <f>920+720</f>
        <v/>
      </c>
      <c r="Q758" s="245" t="n">
        <v>15</v>
      </c>
      <c r="R758" s="245" t="n">
        <v>3</v>
      </c>
      <c r="S758" s="245" t="n">
        <v>1</v>
      </c>
      <c r="T758" s="249" t="inlineStr">
        <is>
          <t xml:space="preserve">I1   </t>
        </is>
      </c>
      <c r="U758" s="249" t="n">
        <v>391</v>
      </c>
      <c r="V758" s="678" t="n">
        <v>8560</v>
      </c>
      <c r="W758" s="678" t="n">
        <v>9000</v>
      </c>
      <c r="X758" s="356" t="inlineStr">
        <is>
          <t>1.8:1</t>
        </is>
      </c>
      <c r="Y758" s="678">
        <f>ROUND(J758,-3)</f>
        <v/>
      </c>
      <c r="Z758" s="249" t="inlineStr">
        <is>
          <t xml:space="preserve">C </t>
        </is>
      </c>
      <c r="AA758" s="245" t="n">
        <v>3</v>
      </c>
      <c r="AB758" s="245" t="n">
        <v>3</v>
      </c>
      <c r="AC758" s="253" t="inlineStr">
        <is>
          <t>33</t>
        </is>
      </c>
      <c r="AD758" s="247" t="inlineStr">
        <is>
          <t>                    </t>
        </is>
      </c>
      <c r="AE758" s="680" t="n"/>
      <c r="AF758" s="680" t="n"/>
      <c r="AG758" s="680" t="n"/>
      <c r="AH758" s="680" t="n"/>
      <c r="AI758" s="680" t="n"/>
      <c r="AJ758" s="680" t="n"/>
      <c r="AK758" s="680" t="inlineStr">
        <is>
          <t xml:space="preserve">S-T INDUSTRIAL BLDG.; 2004 LEASE.                                 </t>
        </is>
      </c>
    </row>
    <row r="759">
      <c r="A759" s="248" t="n">
        <v>8</v>
      </c>
      <c r="B759" s="370" t="n">
        <v>751</v>
      </c>
      <c r="C759" s="254" t="inlineStr">
        <is>
          <t>2009Q</t>
        </is>
      </c>
      <c r="D759" s="245" t="inlineStr">
        <is>
          <t xml:space="preserve">02271-12-031-000 </t>
        </is>
      </c>
      <c r="E759" s="258" t="inlineStr">
        <is>
          <t>Actual</t>
        </is>
      </c>
      <c r="F759" s="259" t="inlineStr">
        <is>
          <t>3535   BRIGHTON             BL</t>
        </is>
      </c>
      <c r="G759" s="672" t="n">
        <v>44.1</v>
      </c>
      <c r="H759" s="253" t="n">
        <v>9210</v>
      </c>
      <c r="I759" s="255" t="n">
        <v>0</v>
      </c>
      <c r="J759" s="678" t="n">
        <v>9000</v>
      </c>
      <c r="K759" s="679" t="n">
        <v>10.88888888888889</v>
      </c>
      <c r="L759" s="260" t="n">
        <v>0</v>
      </c>
      <c r="M759" s="262" t="n">
        <v>0.286734693877551</v>
      </c>
      <c r="N759" s="253" t="n">
        <v>1973</v>
      </c>
      <c r="O759" s="250" t="n">
        <v>384</v>
      </c>
      <c r="Q759" s="245" t="n">
        <v>15</v>
      </c>
      <c r="R759" s="245" t="n">
        <v>3</v>
      </c>
      <c r="S759" s="245" t="n">
        <v>1</v>
      </c>
      <c r="T759" s="249" t="inlineStr">
        <is>
          <t xml:space="preserve">I1   </t>
        </is>
      </c>
      <c r="U759" s="249" t="n">
        <v>398</v>
      </c>
      <c r="V759" s="678" t="n">
        <v>12500</v>
      </c>
      <c r="W759" s="678" t="n">
        <v>13000</v>
      </c>
      <c r="X759" s="356" t="inlineStr">
        <is>
          <t>1.3:1</t>
        </is>
      </c>
      <c r="Y759" s="678">
        <f>ROUND(J759,-3)</f>
        <v/>
      </c>
      <c r="Z759" s="249" t="inlineStr">
        <is>
          <t xml:space="preserve">C </t>
        </is>
      </c>
      <c r="AA759" s="245" t="n">
        <v>3</v>
      </c>
      <c r="AB759" s="245" t="n">
        <v>3</v>
      </c>
      <c r="AC759" s="253" t="inlineStr">
        <is>
          <t>33</t>
        </is>
      </c>
      <c r="AD759" s="247" t="inlineStr">
        <is>
          <t>                    </t>
        </is>
      </c>
      <c r="AE759" s="680" t="n"/>
      <c r="AF759" s="680" t="n"/>
      <c r="AG759" s="680" t="n"/>
      <c r="AH759" s="680" t="n"/>
      <c r="AI759" s="680" t="n"/>
      <c r="AJ759" s="680" t="n"/>
      <c r="AK759" s="680" t="inlineStr">
        <is>
          <t xml:space="preserve">M-T WHSE.; EST. 7 TENANTS; MAY INCLUDE PCL -030.                  </t>
        </is>
      </c>
    </row>
    <row r="760">
      <c r="A760" s="248" t="n">
        <v>8</v>
      </c>
      <c r="B760" s="370" t="n">
        <v>752</v>
      </c>
      <c r="C760" s="254" t="inlineStr">
        <is>
          <t>2009Q</t>
        </is>
      </c>
      <c r="D760" s="245" t="inlineStr">
        <is>
          <t xml:space="preserve">02271-13-027-000 </t>
        </is>
      </c>
      <c r="E760" s="258" t="inlineStr">
        <is>
          <t>Actual</t>
        </is>
      </c>
      <c r="F760" s="259" t="inlineStr">
        <is>
          <t>3554   BRIGHTON             BV</t>
        </is>
      </c>
      <c r="G760" s="672" t="n">
        <v>44.1</v>
      </c>
      <c r="H760" s="253" t="n">
        <v>9210</v>
      </c>
      <c r="I760" s="255" t="n">
        <v>0</v>
      </c>
      <c r="J760" s="678" t="n">
        <v>3999</v>
      </c>
      <c r="K760" s="679" t="n">
        <v>6.301575393848462</v>
      </c>
      <c r="L760" s="260" t="n">
        <v>0</v>
      </c>
      <c r="M760" s="262" t="n">
        <v>0.1319444444444444</v>
      </c>
      <c r="N760" s="253" t="n">
        <v>1920</v>
      </c>
      <c r="O760" s="250" t="n">
        <v>1215</v>
      </c>
      <c r="P760" s="250" t="inlineStr">
        <is>
          <t> </t>
        </is>
      </c>
      <c r="Q760" s="245" t="n">
        <v>14</v>
      </c>
      <c r="R760" s="245" t="n">
        <v>1</v>
      </c>
      <c r="S760" s="245" t="n">
        <v>1</v>
      </c>
      <c r="T760" s="249" t="inlineStr">
        <is>
          <t xml:space="preserve">I1   </t>
        </is>
      </c>
      <c r="U760" s="249" t="n">
        <v>398</v>
      </c>
      <c r="V760" s="678" t="n">
        <v>18750</v>
      </c>
      <c r="W760" s="678" t="n">
        <v>19000</v>
      </c>
      <c r="X760" s="356" t="inlineStr">
        <is>
          <t>4.7:1</t>
        </is>
      </c>
      <c r="Y760" s="678">
        <f>ROUND(J760,-3)</f>
        <v/>
      </c>
      <c r="Z760" s="249" t="inlineStr">
        <is>
          <t xml:space="preserve">C </t>
        </is>
      </c>
      <c r="AA760" s="245" t="n">
        <v>3</v>
      </c>
      <c r="AB760" s="245" t="n">
        <v>3</v>
      </c>
      <c r="AC760" s="253" t="inlineStr">
        <is>
          <t>33</t>
        </is>
      </c>
      <c r="AD760" s="247" t="inlineStr">
        <is>
          <t xml:space="preserve">S-W  DLM STG YARD   </t>
        </is>
      </c>
      <c r="AE760" s="680" t="n"/>
      <c r="AF760" s="680" t="n"/>
      <c r="AG760" s="680" t="n"/>
      <c r="AH760" s="680" t="n"/>
      <c r="AI760" s="680" t="n"/>
      <c r="AJ760" s="680" t="n"/>
      <c r="AK760" s="680" t="inlineStr">
        <is>
          <t xml:space="preserve">S-T WHSE.                                                         </t>
        </is>
      </c>
    </row>
    <row r="761">
      <c r="A761" s="248" t="n">
        <v>8</v>
      </c>
      <c r="B761" s="370" t="n">
        <v>753</v>
      </c>
      <c r="C761" s="254" t="inlineStr">
        <is>
          <t>2009Q</t>
        </is>
      </c>
      <c r="D761" s="245" t="inlineStr">
        <is>
          <t xml:space="preserve">02271-18-022-000 </t>
        </is>
      </c>
      <c r="E761" s="258" t="inlineStr">
        <is>
          <t>Actual</t>
        </is>
      </c>
      <c r="F761" s="259" t="inlineStr">
        <is>
          <t>3400   WALNUT               ST</t>
        </is>
      </c>
      <c r="G761" s="672" t="n">
        <v>44.5</v>
      </c>
      <c r="H761" s="253" t="n">
        <v>9210</v>
      </c>
      <c r="I761" s="255" t="n">
        <v>0</v>
      </c>
      <c r="J761" s="678" t="n">
        <v>22640</v>
      </c>
      <c r="K761" s="679" t="n">
        <v>7.741916961130742</v>
      </c>
      <c r="L761" s="260" t="n">
        <v>0.06</v>
      </c>
      <c r="M761" s="262" t="n">
        <v>0.2407731761725725</v>
      </c>
      <c r="N761" s="253" t="n">
        <v>1950</v>
      </c>
      <c r="O761" s="250" t="inlineStr">
        <is>
          <t> </t>
        </is>
      </c>
      <c r="Q761" s="245" t="n">
        <v>11</v>
      </c>
      <c r="R761" s="245" t="n">
        <v>1</v>
      </c>
      <c r="S761" s="245" t="n">
        <v>85</v>
      </c>
      <c r="T761" s="249" t="inlineStr">
        <is>
          <t xml:space="preserve">I2   </t>
        </is>
      </c>
      <c r="U761" s="249" t="n">
        <v>396</v>
      </c>
      <c r="V761" s="678" t="n">
        <v>31250</v>
      </c>
      <c r="W761" s="678" t="n">
        <v>31000</v>
      </c>
      <c r="X761" s="356" t="inlineStr">
        <is>
          <t>1.4:1</t>
        </is>
      </c>
      <c r="Y761" s="678">
        <f>ROUND(J761,-3)</f>
        <v/>
      </c>
      <c r="Z761" s="249" t="inlineStr">
        <is>
          <t xml:space="preserve">C </t>
        </is>
      </c>
      <c r="AA761" s="245" t="n">
        <v>3</v>
      </c>
      <c r="AB761" s="245" t="n">
        <v>3</v>
      </c>
      <c r="AC761" s="253" t="inlineStr">
        <is>
          <t>33</t>
        </is>
      </c>
      <c r="AD761" s="247" t="inlineStr">
        <is>
          <t xml:space="preserve">DOWNTOWN SELF STRG  </t>
        </is>
      </c>
      <c r="AE761" s="680" t="n"/>
      <c r="AF761" s="680" t="n"/>
      <c r="AG761" s="680" t="n"/>
      <c r="AH761" s="680" t="n"/>
      <c r="AI761" s="680" t="n"/>
      <c r="AJ761" s="680" t="n"/>
      <c r="AK761" s="680" t="inlineStr">
        <is>
          <t xml:space="preserve">SELF-STORAGE FACILITY.                                            </t>
        </is>
      </c>
    </row>
    <row r="762">
      <c r="A762" s="248" t="n">
        <v>8</v>
      </c>
      <c r="B762" s="370" t="n">
        <v>754</v>
      </c>
      <c r="C762" s="254" t="inlineStr">
        <is>
          <t>2009Q</t>
        </is>
      </c>
      <c r="D762" s="245" t="inlineStr">
        <is>
          <t xml:space="preserve">02271-20-021-000 </t>
        </is>
      </c>
      <c r="E762" s="258" t="inlineStr">
        <is>
          <t>Actual</t>
        </is>
      </c>
      <c r="F762" s="259" t="inlineStr">
        <is>
          <t>3401   BLAKE                ST</t>
        </is>
      </c>
      <c r="G762" s="672" t="n">
        <v>47.1</v>
      </c>
      <c r="H762" s="253" t="n">
        <v>9210</v>
      </c>
      <c r="I762" s="255" t="n">
        <v>0</v>
      </c>
      <c r="J762" s="678" t="n">
        <v>14065</v>
      </c>
      <c r="K762" s="679" t="n">
        <v>10.0551724137931</v>
      </c>
      <c r="L762" s="260" t="n">
        <v>0</v>
      </c>
      <c r="M762" s="262" t="n">
        <v>0</v>
      </c>
      <c r="N762" s="253" t="n">
        <v>2000</v>
      </c>
      <c r="O762" s="250" t="n">
        <v>2410</v>
      </c>
      <c r="Q762" s="245" t="n">
        <v>16</v>
      </c>
      <c r="R762" s="245" t="n">
        <v>3</v>
      </c>
      <c r="S762" s="245" t="n">
        <v>1</v>
      </c>
      <c r="T762" s="249" t="inlineStr">
        <is>
          <t xml:space="preserve">I2   </t>
        </is>
      </c>
      <c r="U762" s="249" t="n">
        <v>401</v>
      </c>
      <c r="V762" s="678" t="n">
        <v>6875</v>
      </c>
      <c r="W762" s="678" t="n">
        <v>7000</v>
      </c>
      <c r="X762" s="356" t="inlineStr">
        <is>
          <t>0.5:1</t>
        </is>
      </c>
      <c r="Y762" s="678">
        <f>ROUND(J762,-3)</f>
        <v/>
      </c>
      <c r="Z762" s="249" t="inlineStr">
        <is>
          <t xml:space="preserve">C </t>
        </is>
      </c>
      <c r="AA762" s="245" t="n">
        <v>3</v>
      </c>
      <c r="AB762" s="245" t="n">
        <v>3</v>
      </c>
      <c r="AC762" s="253" t="inlineStr">
        <is>
          <t>33</t>
        </is>
      </c>
      <c r="AD762" s="247" t="inlineStr">
        <is>
          <t xml:space="preserve">NEOSOURCE           </t>
        </is>
      </c>
      <c r="AE762" s="680" t="n"/>
      <c r="AF762" s="680" t="n"/>
      <c r="AG762" s="680" t="n"/>
      <c r="AH762" s="680" t="n"/>
      <c r="AI762" s="680" t="n"/>
      <c r="AJ762" s="680" t="n"/>
      <c r="AK762" s="680" t="inlineStr">
        <is>
          <t xml:space="preserve">S-T INDUSTRIAL BLDG.; LEASE DATES FROM 2004.                      </t>
        </is>
      </c>
    </row>
    <row r="763">
      <c r="A763" s="248" t="n">
        <v>8</v>
      </c>
      <c r="B763" s="370" t="n">
        <v>755</v>
      </c>
      <c r="C763" s="254" t="inlineStr">
        <is>
          <t>2009Q</t>
        </is>
      </c>
      <c r="D763" s="245" t="inlineStr">
        <is>
          <t xml:space="preserve">02271-22-005-000 </t>
        </is>
      </c>
      <c r="E763" s="258" t="inlineStr">
        <is>
          <t>Actual</t>
        </is>
      </c>
      <c r="F763" s="259" t="inlineStr">
        <is>
          <t>3430   BRIGHTON             BV</t>
        </is>
      </c>
      <c r="G763" s="672" t="n">
        <v>44.1</v>
      </c>
      <c r="H763" s="253" t="n">
        <v>9210</v>
      </c>
      <c r="I763" s="255" t="n">
        <v>0</v>
      </c>
      <c r="J763" s="678" t="n">
        <v>7464</v>
      </c>
      <c r="K763" s="679" t="n">
        <v>4.823151125401929</v>
      </c>
      <c r="L763" s="260" t="n">
        <v>0</v>
      </c>
      <c r="M763" s="262" t="n">
        <v>0.1119444444444444</v>
      </c>
      <c r="N763" s="253" t="n">
        <v>1931</v>
      </c>
      <c r="O763" s="250" t="n">
        <v>180</v>
      </c>
      <c r="Q763" s="245" t="n">
        <v>14</v>
      </c>
      <c r="R763" s="245" t="n">
        <v>7</v>
      </c>
      <c r="S763" s="245" t="n">
        <v>1</v>
      </c>
      <c r="T763" s="249" t="inlineStr">
        <is>
          <t xml:space="preserve">I2   </t>
        </is>
      </c>
      <c r="U763" s="249" t="n">
        <v>398</v>
      </c>
      <c r="V763" s="678" t="n">
        <v>12500</v>
      </c>
      <c r="W763" s="678" t="n">
        <v>13000</v>
      </c>
      <c r="X763" s="356" t="inlineStr">
        <is>
          <t>1.7:1</t>
        </is>
      </c>
      <c r="Y763" s="678">
        <f>ROUND(J763,-3)</f>
        <v/>
      </c>
      <c r="Z763" s="249" t="inlineStr">
        <is>
          <t xml:space="preserve">C </t>
        </is>
      </c>
      <c r="AA763" s="245" t="n">
        <v>1</v>
      </c>
      <c r="AB763" s="245" t="n">
        <v>3</v>
      </c>
      <c r="AC763" s="253" t="inlineStr">
        <is>
          <t>13</t>
        </is>
      </c>
      <c r="AD763" s="247" t="inlineStr">
        <is>
          <t xml:space="preserve">SANTA FE HTG &amp; AC   </t>
        </is>
      </c>
      <c r="AE763" s="680" t="n"/>
      <c r="AF763" s="680" t="n"/>
      <c r="AG763" s="680" t="n"/>
      <c r="AH763" s="680" t="n"/>
      <c r="AI763" s="680" t="n"/>
      <c r="AJ763" s="680" t="n"/>
      <c r="AK763" s="680" t="inlineStr">
        <is>
          <t xml:space="preserve">S-T WHSE.                                                         </t>
        </is>
      </c>
    </row>
    <row r="764">
      <c r="A764" s="248" t="n">
        <v>8</v>
      </c>
      <c r="B764" s="370" t="n">
        <v>756</v>
      </c>
      <c r="C764" s="254" t="inlineStr">
        <is>
          <t>2009Q</t>
        </is>
      </c>
      <c r="D764" s="245" t="inlineStr">
        <is>
          <t xml:space="preserve">02271-22-011-000 </t>
        </is>
      </c>
      <c r="E764" s="258" t="inlineStr">
        <is>
          <t>Actual</t>
        </is>
      </c>
      <c r="F764" s="259" t="inlineStr">
        <is>
          <t>3435   WYNKOOP              ST</t>
        </is>
      </c>
      <c r="G764" s="672" t="n">
        <v>44.2</v>
      </c>
      <c r="H764" s="253" t="n">
        <v>9210</v>
      </c>
      <c r="I764" s="255" t="n">
        <v>0</v>
      </c>
      <c r="J764" s="678" t="n">
        <v>600</v>
      </c>
      <c r="K764" s="679" t="n">
        <v>13.2</v>
      </c>
      <c r="L764" s="260" t="n">
        <v>0</v>
      </c>
      <c r="M764" s="262" t="n">
        <v>0</v>
      </c>
      <c r="N764" s="253" t="n">
        <v>1942</v>
      </c>
      <c r="P764" s="250">
        <f>2531+246</f>
        <v/>
      </c>
      <c r="Q764" s="245" t="n">
        <v>16</v>
      </c>
      <c r="R764" s="245" t="n">
        <v>1</v>
      </c>
      <c r="S764" s="245" t="n">
        <v>1</v>
      </c>
      <c r="T764" s="249" t="inlineStr">
        <is>
          <t xml:space="preserve">I2   </t>
        </is>
      </c>
      <c r="U764" s="249" t="n">
        <v>398</v>
      </c>
      <c r="V764" s="678" t="n">
        <v>12402</v>
      </c>
      <c r="W764" s="678" t="n">
        <v>12000</v>
      </c>
      <c r="X764" s="356" t="inlineStr">
        <is>
          <t>2.3:1</t>
        </is>
      </c>
      <c r="Y764" s="678">
        <f>ROUND(J764,-2)</f>
        <v/>
      </c>
      <c r="Z764" s="249" t="inlineStr">
        <is>
          <t xml:space="preserve">C </t>
        </is>
      </c>
      <c r="AA764" s="245" t="n">
        <v>3</v>
      </c>
      <c r="AB764" s="245" t="n">
        <v>1</v>
      </c>
      <c r="AC764" s="253" t="inlineStr">
        <is>
          <t>31</t>
        </is>
      </c>
      <c r="AD764" s="247" t="inlineStr">
        <is>
          <t xml:space="preserve">M-W                 </t>
        </is>
      </c>
      <c r="AE764" s="680" t="n"/>
      <c r="AF764" s="680" t="n"/>
      <c r="AG764" s="680" t="n"/>
      <c r="AH764" s="680" t="n"/>
      <c r="AI764" s="680" t="n"/>
      <c r="AJ764" s="680" t="n"/>
      <c r="AK764" s="680" t="inlineStr">
        <is>
          <t xml:space="preserve">M-T WHSE; 2 TENANTS INCLUDING OWNER.                              </t>
        </is>
      </c>
    </row>
    <row r="765">
      <c r="A765" s="248" t="n">
        <v>8</v>
      </c>
      <c r="B765" s="370" t="n">
        <v>757</v>
      </c>
      <c r="C765" s="254" t="inlineStr">
        <is>
          <t>2009Q</t>
        </is>
      </c>
      <c r="D765" s="245" t="inlineStr">
        <is>
          <t xml:space="preserve">02271-22-014-000 </t>
        </is>
      </c>
      <c r="E765" s="258" t="inlineStr">
        <is>
          <t>Actual</t>
        </is>
      </c>
      <c r="F765" s="259" t="inlineStr">
        <is>
          <t>3400   BRIGHTON             BV</t>
        </is>
      </c>
      <c r="G765" s="672" t="n">
        <v>47.1</v>
      </c>
      <c r="H765" s="253" t="n">
        <v>9210</v>
      </c>
      <c r="I765" s="255" t="n">
        <v>0</v>
      </c>
      <c r="J765" s="678" t="n">
        <v>6832</v>
      </c>
      <c r="K765" s="679" t="n">
        <v>5.620608899297424</v>
      </c>
      <c r="L765" s="260" t="n">
        <v>0</v>
      </c>
      <c r="M765" s="262" t="n">
        <v>0.1755208333333333</v>
      </c>
      <c r="N765" s="253" t="n">
        <v>1957</v>
      </c>
      <c r="Q765" s="245" t="n">
        <v>22</v>
      </c>
      <c r="R765" s="245" t="n">
        <v>3</v>
      </c>
      <c r="S765" s="245" t="n">
        <v>1</v>
      </c>
      <c r="T765" s="249" t="inlineStr">
        <is>
          <t xml:space="preserve">I2   </t>
        </is>
      </c>
      <c r="U765" s="249" t="n">
        <v>401</v>
      </c>
      <c r="V765" s="678" t="n">
        <v>27680</v>
      </c>
      <c r="W765" s="678" t="n">
        <v>28000</v>
      </c>
      <c r="X765" s="356" t="inlineStr">
        <is>
          <t>4.1:1</t>
        </is>
      </c>
      <c r="Y765" s="678">
        <f>ROUND(J765,-3)</f>
        <v/>
      </c>
      <c r="Z765" s="249" t="inlineStr">
        <is>
          <t xml:space="preserve">C </t>
        </is>
      </c>
      <c r="AA765" s="245" t="n">
        <v>1</v>
      </c>
      <c r="AB765" s="245" t="n">
        <v>3</v>
      </c>
      <c r="AC765" s="253" t="inlineStr">
        <is>
          <t>13</t>
        </is>
      </c>
      <c r="AD765" s="247" t="inlineStr">
        <is>
          <t>QUINN PROCESS EQPMNT</t>
        </is>
      </c>
      <c r="AE765" s="680" t="n"/>
      <c r="AF765" s="680" t="n"/>
      <c r="AG765" s="680" t="n"/>
      <c r="AH765" s="680" t="n"/>
      <c r="AI765" s="680" t="n"/>
      <c r="AJ765" s="680" t="n"/>
      <c r="AK765" s="680" t="inlineStr">
        <is>
          <t xml:space="preserve">S-T INDUSTRIAL BLDG.; 2005 LEASE.                                 </t>
        </is>
      </c>
    </row>
    <row r="766">
      <c r="A766" s="248" t="n">
        <v>8</v>
      </c>
      <c r="B766" s="370" t="n">
        <v>758</v>
      </c>
      <c r="C766" s="254" t="inlineStr">
        <is>
          <t>2009Q</t>
        </is>
      </c>
      <c r="D766" s="245" t="inlineStr">
        <is>
          <t xml:space="preserve">02271-23-013-000 </t>
        </is>
      </c>
      <c r="E766" s="258" t="inlineStr">
        <is>
          <t>Actual</t>
        </is>
      </c>
      <c r="F766" s="259" t="inlineStr">
        <is>
          <t>3403   BRIGHTON             BV</t>
        </is>
      </c>
      <c r="G766" s="672" t="n">
        <v>44.1</v>
      </c>
      <c r="H766" s="253" t="n">
        <v>9210</v>
      </c>
      <c r="I766" s="255" t="n">
        <v>0</v>
      </c>
      <c r="J766" s="678" t="n">
        <v>9530</v>
      </c>
      <c r="K766" s="679" t="n">
        <v>12.59181532004197</v>
      </c>
      <c r="L766" s="260" t="n">
        <v>0</v>
      </c>
      <c r="M766" s="262" t="n">
        <v>0</v>
      </c>
      <c r="N766" s="253" t="n">
        <v>1941</v>
      </c>
      <c r="P766" s="250" t="n">
        <v>1758</v>
      </c>
      <c r="Q766" s="245" t="n">
        <v>20</v>
      </c>
      <c r="R766" s="245" t="n">
        <v>1</v>
      </c>
      <c r="S766" s="245" t="n">
        <v>1</v>
      </c>
      <c r="T766" s="249" t="inlineStr">
        <is>
          <t xml:space="preserve">I2   </t>
        </is>
      </c>
      <c r="U766" s="249" t="n">
        <v>398</v>
      </c>
      <c r="V766" s="678" t="n">
        <v>190539</v>
      </c>
      <c r="W766" s="678" t="n">
        <v>190000</v>
      </c>
      <c r="X766" s="356" t="inlineStr">
        <is>
          <t>20.0:1</t>
        </is>
      </c>
      <c r="Y766" s="678">
        <f>ROUND(J766,-3)</f>
        <v/>
      </c>
      <c r="Z766" s="249" t="inlineStr">
        <is>
          <t xml:space="preserve">C </t>
        </is>
      </c>
      <c r="AA766" s="245" t="n">
        <v>3</v>
      </c>
      <c r="AB766" s="245" t="n">
        <v>3</v>
      </c>
      <c r="AC766" s="253" t="inlineStr">
        <is>
          <t>33</t>
        </is>
      </c>
      <c r="AD766" s="247" t="inlineStr">
        <is>
          <t>CENTRAL FOREIGN AUTO</t>
        </is>
      </c>
      <c r="AE766" s="680" t="n"/>
      <c r="AF766" s="680" t="n"/>
      <c r="AG766" s="680" t="n"/>
      <c r="AH766" s="680" t="n"/>
      <c r="AI766" s="680" t="n"/>
      <c r="AJ766" s="680" t="n"/>
      <c r="AK766" s="680" t="inlineStr">
        <is>
          <t xml:space="preserve">S-T WHSE.; CENTRAL FOREIGN AUTO PARTS; AGE OF LEASE UNKNOWN.      </t>
        </is>
      </c>
    </row>
    <row r="767">
      <c r="A767" s="248" t="n">
        <v>8</v>
      </c>
      <c r="B767" s="370" t="n">
        <v>759</v>
      </c>
      <c r="C767" s="254" t="inlineStr">
        <is>
          <t>2009Q</t>
        </is>
      </c>
      <c r="D767" s="245" t="inlineStr">
        <is>
          <t xml:space="preserve">02271-28-008-000 </t>
        </is>
      </c>
      <c r="E767" s="258" t="inlineStr">
        <is>
          <t>Actual</t>
        </is>
      </c>
      <c r="F767" s="259" t="inlineStr">
        <is>
          <t>3305   LARIMER              ST</t>
        </is>
      </c>
      <c r="G767" s="672" t="n">
        <v>44.1</v>
      </c>
      <c r="H767" s="253" t="n">
        <v>9210</v>
      </c>
      <c r="I767" s="255" t="n">
        <v>0</v>
      </c>
      <c r="J767" s="678" t="n">
        <v>7000</v>
      </c>
      <c r="K767" s="679" t="n">
        <v>2.914285714285714</v>
      </c>
      <c r="L767" s="260" t="n">
        <v>0</v>
      </c>
      <c r="M767" s="262" t="n">
        <v>0</v>
      </c>
      <c r="N767" s="253" t="n">
        <v>1973</v>
      </c>
      <c r="O767" s="250" t="n">
        <v>312</v>
      </c>
      <c r="Q767" s="245" t="n">
        <v>15</v>
      </c>
      <c r="R767" s="245" t="n">
        <v>3</v>
      </c>
      <c r="S767" s="245" t="n">
        <v>1</v>
      </c>
      <c r="T767" s="249" t="inlineStr">
        <is>
          <t xml:space="preserve">I1   </t>
        </is>
      </c>
      <c r="U767" s="249" t="n">
        <v>398</v>
      </c>
      <c r="V767" s="678" t="n">
        <v>12500</v>
      </c>
      <c r="W767" s="678" t="n">
        <v>13000</v>
      </c>
      <c r="X767" s="356" t="inlineStr">
        <is>
          <t>1.3:1</t>
        </is>
      </c>
      <c r="Y767" s="678">
        <f>ROUND(J767,-3)</f>
        <v/>
      </c>
      <c r="Z767" s="249" t="inlineStr">
        <is>
          <t xml:space="preserve">C </t>
        </is>
      </c>
      <c r="AA767" s="245" t="n">
        <v>3</v>
      </c>
      <c r="AB767" s="245" t="n">
        <v>3</v>
      </c>
      <c r="AC767" s="253" t="inlineStr">
        <is>
          <t>33</t>
        </is>
      </c>
      <c r="AD767" s="247" t="inlineStr">
        <is>
          <t>                    </t>
        </is>
      </c>
      <c r="AE767" s="680" t="n"/>
      <c r="AF767" s="680" t="n"/>
      <c r="AG767" s="680" t="n"/>
      <c r="AH767" s="680" t="n"/>
      <c r="AI767" s="680" t="n"/>
      <c r="AJ767" s="680" t="n"/>
      <c r="AK767" s="680" t="inlineStr">
        <is>
          <t xml:space="preserve">S-T WHSE.; MO-TO-MO LEASE.                                        </t>
        </is>
      </c>
    </row>
    <row r="768">
      <c r="A768" s="248" t="n">
        <v>8</v>
      </c>
      <c r="B768" s="370" t="n">
        <v>760</v>
      </c>
      <c r="C768" s="254" t="inlineStr">
        <is>
          <t>2009Q</t>
        </is>
      </c>
      <c r="D768" s="245" t="inlineStr">
        <is>
          <t xml:space="preserve">02273-00-088-000 </t>
        </is>
      </c>
      <c r="E768" s="258" t="inlineStr">
        <is>
          <t>Actual</t>
        </is>
      </c>
      <c r="F768" s="259" t="inlineStr">
        <is>
          <t>2100   31ST                 ST</t>
        </is>
      </c>
      <c r="G768" s="672" t="n">
        <v>44.1</v>
      </c>
      <c r="H768" s="253" t="n">
        <v>9210</v>
      </c>
      <c r="I768" s="255" t="n">
        <v>0</v>
      </c>
      <c r="J768" s="678" t="n">
        <v>68924</v>
      </c>
      <c r="K768" s="679" t="n">
        <v>6.68562474609715</v>
      </c>
      <c r="L768" s="260" t="n">
        <v>0</v>
      </c>
      <c r="M768" s="262" t="n">
        <v>0</v>
      </c>
      <c r="N768" s="253" t="n">
        <v>1994</v>
      </c>
      <c r="P768" s="250" t="n">
        <v>7548</v>
      </c>
      <c r="Q768" s="245" t="n">
        <v>24</v>
      </c>
      <c r="R768" s="245" t="n">
        <v>9</v>
      </c>
      <c r="S768" s="245" t="n">
        <v>1</v>
      </c>
      <c r="T768" s="249" t="inlineStr">
        <is>
          <t xml:space="preserve">I1   </t>
        </is>
      </c>
      <c r="U768" s="249" t="n">
        <v>398</v>
      </c>
      <c r="V768" s="678" t="n">
        <v>162548</v>
      </c>
      <c r="W768" s="678" t="n">
        <v>160000</v>
      </c>
      <c r="X768" s="356" t="inlineStr">
        <is>
          <t>2.4:1</t>
        </is>
      </c>
      <c r="Y768" s="678">
        <f>ROUND(J768,-4)</f>
        <v/>
      </c>
      <c r="Z768" s="249" t="inlineStr">
        <is>
          <t xml:space="preserve">C </t>
        </is>
      </c>
      <c r="AA768" s="245" t="n">
        <v>3</v>
      </c>
      <c r="AB768" s="245" t="n">
        <v>3</v>
      </c>
      <c r="AC768" s="253" t="inlineStr">
        <is>
          <t>33</t>
        </is>
      </c>
      <c r="AD768" s="247" t="inlineStr">
        <is>
          <t xml:space="preserve">DIST. FED EX BLDG   </t>
        </is>
      </c>
      <c r="AE768" s="680" t="n"/>
      <c r="AF768" s="680" t="n"/>
      <c r="AG768" s="680" t="n"/>
      <c r="AH768" s="680" t="n"/>
      <c r="AI768" s="680" t="n"/>
      <c r="AJ768" s="680" t="n"/>
      <c r="AK768" s="680" t="inlineStr">
        <is>
          <t xml:space="preserve">S-T WHSE.; FEDERAL EXPRESS; LEASES DATES FROM 2004.               </t>
        </is>
      </c>
    </row>
    <row r="769">
      <c r="A769" s="248" t="n">
        <v>8</v>
      </c>
      <c r="B769" s="370" t="n">
        <v>761</v>
      </c>
      <c r="C769" s="254" t="inlineStr">
        <is>
          <t>2009Q</t>
        </is>
      </c>
      <c r="D769" s="245" t="inlineStr">
        <is>
          <t xml:space="preserve">02275-00-023-000 </t>
        </is>
      </c>
      <c r="E769" s="258" t="inlineStr">
        <is>
          <t>Actual</t>
        </is>
      </c>
      <c r="F769" s="259" t="inlineStr">
        <is>
          <t>3150   BRIGHTON             BV</t>
        </is>
      </c>
      <c r="G769" s="672" t="n">
        <v>44.2</v>
      </c>
      <c r="H769" s="253" t="n">
        <v>9210</v>
      </c>
      <c r="I769" s="255" t="n">
        <v>0</v>
      </c>
      <c r="J769" s="678" t="n">
        <v>7500</v>
      </c>
      <c r="K769" s="679" t="n">
        <v>4.8</v>
      </c>
      <c r="L769" s="260" t="n">
        <v>0</v>
      </c>
      <c r="M769" s="262" t="n">
        <v>0.1724166666666667</v>
      </c>
      <c r="N769" s="253" t="n">
        <v>1968</v>
      </c>
      <c r="O769" s="250" t="n">
        <v>2908</v>
      </c>
      <c r="Q769" s="245" t="n">
        <v>15</v>
      </c>
      <c r="R769" s="245" t="n">
        <v>1</v>
      </c>
      <c r="S769" s="245" t="n">
        <v>1</v>
      </c>
      <c r="T769" s="249" t="inlineStr">
        <is>
          <t xml:space="preserve">I2   </t>
        </is>
      </c>
      <c r="U769" s="249" t="n">
        <v>398</v>
      </c>
      <c r="V769" s="678" t="n">
        <v>21452</v>
      </c>
      <c r="W769" s="678" t="n">
        <v>21000</v>
      </c>
      <c r="X769" s="356" t="inlineStr">
        <is>
          <t>2.9:1</t>
        </is>
      </c>
      <c r="Y769" s="678">
        <f>ROUND(J769,-3)</f>
        <v/>
      </c>
      <c r="Z769" s="249" t="inlineStr">
        <is>
          <t xml:space="preserve">C </t>
        </is>
      </c>
      <c r="AA769" s="245" t="n">
        <v>3</v>
      </c>
      <c r="AB769" s="245" t="n">
        <v>3</v>
      </c>
      <c r="AC769" s="253" t="inlineStr">
        <is>
          <t>33</t>
        </is>
      </c>
      <c r="AD769" s="247" t="inlineStr">
        <is>
          <t xml:space="preserve">DOGGIE DAY CARE     </t>
        </is>
      </c>
      <c r="AE769" s="680" t="n"/>
      <c r="AF769" s="680" t="n"/>
      <c r="AG769" s="680" t="n"/>
      <c r="AH769" s="680" t="n"/>
      <c r="AI769" s="680" t="n"/>
      <c r="AJ769" s="680" t="n"/>
      <c r="AK769" s="680" t="inlineStr">
        <is>
          <t xml:space="preserve">S-T WHSE.; LEASE DATES FROM 2004.                                 </t>
        </is>
      </c>
    </row>
    <row r="770">
      <c r="A770" s="248" t="n">
        <v>8</v>
      </c>
      <c r="B770" s="370" t="n">
        <v>762</v>
      </c>
      <c r="C770" s="254" t="inlineStr">
        <is>
          <t>2009Q</t>
        </is>
      </c>
      <c r="D770" s="245" t="inlineStr">
        <is>
          <t xml:space="preserve">02275-00-032-000 </t>
        </is>
      </c>
      <c r="E770" s="258" t="inlineStr">
        <is>
          <t>Actual</t>
        </is>
      </c>
      <c r="F770" s="259" t="inlineStr">
        <is>
          <t>2950   ARKINS               CT</t>
        </is>
      </c>
      <c r="G770" s="672" t="n">
        <v>47.1</v>
      </c>
      <c r="H770" s="253" t="n">
        <v>9210</v>
      </c>
      <c r="I770" s="255" t="n">
        <v>0</v>
      </c>
      <c r="J770" s="678" t="n">
        <v>31638</v>
      </c>
      <c r="K770" s="679" t="n">
        <v>2.579176939123839</v>
      </c>
      <c r="L770" s="260" t="n">
        <v>0</v>
      </c>
      <c r="M770" s="262" t="n">
        <v>0.06808823529411764</v>
      </c>
      <c r="N770" s="253" t="n">
        <v>1953</v>
      </c>
      <c r="O770" s="250">
        <f>700+1034</f>
        <v/>
      </c>
      <c r="Q770" s="245" t="n">
        <v>17</v>
      </c>
      <c r="R770" s="245" t="n">
        <v>1</v>
      </c>
      <c r="S770" s="245" t="n">
        <v>1</v>
      </c>
      <c r="T770" s="249" t="inlineStr">
        <is>
          <t xml:space="preserve">I2   </t>
        </is>
      </c>
      <c r="U770" s="249" t="n">
        <v>401</v>
      </c>
      <c r="V770" s="678" t="n">
        <v>77000</v>
      </c>
      <c r="W770" s="678" t="n">
        <v>80000</v>
      </c>
      <c r="X770" s="356" t="inlineStr">
        <is>
          <t>2.4:1</t>
        </is>
      </c>
      <c r="Y770" s="678">
        <f>ROUND(J770,-3)</f>
        <v/>
      </c>
      <c r="Z770" s="249" t="inlineStr">
        <is>
          <t xml:space="preserve">C </t>
        </is>
      </c>
      <c r="AA770" s="245" t="n">
        <v>3</v>
      </c>
      <c r="AB770" s="245" t="n">
        <v>3</v>
      </c>
      <c r="AC770" s="253" t="inlineStr">
        <is>
          <t>33</t>
        </is>
      </c>
      <c r="AD770" s="247" t="inlineStr">
        <is>
          <t xml:space="preserve">S-M MANUFACTURING   </t>
        </is>
      </c>
      <c r="AE770" s="680" t="n"/>
      <c r="AF770" s="680" t="n"/>
      <c r="AG770" s="680" t="n"/>
      <c r="AH770" s="680" t="n"/>
      <c r="AI770" s="680" t="n"/>
      <c r="AJ770" s="680" t="n"/>
      <c r="AK770" s="680" t="inlineStr">
        <is>
          <t xml:space="preserve">S-T INDUSTRIAL BLDG.; AGE OF LEASE UNKNOWN.                       </t>
        </is>
      </c>
    </row>
    <row r="771">
      <c r="A771" s="248" t="n">
        <v>8</v>
      </c>
      <c r="B771" s="370" t="n">
        <v>763</v>
      </c>
      <c r="C771" s="254" t="inlineStr">
        <is>
          <t>2009Q</t>
        </is>
      </c>
      <c r="D771" s="245" t="inlineStr">
        <is>
          <t xml:space="preserve">02275-00-053-000 </t>
        </is>
      </c>
      <c r="E771" s="258" t="inlineStr">
        <is>
          <t>Actual</t>
        </is>
      </c>
      <c r="F771" s="259" t="inlineStr">
        <is>
          <t>1855   29TH                 ST</t>
        </is>
      </c>
      <c r="G771" s="672" t="n">
        <v>44.1</v>
      </c>
      <c r="H771" s="253" t="n">
        <v>9210</v>
      </c>
      <c r="I771" s="255" t="n">
        <v>0</v>
      </c>
      <c r="J771" s="678" t="n">
        <v>42845</v>
      </c>
      <c r="K771" s="679" t="n">
        <v>3.827751196172249</v>
      </c>
      <c r="L771" s="260" t="n">
        <v>0</v>
      </c>
      <c r="M771" s="262" t="n">
        <v>0</v>
      </c>
      <c r="N771" s="253" t="n">
        <v>1956</v>
      </c>
      <c r="O771" s="250" t="n">
        <v>2042</v>
      </c>
      <c r="Q771" s="245" t="n">
        <v>18</v>
      </c>
      <c r="R771" s="245" t="n">
        <v>5</v>
      </c>
      <c r="S771" s="245" t="n">
        <v>1</v>
      </c>
      <c r="T771" s="249" t="inlineStr">
        <is>
          <t xml:space="preserve">I2   </t>
        </is>
      </c>
      <c r="U771" s="249" t="n">
        <v>398</v>
      </c>
      <c r="V771" s="678" t="n">
        <v>61325</v>
      </c>
      <c r="W771" s="678" t="n">
        <v>60000</v>
      </c>
      <c r="X771" s="356" t="inlineStr">
        <is>
          <t>1.4:1</t>
        </is>
      </c>
      <c r="Y771" s="678">
        <f>ROUND(J771,-3)</f>
        <v/>
      </c>
      <c r="Z771" s="249" t="inlineStr">
        <is>
          <t xml:space="preserve">C </t>
        </is>
      </c>
      <c r="AA771" s="245" t="n">
        <v>3</v>
      </c>
      <c r="AB771" s="245" t="n">
        <v>3</v>
      </c>
      <c r="AC771" s="253" t="inlineStr">
        <is>
          <t>33</t>
        </is>
      </c>
      <c r="AD771" s="247" t="inlineStr">
        <is>
          <t>                    </t>
        </is>
      </c>
      <c r="AE771" s="680" t="n"/>
      <c r="AF771" s="680" t="n"/>
      <c r="AG771" s="680" t="n"/>
      <c r="AH771" s="680" t="n"/>
      <c r="AI771" s="680" t="n"/>
      <c r="AJ771" s="680" t="n"/>
      <c r="AK771" s="680" t="inlineStr">
        <is>
          <t xml:space="preserve">S-T WHSE.; 2006 LEASE.                                            </t>
        </is>
      </c>
    </row>
    <row r="772">
      <c r="A772" s="248" t="n">
        <v>8</v>
      </c>
      <c r="B772" s="370" t="n">
        <v>764</v>
      </c>
      <c r="C772" s="254" t="inlineStr">
        <is>
          <t>2009Q</t>
        </is>
      </c>
      <c r="D772" s="245" t="inlineStr">
        <is>
          <t xml:space="preserve">02275-07-026-000 </t>
        </is>
      </c>
      <c r="E772" s="258" t="inlineStr">
        <is>
          <t>Actual</t>
        </is>
      </c>
      <c r="F772" s="259" t="inlineStr">
        <is>
          <t>3060   WALNUT               ST</t>
        </is>
      </c>
      <c r="G772" s="672" t="n">
        <v>47.1</v>
      </c>
      <c r="H772" s="253" t="n">
        <v>9210</v>
      </c>
      <c r="I772" s="255" t="n">
        <v>0</v>
      </c>
      <c r="J772" s="678" t="n">
        <v>1400</v>
      </c>
      <c r="K772" s="679" t="n">
        <v>12.85714285714286</v>
      </c>
      <c r="L772" s="260" t="n">
        <v>0</v>
      </c>
      <c r="M772" s="262" t="n">
        <v>0.2632222222222222</v>
      </c>
      <c r="N772" s="253" t="n">
        <v>1942</v>
      </c>
      <c r="Q772" s="245" t="n">
        <v>23</v>
      </c>
      <c r="R772" s="245" t="n">
        <v>6</v>
      </c>
      <c r="S772" s="245" t="n">
        <v>1</v>
      </c>
      <c r="T772" s="249" t="inlineStr">
        <is>
          <t xml:space="preserve">I2   </t>
        </is>
      </c>
      <c r="U772" s="249" t="n">
        <v>401</v>
      </c>
      <c r="V772" s="678" t="n">
        <v>23990</v>
      </c>
      <c r="W772" s="678" t="n">
        <v>24000</v>
      </c>
      <c r="X772" s="356" t="inlineStr">
        <is>
          <t>4.3:1</t>
        </is>
      </c>
      <c r="Y772" s="678">
        <f>ROUND(J772,-2)</f>
        <v/>
      </c>
      <c r="Z772" s="249" t="inlineStr">
        <is>
          <t xml:space="preserve">C </t>
        </is>
      </c>
      <c r="AA772" s="245" t="n">
        <v>1</v>
      </c>
      <c r="AB772" s="245" t="n">
        <v>2</v>
      </c>
      <c r="AC772" s="253" t="inlineStr">
        <is>
          <t>12</t>
        </is>
      </c>
      <c r="AD772" s="247" t="inlineStr">
        <is>
          <t>                    </t>
        </is>
      </c>
      <c r="AE772" s="680" t="n"/>
      <c r="AF772" s="680" t="n"/>
      <c r="AG772" s="680" t="n"/>
      <c r="AH772" s="680" t="n"/>
      <c r="AI772" s="680" t="n"/>
      <c r="AJ772" s="680" t="n"/>
      <c r="AK772" s="680" t="inlineStr">
        <is>
          <t xml:space="preserve">M-T WHSE.; 2 TENANTS                                              </t>
        </is>
      </c>
    </row>
    <row r="773">
      <c r="A773" s="248" t="n">
        <v>8</v>
      </c>
      <c r="B773" s="370" t="n">
        <v>765</v>
      </c>
      <c r="C773" s="254" t="inlineStr">
        <is>
          <t>2009Q</t>
        </is>
      </c>
      <c r="D773" s="245" t="inlineStr">
        <is>
          <t xml:space="preserve">02275-07-027-000 </t>
        </is>
      </c>
      <c r="E773" s="258" t="inlineStr">
        <is>
          <t>Actual</t>
        </is>
      </c>
      <c r="F773" s="259" t="inlineStr">
        <is>
          <t>3033   LARIMER              ST</t>
        </is>
      </c>
      <c r="G773" s="672" t="n">
        <v>44.1</v>
      </c>
      <c r="H773" s="253" t="n">
        <v>9210</v>
      </c>
      <c r="I773" s="255" t="n">
        <v>0</v>
      </c>
      <c r="J773" s="678" t="n">
        <v>8806</v>
      </c>
      <c r="K773" s="679" t="n">
        <v>8.176243470361117</v>
      </c>
      <c r="L773" s="260" t="n">
        <v>0</v>
      </c>
      <c r="M773" s="262" t="n">
        <v>0.187125</v>
      </c>
      <c r="N773" s="253" t="n">
        <v>1952</v>
      </c>
      <c r="Q773" s="245" t="n">
        <v>23</v>
      </c>
      <c r="R773" s="245" t="n">
        <v>7</v>
      </c>
      <c r="S773" s="245" t="n">
        <v>1</v>
      </c>
      <c r="T773" s="249" t="inlineStr">
        <is>
          <t xml:space="preserve">I2   </t>
        </is>
      </c>
      <c r="U773" s="249" t="n">
        <v>398</v>
      </c>
      <c r="V773" s="678" t="n">
        <v>23626</v>
      </c>
      <c r="W773" s="678" t="n">
        <v>24000</v>
      </c>
      <c r="X773" s="356" t="inlineStr">
        <is>
          <t>2.7:1</t>
        </is>
      </c>
      <c r="Y773" s="678">
        <f>ROUND(J773,-3)</f>
        <v/>
      </c>
      <c r="Z773" s="249" t="inlineStr">
        <is>
          <t xml:space="preserve">C </t>
        </is>
      </c>
      <c r="AA773" s="245" t="n">
        <v>1</v>
      </c>
      <c r="AB773" s="245" t="n">
        <v>3</v>
      </c>
      <c r="AC773" s="253" t="inlineStr">
        <is>
          <t>13</t>
        </is>
      </c>
      <c r="AD773" s="247" t="inlineStr">
        <is>
          <t>                    </t>
        </is>
      </c>
      <c r="AE773" s="680" t="n"/>
      <c r="AF773" s="680" t="n"/>
      <c r="AG773" s="680" t="n"/>
      <c r="AH773" s="680" t="n"/>
      <c r="AI773" s="680" t="n"/>
      <c r="AJ773" s="680" t="n"/>
      <c r="AK773" s="680" t="inlineStr">
        <is>
          <t>EXPENSES DERIVED FROM THE COMBINED EXPENSE W/ADJ OFFICE AND ARE HI</t>
        </is>
      </c>
    </row>
    <row r="774">
      <c r="A774" s="248" t="n">
        <v>8</v>
      </c>
      <c r="B774" s="370" t="n">
        <v>766</v>
      </c>
      <c r="C774" s="254" t="inlineStr">
        <is>
          <t>2009Q</t>
        </is>
      </c>
      <c r="D774" s="245" t="inlineStr">
        <is>
          <t xml:space="preserve">02275-15-017-000 </t>
        </is>
      </c>
      <c r="E774" s="258" t="inlineStr">
        <is>
          <t>Actual</t>
        </is>
      </c>
      <c r="F774" s="259" t="inlineStr">
        <is>
          <t>2851   WALNUT               ST</t>
        </is>
      </c>
      <c r="G774" s="672" t="n">
        <v>47.1</v>
      </c>
      <c r="H774" s="253" t="n">
        <v>9210</v>
      </c>
      <c r="I774" s="255" t="n">
        <v>0</v>
      </c>
      <c r="J774" s="678" t="n">
        <v>10463</v>
      </c>
      <c r="K774" s="679" t="n">
        <v>6.611296951161235</v>
      </c>
      <c r="L774" s="260" t="n">
        <v>0</v>
      </c>
      <c r="M774" s="262" t="n">
        <v>0</v>
      </c>
      <c r="N774" s="253" t="n">
        <v>1940</v>
      </c>
      <c r="O774" s="250" t="n">
        <v>1901</v>
      </c>
      <c r="Q774" s="245" t="n">
        <v>13</v>
      </c>
      <c r="R774" s="245" t="n">
        <v>1</v>
      </c>
      <c r="S774" s="245" t="n">
        <v>1</v>
      </c>
      <c r="T774" s="249" t="inlineStr">
        <is>
          <t xml:space="preserve">I2   </t>
        </is>
      </c>
      <c r="U774" s="249" t="n">
        <v>401</v>
      </c>
      <c r="V774" s="678" t="n">
        <v>12530</v>
      </c>
      <c r="W774" s="678" t="n">
        <v>13000</v>
      </c>
      <c r="X774" s="356" t="inlineStr">
        <is>
          <t>1.2:1</t>
        </is>
      </c>
      <c r="Y774" s="678">
        <f>ROUND(J774,-3)</f>
        <v/>
      </c>
      <c r="Z774" s="249" t="inlineStr">
        <is>
          <t xml:space="preserve">C </t>
        </is>
      </c>
      <c r="AA774" s="245" t="n">
        <v>3</v>
      </c>
      <c r="AB774" s="245" t="n">
        <v>3</v>
      </c>
      <c r="AC774" s="253" t="inlineStr">
        <is>
          <t>33</t>
        </is>
      </c>
      <c r="AD774" s="247" t="inlineStr">
        <is>
          <t xml:space="preserve">MANUF-ALLYN-HOWARD  </t>
        </is>
      </c>
      <c r="AE774" s="680" t="n"/>
      <c r="AF774" s="680" t="n"/>
      <c r="AG774" s="680" t="n"/>
      <c r="AH774" s="680" t="n"/>
      <c r="AI774" s="680" t="n"/>
      <c r="AJ774" s="680" t="n"/>
      <c r="AK774" s="680" t="inlineStr">
        <is>
          <t xml:space="preserve">S-T INDUSTRIAL BLDG.; LEASE DATES FROM 2003.                      </t>
        </is>
      </c>
    </row>
    <row r="775">
      <c r="A775" s="248" t="n">
        <v>8</v>
      </c>
      <c r="B775" s="370" t="n">
        <v>767</v>
      </c>
      <c r="C775" s="254" t="inlineStr">
        <is>
          <t>2009Q</t>
        </is>
      </c>
      <c r="D775" s="245" t="inlineStr">
        <is>
          <t xml:space="preserve">02275-15-018-000 </t>
        </is>
      </c>
      <c r="E775" s="258" t="inlineStr">
        <is>
          <t>Actual</t>
        </is>
      </c>
      <c r="F775" s="259" t="inlineStr">
        <is>
          <t>2861   WALNUT               ST</t>
        </is>
      </c>
      <c r="G775" s="672" t="n">
        <v>44.1</v>
      </c>
      <c r="H775" s="253" t="n">
        <v>9210</v>
      </c>
      <c r="I775" s="255" t="n">
        <v>0</v>
      </c>
      <c r="J775" s="678" t="n">
        <v>6250</v>
      </c>
      <c r="K775" s="679" t="n">
        <v>7.6512</v>
      </c>
      <c r="L775" s="260" t="n">
        <v>0</v>
      </c>
      <c r="M775" s="262" t="n">
        <v>0</v>
      </c>
      <c r="N775" s="253" t="n">
        <v>1945</v>
      </c>
      <c r="O775" s="250" t="n">
        <v>1350</v>
      </c>
      <c r="Q775" s="245" t="n">
        <v>14</v>
      </c>
      <c r="R775" s="245" t="n">
        <v>3</v>
      </c>
      <c r="S775" s="245" t="n">
        <v>1</v>
      </c>
      <c r="T775" s="249" t="inlineStr">
        <is>
          <t xml:space="preserve">I2   </t>
        </is>
      </c>
      <c r="U775" s="249" t="n">
        <v>398</v>
      </c>
      <c r="V775" s="678" t="n">
        <v>6265</v>
      </c>
      <c r="W775" s="678" t="n">
        <v>6000</v>
      </c>
      <c r="X775" s="356" t="inlineStr">
        <is>
          <t>1.0:1</t>
        </is>
      </c>
      <c r="Y775" s="678">
        <f>ROUND(J775,-3)</f>
        <v/>
      </c>
      <c r="Z775" s="249" t="inlineStr">
        <is>
          <t xml:space="preserve">C </t>
        </is>
      </c>
      <c r="AA775" s="245" t="n">
        <v>3</v>
      </c>
      <c r="AB775" s="245" t="n">
        <v>3</v>
      </c>
      <c r="AC775" s="253" t="inlineStr">
        <is>
          <t>33</t>
        </is>
      </c>
      <c r="AD775" s="247" t="inlineStr">
        <is>
          <t xml:space="preserve">S-W                 </t>
        </is>
      </c>
      <c r="AE775" s="680" t="n"/>
      <c r="AF775" s="680" t="n"/>
      <c r="AG775" s="680" t="n"/>
      <c r="AH775" s="680" t="n"/>
      <c r="AI775" s="680" t="n"/>
      <c r="AJ775" s="680" t="n"/>
      <c r="AK775" s="680" t="inlineStr">
        <is>
          <t xml:space="preserve">S-T WHSE.; LEASE DATES FROM 2003.                                 </t>
        </is>
      </c>
    </row>
    <row r="776">
      <c r="A776" s="248" t="n">
        <v>8</v>
      </c>
      <c r="B776" s="370" t="n">
        <v>768</v>
      </c>
      <c r="C776" s="254" t="inlineStr">
        <is>
          <t>2009Q</t>
        </is>
      </c>
      <c r="D776" s="245" t="inlineStr">
        <is>
          <t xml:space="preserve">02277-00-010-000 </t>
        </is>
      </c>
      <c r="E776" s="258" t="inlineStr">
        <is>
          <t>Actual</t>
        </is>
      </c>
      <c r="F776" s="259" t="inlineStr">
        <is>
          <t>2501   BLAKE                ST</t>
        </is>
      </c>
      <c r="G776" s="672" t="n">
        <v>44.1</v>
      </c>
      <c r="H776" s="253" t="n">
        <v>9202</v>
      </c>
      <c r="I776" s="255" t="n">
        <v>0</v>
      </c>
      <c r="J776" s="678" t="n">
        <v>28647</v>
      </c>
      <c r="K776" s="679" t="n">
        <v>14.51809962648794</v>
      </c>
      <c r="L776" s="260" t="n">
        <v>0</v>
      </c>
      <c r="M776" s="262" t="n">
        <v>0.03743688386631402</v>
      </c>
      <c r="N776" s="253" t="n">
        <v>1956</v>
      </c>
      <c r="P776" s="250" t="n">
        <v>14952</v>
      </c>
      <c r="Q776" s="245" t="n">
        <v>22</v>
      </c>
      <c r="R776" s="245" t="n">
        <v>1</v>
      </c>
      <c r="S776" s="245" t="n">
        <v>1</v>
      </c>
      <c r="T776" s="249" t="inlineStr">
        <is>
          <t xml:space="preserve">I2   </t>
        </is>
      </c>
      <c r="U776" s="249" t="n">
        <v>398</v>
      </c>
      <c r="V776" s="678" t="n">
        <v>42092</v>
      </c>
      <c r="W776" s="678" t="n">
        <v>42000</v>
      </c>
      <c r="X776" s="356" t="inlineStr">
        <is>
          <t>1.5:1</t>
        </is>
      </c>
      <c r="Y776" s="678">
        <f>ROUND(J776,-3)</f>
        <v/>
      </c>
      <c r="Z776" s="249" t="inlineStr">
        <is>
          <t xml:space="preserve">C </t>
        </is>
      </c>
      <c r="AA776" s="245" t="n">
        <v>3</v>
      </c>
      <c r="AB776" s="245" t="n">
        <v>3</v>
      </c>
      <c r="AC776" s="253" t="inlineStr">
        <is>
          <t>33</t>
        </is>
      </c>
      <c r="AD776" s="247" t="inlineStr">
        <is>
          <t xml:space="preserve">SPACES THAT WORK    </t>
        </is>
      </c>
      <c r="AE776" s="680" t="n"/>
      <c r="AF776" s="680" t="n"/>
      <c r="AG776" s="680" t="n"/>
      <c r="AH776" s="680" t="n"/>
      <c r="AI776" s="680" t="n"/>
      <c r="AJ776" s="680" t="n"/>
      <c r="AK776" s="680" t="inlineStr">
        <is>
          <t xml:space="preserve">M-T WHSE.; 2 TENANTS                                              </t>
        </is>
      </c>
    </row>
    <row r="777">
      <c r="A777" s="248" t="n">
        <v>8</v>
      </c>
      <c r="B777" s="370" t="n">
        <v>769</v>
      </c>
      <c r="C777" s="254" t="inlineStr">
        <is>
          <t>2009Q</t>
        </is>
      </c>
      <c r="D777" s="245" t="inlineStr">
        <is>
          <t xml:space="preserve">02277-03-008-000 </t>
        </is>
      </c>
      <c r="E777" s="258" t="inlineStr">
        <is>
          <t>Actual</t>
        </is>
      </c>
      <c r="F777" s="259" t="inlineStr">
        <is>
          <t>2763   BLAKE                ST</t>
        </is>
      </c>
      <c r="G777" s="672" t="n">
        <v>47.1</v>
      </c>
      <c r="H777" s="253" t="n">
        <v>9210</v>
      </c>
      <c r="I777" s="255" t="n">
        <v>0</v>
      </c>
      <c r="J777" s="678" t="n">
        <v>42227</v>
      </c>
      <c r="K777" s="679" t="n">
        <v>5.200464158003173</v>
      </c>
      <c r="L777" s="260" t="n">
        <v>0</v>
      </c>
      <c r="M777" s="262" t="n">
        <v>0</v>
      </c>
      <c r="N777" s="253" t="n">
        <v>1932</v>
      </c>
      <c r="O777" s="250">
        <f>885+726</f>
        <v/>
      </c>
      <c r="P777" s="250" t="n">
        <v>885</v>
      </c>
      <c r="Q777" s="245" t="n">
        <v>18</v>
      </c>
      <c r="R777" s="245" t="n">
        <v>1</v>
      </c>
      <c r="S777" s="245" t="n">
        <v>1</v>
      </c>
      <c r="T777" s="249" t="inlineStr">
        <is>
          <t xml:space="preserve">I2   </t>
        </is>
      </c>
      <c r="U777" s="249" t="n">
        <v>401</v>
      </c>
      <c r="V777" s="678" t="n">
        <v>71334</v>
      </c>
      <c r="W777" s="678" t="n">
        <v>70000</v>
      </c>
      <c r="X777" s="356" t="inlineStr">
        <is>
          <t>1.7:1</t>
        </is>
      </c>
      <c r="Y777" s="678">
        <f>ROUND(J777,-3)</f>
        <v/>
      </c>
      <c r="Z777" s="249" t="inlineStr">
        <is>
          <t xml:space="preserve">C </t>
        </is>
      </c>
      <c r="AA777" s="245" t="n">
        <v>2</v>
      </c>
      <c r="AB777" s="245" t="n">
        <v>3</v>
      </c>
      <c r="AC777" s="253" t="inlineStr">
        <is>
          <t>23</t>
        </is>
      </c>
      <c r="AD777" s="247" t="inlineStr">
        <is>
          <t xml:space="preserve">WILFLEY &amp; SONS, INC </t>
        </is>
      </c>
      <c r="AE777" s="680" t="n"/>
      <c r="AF777" s="680" t="n"/>
      <c r="AG777" s="680" t="n"/>
      <c r="AH777" s="680" t="n"/>
      <c r="AI777" s="680" t="n"/>
      <c r="AJ777" s="680" t="n"/>
      <c r="AK777" s="680" t="inlineStr">
        <is>
          <t xml:space="preserve">S-T INDUSTRIAL BLDG.                                              </t>
        </is>
      </c>
    </row>
    <row r="778">
      <c r="A778" s="248" t="n">
        <v>8</v>
      </c>
      <c r="B778" s="370" t="n">
        <v>770</v>
      </c>
      <c r="C778" s="254" t="inlineStr">
        <is>
          <t>2009Q</t>
        </is>
      </c>
      <c r="D778" s="245" t="inlineStr">
        <is>
          <t xml:space="preserve">02277-06-008-000 </t>
        </is>
      </c>
      <c r="E778" s="258" t="inlineStr">
        <is>
          <t>Actual</t>
        </is>
      </c>
      <c r="F778" s="259" t="inlineStr">
        <is>
          <t>2600   WALNUT               ST</t>
        </is>
      </c>
      <c r="G778" s="672" t="n">
        <v>44.1</v>
      </c>
      <c r="H778" s="253" t="n">
        <v>9210</v>
      </c>
      <c r="I778" s="255" t="n">
        <v>0</v>
      </c>
      <c r="J778" s="678" t="n">
        <v>11780</v>
      </c>
      <c r="K778" s="679" t="n">
        <v>4.074702886247878</v>
      </c>
      <c r="L778" s="260" t="n">
        <v>0</v>
      </c>
      <c r="M778" s="262" t="n">
        <v>0</v>
      </c>
      <c r="N778" s="253" t="n">
        <v>1936</v>
      </c>
      <c r="O778" s="250" t="n">
        <v>240</v>
      </c>
      <c r="Q778" s="245" t="n">
        <v>13</v>
      </c>
      <c r="R778" s="245" t="n">
        <v>1</v>
      </c>
      <c r="S778" s="245" t="n">
        <v>1</v>
      </c>
      <c r="T778" s="249" t="inlineStr">
        <is>
          <t xml:space="preserve">I2   </t>
        </is>
      </c>
      <c r="U778" s="249" t="n">
        <v>398</v>
      </c>
      <c r="V778" s="678" t="n">
        <v>12515</v>
      </c>
      <c r="W778" s="678" t="n">
        <v>13000</v>
      </c>
      <c r="X778" s="356" t="inlineStr">
        <is>
          <t>1.1:1</t>
        </is>
      </c>
      <c r="Y778" s="678">
        <f>ROUND(J778,-3)</f>
        <v/>
      </c>
      <c r="Z778" s="249" t="inlineStr">
        <is>
          <t xml:space="preserve">C </t>
        </is>
      </c>
      <c r="AA778" s="245" t="n">
        <v>3</v>
      </c>
      <c r="AB778" s="245" t="n">
        <v>3</v>
      </c>
      <c r="AC778" s="253" t="inlineStr">
        <is>
          <t>33</t>
        </is>
      </c>
      <c r="AD778" s="247" t="inlineStr">
        <is>
          <t xml:space="preserve">CUSTOM CORNED BEEF  </t>
        </is>
      </c>
      <c r="AE778" s="680" t="n"/>
      <c r="AF778" s="680" t="n"/>
      <c r="AG778" s="680" t="n"/>
      <c r="AH778" s="680" t="n"/>
      <c r="AI778" s="680" t="n"/>
      <c r="AJ778" s="680" t="n"/>
      <c r="AK778" s="680" t="inlineStr">
        <is>
          <t xml:space="preserve">S-T WHSE.                                                         </t>
        </is>
      </c>
    </row>
    <row r="779">
      <c r="A779" s="248" t="n">
        <v>8</v>
      </c>
      <c r="B779" s="370" t="n">
        <v>771</v>
      </c>
      <c r="C779" s="254" t="inlineStr">
        <is>
          <t>2009Q</t>
        </is>
      </c>
      <c r="D779" s="245" t="inlineStr">
        <is>
          <t xml:space="preserve">02277-07-017-000 </t>
        </is>
      </c>
      <c r="E779" s="258" t="inlineStr">
        <is>
          <t>Actual</t>
        </is>
      </c>
      <c r="F779" s="259" t="inlineStr">
        <is>
          <t>2590   WALNUT               ST</t>
        </is>
      </c>
      <c r="G779" s="672" t="n">
        <v>44.2</v>
      </c>
      <c r="H779" s="253" t="n">
        <v>9210</v>
      </c>
      <c r="I779" s="255" t="n">
        <v>0</v>
      </c>
      <c r="J779" s="678" t="n">
        <v>12500</v>
      </c>
      <c r="K779" s="679" t="n">
        <v>5.6</v>
      </c>
      <c r="L779" s="260" t="n">
        <v>0</v>
      </c>
      <c r="M779" s="262" t="n">
        <v>0.1088285714285714</v>
      </c>
      <c r="N779" s="253" t="n">
        <v>1926</v>
      </c>
      <c r="O779" s="250" t="n">
        <v>1512</v>
      </c>
      <c r="Q779" s="245" t="n">
        <v>16</v>
      </c>
      <c r="R779" s="245" t="n">
        <v>1</v>
      </c>
      <c r="S779" s="245" t="n">
        <v>3</v>
      </c>
      <c r="T779" s="249" t="inlineStr">
        <is>
          <t xml:space="preserve">I2   </t>
        </is>
      </c>
      <c r="U779" s="249" t="n">
        <v>398</v>
      </c>
      <c r="V779" s="678" t="n">
        <v>12525</v>
      </c>
      <c r="W779" s="678" t="n">
        <v>13000</v>
      </c>
      <c r="X779" s="356" t="inlineStr">
        <is>
          <t>1.0:1</t>
        </is>
      </c>
      <c r="Y779" s="678">
        <f>ROUND(J779,-3)</f>
        <v/>
      </c>
      <c r="Z779" s="249" t="inlineStr">
        <is>
          <t xml:space="preserve">C </t>
        </is>
      </c>
      <c r="AA779" s="245" t="n">
        <v>3</v>
      </c>
      <c r="AB779" s="245" t="n">
        <v>3</v>
      </c>
      <c r="AC779" s="253" t="inlineStr">
        <is>
          <t>33</t>
        </is>
      </c>
      <c r="AD779" s="247" t="inlineStr">
        <is>
          <t xml:space="preserve">M-WHS/OFC/SHOWROOM  </t>
        </is>
      </c>
      <c r="AE779" s="680" t="n"/>
      <c r="AF779" s="680" t="n"/>
      <c r="AG779" s="680" t="n"/>
      <c r="AH779" s="680" t="n"/>
      <c r="AI779" s="680" t="n"/>
      <c r="AJ779" s="680" t="n"/>
      <c r="AK779" s="680" t="inlineStr">
        <is>
          <t xml:space="preserve">S-T WHSE.; DATE OF LEASE UNKNOWN.                                 </t>
        </is>
      </c>
    </row>
    <row r="780">
      <c r="A780" s="248" t="n">
        <v>8</v>
      </c>
      <c r="B780" s="370" t="n">
        <v>772</v>
      </c>
      <c r="C780" s="254" t="inlineStr">
        <is>
          <t>2009Q</t>
        </is>
      </c>
      <c r="D780" s="245" t="inlineStr">
        <is>
          <t xml:space="preserve">02277-07-020-000 </t>
        </is>
      </c>
      <c r="E780" s="258" t="inlineStr">
        <is>
          <t>Actual</t>
        </is>
      </c>
      <c r="F780" s="259" t="inlineStr">
        <is>
          <t>2536   WALNUT               ST</t>
        </is>
      </c>
      <c r="G780" s="672" t="n">
        <v>44.1</v>
      </c>
      <c r="H780" s="253" t="n">
        <v>9210</v>
      </c>
      <c r="I780" s="255" t="n">
        <v>0</v>
      </c>
      <c r="J780" s="678" t="n">
        <v>9300</v>
      </c>
      <c r="K780" s="679" t="n">
        <v>6.510752688172043</v>
      </c>
      <c r="L780" s="260" t="n">
        <v>0</v>
      </c>
      <c r="M780" s="262" t="n">
        <v>0</v>
      </c>
      <c r="N780" s="253" t="n">
        <v>1937</v>
      </c>
      <c r="Q780" s="245" t="n">
        <v>14</v>
      </c>
      <c r="R780" s="245" t="n">
        <v>1</v>
      </c>
      <c r="S780" s="245" t="n">
        <v>1</v>
      </c>
      <c r="T780" s="249" t="inlineStr">
        <is>
          <t xml:space="preserve">I2   </t>
        </is>
      </c>
      <c r="U780" s="249" t="n">
        <v>398</v>
      </c>
      <c r="V780" s="678" t="n">
        <v>9390</v>
      </c>
      <c r="W780" s="678" t="n">
        <v>9000</v>
      </c>
      <c r="X780" s="356" t="inlineStr">
        <is>
          <t>1.0:1</t>
        </is>
      </c>
      <c r="Y780" s="678">
        <f>ROUND(J780,-3)</f>
        <v/>
      </c>
      <c r="Z780" s="249" t="inlineStr">
        <is>
          <t xml:space="preserve">C </t>
        </is>
      </c>
      <c r="AA780" s="245" t="n">
        <v>2</v>
      </c>
      <c r="AB780" s="245" t="n">
        <v>3</v>
      </c>
      <c r="AC780" s="253" t="inlineStr">
        <is>
          <t>23</t>
        </is>
      </c>
      <c r="AD780" s="247" t="inlineStr">
        <is>
          <t xml:space="preserve">MANN ORIENTAL RUGS  </t>
        </is>
      </c>
      <c r="AE780" s="680" t="n"/>
      <c r="AF780" s="680" t="n"/>
      <c r="AG780" s="680" t="n"/>
      <c r="AH780" s="680" t="n"/>
      <c r="AI780" s="680" t="n"/>
      <c r="AJ780" s="680" t="n"/>
      <c r="AK780" s="680" t="inlineStr">
        <is>
          <t xml:space="preserve">S-T WHSE.                                                         </t>
        </is>
      </c>
    </row>
    <row r="781">
      <c r="A781" s="248" t="n">
        <v>8</v>
      </c>
      <c r="B781" s="370" t="n">
        <v>773</v>
      </c>
      <c r="C781" s="254" t="inlineStr">
        <is>
          <t>2009Q</t>
        </is>
      </c>
      <c r="D781" s="245" t="inlineStr">
        <is>
          <t xml:space="preserve">02278-17-022-000 </t>
        </is>
      </c>
      <c r="E781" s="258" t="inlineStr">
        <is>
          <t>Actual</t>
        </is>
      </c>
      <c r="F781" s="259" t="inlineStr">
        <is>
          <t>2010   DELGANY              ST</t>
        </is>
      </c>
      <c r="G781" s="672" t="n">
        <v>44.1</v>
      </c>
      <c r="H781" s="253" t="n">
        <v>9209</v>
      </c>
      <c r="I781" s="255" t="n">
        <v>0</v>
      </c>
      <c r="J781" s="678" t="n">
        <v>9550</v>
      </c>
      <c r="K781" s="679" t="n">
        <v>8.167539267015707</v>
      </c>
      <c r="L781" s="260" t="n">
        <v>0</v>
      </c>
      <c r="M781" s="262" t="n">
        <v>0.004397435897435897</v>
      </c>
      <c r="N781" s="253" t="n">
        <v>1945</v>
      </c>
      <c r="Q781" s="245" t="n">
        <v>20</v>
      </c>
      <c r="R781" s="245" t="n">
        <v>3</v>
      </c>
      <c r="S781" s="245" t="n">
        <v>1</v>
      </c>
      <c r="T781" s="249" t="inlineStr">
        <is>
          <t xml:space="preserve">PRV  </t>
        </is>
      </c>
      <c r="U781" s="249" t="n">
        <v>398</v>
      </c>
      <c r="V781" s="678" t="n">
        <v>25186</v>
      </c>
      <c r="W781" s="678" t="n">
        <v>25000</v>
      </c>
      <c r="X781" s="356" t="inlineStr">
        <is>
          <t>2.6:1</t>
        </is>
      </c>
      <c r="Y781" s="678">
        <f>ROUND(J781,-3)</f>
        <v/>
      </c>
      <c r="Z781" s="249" t="inlineStr">
        <is>
          <t xml:space="preserve">C </t>
        </is>
      </c>
      <c r="AA781" s="245" t="n">
        <v>3</v>
      </c>
      <c r="AB781" s="245" t="n">
        <v>3</v>
      </c>
      <c r="AC781" s="253" t="inlineStr">
        <is>
          <t>33</t>
        </is>
      </c>
      <c r="AD781" s="247" t="inlineStr">
        <is>
          <t>LIGHT BULB SUPPLY CO</t>
        </is>
      </c>
      <c r="AE781" s="680" t="n"/>
      <c r="AF781" s="680" t="n"/>
      <c r="AG781" s="680" t="n"/>
      <c r="AH781" s="680" t="n"/>
      <c r="AI781" s="680" t="n"/>
      <c r="AJ781" s="680" t="n"/>
      <c r="AK781" s="680" t="inlineStr">
        <is>
          <t xml:space="preserve">S-T WHSE.                                                         </t>
        </is>
      </c>
    </row>
    <row r="782">
      <c r="A782" s="248" t="n">
        <v>8</v>
      </c>
      <c r="B782" s="370" t="n">
        <v>774</v>
      </c>
      <c r="C782" s="254" t="inlineStr">
        <is>
          <t>2009Q</t>
        </is>
      </c>
      <c r="D782" s="245" t="inlineStr">
        <is>
          <t xml:space="preserve">02281-00-057-000 </t>
        </is>
      </c>
      <c r="E782" s="258" t="inlineStr">
        <is>
          <t>Actual</t>
        </is>
      </c>
      <c r="F782" s="259" t="inlineStr">
        <is>
          <t>3500   ROCKMONT             DR</t>
        </is>
      </c>
      <c r="G782" s="672" t="n">
        <v>44.3</v>
      </c>
      <c r="H782" s="253" t="n">
        <v>9209</v>
      </c>
      <c r="I782" s="255" t="n">
        <v>0</v>
      </c>
      <c r="J782" s="678" t="n">
        <v>253115</v>
      </c>
      <c r="K782" s="679" t="n">
        <v>3.259388025205934</v>
      </c>
      <c r="L782" s="260" t="n">
        <v>0</v>
      </c>
      <c r="M782" s="262" t="n">
        <v>0.02424242424242424</v>
      </c>
      <c r="N782" s="253" t="n">
        <v>1966</v>
      </c>
      <c r="O782" s="250" t="n">
        <v>104234</v>
      </c>
      <c r="Q782" s="245" t="n">
        <v>18</v>
      </c>
      <c r="R782" s="245" t="n">
        <v>1</v>
      </c>
      <c r="S782" s="245" t="n">
        <v>1</v>
      </c>
      <c r="T782" s="249" t="inlineStr">
        <is>
          <t xml:space="preserve">PRV  </t>
        </is>
      </c>
      <c r="U782" s="249" t="n">
        <v>398</v>
      </c>
      <c r="V782" s="678" t="n">
        <v>500067</v>
      </c>
      <c r="W782" s="678" t="n">
        <v>500000</v>
      </c>
      <c r="X782" s="356" t="inlineStr">
        <is>
          <t>2.0:1</t>
        </is>
      </c>
      <c r="Y782" s="678">
        <f>ROUND(J782,-4)</f>
        <v/>
      </c>
      <c r="Z782" s="249" t="inlineStr">
        <is>
          <t xml:space="preserve">C </t>
        </is>
      </c>
      <c r="AA782" s="245" t="n">
        <v>3</v>
      </c>
      <c r="AB782" s="245" t="n">
        <v>3</v>
      </c>
      <c r="AC782" s="253" t="inlineStr">
        <is>
          <t>33</t>
        </is>
      </c>
      <c r="AD782" s="247" t="inlineStr">
        <is>
          <t>S-W MAIL-WELL ENVPLE</t>
        </is>
      </c>
      <c r="AE782" s="680" t="n"/>
      <c r="AF782" s="680" t="n"/>
      <c r="AG782" s="680" t="n"/>
      <c r="AH782" s="680" t="n"/>
      <c r="AI782" s="680" t="n"/>
      <c r="AJ782" s="680" t="n"/>
      <c r="AK782" s="680" t="inlineStr">
        <is>
          <t xml:space="preserve">S-T WHSE.; AGE OF LEASE UNKNOWN.                                  </t>
        </is>
      </c>
    </row>
    <row r="783">
      <c r="A783" s="248" t="n">
        <v>8</v>
      </c>
      <c r="B783" s="370" t="n">
        <v>775</v>
      </c>
      <c r="C783" s="254" t="inlineStr">
        <is>
          <t>2009Q</t>
        </is>
      </c>
      <c r="D783" s="245" t="inlineStr">
        <is>
          <t xml:space="preserve">02281-04-011-000 </t>
        </is>
      </c>
      <c r="E783" s="258" t="inlineStr">
        <is>
          <t>Actual</t>
        </is>
      </c>
      <c r="F783" s="259" t="inlineStr">
        <is>
          <t>1200 W 38TH                 AV</t>
        </is>
      </c>
      <c r="G783" s="672" t="n">
        <v>47.1</v>
      </c>
      <c r="H783" s="253" t="n">
        <v>9208</v>
      </c>
      <c r="I783" s="255" t="n">
        <v>9</v>
      </c>
      <c r="J783" s="678" t="n">
        <v>3028</v>
      </c>
      <c r="K783" s="679" t="n">
        <v>3.170409511228534</v>
      </c>
      <c r="L783" s="260" t="n">
        <v>0</v>
      </c>
      <c r="M783" s="262" t="n">
        <v>0.1853125</v>
      </c>
      <c r="N783" s="253" t="n">
        <v>1948</v>
      </c>
      <c r="O783" s="250" t="n">
        <v>383</v>
      </c>
      <c r="Q783" s="245" t="n">
        <v>12</v>
      </c>
      <c r="R783" s="245" t="n">
        <v>3</v>
      </c>
      <c r="S783" s="245" t="n">
        <v>1</v>
      </c>
      <c r="T783" s="249" t="inlineStr">
        <is>
          <t xml:space="preserve">B4   </t>
        </is>
      </c>
      <c r="U783" s="249" t="n">
        <v>401</v>
      </c>
      <c r="V783" s="678" t="n">
        <v>12500</v>
      </c>
      <c r="W783" s="678" t="n">
        <v>13000</v>
      </c>
      <c r="X783" s="356" t="inlineStr">
        <is>
          <t>4.1:1</t>
        </is>
      </c>
      <c r="Y783" s="678">
        <f>ROUND(J783,-3)</f>
        <v/>
      </c>
      <c r="Z783" s="249" t="inlineStr">
        <is>
          <t xml:space="preserve">C </t>
        </is>
      </c>
      <c r="AA783" s="245" t="n">
        <v>3</v>
      </c>
      <c r="AB783" s="245" t="n">
        <v>3</v>
      </c>
      <c r="AC783" s="253" t="inlineStr">
        <is>
          <t>33</t>
        </is>
      </c>
      <c r="AD783" s="247" t="inlineStr">
        <is>
          <t xml:space="preserve">S-F FANTASY IN IRON </t>
        </is>
      </c>
      <c r="AE783" s="680" t="n"/>
      <c r="AF783" s="680" t="n"/>
      <c r="AG783" s="680" t="n"/>
      <c r="AH783" s="680" t="n"/>
      <c r="AI783" s="680" t="n"/>
      <c r="AJ783" s="680" t="n"/>
      <c r="AK783" s="680" t="inlineStr">
        <is>
          <t xml:space="preserve">S-T WHSE.; RENTED MO-TO-MO.                                       </t>
        </is>
      </c>
    </row>
    <row r="784">
      <c r="A784" s="248" t="n">
        <v>8</v>
      </c>
      <c r="B784" s="370" t="n">
        <v>776</v>
      </c>
      <c r="C784" s="254" t="inlineStr">
        <is>
          <t>2009Q</t>
        </is>
      </c>
      <c r="D784" s="245" t="inlineStr">
        <is>
          <t xml:space="preserve">02281-14-029-000 </t>
        </is>
      </c>
      <c r="E784" s="258" t="inlineStr">
        <is>
          <t>Actual</t>
        </is>
      </c>
      <c r="F784" s="259" t="inlineStr">
        <is>
          <t>1101 W 36TH                 AV</t>
        </is>
      </c>
      <c r="G784" s="672" t="n">
        <v>44.1</v>
      </c>
      <c r="H784" s="253" t="n">
        <v>9208</v>
      </c>
      <c r="I784" s="255" t="n">
        <v>0</v>
      </c>
      <c r="J784" s="678" t="n">
        <v>9374</v>
      </c>
      <c r="K784" s="679" t="n">
        <v>4.480477917644548</v>
      </c>
      <c r="L784" s="260" t="n">
        <v>0</v>
      </c>
      <c r="M784" s="262" t="n">
        <v>0.1081904761904762</v>
      </c>
      <c r="N784" s="253" t="n">
        <v>1976</v>
      </c>
      <c r="O784" s="250" t="n">
        <v>279</v>
      </c>
      <c r="P784" s="250" t="n">
        <v>1999</v>
      </c>
      <c r="Q784" s="245" t="n">
        <v>14</v>
      </c>
      <c r="R784" s="245" t="n">
        <v>7</v>
      </c>
      <c r="S784" s="245" t="n">
        <v>1</v>
      </c>
      <c r="T784" s="249" t="inlineStr">
        <is>
          <t xml:space="preserve">PRV  </t>
        </is>
      </c>
      <c r="U784" s="249" t="n">
        <v>398</v>
      </c>
      <c r="V784" s="678" t="n">
        <v>21875</v>
      </c>
      <c r="W784" s="678" t="n">
        <v>22000</v>
      </c>
      <c r="X784" s="356" t="inlineStr">
        <is>
          <t>2.3:1</t>
        </is>
      </c>
      <c r="Y784" s="678">
        <f>ROUND(J784,-3)</f>
        <v/>
      </c>
      <c r="Z784" s="249" t="inlineStr">
        <is>
          <t xml:space="preserve">C </t>
        </is>
      </c>
      <c r="AA784" s="245" t="n">
        <v>3</v>
      </c>
      <c r="AB784" s="245" t="n">
        <v>3</v>
      </c>
      <c r="AC784" s="253" t="inlineStr">
        <is>
          <t>33</t>
        </is>
      </c>
      <c r="AD784" s="247" t="inlineStr">
        <is>
          <t xml:space="preserve">GROUNDS SERVICE CO  </t>
        </is>
      </c>
      <c r="AE784" s="680" t="n"/>
      <c r="AF784" s="680" t="n"/>
      <c r="AG784" s="680" t="n"/>
      <c r="AH784" s="680" t="n"/>
      <c r="AI784" s="680" t="n"/>
      <c r="AJ784" s="680" t="n"/>
      <c r="AK784" s="680" t="inlineStr">
        <is>
          <t xml:space="preserve">S-T WHSE.; AGE OF LEASE UNKNOWN.                                  </t>
        </is>
      </c>
    </row>
    <row r="785">
      <c r="A785" s="248" t="n">
        <v>8</v>
      </c>
      <c r="B785" s="370" t="n">
        <v>777</v>
      </c>
      <c r="C785" s="254" t="inlineStr">
        <is>
          <t>2009Q</t>
        </is>
      </c>
      <c r="D785" s="245" t="inlineStr">
        <is>
          <t xml:space="preserve">02281-27-022-000 </t>
        </is>
      </c>
      <c r="E785" s="258" t="inlineStr">
        <is>
          <t>Actual</t>
        </is>
      </c>
      <c r="F785" s="259" t="inlineStr">
        <is>
          <t>3445   LIPAN                ST</t>
        </is>
      </c>
      <c r="G785" s="672" t="n">
        <v>44.1</v>
      </c>
      <c r="H785" s="253" t="n">
        <v>9208</v>
      </c>
      <c r="I785" s="255" t="n">
        <v>0</v>
      </c>
      <c r="J785" s="678" t="n">
        <v>8829</v>
      </c>
      <c r="K785" s="679" t="n">
        <v>9.62736436742553</v>
      </c>
      <c r="L785" s="260" t="n">
        <v>0</v>
      </c>
      <c r="M785" s="262" t="n">
        <v>0.02245882352941176</v>
      </c>
      <c r="N785" s="253" t="n">
        <v>1965</v>
      </c>
      <c r="O785" s="250" t="n">
        <v>2604</v>
      </c>
      <c r="Q785" s="245" t="n">
        <v>18</v>
      </c>
      <c r="R785" s="245" t="n">
        <v>3</v>
      </c>
      <c r="S785" s="245" t="n">
        <v>1</v>
      </c>
      <c r="T785" s="249" t="inlineStr">
        <is>
          <t xml:space="preserve">PRV  </t>
        </is>
      </c>
      <c r="U785" s="249" t="n">
        <v>398</v>
      </c>
      <c r="V785" s="678" t="n">
        <v>9375</v>
      </c>
      <c r="W785" s="678" t="n">
        <v>9000</v>
      </c>
      <c r="X785" s="356" t="inlineStr">
        <is>
          <t>1.1:1</t>
        </is>
      </c>
      <c r="Y785" s="678">
        <f>ROUND(J785,-3)</f>
        <v/>
      </c>
      <c r="Z785" s="249" t="inlineStr">
        <is>
          <t xml:space="preserve">C </t>
        </is>
      </c>
      <c r="AA785" s="245" t="n">
        <v>3</v>
      </c>
      <c r="AB785" s="245" t="n">
        <v>3</v>
      </c>
      <c r="AC785" s="253" t="inlineStr">
        <is>
          <t>33</t>
        </is>
      </c>
      <c r="AD785" s="247" t="inlineStr">
        <is>
          <t xml:space="preserve">RKY MTN BLUEPRINT   </t>
        </is>
      </c>
      <c r="AE785" s="680" t="n"/>
      <c r="AF785" s="680" t="n"/>
      <c r="AG785" s="680" t="n"/>
      <c r="AH785" s="680" t="n"/>
      <c r="AI785" s="680" t="n"/>
      <c r="AJ785" s="680" t="n"/>
      <c r="AK785" s="680" t="inlineStr">
        <is>
          <t xml:space="preserve">S-T WHSE.; AGE OF LEASE UNKNOWN.                                  </t>
        </is>
      </c>
    </row>
    <row r="786">
      <c r="A786" s="248" t="n">
        <v>8</v>
      </c>
      <c r="B786" s="370" t="n">
        <v>778</v>
      </c>
      <c r="C786" s="254" t="inlineStr">
        <is>
          <t>2009Q</t>
        </is>
      </c>
      <c r="D786" s="245" t="inlineStr">
        <is>
          <t xml:space="preserve">02281-31-031-000 </t>
        </is>
      </c>
      <c r="E786" s="258" t="inlineStr">
        <is>
          <t>Actual</t>
        </is>
      </c>
      <c r="F786" s="259" t="inlineStr">
        <is>
          <t>3333   MARIPOSA             ST</t>
        </is>
      </c>
      <c r="G786" s="672" t="n">
        <v>44.1</v>
      </c>
      <c r="H786" s="253" t="n">
        <v>9208</v>
      </c>
      <c r="I786" s="255" t="n">
        <v>0</v>
      </c>
      <c r="J786" s="678" t="n">
        <v>5775</v>
      </c>
      <c r="K786" s="679" t="n">
        <v>7.688311688311688</v>
      </c>
      <c r="L786" s="260" t="n">
        <v>0</v>
      </c>
      <c r="M786" s="262" t="n">
        <v>0.06081081081081081</v>
      </c>
      <c r="N786" s="253" t="n">
        <v>1973</v>
      </c>
      <c r="Q786" s="245" t="n">
        <v>14</v>
      </c>
      <c r="R786" s="245" t="n">
        <v>3</v>
      </c>
      <c r="S786" s="245" t="n">
        <v>1</v>
      </c>
      <c r="T786" s="249" t="inlineStr">
        <is>
          <t xml:space="preserve">PRV  </t>
        </is>
      </c>
      <c r="U786" s="249" t="n">
        <v>398</v>
      </c>
      <c r="V786" s="678" t="n">
        <v>9142</v>
      </c>
      <c r="W786" s="678" t="n">
        <v>9000</v>
      </c>
      <c r="X786" s="356" t="inlineStr">
        <is>
          <t>1.6:1</t>
        </is>
      </c>
      <c r="Y786" s="678">
        <f>ROUND(J786,-3)</f>
        <v/>
      </c>
      <c r="Z786" s="249" t="inlineStr">
        <is>
          <t xml:space="preserve">C </t>
        </is>
      </c>
      <c r="AA786" s="245" t="n">
        <v>3</v>
      </c>
      <c r="AB786" s="245" t="n">
        <v>3</v>
      </c>
      <c r="AC786" s="253" t="inlineStr">
        <is>
          <t>33</t>
        </is>
      </c>
      <c r="AD786" s="247" t="inlineStr">
        <is>
          <t>                    </t>
        </is>
      </c>
      <c r="AE786" s="680" t="n"/>
      <c r="AF786" s="680" t="n"/>
      <c r="AG786" s="680" t="n"/>
      <c r="AH786" s="680" t="n"/>
      <c r="AI786" s="680" t="n"/>
      <c r="AJ786" s="680" t="n"/>
      <c r="AK786" s="680" t="inlineStr">
        <is>
          <t xml:space="preserve">S-T WHSE.                                                         </t>
        </is>
      </c>
    </row>
    <row r="787">
      <c r="A787" s="248" t="n">
        <v>8</v>
      </c>
      <c r="B787" s="370" t="n">
        <v>779</v>
      </c>
      <c r="C787" s="254" t="inlineStr">
        <is>
          <t>2009Q</t>
        </is>
      </c>
      <c r="D787" s="245" t="inlineStr">
        <is>
          <t xml:space="preserve">02294-23-026-000 </t>
        </is>
      </c>
      <c r="E787" s="258" t="inlineStr">
        <is>
          <t>Actual</t>
        </is>
      </c>
      <c r="F787" s="259" t="inlineStr">
        <is>
          <t>2727 W 27TH                 AV</t>
        </is>
      </c>
      <c r="G787" s="672" t="n">
        <v>44.2</v>
      </c>
      <c r="H787" s="253" t="n">
        <v>9208</v>
      </c>
      <c r="I787" s="255" t="n">
        <v>0</v>
      </c>
      <c r="J787" s="678" t="n">
        <v>36032</v>
      </c>
      <c r="K787" s="679" t="n">
        <v>4.649117451154529</v>
      </c>
      <c r="L787" s="260" t="n">
        <v>0.22</v>
      </c>
      <c r="M787" s="262" t="n">
        <v>0.2873439710596536</v>
      </c>
      <c r="N787" s="253" t="n">
        <v>1921</v>
      </c>
      <c r="O787" s="250" t="n">
        <v>1815</v>
      </c>
      <c r="Q787" s="245" t="n">
        <v>14</v>
      </c>
      <c r="R787" s="245" t="n">
        <v>1</v>
      </c>
      <c r="S787" s="245" t="n">
        <v>2</v>
      </c>
      <c r="T787" s="249" t="inlineStr">
        <is>
          <t xml:space="preserve">B4   </t>
        </is>
      </c>
      <c r="U787" s="249" t="n">
        <v>398</v>
      </c>
      <c r="V787" s="678" t="n">
        <v>35708</v>
      </c>
      <c r="W787" s="678" t="n">
        <v>36000</v>
      </c>
      <c r="X787" s="356" t="inlineStr">
        <is>
          <t>1.0:1</t>
        </is>
      </c>
      <c r="Y787" s="678">
        <f>ROUND(J787,-3)</f>
        <v/>
      </c>
      <c r="Z787" s="249" t="inlineStr">
        <is>
          <t xml:space="preserve">C </t>
        </is>
      </c>
      <c r="AA787" s="245" t="n">
        <v>3</v>
      </c>
      <c r="AB787" s="245" t="n">
        <v>3</v>
      </c>
      <c r="AC787" s="253" t="inlineStr">
        <is>
          <t>33</t>
        </is>
      </c>
      <c r="AD787" s="247" t="inlineStr">
        <is>
          <t>                    </t>
        </is>
      </c>
      <c r="AE787" s="680" t="n"/>
      <c r="AF787" s="680" t="n"/>
      <c r="AG787" s="680" t="n"/>
      <c r="AH787" s="680" t="n"/>
      <c r="AI787" s="680" t="n"/>
      <c r="AJ787" s="680" t="n"/>
      <c r="AK787" s="680" t="inlineStr">
        <is>
          <t xml:space="preserve">M-T WHSE; 2-TENANTS; LEASES 2005 &amp; 2008.                          </t>
        </is>
      </c>
    </row>
    <row r="788">
      <c r="A788" s="248" t="n">
        <v>8</v>
      </c>
      <c r="B788" s="370" t="n">
        <v>780</v>
      </c>
      <c r="C788" s="254" t="inlineStr">
        <is>
          <t>2009Q</t>
        </is>
      </c>
      <c r="D788" s="245" t="inlineStr">
        <is>
          <t xml:space="preserve">02294-25-002-000 </t>
        </is>
      </c>
      <c r="E788" s="258" t="inlineStr">
        <is>
          <t>Actual</t>
        </is>
      </c>
      <c r="F788" s="259" t="inlineStr">
        <is>
          <t>2536 W 28TH                 AV</t>
        </is>
      </c>
      <c r="G788" s="672" t="n">
        <v>44.1</v>
      </c>
      <c r="H788" s="253" t="n">
        <v>9208</v>
      </c>
      <c r="I788" s="255" t="n">
        <v>0</v>
      </c>
      <c r="J788" s="678" t="n">
        <v>1950</v>
      </c>
      <c r="K788" s="679" t="n">
        <v>6.104615384615385</v>
      </c>
      <c r="L788" s="260" t="n">
        <v>0</v>
      </c>
      <c r="M788" s="262" t="n">
        <v>0</v>
      </c>
      <c r="N788" s="253" t="n">
        <v>1954</v>
      </c>
      <c r="O788" s="250" t="n">
        <v>120</v>
      </c>
      <c r="Q788" s="245" t="n">
        <v>13</v>
      </c>
      <c r="R788" s="245" t="n">
        <v>3</v>
      </c>
      <c r="S788" s="245" t="n">
        <v>1</v>
      </c>
      <c r="T788" s="249" t="inlineStr">
        <is>
          <t xml:space="preserve">PRV  </t>
        </is>
      </c>
      <c r="U788" s="249" t="n">
        <v>398</v>
      </c>
      <c r="V788" s="678" t="n">
        <v>2250</v>
      </c>
      <c r="W788" s="678" t="n">
        <v>2000</v>
      </c>
      <c r="X788" s="356" t="inlineStr">
        <is>
          <t>1.2:1</t>
        </is>
      </c>
      <c r="Y788" s="678">
        <f>ROUND(J788,-2)</f>
        <v/>
      </c>
      <c r="Z788" s="249" t="inlineStr">
        <is>
          <t xml:space="preserve">C </t>
        </is>
      </c>
      <c r="AA788" s="245" t="n">
        <v>3</v>
      </c>
      <c r="AB788" s="245" t="n">
        <v>3</v>
      </c>
      <c r="AC788" s="253" t="inlineStr">
        <is>
          <t>33</t>
        </is>
      </c>
      <c r="AD788" s="247" t="inlineStr">
        <is>
          <t xml:space="preserve">S-W DVH COMPANY     </t>
        </is>
      </c>
      <c r="AE788" s="680" t="n"/>
      <c r="AF788" s="680" t="n"/>
      <c r="AG788" s="680" t="n"/>
      <c r="AH788" s="680" t="n"/>
      <c r="AI788" s="680" t="n"/>
      <c r="AJ788" s="680" t="n"/>
      <c r="AK788" s="680" t="inlineStr">
        <is>
          <t xml:space="preserve">S-T WHSE.; 2006 LEASE.                                            </t>
        </is>
      </c>
    </row>
    <row r="789">
      <c r="A789" s="248" t="n">
        <v>8</v>
      </c>
      <c r="B789" s="370" t="n">
        <v>781</v>
      </c>
      <c r="C789" s="254" t="inlineStr">
        <is>
          <t>2009Q</t>
        </is>
      </c>
      <c r="D789" s="245" t="inlineStr">
        <is>
          <t xml:space="preserve">02313-11-037-000 </t>
        </is>
      </c>
      <c r="E789" s="258" t="inlineStr">
        <is>
          <t>Actual</t>
        </is>
      </c>
      <c r="F789" s="259" t="inlineStr">
        <is>
          <t>1517   TENNYSON             ST</t>
        </is>
      </c>
      <c r="G789" s="672" t="n">
        <v>44.1</v>
      </c>
      <c r="H789" s="253" t="n">
        <v>9208</v>
      </c>
      <c r="I789" s="255" t="n">
        <v>0</v>
      </c>
      <c r="J789" s="678" t="n">
        <v>1608</v>
      </c>
      <c r="K789" s="679" t="n">
        <v>6.343283582089552</v>
      </c>
      <c r="L789" s="260" t="n">
        <v>0.42</v>
      </c>
      <c r="M789" s="262" t="n">
        <v>0</v>
      </c>
      <c r="N789" s="253" t="n">
        <v>1977</v>
      </c>
      <c r="Q789" s="245" t="n">
        <v>11</v>
      </c>
      <c r="R789" s="245" t="n">
        <v>7</v>
      </c>
      <c r="S789" s="245" t="n">
        <v>1</v>
      </c>
      <c r="T789" s="249" t="inlineStr">
        <is>
          <t xml:space="preserve">B4   </t>
        </is>
      </c>
      <c r="U789" s="249" t="n">
        <v>398</v>
      </c>
      <c r="V789" s="678" t="n">
        <v>2868</v>
      </c>
      <c r="W789" s="678" t="n">
        <v>3000</v>
      </c>
      <c r="X789" s="356" t="inlineStr">
        <is>
          <t>1.8:1</t>
        </is>
      </c>
      <c r="Y789" s="678">
        <f>ROUND(J789,-2)</f>
        <v/>
      </c>
      <c r="Z789" s="249" t="inlineStr">
        <is>
          <t xml:space="preserve">C </t>
        </is>
      </c>
      <c r="AA789" s="245" t="n">
        <v>3</v>
      </c>
      <c r="AB789" s="245" t="n">
        <v>2</v>
      </c>
      <c r="AC789" s="253" t="inlineStr">
        <is>
          <t>32</t>
        </is>
      </c>
      <c r="AD789" s="247" t="inlineStr">
        <is>
          <t xml:space="preserve">S-W                 </t>
        </is>
      </c>
      <c r="AE789" s="680" t="n"/>
      <c r="AF789" s="680" t="n"/>
      <c r="AG789" s="680" t="n"/>
      <c r="AH789" s="680" t="n"/>
      <c r="AI789" s="680" t="n"/>
      <c r="AJ789" s="680" t="n"/>
      <c r="AK789" s="680" t="inlineStr">
        <is>
          <t xml:space="preserve">S-T WHSE.; LEASE DETAILS UNKNOWN.                                 </t>
        </is>
      </c>
    </row>
    <row r="790">
      <c r="A790" s="248" t="n">
        <v>8</v>
      </c>
      <c r="B790" s="370" t="n">
        <v>782</v>
      </c>
      <c r="C790" s="254" t="inlineStr">
        <is>
          <t>2009Q</t>
        </is>
      </c>
      <c r="D790" s="245" t="inlineStr">
        <is>
          <t xml:space="preserve">02321-33-022-000 </t>
        </is>
      </c>
      <c r="E790" s="258" t="inlineStr">
        <is>
          <t>Actual</t>
        </is>
      </c>
      <c r="F790" s="259" t="inlineStr">
        <is>
          <t>2021   BRYANT               ST</t>
        </is>
      </c>
      <c r="G790" s="672" t="n">
        <v>47.1</v>
      </c>
      <c r="H790" s="253" t="n">
        <v>9208</v>
      </c>
      <c r="I790" s="255" t="n">
        <v>0</v>
      </c>
      <c r="J790" s="678" t="n">
        <v>20782</v>
      </c>
      <c r="K790" s="679" t="n">
        <v>3.464536618227312</v>
      </c>
      <c r="L790" s="260" t="n">
        <v>0</v>
      </c>
      <c r="M790" s="262" t="n">
        <v>0</v>
      </c>
      <c r="N790" s="253" t="n">
        <v>1964</v>
      </c>
      <c r="O790" s="250" t="n">
        <v>581</v>
      </c>
      <c r="P790" s="250" t="n">
        <v>2205</v>
      </c>
      <c r="Q790" s="245" t="n">
        <v>13</v>
      </c>
      <c r="R790" s="245" t="n">
        <v>1</v>
      </c>
      <c r="S790" s="245" t="n">
        <v>1</v>
      </c>
      <c r="T790" s="249" t="inlineStr">
        <is>
          <t xml:space="preserve">PRV  </t>
        </is>
      </c>
      <c r="U790" s="249" t="n">
        <v>401</v>
      </c>
      <c r="V790" s="678" t="n">
        <v>41850</v>
      </c>
      <c r="W790" s="678" t="n">
        <v>42000</v>
      </c>
      <c r="X790" s="356" t="inlineStr">
        <is>
          <t>2.0:1</t>
        </is>
      </c>
      <c r="Y790" s="678">
        <f>ROUND(J790,-3)</f>
        <v/>
      </c>
      <c r="Z790" s="249" t="inlineStr">
        <is>
          <t xml:space="preserve">C </t>
        </is>
      </c>
      <c r="AA790" s="245" t="n">
        <v>3</v>
      </c>
      <c r="AB790" s="245" t="n">
        <v>3</v>
      </c>
      <c r="AC790" s="253" t="inlineStr">
        <is>
          <t>33</t>
        </is>
      </c>
      <c r="AD790" s="247" t="inlineStr">
        <is>
          <t>                    </t>
        </is>
      </c>
      <c r="AE790" s="680" t="n"/>
      <c r="AF790" s="680" t="n"/>
      <c r="AG790" s="680" t="n"/>
      <c r="AH790" s="680" t="n"/>
      <c r="AI790" s="680" t="n"/>
      <c r="AJ790" s="680" t="n"/>
      <c r="AK790" s="680" t="inlineStr">
        <is>
          <t xml:space="preserve">S-T WHSE.                                                         </t>
        </is>
      </c>
    </row>
    <row r="791">
      <c r="A791" s="248" t="n">
        <v>8</v>
      </c>
      <c r="B791" s="370" t="n">
        <v>783</v>
      </c>
      <c r="C791" s="254" t="inlineStr">
        <is>
          <t>2009Q</t>
        </is>
      </c>
      <c r="D791" s="245" t="inlineStr">
        <is>
          <t xml:space="preserve">02321-33-039-000 </t>
        </is>
      </c>
      <c r="E791" s="258" t="inlineStr">
        <is>
          <t>Actual</t>
        </is>
      </c>
      <c r="F791" s="259" t="inlineStr">
        <is>
          <t>2030   CLAY                 ST</t>
        </is>
      </c>
      <c r="G791" s="672" t="n">
        <v>44.1</v>
      </c>
      <c r="H791" s="253" t="n">
        <v>9208</v>
      </c>
      <c r="I791" s="255" t="n">
        <v>0</v>
      </c>
      <c r="J791" s="678" t="n">
        <v>15798</v>
      </c>
      <c r="K791" s="679" t="n">
        <v>3.491328016204583</v>
      </c>
      <c r="L791" s="260" t="n">
        <v>0</v>
      </c>
      <c r="M791" s="262" t="n">
        <v>0.02886358691710784</v>
      </c>
      <c r="N791" s="253" t="n">
        <v>1962</v>
      </c>
      <c r="O791" s="250" t="n">
        <v>675</v>
      </c>
      <c r="Q791" s="245" t="n">
        <v>15</v>
      </c>
      <c r="R791" s="245" t="n">
        <v>3</v>
      </c>
      <c r="S791" s="245" t="n">
        <v>1</v>
      </c>
      <c r="T791" s="249" t="inlineStr">
        <is>
          <t xml:space="preserve">PRV  </t>
        </is>
      </c>
      <c r="U791" s="249" t="n">
        <v>398</v>
      </c>
      <c r="V791" s="678" t="n">
        <v>37190</v>
      </c>
      <c r="W791" s="678" t="n">
        <v>37000</v>
      </c>
      <c r="X791" s="356" t="inlineStr">
        <is>
          <t>2.4:1</t>
        </is>
      </c>
      <c r="Y791" s="678">
        <f>ROUND(J791,-3)</f>
        <v/>
      </c>
      <c r="Z791" s="249" t="inlineStr">
        <is>
          <t xml:space="preserve">C </t>
        </is>
      </c>
      <c r="AA791" s="245" t="n">
        <v>3</v>
      </c>
      <c r="AB791" s="245" t="n">
        <v>3</v>
      </c>
      <c r="AC791" s="253" t="inlineStr">
        <is>
          <t>33</t>
        </is>
      </c>
      <c r="AD791" s="247" t="inlineStr">
        <is>
          <t>                    </t>
        </is>
      </c>
      <c r="AE791" s="680" t="n"/>
      <c r="AF791" s="680" t="n"/>
      <c r="AG791" s="680" t="n"/>
      <c r="AH791" s="680" t="n"/>
      <c r="AI791" s="680" t="n"/>
      <c r="AJ791" s="680" t="n"/>
      <c r="AK791" s="680" t="inlineStr">
        <is>
          <t xml:space="preserve">S-T WHSE.; 2005 LEASE.                                            </t>
        </is>
      </c>
    </row>
    <row r="792">
      <c r="A792" s="248" t="n">
        <v>8</v>
      </c>
      <c r="B792" s="370" t="n">
        <v>784</v>
      </c>
      <c r="C792" s="254" t="inlineStr">
        <is>
          <t>2009Q</t>
        </is>
      </c>
      <c r="D792" s="245" t="inlineStr">
        <is>
          <t xml:space="preserve">02322-13-012-000 </t>
        </is>
      </c>
      <c r="E792" s="258" t="inlineStr">
        <is>
          <t>Actual</t>
        </is>
      </c>
      <c r="F792" s="259" t="inlineStr">
        <is>
          <t>3021 W 23RD                 AV</t>
        </is>
      </c>
      <c r="G792" s="672" t="n">
        <v>44.1</v>
      </c>
      <c r="H792" s="253" t="n">
        <v>9208</v>
      </c>
      <c r="I792" s="255" t="n">
        <v>0</v>
      </c>
      <c r="J792" s="678" t="n">
        <v>700</v>
      </c>
      <c r="K792" s="679" t="n">
        <v>7.381428571428572</v>
      </c>
      <c r="L792" s="260" t="n">
        <v>0</v>
      </c>
      <c r="M792" s="262" t="n">
        <v>0.4193922972711438</v>
      </c>
      <c r="N792" s="253" t="n">
        <v>1926</v>
      </c>
      <c r="O792" s="250" t="n">
        <v>827</v>
      </c>
      <c r="Q792" s="245" t="n">
        <v>8</v>
      </c>
      <c r="R792" s="245" t="n">
        <v>4</v>
      </c>
      <c r="S792" s="245" t="n">
        <v>1</v>
      </c>
      <c r="T792" s="249" t="inlineStr">
        <is>
          <t xml:space="preserve">B2   </t>
        </is>
      </c>
      <c r="U792" s="249" t="n">
        <v>398</v>
      </c>
      <c r="V792" s="678" t="n">
        <v>6950</v>
      </c>
      <c r="W792" s="678" t="n">
        <v>7000</v>
      </c>
      <c r="X792" s="356" t="inlineStr">
        <is>
          <t>2.9:1</t>
        </is>
      </c>
      <c r="Y792" s="678">
        <f>ROUND(J792,-2)</f>
        <v/>
      </c>
      <c r="Z792" s="249" t="inlineStr">
        <is>
          <t xml:space="preserve">C </t>
        </is>
      </c>
      <c r="AA792" s="245" t="n">
        <v>3</v>
      </c>
      <c r="AB792" s="245" t="n">
        <v>3</v>
      </c>
      <c r="AC792" s="253" t="inlineStr">
        <is>
          <t>33</t>
        </is>
      </c>
      <c r="AD792" s="247" t="inlineStr">
        <is>
          <t xml:space="preserve">S-W                 </t>
        </is>
      </c>
      <c r="AE792" s="680" t="n"/>
      <c r="AF792" s="680" t="n"/>
      <c r="AG792" s="680" t="n"/>
      <c r="AH792" s="680" t="n"/>
      <c r="AI792" s="680" t="n"/>
      <c r="AJ792" s="680" t="n"/>
      <c r="AK792" s="680" t="inlineStr">
        <is>
          <t xml:space="preserve">M-T WHSE; 2 UNITS; APPARENTLY NO LEASE, JUST RENT PAYMENTS.       </t>
        </is>
      </c>
    </row>
    <row r="793">
      <c r="A793" s="248" t="n">
        <v>8</v>
      </c>
      <c r="B793" s="370" t="n">
        <v>785</v>
      </c>
      <c r="C793" s="254" t="inlineStr">
        <is>
          <t>2009Q</t>
        </is>
      </c>
      <c r="D793" s="245" t="inlineStr">
        <is>
          <t xml:space="preserve">02323-13-015-000 </t>
        </is>
      </c>
      <c r="E793" s="258" t="inlineStr">
        <is>
          <t>Actual</t>
        </is>
      </c>
      <c r="F793" s="259" t="inlineStr">
        <is>
          <t>1729   FEDERAL              BV</t>
        </is>
      </c>
      <c r="G793" s="672" t="n">
        <v>44.2</v>
      </c>
      <c r="H793" s="253" t="n">
        <v>9208</v>
      </c>
      <c r="I793" s="255" t="n">
        <v>6</v>
      </c>
      <c r="J793" s="678" t="n">
        <v>6200</v>
      </c>
      <c r="K793" s="679" t="n">
        <v>5.008064516129032</v>
      </c>
      <c r="L793" s="260" t="n">
        <v>0.4838709677419355</v>
      </c>
      <c r="M793" s="262" t="n">
        <v>0.1103059581320451</v>
      </c>
      <c r="N793" s="253" t="n">
        <v>1962</v>
      </c>
      <c r="O793" s="250" t="n">
        <v>780</v>
      </c>
      <c r="Q793" s="245" t="n">
        <v>10</v>
      </c>
      <c r="R793" s="245" t="n">
        <v>1</v>
      </c>
      <c r="S793" s="245" t="n">
        <v>3</v>
      </c>
      <c r="T793" s="249" t="inlineStr">
        <is>
          <t xml:space="preserve">B4   </t>
        </is>
      </c>
      <c r="U793" s="249" t="n">
        <v>398</v>
      </c>
      <c r="V793" s="678" t="n">
        <v>14360</v>
      </c>
      <c r="W793" s="678" t="n">
        <v>14000</v>
      </c>
      <c r="X793" s="356" t="inlineStr">
        <is>
          <t>2.3:1</t>
        </is>
      </c>
      <c r="Y793" s="678">
        <f>ROUND(J793,-3)</f>
        <v/>
      </c>
      <c r="Z793" s="249" t="inlineStr">
        <is>
          <t xml:space="preserve">C </t>
        </is>
      </c>
      <c r="AA793" s="245" t="n">
        <v>3</v>
      </c>
      <c r="AB793" s="245" t="n">
        <v>3</v>
      </c>
      <c r="AC793" s="253" t="inlineStr">
        <is>
          <t>33</t>
        </is>
      </c>
      <c r="AD793" s="247" t="inlineStr">
        <is>
          <t xml:space="preserve">FLOYD'Z             </t>
        </is>
      </c>
      <c r="AE793" s="680" t="n"/>
      <c r="AF793" s="680" t="n"/>
      <c r="AG793" s="680" t="n"/>
      <c r="AH793" s="680" t="n"/>
      <c r="AI793" s="680" t="n"/>
      <c r="AJ793" s="680" t="n"/>
      <c r="AK793" s="680" t="inlineStr">
        <is>
          <t xml:space="preserve">S-T WHSE.; NO DETAIL KNOWN ABOUT LEASE.                           </t>
        </is>
      </c>
    </row>
    <row r="794">
      <c r="A794" s="248" t="n">
        <v>8</v>
      </c>
      <c r="B794" s="370" t="n">
        <v>786</v>
      </c>
      <c r="C794" s="254" t="inlineStr">
        <is>
          <t>2009Q</t>
        </is>
      </c>
      <c r="D794" s="245" t="inlineStr">
        <is>
          <t xml:space="preserve">02342-22-019-000 </t>
        </is>
      </c>
      <c r="E794" s="258" t="inlineStr">
        <is>
          <t>Actual</t>
        </is>
      </c>
      <c r="F794" s="259" t="inlineStr">
        <is>
          <t>2265   LAWRENCE             ST</t>
        </is>
      </c>
      <c r="G794" s="672" t="n">
        <v>44.1</v>
      </c>
      <c r="H794" s="253" t="n">
        <v>9202</v>
      </c>
      <c r="I794" s="255" t="n">
        <v>4</v>
      </c>
      <c r="J794" s="678" t="n">
        <v>1865</v>
      </c>
      <c r="K794" s="679" t="n">
        <v>12.8686327077748</v>
      </c>
      <c r="L794" s="260" t="n">
        <v>0.25</v>
      </c>
      <c r="M794" s="262" t="n">
        <v>0</v>
      </c>
      <c r="N794" s="253" t="n">
        <v>1942</v>
      </c>
      <c r="O794" s="250">
        <f>390+130</f>
        <v/>
      </c>
      <c r="Q794" s="245" t="n">
        <v>14</v>
      </c>
      <c r="R794" s="245" t="n">
        <v>3</v>
      </c>
      <c r="S794" s="245" t="n">
        <v>1</v>
      </c>
      <c r="T794" s="249" t="inlineStr">
        <is>
          <t xml:space="preserve">B8A  </t>
        </is>
      </c>
      <c r="U794" s="249" t="n">
        <v>398</v>
      </c>
      <c r="V794" s="678" t="n">
        <v>6278</v>
      </c>
      <c r="W794" s="678" t="n">
        <v>6000</v>
      </c>
      <c r="X794" s="356" t="inlineStr">
        <is>
          <t>3.4:1</t>
        </is>
      </c>
      <c r="Y794" s="678">
        <f>ROUND(J794,-2)</f>
        <v/>
      </c>
      <c r="Z794" s="249" t="inlineStr">
        <is>
          <t xml:space="preserve">C </t>
        </is>
      </c>
      <c r="AA794" s="245" t="n">
        <v>3</v>
      </c>
      <c r="AB794" s="245" t="n">
        <v>3</v>
      </c>
      <c r="AC794" s="253" t="inlineStr">
        <is>
          <t>33</t>
        </is>
      </c>
      <c r="AD794" s="247" t="inlineStr">
        <is>
          <t>IRELAND'S FINEST, IN</t>
        </is>
      </c>
      <c r="AE794" s="680" t="n"/>
      <c r="AF794" s="680" t="n"/>
      <c r="AG794" s="680" t="n"/>
      <c r="AH794" s="680" t="n"/>
      <c r="AI794" s="680" t="n"/>
      <c r="AJ794" s="680" t="n"/>
      <c r="AK794" s="680" t="inlineStr">
        <is>
          <t xml:space="preserve">S-T WHSE; LEASE DETAILS UNKNOWN.                                  </t>
        </is>
      </c>
    </row>
    <row r="795">
      <c r="A795" s="248" t="n">
        <v>8</v>
      </c>
      <c r="B795" s="370" t="n">
        <v>787</v>
      </c>
      <c r="C795" s="254" t="inlineStr">
        <is>
          <t>2009Q</t>
        </is>
      </c>
      <c r="D795" s="245" t="inlineStr">
        <is>
          <t xml:space="preserve">02342-32-037-037 </t>
        </is>
      </c>
      <c r="E795" s="258" t="inlineStr">
        <is>
          <t>Actual</t>
        </is>
      </c>
      <c r="F795" s="259" t="inlineStr">
        <is>
          <t>2134   CURTIS               ST</t>
        </is>
      </c>
      <c r="G795" s="672" t="n">
        <v>44.5</v>
      </c>
      <c r="H795" s="253" t="n">
        <v>9202</v>
      </c>
      <c r="I795" s="255" t="n">
        <v>1</v>
      </c>
      <c r="J795" s="678" t="n">
        <v>12556</v>
      </c>
      <c r="K795" s="679" t="n">
        <v>7.182223638101306</v>
      </c>
      <c r="L795" s="260" t="n">
        <v>0</v>
      </c>
      <c r="M795" s="262" t="n">
        <v>0.1362940785096474</v>
      </c>
      <c r="N795" s="253" t="n">
        <v>1977</v>
      </c>
      <c r="Q795" s="245" t="n">
        <v>22</v>
      </c>
      <c r="R795" s="245" t="n">
        <v>3</v>
      </c>
      <c r="S795" s="245" t="n">
        <v>103</v>
      </c>
      <c r="T795" s="249" t="inlineStr">
        <is>
          <t xml:space="preserve">B8A  </t>
        </is>
      </c>
      <c r="U795" s="249" t="n">
        <v>396</v>
      </c>
      <c r="V795" s="678" t="n">
        <v>12639</v>
      </c>
      <c r="W795" s="678" t="n">
        <v>13000</v>
      </c>
      <c r="X795" s="356" t="inlineStr">
        <is>
          <t>1.0:1</t>
        </is>
      </c>
      <c r="Y795" s="678">
        <f>ROUND(J795,-3)</f>
        <v/>
      </c>
      <c r="Z795" s="249" t="inlineStr">
        <is>
          <t xml:space="preserve">C </t>
        </is>
      </c>
      <c r="AA795" s="245" t="n">
        <v>3</v>
      </c>
      <c r="AB795" s="245" t="n">
        <v>3</v>
      </c>
      <c r="AC795" s="253" t="inlineStr">
        <is>
          <t>33</t>
        </is>
      </c>
      <c r="AD795" s="247" t="inlineStr">
        <is>
          <t xml:space="preserve">DWNTWN DNVR STORAGE </t>
        </is>
      </c>
      <c r="AE795" s="680" t="n"/>
      <c r="AF795" s="680" t="n"/>
      <c r="AG795" s="680" t="n"/>
      <c r="AH795" s="680" t="n"/>
      <c r="AI795" s="680" t="n"/>
      <c r="AJ795" s="680" t="n"/>
      <c r="AK795" s="680" t="inlineStr">
        <is>
          <t xml:space="preserve">M-T WHSE; 2 TENANTS; LEASES 2003 &amp; 2006.                          </t>
        </is>
      </c>
    </row>
    <row r="796">
      <c r="A796" s="248" t="n">
        <v>8</v>
      </c>
      <c r="B796" s="370" t="n">
        <v>788</v>
      </c>
      <c r="C796" s="254" t="inlineStr">
        <is>
          <t>2009Q</t>
        </is>
      </c>
      <c r="D796" s="245" t="inlineStr">
        <is>
          <t xml:space="preserve">02342-36-013-000 </t>
        </is>
      </c>
      <c r="E796" s="258" t="inlineStr">
        <is>
          <t>Actual</t>
        </is>
      </c>
      <c r="F796" s="259" t="inlineStr">
        <is>
          <t>2017   LAWRENCE             ST</t>
        </is>
      </c>
      <c r="G796" s="672" t="n">
        <v>44.1</v>
      </c>
      <c r="H796" s="253" t="n">
        <v>9202</v>
      </c>
      <c r="I796" s="255" t="n">
        <v>7</v>
      </c>
      <c r="J796" s="678" t="n">
        <v>4400</v>
      </c>
      <c r="K796" s="679" t="n">
        <v>8.181818181818182</v>
      </c>
      <c r="L796" s="260" t="n">
        <v>0</v>
      </c>
      <c r="M796" s="262" t="n">
        <v>0.1623333333333333</v>
      </c>
      <c r="N796" s="253" t="n">
        <v>1920</v>
      </c>
      <c r="O796" s="250" t="n">
        <v>800</v>
      </c>
      <c r="Q796" s="245" t="n">
        <v>13</v>
      </c>
      <c r="R796" s="245" t="n">
        <v>1</v>
      </c>
      <c r="S796" s="245" t="n">
        <v>1</v>
      </c>
      <c r="T796" s="249" t="inlineStr">
        <is>
          <t xml:space="preserve">B8A  </t>
        </is>
      </c>
      <c r="U796" s="249" t="n">
        <v>398</v>
      </c>
      <c r="V796" s="678" t="n">
        <v>5028</v>
      </c>
      <c r="W796" s="678" t="n">
        <v>5000</v>
      </c>
      <c r="X796" s="356" t="inlineStr">
        <is>
          <t>1.1:1</t>
        </is>
      </c>
      <c r="Y796" s="678">
        <f>ROUND(J796,-3)</f>
        <v/>
      </c>
      <c r="Z796" s="249" t="inlineStr">
        <is>
          <t xml:space="preserve">C </t>
        </is>
      </c>
      <c r="AA796" s="245" t="n">
        <v>3</v>
      </c>
      <c r="AB796" s="245" t="n">
        <v>3</v>
      </c>
      <c r="AC796" s="253" t="inlineStr">
        <is>
          <t>33</t>
        </is>
      </c>
      <c r="AD796" s="247" t="inlineStr">
        <is>
          <t xml:space="preserve">S-W                 </t>
        </is>
      </c>
      <c r="AE796" s="680" t="n"/>
      <c r="AF796" s="680" t="n"/>
      <c r="AG796" s="680" t="n"/>
      <c r="AH796" s="680" t="n"/>
      <c r="AI796" s="680" t="n"/>
      <c r="AJ796" s="680" t="n"/>
      <c r="AK796" s="680" t="inlineStr">
        <is>
          <t xml:space="preserve">S-T WHSE.; LEASE BEGAN IN 2001.                                   </t>
        </is>
      </c>
    </row>
    <row r="797">
      <c r="A797" s="248" t="n">
        <v>8</v>
      </c>
      <c r="B797" s="370" t="n">
        <v>789</v>
      </c>
      <c r="C797" s="254" t="inlineStr">
        <is>
          <t>2009Q</t>
        </is>
      </c>
      <c r="D797" s="245" t="inlineStr">
        <is>
          <t xml:space="preserve">02342-38-003-000 </t>
        </is>
      </c>
      <c r="E797" s="258" t="inlineStr">
        <is>
          <t>Actual</t>
        </is>
      </c>
      <c r="F797" s="259" t="inlineStr">
        <is>
          <t>2042   ARAPAHOE             ST</t>
        </is>
      </c>
      <c r="G797" s="672" t="n">
        <v>44.2</v>
      </c>
      <c r="H797" s="253" t="n">
        <v>9202</v>
      </c>
      <c r="I797" s="255" t="n">
        <v>7</v>
      </c>
      <c r="J797" s="678" t="n">
        <v>8896</v>
      </c>
      <c r="K797" s="679" t="n">
        <v>7.419064748201439</v>
      </c>
      <c r="L797" s="260" t="n">
        <v>0</v>
      </c>
      <c r="M797" s="262" t="n">
        <v>0.07121212121212121</v>
      </c>
      <c r="N797" s="253" t="n">
        <v>1947</v>
      </c>
      <c r="O797" s="250" t="n">
        <v>3986</v>
      </c>
      <c r="Q797" s="245" t="n">
        <v>16</v>
      </c>
      <c r="R797" s="245" t="n">
        <v>3</v>
      </c>
      <c r="S797" s="245" t="n">
        <v>1</v>
      </c>
      <c r="T797" s="249" t="inlineStr">
        <is>
          <t xml:space="preserve">B8A  </t>
        </is>
      </c>
      <c r="U797" s="249" t="n">
        <v>398</v>
      </c>
      <c r="V797" s="678" t="n">
        <v>9396</v>
      </c>
      <c r="W797" s="678" t="n">
        <v>9000</v>
      </c>
      <c r="X797" s="356" t="inlineStr">
        <is>
          <t>1.1:1</t>
        </is>
      </c>
      <c r="Y797" s="678">
        <f>ROUND(J797,-3)</f>
        <v/>
      </c>
      <c r="Z797" s="249" t="inlineStr">
        <is>
          <t xml:space="preserve">C </t>
        </is>
      </c>
      <c r="AA797" s="245" t="n">
        <v>3</v>
      </c>
      <c r="AB797" s="245" t="n">
        <v>3</v>
      </c>
      <c r="AC797" s="253" t="inlineStr">
        <is>
          <t>33</t>
        </is>
      </c>
      <c r="AD797" s="247" t="inlineStr">
        <is>
          <t>                    </t>
        </is>
      </c>
      <c r="AE797" s="680" t="n"/>
      <c r="AF797" s="680" t="n"/>
      <c r="AG797" s="680" t="n"/>
      <c r="AH797" s="680" t="n"/>
      <c r="AI797" s="680" t="n"/>
      <c r="AJ797" s="680" t="n"/>
      <c r="AK797" s="680" t="inlineStr">
        <is>
          <t xml:space="preserve">M-T WHSE.; 2 TENANTS; LEASES 2005 &amp; 2007.                         </t>
        </is>
      </c>
    </row>
    <row r="798">
      <c r="A798" s="248" t="n">
        <v>8</v>
      </c>
      <c r="B798" s="370" t="n">
        <v>790</v>
      </c>
      <c r="C798" s="254" t="inlineStr">
        <is>
          <t>2009Q</t>
        </is>
      </c>
      <c r="D798" s="245" t="inlineStr">
        <is>
          <t xml:space="preserve">05022-02-023-000 </t>
        </is>
      </c>
      <c r="E798" s="258" t="inlineStr">
        <is>
          <t>Actual</t>
        </is>
      </c>
      <c r="F798" s="259" t="inlineStr">
        <is>
          <t>1415   HUMBOLDT             ST</t>
        </is>
      </c>
      <c r="G798" s="672" t="n">
        <v>44.1</v>
      </c>
      <c r="H798" s="253" t="n">
        <v>9502</v>
      </c>
      <c r="I798" s="255" t="n">
        <v>0</v>
      </c>
      <c r="J798" s="678" t="n">
        <v>1300</v>
      </c>
      <c r="K798" s="679" t="n">
        <v>9.23076923076923</v>
      </c>
      <c r="L798" s="260" t="n">
        <v>0.63</v>
      </c>
      <c r="M798" s="262" t="n">
        <v>0.07575</v>
      </c>
      <c r="N798" s="253" t="n">
        <v>1901</v>
      </c>
      <c r="Q798" s="245" t="n">
        <v>11</v>
      </c>
      <c r="R798" s="245" t="n">
        <v>1</v>
      </c>
      <c r="S798" s="245" t="n">
        <v>1</v>
      </c>
      <c r="T798" s="249" t="inlineStr">
        <is>
          <t xml:space="preserve">R3   </t>
        </is>
      </c>
      <c r="U798" s="249" t="n">
        <v>398</v>
      </c>
      <c r="V798" s="678" t="n">
        <v>3527</v>
      </c>
      <c r="W798" s="678" t="n">
        <v>4000</v>
      </c>
      <c r="X798" s="356" t="inlineStr">
        <is>
          <t>1.4:1</t>
        </is>
      </c>
      <c r="Y798" s="678">
        <f>ROUND(J798,-2)</f>
        <v/>
      </c>
      <c r="Z798" s="249" t="inlineStr">
        <is>
          <t xml:space="preserve">C </t>
        </is>
      </c>
      <c r="AA798" s="245" t="n">
        <v>3</v>
      </c>
      <c r="AB798" s="245" t="n">
        <v>3</v>
      </c>
      <c r="AC798" s="253" t="inlineStr">
        <is>
          <t>33</t>
        </is>
      </c>
      <c r="AD798" s="247" t="inlineStr">
        <is>
          <t xml:space="preserve">S-W                 </t>
        </is>
      </c>
      <c r="AE798" s="680" t="n"/>
      <c r="AF798" s="680" t="n"/>
      <c r="AG798" s="680" t="n"/>
      <c r="AH798" s="680" t="n"/>
      <c r="AI798" s="680" t="n"/>
      <c r="AJ798" s="680" t="n"/>
      <c r="AK798" s="680" t="inlineStr">
        <is>
          <t>M-T WHSE.; EST. 8 163 SF UNITS; YR-TO-YR RENTS;MAKESHIFT MINI-STG.</t>
        </is>
      </c>
    </row>
    <row r="799">
      <c r="A799" s="248" t="n">
        <v>8</v>
      </c>
      <c r="B799" s="370" t="n">
        <v>791</v>
      </c>
      <c r="C799" s="254" t="inlineStr">
        <is>
          <t>2009Q</t>
        </is>
      </c>
      <c r="D799" s="245" t="inlineStr">
        <is>
          <t xml:space="preserve">05035-14-025-000 </t>
        </is>
      </c>
      <c r="E799" s="258" t="inlineStr">
        <is>
          <t>Actual</t>
        </is>
      </c>
      <c r="F799" s="259" t="inlineStr">
        <is>
          <t>1039   INCA                 ST</t>
        </is>
      </c>
      <c r="G799" s="672" t="n">
        <v>44.1</v>
      </c>
      <c r="H799" s="253" t="n">
        <v>9505</v>
      </c>
      <c r="I799" s="255" t="n">
        <v>0</v>
      </c>
      <c r="J799" s="678" t="n">
        <v>10866</v>
      </c>
      <c r="K799" s="679" t="n">
        <v>7.840971838763115</v>
      </c>
      <c r="L799" s="260" t="n">
        <v>0</v>
      </c>
      <c r="M799" s="262" t="n">
        <v>0</v>
      </c>
      <c r="N799" s="253" t="n">
        <v>1964</v>
      </c>
      <c r="O799" s="250" t="n">
        <v>5985</v>
      </c>
      <c r="Q799" s="245" t="n">
        <v>12</v>
      </c>
      <c r="R799" s="245" t="n">
        <v>3</v>
      </c>
      <c r="S799" s="245" t="n">
        <v>1</v>
      </c>
      <c r="T799" s="249" t="inlineStr">
        <is>
          <t xml:space="preserve">B4   </t>
        </is>
      </c>
      <c r="U799" s="249" t="n">
        <v>398</v>
      </c>
      <c r="V799" s="678" t="n">
        <v>14800</v>
      </c>
      <c r="W799" s="678" t="n">
        <v>15000</v>
      </c>
      <c r="X799" s="356" t="inlineStr">
        <is>
          <t>1.4:1</t>
        </is>
      </c>
      <c r="Y799" s="678">
        <f>ROUND(J799,-3)</f>
        <v/>
      </c>
      <c r="Z799" s="249" t="inlineStr">
        <is>
          <t xml:space="preserve">C </t>
        </is>
      </c>
      <c r="AA799" s="245" t="n">
        <v>3</v>
      </c>
      <c r="AB799" s="245" t="n">
        <v>3</v>
      </c>
      <c r="AC799" s="253" t="inlineStr">
        <is>
          <t>33</t>
        </is>
      </c>
      <c r="AD799" s="247" t="inlineStr">
        <is>
          <t xml:space="preserve">S-F TEAM A.T.E.     </t>
        </is>
      </c>
      <c r="AE799" s="680" t="n"/>
      <c r="AF799" s="680" t="n"/>
      <c r="AG799" s="680" t="n"/>
      <c r="AH799" s="680" t="n"/>
      <c r="AI799" s="680" t="n"/>
      <c r="AJ799" s="680" t="n"/>
      <c r="AK799" s="680" t="inlineStr">
        <is>
          <t xml:space="preserve">S-T WHSE; INTRA-CORPORATE LEASE BUT APPEARS TO BE MARKET LEVEL.   </t>
        </is>
      </c>
    </row>
    <row r="800">
      <c r="A800" s="248" t="n">
        <v>8</v>
      </c>
      <c r="B800" s="370" t="n">
        <v>792</v>
      </c>
      <c r="C800" s="254" t="inlineStr">
        <is>
          <t>2009Q</t>
        </is>
      </c>
      <c r="D800" s="245" t="inlineStr">
        <is>
          <t xml:space="preserve">05036-30-007-000 </t>
        </is>
      </c>
      <c r="E800" s="258" t="inlineStr">
        <is>
          <t>Actual</t>
        </is>
      </c>
      <c r="F800" s="259" t="inlineStr">
        <is>
          <t>652   SANTA FE             DR</t>
        </is>
      </c>
      <c r="G800" s="672" t="n">
        <v>47.2</v>
      </c>
      <c r="H800" s="253" t="n">
        <v>9505</v>
      </c>
      <c r="I800" s="255" t="n">
        <v>3</v>
      </c>
      <c r="J800" s="678" t="n">
        <v>2000</v>
      </c>
      <c r="K800" s="679" t="n">
        <v>7.8</v>
      </c>
      <c r="L800" s="260" t="n">
        <v>0</v>
      </c>
      <c r="M800" s="262" t="n">
        <v>0.06724358974358974</v>
      </c>
      <c r="N800" s="253" t="n">
        <v>1938</v>
      </c>
      <c r="Q800" s="245" t="n">
        <v>14</v>
      </c>
      <c r="R800" s="245" t="n">
        <v>3</v>
      </c>
      <c r="S800" s="245" t="n">
        <v>1</v>
      </c>
      <c r="T800" s="249" t="inlineStr">
        <is>
          <t xml:space="preserve">B4   </t>
        </is>
      </c>
      <c r="U800" s="249" t="n">
        <v>401</v>
      </c>
      <c r="V800" s="678" t="n">
        <v>2625</v>
      </c>
      <c r="W800" s="678" t="n">
        <v>3000</v>
      </c>
      <c r="X800" s="356" t="inlineStr">
        <is>
          <t>1.3:1</t>
        </is>
      </c>
      <c r="Y800" s="678">
        <f>ROUND(J800,-3)</f>
        <v/>
      </c>
      <c r="Z800" s="249" t="inlineStr">
        <is>
          <t xml:space="preserve">C </t>
        </is>
      </c>
      <c r="AA800" s="245" t="n">
        <v>3</v>
      </c>
      <c r="AB800" s="245" t="n">
        <v>3</v>
      </c>
      <c r="AC800" s="253" t="inlineStr">
        <is>
          <t>33</t>
        </is>
      </c>
      <c r="AD800" s="247" t="inlineStr">
        <is>
          <t xml:space="preserve">S-M                 </t>
        </is>
      </c>
      <c r="AE800" s="680" t="n"/>
      <c r="AF800" s="680" t="n"/>
      <c r="AG800" s="680" t="n"/>
      <c r="AH800" s="680" t="n"/>
      <c r="AI800" s="680" t="n"/>
      <c r="AJ800" s="680" t="n"/>
      <c r="AK800" s="680" t="inlineStr">
        <is>
          <t xml:space="preserve">S-T WHSE.; MO-TO-MO LEASE.                                        </t>
        </is>
      </c>
    </row>
    <row r="801">
      <c r="A801" s="248" t="n">
        <v>8</v>
      </c>
      <c r="B801" s="370" t="n">
        <v>793</v>
      </c>
      <c r="C801" s="254" t="inlineStr">
        <is>
          <t>2009Q</t>
        </is>
      </c>
      <c r="D801" s="245" t="inlineStr">
        <is>
          <t xml:space="preserve">05039-08-002-000 </t>
        </is>
      </c>
      <c r="E801" s="258" t="inlineStr">
        <is>
          <t>Actual</t>
        </is>
      </c>
      <c r="F801" s="259" t="inlineStr">
        <is>
          <t>200 E 7TH                  AV</t>
        </is>
      </c>
      <c r="G801" s="672" t="n">
        <v>43.1</v>
      </c>
      <c r="H801" s="253" t="n">
        <v>9503</v>
      </c>
      <c r="I801" s="255" t="n">
        <v>0</v>
      </c>
      <c r="J801" s="678" t="n">
        <v>5288</v>
      </c>
      <c r="K801" s="679" t="n">
        <v>9.833585476550681</v>
      </c>
      <c r="L801" s="260" t="n">
        <v>0</v>
      </c>
      <c r="M801" s="262" t="n">
        <v>0</v>
      </c>
      <c r="N801" s="253" t="n">
        <v>1927</v>
      </c>
      <c r="O801" s="250" t="n">
        <v>3284</v>
      </c>
      <c r="Q801" s="245" t="n">
        <v>13</v>
      </c>
      <c r="R801" s="245" t="n">
        <v>1</v>
      </c>
      <c r="S801" s="245" t="n">
        <v>1</v>
      </c>
      <c r="T801" s="249" t="inlineStr">
        <is>
          <t xml:space="preserve">B8G  </t>
        </is>
      </c>
      <c r="U801" s="249" t="n">
        <v>401</v>
      </c>
      <c r="V801" s="678" t="n">
        <v>9370</v>
      </c>
      <c r="W801" s="678" t="n">
        <v>9000</v>
      </c>
      <c r="X801" s="356" t="inlineStr">
        <is>
          <t>1.8:1</t>
        </is>
      </c>
      <c r="Y801" s="678">
        <f>ROUND(J801,-3)</f>
        <v/>
      </c>
      <c r="Z801" s="249" t="inlineStr">
        <is>
          <t xml:space="preserve">C </t>
        </is>
      </c>
      <c r="AA801" s="245" t="n">
        <v>3</v>
      </c>
      <c r="AB801" s="245" t="n">
        <v>3</v>
      </c>
      <c r="AC801" s="253" t="inlineStr">
        <is>
          <t>33</t>
        </is>
      </c>
      <c r="AD801" s="247" t="inlineStr">
        <is>
          <t>                    </t>
        </is>
      </c>
      <c r="AE801" s="680" t="n"/>
      <c r="AF801" s="680" t="n"/>
      <c r="AG801" s="680" t="n"/>
      <c r="AH801" s="680" t="n"/>
      <c r="AI801" s="680" t="n"/>
      <c r="AJ801" s="680" t="n"/>
      <c r="AK801" s="680" t="inlineStr">
        <is>
          <t xml:space="preserve">S-T INDUSTRIAL BLDG.; INTRA-CORP LEASE BUT APPEARS TO BE MARKET.  </t>
        </is>
      </c>
    </row>
    <row r="802">
      <c r="A802" s="248" t="n">
        <v>8</v>
      </c>
      <c r="B802" s="370" t="n">
        <v>794</v>
      </c>
      <c r="C802" s="254" t="inlineStr">
        <is>
          <t>2009Q</t>
        </is>
      </c>
      <c r="D802" s="245" t="inlineStr">
        <is>
          <t xml:space="preserve">05041-07-020-000 </t>
        </is>
      </c>
      <c r="E802" s="258" t="inlineStr">
        <is>
          <t>Actual</t>
        </is>
      </c>
      <c r="F802" s="259" t="inlineStr">
        <is>
          <t>1305   OSAGE                ST</t>
        </is>
      </c>
      <c r="G802" s="672" t="n">
        <v>44.1</v>
      </c>
      <c r="H802" s="253" t="n">
        <v>9505</v>
      </c>
      <c r="I802" s="255" t="n">
        <v>0</v>
      </c>
      <c r="J802" s="678" t="n">
        <v>10600</v>
      </c>
      <c r="K802" s="679" t="n">
        <v>7.141509433962264</v>
      </c>
      <c r="L802" s="260" t="n">
        <v>0</v>
      </c>
      <c r="M802" s="262" t="n">
        <v>0</v>
      </c>
      <c r="N802" s="253" t="n">
        <v>1966</v>
      </c>
      <c r="O802" s="250" t="n">
        <v>3480</v>
      </c>
      <c r="Q802" s="245" t="n">
        <v>13</v>
      </c>
      <c r="R802" s="245" t="n">
        <v>8</v>
      </c>
      <c r="S802" s="245" t="n">
        <v>1</v>
      </c>
      <c r="T802" s="249" t="inlineStr">
        <is>
          <t xml:space="preserve">I1   </t>
        </is>
      </c>
      <c r="U802" s="249" t="n">
        <v>397</v>
      </c>
      <c r="V802" s="678" t="n">
        <v>25019</v>
      </c>
      <c r="W802" s="678" t="n">
        <v>25000</v>
      </c>
      <c r="X802" s="356" t="inlineStr">
        <is>
          <t>2.4:1</t>
        </is>
      </c>
      <c r="Y802" s="678">
        <f>ROUND(J802,-3)</f>
        <v/>
      </c>
      <c r="Z802" s="249" t="inlineStr">
        <is>
          <t xml:space="preserve">C </t>
        </is>
      </c>
      <c r="AA802" s="245" t="n">
        <v>3</v>
      </c>
      <c r="AB802" s="245" t="n">
        <v>3</v>
      </c>
      <c r="AC802" s="253" t="inlineStr">
        <is>
          <t>33</t>
        </is>
      </c>
      <c r="AD802" s="247" t="inlineStr">
        <is>
          <t xml:space="preserve">DIST-J-8 EQUIPMENT  </t>
        </is>
      </c>
      <c r="AE802" s="680" t="n"/>
      <c r="AF802" s="680" t="n"/>
      <c r="AG802" s="680" t="n"/>
      <c r="AH802" s="680" t="n"/>
      <c r="AI802" s="680" t="n"/>
      <c r="AJ802" s="680" t="n"/>
      <c r="AK802" s="680" t="inlineStr">
        <is>
          <t xml:space="preserve">S-T WHSE.                                                         </t>
        </is>
      </c>
    </row>
    <row r="803">
      <c r="A803" s="248" t="n">
        <v>8</v>
      </c>
      <c r="B803" s="370" t="n">
        <v>795</v>
      </c>
      <c r="C803" s="254" t="inlineStr">
        <is>
          <t>2009Q</t>
        </is>
      </c>
      <c r="D803" s="245" t="inlineStr">
        <is>
          <t xml:space="preserve">05042-00-040-000 </t>
        </is>
      </c>
      <c r="E803" s="258" t="inlineStr">
        <is>
          <t>Actual</t>
        </is>
      </c>
      <c r="F803" s="259" t="inlineStr">
        <is>
          <t>1600 W COLFAX               AV</t>
        </is>
      </c>
      <c r="G803" s="672" t="n">
        <v>44.6</v>
      </c>
      <c r="H803" s="253" t="n">
        <v>9505</v>
      </c>
      <c r="I803" s="255" t="n">
        <v>0</v>
      </c>
      <c r="J803" s="678" t="n">
        <v>39999</v>
      </c>
      <c r="K803" s="679" t="n">
        <v>7.710192754818871</v>
      </c>
      <c r="L803" s="260" t="n">
        <v>0</v>
      </c>
      <c r="M803" s="262" t="n">
        <v>0</v>
      </c>
      <c r="N803" s="253" t="n">
        <v>1963</v>
      </c>
      <c r="O803" s="250" t="n">
        <v>1344</v>
      </c>
      <c r="Q803" s="245" t="n">
        <v>20</v>
      </c>
      <c r="R803" s="245" t="n">
        <v>10</v>
      </c>
      <c r="S803" s="245" t="n">
        <v>1</v>
      </c>
      <c r="T803" s="249" t="inlineStr">
        <is>
          <t xml:space="preserve">I2   </t>
        </is>
      </c>
      <c r="U803" s="249" t="n">
        <v>398</v>
      </c>
      <c r="V803" s="678" t="n">
        <v>73800</v>
      </c>
      <c r="W803" s="678" t="n">
        <v>70000</v>
      </c>
      <c r="X803" s="356" t="inlineStr">
        <is>
          <t>1.8:1</t>
        </is>
      </c>
      <c r="Y803" s="678">
        <f>ROUND(J803,-3)</f>
        <v/>
      </c>
      <c r="Z803" s="249" t="inlineStr">
        <is>
          <t xml:space="preserve">C </t>
        </is>
      </c>
      <c r="AA803" s="245" t="n">
        <v>3</v>
      </c>
      <c r="AB803" s="245" t="n">
        <v>3</v>
      </c>
      <c r="AC803" s="253" t="inlineStr">
        <is>
          <t>33</t>
        </is>
      </c>
      <c r="AD803" s="247" t="inlineStr">
        <is>
          <t>                    </t>
        </is>
      </c>
      <c r="AE803" s="680" t="n"/>
      <c r="AF803" s="680" t="n"/>
      <c r="AG803" s="680" t="n"/>
      <c r="AH803" s="680" t="n"/>
      <c r="AI803" s="680" t="n"/>
      <c r="AJ803" s="680" t="n"/>
      <c r="AK803" s="680" t="inlineStr">
        <is>
          <t xml:space="preserve">S-T WHSE; 2004 LEASE.                                             </t>
        </is>
      </c>
    </row>
    <row r="804">
      <c r="A804" s="248" t="n">
        <v>8</v>
      </c>
      <c r="B804" s="370" t="n">
        <v>796</v>
      </c>
      <c r="C804" s="254" t="inlineStr">
        <is>
          <t>2009Q</t>
        </is>
      </c>
      <c r="D804" s="245" t="inlineStr">
        <is>
          <t xml:space="preserve">05042-01-047-000 </t>
        </is>
      </c>
      <c r="E804" s="258" t="inlineStr">
        <is>
          <t>Actual</t>
        </is>
      </c>
      <c r="F804" s="259" t="inlineStr">
        <is>
          <t>1801 W COLFAX               AV</t>
        </is>
      </c>
      <c r="G804" s="672" t="n">
        <v>44.1</v>
      </c>
      <c r="H804" s="253" t="n">
        <v>9505</v>
      </c>
      <c r="I804" s="255" t="n">
        <v>0</v>
      </c>
      <c r="J804" s="678" t="n">
        <v>5038</v>
      </c>
      <c r="K804" s="679" t="n">
        <v>3.572846367606193</v>
      </c>
      <c r="L804" s="260" t="n">
        <v>0</v>
      </c>
      <c r="M804" s="262" t="n">
        <v>0.2122222222222222</v>
      </c>
      <c r="N804" s="253" t="n">
        <v>1953</v>
      </c>
      <c r="O804" s="250" t="n">
        <v>325</v>
      </c>
      <c r="Q804" s="245" t="n">
        <v>13</v>
      </c>
      <c r="R804" s="245" t="n">
        <v>6</v>
      </c>
      <c r="S804" s="245" t="n">
        <v>1</v>
      </c>
      <c r="T804" s="249" t="inlineStr">
        <is>
          <t xml:space="preserve">I2   </t>
        </is>
      </c>
      <c r="U804" s="249" t="n">
        <v>398</v>
      </c>
      <c r="V804" s="678" t="n">
        <v>25929</v>
      </c>
      <c r="W804" s="678" t="n">
        <v>26000</v>
      </c>
      <c r="X804" s="356" t="inlineStr">
        <is>
          <t>5.1:1</t>
        </is>
      </c>
      <c r="Y804" s="678">
        <f>ROUND(J804,-3)</f>
        <v/>
      </c>
      <c r="Z804" s="249" t="inlineStr">
        <is>
          <t xml:space="preserve">C </t>
        </is>
      </c>
      <c r="AA804" s="245" t="n">
        <v>1</v>
      </c>
      <c r="AB804" s="245" t="n">
        <v>2</v>
      </c>
      <c r="AC804" s="253" t="inlineStr">
        <is>
          <t>12</t>
        </is>
      </c>
      <c r="AD804" s="247" t="inlineStr">
        <is>
          <t>                    </t>
        </is>
      </c>
      <c r="AE804" s="680" t="n"/>
      <c r="AF804" s="680" t="n"/>
      <c r="AG804" s="680" t="n"/>
      <c r="AH804" s="680" t="n"/>
      <c r="AI804" s="680" t="n"/>
      <c r="AJ804" s="680" t="n"/>
      <c r="AK804" s="680" t="inlineStr">
        <is>
          <t xml:space="preserve">S-T WHSE.                                                         </t>
        </is>
      </c>
    </row>
    <row r="805">
      <c r="A805" s="248" t="n">
        <v>8</v>
      </c>
      <c r="B805" s="370" t="n">
        <v>797</v>
      </c>
      <c r="C805" s="254" t="inlineStr">
        <is>
          <t>2009Q</t>
        </is>
      </c>
      <c r="D805" s="245" t="inlineStr">
        <is>
          <t xml:space="preserve">05042-01-049-000 </t>
        </is>
      </c>
      <c r="E805" s="258" t="inlineStr">
        <is>
          <t>Actual</t>
        </is>
      </c>
      <c r="F805" s="259" t="inlineStr">
        <is>
          <t>1835 W COLFAX               AV</t>
        </is>
      </c>
      <c r="G805" s="672" t="n">
        <v>44.1</v>
      </c>
      <c r="H805" s="253" t="n">
        <v>9505</v>
      </c>
      <c r="I805" s="255" t="n">
        <v>0</v>
      </c>
      <c r="J805" s="678" t="n">
        <v>6022</v>
      </c>
      <c r="K805" s="679" t="n">
        <v>5.978080371969446</v>
      </c>
      <c r="L805" s="260" t="n">
        <v>0</v>
      </c>
      <c r="M805" s="262" t="n">
        <v>0.1918333333333333</v>
      </c>
      <c r="N805" s="253" t="n">
        <v>1981</v>
      </c>
      <c r="O805" s="250" t="n">
        <v>1470</v>
      </c>
      <c r="Q805" s="245" t="n">
        <v>15</v>
      </c>
      <c r="R805" s="245" t="n">
        <v>3</v>
      </c>
      <c r="S805" s="245" t="n">
        <v>1</v>
      </c>
      <c r="T805" s="249" t="inlineStr">
        <is>
          <t xml:space="preserve">I2   </t>
        </is>
      </c>
      <c r="U805" s="249" t="n">
        <v>398</v>
      </c>
      <c r="V805" s="678" t="n">
        <v>13115</v>
      </c>
      <c r="W805" s="678" t="n">
        <v>13000</v>
      </c>
      <c r="X805" s="356" t="inlineStr">
        <is>
          <t>2.2:1</t>
        </is>
      </c>
      <c r="Y805" s="678">
        <f>ROUND(J805,-3)</f>
        <v/>
      </c>
      <c r="Z805" s="249" t="inlineStr">
        <is>
          <t xml:space="preserve">C </t>
        </is>
      </c>
      <c r="AA805" s="245" t="n">
        <v>3</v>
      </c>
      <c r="AB805" s="245" t="n">
        <v>3</v>
      </c>
      <c r="AC805" s="253" t="inlineStr">
        <is>
          <t>33</t>
        </is>
      </c>
      <c r="AD805" s="247" t="inlineStr">
        <is>
          <t>                    </t>
        </is>
      </c>
      <c r="AE805" s="680" t="n"/>
      <c r="AF805" s="680" t="n"/>
      <c r="AG805" s="680" t="n"/>
      <c r="AH805" s="680" t="n"/>
      <c r="AI805" s="680" t="n"/>
      <c r="AJ805" s="680" t="n"/>
      <c r="AK805" s="680" t="inlineStr">
        <is>
          <t xml:space="preserve">S-T WHSE.                                                         </t>
        </is>
      </c>
    </row>
    <row r="806">
      <c r="A806" s="248" t="n">
        <v>8</v>
      </c>
      <c r="B806" s="370" t="n">
        <v>798</v>
      </c>
      <c r="C806" s="254" t="inlineStr">
        <is>
          <t>2009Q</t>
        </is>
      </c>
      <c r="D806" s="245" t="inlineStr">
        <is>
          <t xml:space="preserve">05042-03-004-000 </t>
        </is>
      </c>
      <c r="E806" s="258" t="inlineStr">
        <is>
          <t>Actual</t>
        </is>
      </c>
      <c r="F806" s="259" t="inlineStr">
        <is>
          <t>2000 W COLFAX               AV</t>
        </is>
      </c>
      <c r="G806" s="672" t="n">
        <v>44.5</v>
      </c>
      <c r="H806" s="253" t="n">
        <v>9505</v>
      </c>
      <c r="I806" s="255" t="n">
        <v>0</v>
      </c>
      <c r="J806" s="678" t="n">
        <v>38952</v>
      </c>
      <c r="K806" s="679" t="n">
        <v>5.295620250564798</v>
      </c>
      <c r="L806" s="260" t="n">
        <v>0</v>
      </c>
      <c r="M806" s="262" t="n">
        <v>0</v>
      </c>
      <c r="N806" s="253" t="n">
        <v>1928</v>
      </c>
      <c r="O806" s="250" t="n">
        <v>1833</v>
      </c>
      <c r="Q806" s="245" t="n">
        <v>15</v>
      </c>
      <c r="R806" s="245" t="n">
        <v>1</v>
      </c>
      <c r="S806" s="245" t="n">
        <v>1</v>
      </c>
      <c r="T806" s="249" t="inlineStr">
        <is>
          <t xml:space="preserve">PRV  </t>
        </is>
      </c>
      <c r="U806" s="249" t="n">
        <v>396</v>
      </c>
      <c r="V806" s="678" t="n">
        <v>18750</v>
      </c>
      <c r="W806" s="678" t="n">
        <v>19000</v>
      </c>
      <c r="X806" s="356" t="inlineStr">
        <is>
          <t>0.5:1</t>
        </is>
      </c>
      <c r="Y806" s="678">
        <f>ROUND(J806,-3)</f>
        <v/>
      </c>
      <c r="Z806" s="249" t="inlineStr">
        <is>
          <t xml:space="preserve">B </t>
        </is>
      </c>
      <c r="AA806" s="245" t="n">
        <v>3</v>
      </c>
      <c r="AB806" s="245" t="n">
        <v>2</v>
      </c>
      <c r="AC806" s="253" t="inlineStr">
        <is>
          <t>32</t>
        </is>
      </c>
      <c r="AD806" s="247" t="inlineStr">
        <is>
          <t xml:space="preserve">UHAUL               </t>
        </is>
      </c>
      <c r="AE806" s="680" t="n"/>
      <c r="AF806" s="680" t="n"/>
      <c r="AG806" s="680" t="n"/>
      <c r="AH806" s="680" t="n"/>
      <c r="AI806" s="680" t="n"/>
      <c r="AJ806" s="680" t="n"/>
      <c r="AK806" s="680" t="inlineStr">
        <is>
          <t>                                                                  </t>
        </is>
      </c>
    </row>
    <row r="807">
      <c r="A807" s="248" t="n">
        <v>8</v>
      </c>
      <c r="B807" s="370" t="n">
        <v>799</v>
      </c>
      <c r="C807" s="254" t="inlineStr">
        <is>
          <t>2009Q</t>
        </is>
      </c>
      <c r="D807" s="245" t="inlineStr">
        <is>
          <t xml:space="preserve">05042-04-063-000 </t>
        </is>
      </c>
      <c r="E807" s="258" t="inlineStr">
        <is>
          <t>Actual</t>
        </is>
      </c>
      <c r="F807" s="259" t="inlineStr">
        <is>
          <t>1957 W 14TH                 AV</t>
        </is>
      </c>
      <c r="G807" s="672" t="n">
        <v>44.1</v>
      </c>
      <c r="H807" s="253" t="n">
        <v>9505</v>
      </c>
      <c r="I807" s="255" t="n">
        <v>0</v>
      </c>
      <c r="J807" s="678" t="n">
        <v>7700</v>
      </c>
      <c r="K807" s="679" t="n">
        <v>8.727272727272727</v>
      </c>
      <c r="L807" s="260" t="n">
        <v>0</v>
      </c>
      <c r="M807" s="262" t="n">
        <v>0.2663244047619048</v>
      </c>
      <c r="N807" s="253" t="n">
        <v>1966</v>
      </c>
      <c r="P807" s="250" t="n">
        <v>4000</v>
      </c>
      <c r="Q807" s="245" t="n">
        <v>15</v>
      </c>
      <c r="R807" s="245" t="n">
        <v>3</v>
      </c>
      <c r="S807" s="245" t="n">
        <v>1</v>
      </c>
      <c r="T807" s="249" t="inlineStr">
        <is>
          <t xml:space="preserve">PRV  </t>
        </is>
      </c>
      <c r="U807" s="249" t="n">
        <v>398</v>
      </c>
      <c r="V807" s="678" t="n">
        <v>19240</v>
      </c>
      <c r="W807" s="678" t="n">
        <v>19000</v>
      </c>
      <c r="X807" s="356" t="inlineStr">
        <is>
          <t>2.5:1</t>
        </is>
      </c>
      <c r="Y807" s="678">
        <f>ROUND(J807,-3)</f>
        <v/>
      </c>
      <c r="Z807" s="249" t="inlineStr">
        <is>
          <t xml:space="preserve">C </t>
        </is>
      </c>
      <c r="AA807" s="245" t="n">
        <v>3</v>
      </c>
      <c r="AB807" s="245" t="n">
        <v>3</v>
      </c>
      <c r="AC807" s="253" t="inlineStr">
        <is>
          <t>33</t>
        </is>
      </c>
      <c r="AD807" s="247" t="inlineStr">
        <is>
          <t>                    </t>
        </is>
      </c>
      <c r="AE807" s="680" t="n"/>
      <c r="AF807" s="680" t="n"/>
      <c r="AG807" s="680" t="n"/>
      <c r="AH807" s="680" t="n"/>
      <c r="AI807" s="680" t="n"/>
      <c r="AJ807" s="680" t="n"/>
      <c r="AK807" s="680" t="inlineStr">
        <is>
          <t xml:space="preserve">S-T WHSE.; YR-TO-YR LEASE BEGUN IN 1997.                          </t>
        </is>
      </c>
    </row>
    <row r="808">
      <c r="A808" s="248" t="n">
        <v>8</v>
      </c>
      <c r="B808" s="370" t="n">
        <v>800</v>
      </c>
      <c r="C808" s="254" t="inlineStr">
        <is>
          <t>2009Q</t>
        </is>
      </c>
      <c r="D808" s="245" t="inlineStr">
        <is>
          <t xml:space="preserve">05042-09-008-000 </t>
        </is>
      </c>
      <c r="E808" s="258" t="inlineStr">
        <is>
          <t>Actual</t>
        </is>
      </c>
      <c r="F808" s="259" t="inlineStr">
        <is>
          <t>1340   UMATILLA             ST</t>
        </is>
      </c>
      <c r="G808" s="672" t="n">
        <v>44.1</v>
      </c>
      <c r="H808" s="253" t="n">
        <v>9505</v>
      </c>
      <c r="I808" s="255" t="n">
        <v>0</v>
      </c>
      <c r="J808" s="678" t="n">
        <v>5057</v>
      </c>
      <c r="K808" s="679" t="n">
        <v>10.33339924856634</v>
      </c>
      <c r="L808" s="260" t="n">
        <v>0</v>
      </c>
      <c r="M808" s="262" t="n">
        <v>0.2169511635027557</v>
      </c>
      <c r="N808" s="253" t="n">
        <v>1910</v>
      </c>
      <c r="Q808" s="245" t="n">
        <v>15</v>
      </c>
      <c r="R808" s="245" t="n">
        <v>3</v>
      </c>
      <c r="S808" s="245" t="n">
        <v>1</v>
      </c>
      <c r="T808" s="249" t="inlineStr">
        <is>
          <t xml:space="preserve">I2   </t>
        </is>
      </c>
      <c r="U808" s="249" t="n">
        <v>398</v>
      </c>
      <c r="V808" s="678" t="n">
        <v>36943</v>
      </c>
      <c r="W808" s="678" t="n">
        <v>37000</v>
      </c>
      <c r="X808" s="356" t="inlineStr">
        <is>
          <t>7.3:1</t>
        </is>
      </c>
      <c r="Y808" s="678">
        <f>ROUND(J808,-3)</f>
        <v/>
      </c>
      <c r="Z808" s="249" t="inlineStr">
        <is>
          <t xml:space="preserve">C </t>
        </is>
      </c>
      <c r="AA808" s="245" t="n">
        <v>3</v>
      </c>
      <c r="AB808" s="245" t="n">
        <v>3</v>
      </c>
      <c r="AC808" s="253" t="inlineStr">
        <is>
          <t>33</t>
        </is>
      </c>
      <c r="AD808" s="247" t="inlineStr">
        <is>
          <t xml:space="preserve">CEI ROOFING(STG)    </t>
        </is>
      </c>
      <c r="AE808" s="680" t="n"/>
      <c r="AF808" s="680" t="n"/>
      <c r="AG808" s="680" t="n"/>
      <c r="AH808" s="680" t="n"/>
      <c r="AI808" s="680" t="n"/>
      <c r="AJ808" s="680" t="n"/>
      <c r="AK808" s="680" t="inlineStr">
        <is>
          <t xml:space="preserve">S-T WHSE.; 2005 LEASE.                                            </t>
        </is>
      </c>
    </row>
    <row r="809">
      <c r="A809" s="248" t="n">
        <v>8</v>
      </c>
      <c r="B809" s="370" t="n">
        <v>801</v>
      </c>
      <c r="C809" s="254" t="inlineStr">
        <is>
          <t>2009Q</t>
        </is>
      </c>
      <c r="D809" s="245" t="inlineStr">
        <is>
          <t xml:space="preserve">05042-10-047-000 </t>
        </is>
      </c>
      <c r="E809" s="258" t="inlineStr">
        <is>
          <t>Actual</t>
        </is>
      </c>
      <c r="F809" s="259" t="inlineStr">
        <is>
          <t>1950 W 14TH                 AV</t>
        </is>
      </c>
      <c r="G809" s="672" t="n">
        <v>47.1</v>
      </c>
      <c r="H809" s="253" t="n">
        <v>9505</v>
      </c>
      <c r="I809" s="255" t="n">
        <v>0</v>
      </c>
      <c r="J809" s="678" t="n">
        <v>4848</v>
      </c>
      <c r="K809" s="679" t="n">
        <v>9.900990099009901</v>
      </c>
      <c r="L809" s="260" t="n">
        <v>0</v>
      </c>
      <c r="M809" s="262" t="n">
        <v>0</v>
      </c>
      <c r="N809" s="253" t="n">
        <v>1960</v>
      </c>
      <c r="O809" s="250">
        <f>798+798</f>
        <v/>
      </c>
      <c r="Q809" s="245" t="n">
        <v>15</v>
      </c>
      <c r="R809" s="245" t="n">
        <v>3</v>
      </c>
      <c r="S809" s="245" t="n">
        <v>1</v>
      </c>
      <c r="T809" s="249" t="inlineStr">
        <is>
          <t xml:space="preserve">PRV  </t>
        </is>
      </c>
      <c r="U809" s="249" t="n">
        <v>401</v>
      </c>
      <c r="V809" s="678" t="n">
        <v>9940</v>
      </c>
      <c r="W809" s="678" t="n">
        <v>10000</v>
      </c>
      <c r="X809" s="356" t="inlineStr">
        <is>
          <t>2.1:1</t>
        </is>
      </c>
      <c r="Y809" s="678">
        <f>ROUND(J809,-3)</f>
        <v/>
      </c>
      <c r="Z809" s="249" t="inlineStr">
        <is>
          <t xml:space="preserve">C </t>
        </is>
      </c>
      <c r="AA809" s="245" t="n">
        <v>3</v>
      </c>
      <c r="AB809" s="245" t="n">
        <v>3</v>
      </c>
      <c r="AC809" s="253" t="inlineStr">
        <is>
          <t>33</t>
        </is>
      </c>
      <c r="AD809" s="247" t="inlineStr">
        <is>
          <t xml:space="preserve">SIEGEL OIL          </t>
        </is>
      </c>
      <c r="AE809" s="680" t="n"/>
      <c r="AF809" s="680" t="n"/>
      <c r="AG809" s="680" t="n"/>
      <c r="AH809" s="680" t="n"/>
      <c r="AI809" s="680" t="n"/>
      <c r="AJ809" s="680" t="n"/>
      <c r="AK809" s="680" t="inlineStr">
        <is>
          <t xml:space="preserve">S-T WHSE.                                                         </t>
        </is>
      </c>
    </row>
    <row r="810">
      <c r="A810" s="248" t="n">
        <v>8</v>
      </c>
      <c r="B810" s="370" t="n">
        <v>802</v>
      </c>
      <c r="C810" s="254" t="inlineStr">
        <is>
          <t>2009Q</t>
        </is>
      </c>
      <c r="D810" s="245" t="inlineStr">
        <is>
          <t xml:space="preserve">05042-10-051-000 </t>
        </is>
      </c>
      <c r="E810" s="258" t="inlineStr">
        <is>
          <t>Actual</t>
        </is>
      </c>
      <c r="F810" s="259" t="inlineStr">
        <is>
          <t>1380   ZUNI                 ST</t>
        </is>
      </c>
      <c r="G810" s="672" t="n">
        <v>44.1</v>
      </c>
      <c r="H810" s="253" t="n">
        <v>9505</v>
      </c>
      <c r="I810" s="255" t="n">
        <v>0</v>
      </c>
      <c r="J810" s="678" t="n">
        <v>9920</v>
      </c>
      <c r="K810" s="679" t="n">
        <v>9.07258064516129</v>
      </c>
      <c r="L810" s="260" t="n">
        <v>0</v>
      </c>
      <c r="M810" s="262" t="n">
        <v>0</v>
      </c>
      <c r="N810" s="253" t="n">
        <v>1972</v>
      </c>
      <c r="O810" s="250">
        <f>3960+960</f>
        <v/>
      </c>
      <c r="Q810" s="245" t="n">
        <v>18</v>
      </c>
      <c r="R810" s="245" t="n">
        <v>10</v>
      </c>
      <c r="S810" s="245" t="n">
        <v>1</v>
      </c>
      <c r="T810" s="249" t="inlineStr">
        <is>
          <t xml:space="preserve">I2   </t>
        </is>
      </c>
      <c r="U810" s="249" t="n">
        <v>398</v>
      </c>
      <c r="V810" s="678" t="n">
        <v>45472</v>
      </c>
      <c r="W810" s="678" t="n">
        <v>45000</v>
      </c>
      <c r="X810" s="356" t="inlineStr">
        <is>
          <t>4.6:1</t>
        </is>
      </c>
      <c r="Y810" s="678">
        <f>ROUND(J810,-3)</f>
        <v/>
      </c>
      <c r="Z810" s="249" t="inlineStr">
        <is>
          <t xml:space="preserve">C </t>
        </is>
      </c>
      <c r="AA810" s="245" t="n">
        <v>3</v>
      </c>
      <c r="AB810" s="245" t="n">
        <v>3</v>
      </c>
      <c r="AC810" s="253" t="inlineStr">
        <is>
          <t>33</t>
        </is>
      </c>
      <c r="AD810" s="247" t="inlineStr">
        <is>
          <t xml:space="preserve">WAREHOUSE           </t>
        </is>
      </c>
      <c r="AE810" s="680" t="n"/>
      <c r="AF810" s="680" t="n"/>
      <c r="AG810" s="680" t="n"/>
      <c r="AH810" s="680" t="n"/>
      <c r="AI810" s="680" t="n"/>
      <c r="AJ810" s="680" t="n"/>
      <c r="AK810" s="680" t="inlineStr">
        <is>
          <t xml:space="preserve">S-T WHSE.                                                         </t>
        </is>
      </c>
    </row>
    <row r="811">
      <c r="A811" s="248" t="n">
        <v>8</v>
      </c>
      <c r="B811" s="370" t="n">
        <v>803</v>
      </c>
      <c r="C811" s="254" t="inlineStr">
        <is>
          <t>2009Q</t>
        </is>
      </c>
      <c r="D811" s="245" t="inlineStr">
        <is>
          <t xml:space="preserve">05042-18-015-000 </t>
        </is>
      </c>
      <c r="E811" s="258" t="inlineStr">
        <is>
          <t>Actual</t>
        </is>
      </c>
      <c r="F811" s="259" t="inlineStr">
        <is>
          <t>1221   PECOS                ST</t>
        </is>
      </c>
      <c r="G811" s="672" t="n">
        <v>44.1</v>
      </c>
      <c r="H811" s="253" t="n">
        <v>9505</v>
      </c>
      <c r="I811" s="255" t="n">
        <v>0</v>
      </c>
      <c r="J811" s="678" t="n">
        <v>9000</v>
      </c>
      <c r="K811" s="679" t="n">
        <v>7.555555555555555</v>
      </c>
      <c r="L811" s="260" t="n">
        <v>0</v>
      </c>
      <c r="M811" s="262" t="n">
        <v>0.06561764705882353</v>
      </c>
      <c r="N811" s="253" t="n">
        <v>1964</v>
      </c>
      <c r="O811" s="250" t="n">
        <v>1957</v>
      </c>
      <c r="Q811" s="245" t="n">
        <v>13</v>
      </c>
      <c r="R811" s="245" t="n">
        <v>7</v>
      </c>
      <c r="S811" s="245" t="n">
        <v>1</v>
      </c>
      <c r="T811" s="249" t="inlineStr">
        <is>
          <t xml:space="preserve">I2   </t>
        </is>
      </c>
      <c r="U811" s="249" t="n">
        <v>398</v>
      </c>
      <c r="V811" s="678" t="n">
        <v>15062</v>
      </c>
      <c r="W811" s="678" t="n">
        <v>15000</v>
      </c>
      <c r="X811" s="356" t="inlineStr">
        <is>
          <t>1.7:1</t>
        </is>
      </c>
      <c r="Y811" s="678">
        <f>ROUND(J811,-3)</f>
        <v/>
      </c>
      <c r="Z811" s="249" t="inlineStr">
        <is>
          <t xml:space="preserve">C </t>
        </is>
      </c>
      <c r="AA811" s="245" t="n">
        <v>3</v>
      </c>
      <c r="AB811" s="245" t="n">
        <v>3</v>
      </c>
      <c r="AC811" s="253" t="inlineStr">
        <is>
          <t>33</t>
        </is>
      </c>
      <c r="AD811" s="247" t="inlineStr">
        <is>
          <t>                    </t>
        </is>
      </c>
      <c r="AE811" s="680" t="n"/>
      <c r="AF811" s="680" t="n"/>
      <c r="AG811" s="680" t="n"/>
      <c r="AH811" s="680" t="n"/>
      <c r="AI811" s="680" t="n"/>
      <c r="AJ811" s="680" t="n"/>
      <c r="AK811" s="680" t="inlineStr">
        <is>
          <t xml:space="preserve">S-T WHSE.; 2005 LEASE.                                            </t>
        </is>
      </c>
    </row>
    <row r="812">
      <c r="A812" s="248" t="n">
        <v>8</v>
      </c>
      <c r="B812" s="370" t="n">
        <v>804</v>
      </c>
      <c r="C812" s="254" t="inlineStr">
        <is>
          <t>2009Q</t>
        </is>
      </c>
      <c r="D812" s="245" t="inlineStr">
        <is>
          <t xml:space="preserve">05042-19-007-000 </t>
        </is>
      </c>
      <c r="E812" s="258" t="inlineStr">
        <is>
          <t>Actual</t>
        </is>
      </c>
      <c r="F812" s="259" t="inlineStr">
        <is>
          <t>1245   QUIVAS               ST</t>
        </is>
      </c>
      <c r="G812" s="672" t="n">
        <v>47.1</v>
      </c>
      <c r="H812" s="253" t="n">
        <v>9505</v>
      </c>
      <c r="I812" s="255" t="n">
        <v>0</v>
      </c>
      <c r="J812" s="678" t="n">
        <v>4006</v>
      </c>
      <c r="K812" s="679" t="n">
        <v>7.488766849725412</v>
      </c>
      <c r="L812" s="260" t="n">
        <v>0</v>
      </c>
      <c r="M812" s="262" t="n">
        <v>0.03333333333333333</v>
      </c>
      <c r="N812" s="253" t="n">
        <v>1962</v>
      </c>
      <c r="O812" s="250" t="n">
        <v>1483</v>
      </c>
      <c r="Q812" s="245" t="n">
        <v>14</v>
      </c>
      <c r="R812" s="245" t="n">
        <v>7</v>
      </c>
      <c r="S812" s="245" t="n">
        <v>1</v>
      </c>
      <c r="T812" s="249" t="inlineStr">
        <is>
          <t xml:space="preserve">I2   </t>
        </is>
      </c>
      <c r="U812" s="249" t="n">
        <v>401</v>
      </c>
      <c r="V812" s="678" t="n">
        <v>28900</v>
      </c>
      <c r="W812" s="678" t="n">
        <v>29000</v>
      </c>
      <c r="X812" s="356" t="inlineStr">
        <is>
          <t>7.2:1</t>
        </is>
      </c>
      <c r="Y812" s="678">
        <f>ROUND(J812,-3)</f>
        <v/>
      </c>
      <c r="Z812" s="249" t="inlineStr">
        <is>
          <t xml:space="preserve">C </t>
        </is>
      </c>
      <c r="AA812" s="245" t="n">
        <v>2</v>
      </c>
      <c r="AB812" s="245" t="n">
        <v>2</v>
      </c>
      <c r="AC812" s="253" t="inlineStr">
        <is>
          <t>22</t>
        </is>
      </c>
      <c r="AD812" s="247" t="inlineStr">
        <is>
          <t>S-F ERICKSON MONUMEN</t>
        </is>
      </c>
      <c r="AE812" s="680" t="n"/>
      <c r="AF812" s="680" t="n"/>
      <c r="AG812" s="680" t="n"/>
      <c r="AH812" s="680" t="n"/>
      <c r="AI812" s="680" t="n"/>
      <c r="AJ812" s="680" t="n"/>
      <c r="AK812" s="680" t="inlineStr">
        <is>
          <t xml:space="preserve">S-T INDUSTRIAL BLDG.; 2006 LEASE.                                 </t>
        </is>
      </c>
    </row>
    <row r="813">
      <c r="A813" s="248" t="n">
        <v>8</v>
      </c>
      <c r="B813" s="370" t="n">
        <v>805</v>
      </c>
      <c r="C813" s="254" t="inlineStr">
        <is>
          <t>2009Q</t>
        </is>
      </c>
      <c r="D813" s="245" t="inlineStr">
        <is>
          <t xml:space="preserve">05042-23-008-000 </t>
        </is>
      </c>
      <c r="E813" s="258" t="inlineStr">
        <is>
          <t>Actual</t>
        </is>
      </c>
      <c r="F813" s="259" t="inlineStr">
        <is>
          <t>1250   ZUNI                 ST</t>
        </is>
      </c>
      <c r="G813" s="672" t="n">
        <v>44.1</v>
      </c>
      <c r="H813" s="253" t="n">
        <v>9505</v>
      </c>
      <c r="I813" s="255" t="n">
        <v>0</v>
      </c>
      <c r="J813" s="678" t="n">
        <v>20724</v>
      </c>
      <c r="K813" s="679" t="n">
        <v>5.981470758540822</v>
      </c>
      <c r="L813" s="260" t="n">
        <v>0</v>
      </c>
      <c r="M813" s="262" t="n">
        <v>0</v>
      </c>
      <c r="N813" s="253" t="n">
        <v>1984</v>
      </c>
      <c r="O813" s="250" t="n">
        <v>582</v>
      </c>
      <c r="P813" s="250" t="n">
        <v>6060</v>
      </c>
      <c r="Q813" s="245" t="n">
        <v>13</v>
      </c>
      <c r="R813" s="245" t="n">
        <v>3</v>
      </c>
      <c r="S813" s="245" t="n">
        <v>1</v>
      </c>
      <c r="T813" s="249" t="inlineStr">
        <is>
          <t xml:space="preserve">I2   </t>
        </is>
      </c>
      <c r="U813" s="249" t="n">
        <v>398</v>
      </c>
      <c r="V813" s="678" t="n">
        <v>122458</v>
      </c>
      <c r="W813" s="678" t="n">
        <v>120000</v>
      </c>
      <c r="X813" s="356" t="inlineStr">
        <is>
          <t>5.9:1</t>
        </is>
      </c>
      <c r="Y813" s="678">
        <f>ROUND(J813,-3)</f>
        <v/>
      </c>
      <c r="Z813" s="249" t="inlineStr">
        <is>
          <t xml:space="preserve">C </t>
        </is>
      </c>
      <c r="AA813" s="245" t="n">
        <v>3</v>
      </c>
      <c r="AB813" s="245" t="n">
        <v>3</v>
      </c>
      <c r="AC813" s="253" t="inlineStr">
        <is>
          <t>33</t>
        </is>
      </c>
      <c r="AD813" s="247" t="inlineStr">
        <is>
          <t>CENTER RENTAL &amp;SALES</t>
        </is>
      </c>
      <c r="AE813" s="680" t="n"/>
      <c r="AF813" s="680" t="n"/>
      <c r="AG813" s="680" t="n"/>
      <c r="AH813" s="680" t="n"/>
      <c r="AI813" s="680" t="n"/>
      <c r="AJ813" s="680" t="n"/>
      <c r="AK813" s="680" t="inlineStr">
        <is>
          <t xml:space="preserve">S-T WHSE.                                                         </t>
        </is>
      </c>
    </row>
    <row r="814">
      <c r="A814" s="248" t="n">
        <v>8</v>
      </c>
      <c r="B814" s="370" t="n">
        <v>806</v>
      </c>
      <c r="C814" s="254" t="inlineStr">
        <is>
          <t>2009Q</t>
        </is>
      </c>
      <c r="D814" s="245" t="inlineStr">
        <is>
          <t xml:space="preserve">05043-22-044-000 </t>
        </is>
      </c>
      <c r="E814" s="258" t="inlineStr">
        <is>
          <t>Actual</t>
        </is>
      </c>
      <c r="F814" s="259" t="inlineStr">
        <is>
          <t>955   ZUNI                 ST</t>
        </is>
      </c>
      <c r="G814" s="672" t="n">
        <v>44.2</v>
      </c>
      <c r="H814" s="253" t="n">
        <v>9505</v>
      </c>
      <c r="I814" s="255" t="n">
        <v>0</v>
      </c>
      <c r="J814" s="678" t="n">
        <v>6000</v>
      </c>
      <c r="K814" s="679" t="n">
        <v>10</v>
      </c>
      <c r="L814" s="260" t="n">
        <v>0</v>
      </c>
      <c r="M814" s="262" t="n">
        <v>0</v>
      </c>
      <c r="N814" s="253" t="n">
        <v>1965</v>
      </c>
      <c r="P814" s="250" t="n">
        <v>2000</v>
      </c>
      <c r="Q814" s="245" t="n">
        <v>13</v>
      </c>
      <c r="R814" s="245" t="n">
        <v>3</v>
      </c>
      <c r="S814" s="245" t="n">
        <v>1</v>
      </c>
      <c r="T814" s="249" t="inlineStr">
        <is>
          <t xml:space="preserve">I2   </t>
        </is>
      </c>
      <c r="U814" s="249" t="n">
        <v>398</v>
      </c>
      <c r="V814" s="678" t="n">
        <v>25117</v>
      </c>
      <c r="W814" s="678" t="n">
        <v>25000</v>
      </c>
      <c r="X814" s="356" t="inlineStr">
        <is>
          <t>4.2:1</t>
        </is>
      </c>
      <c r="Y814" s="678">
        <f>ROUND(J814,-3)</f>
        <v/>
      </c>
      <c r="Z814" s="249" t="inlineStr">
        <is>
          <t xml:space="preserve">C </t>
        </is>
      </c>
      <c r="AA814" s="245" t="n">
        <v>3</v>
      </c>
      <c r="AB814" s="245" t="n">
        <v>3</v>
      </c>
      <c r="AC814" s="253" t="inlineStr">
        <is>
          <t>33</t>
        </is>
      </c>
      <c r="AD814" s="247" t="inlineStr">
        <is>
          <t>                    </t>
        </is>
      </c>
      <c r="AE814" s="680" t="n"/>
      <c r="AF814" s="680" t="n"/>
      <c r="AG814" s="680" t="n"/>
      <c r="AH814" s="680" t="n"/>
      <c r="AI814" s="680" t="n"/>
      <c r="AJ814" s="680" t="n"/>
      <c r="AK814" s="680" t="inlineStr">
        <is>
          <t xml:space="preserve">S-T WHSE; MO-TO-MO LEASE.                                         </t>
        </is>
      </c>
    </row>
    <row r="815">
      <c r="A815" s="248" t="n">
        <v>8</v>
      </c>
      <c r="B815" s="370" t="n">
        <v>807</v>
      </c>
      <c r="C815" s="254" t="inlineStr">
        <is>
          <t>2009Q</t>
        </is>
      </c>
      <c r="D815" s="245" t="inlineStr">
        <is>
          <t xml:space="preserve">05044-12-026-000 </t>
        </is>
      </c>
      <c r="E815" s="258" t="inlineStr">
        <is>
          <t>Actual</t>
        </is>
      </c>
      <c r="F815" s="259" t="inlineStr">
        <is>
          <t>937   SANTA FE             DR</t>
        </is>
      </c>
      <c r="G815" s="672" t="n">
        <v>44.1</v>
      </c>
      <c r="H815" s="253" t="n">
        <v>9505</v>
      </c>
      <c r="I815" s="255" t="n">
        <v>3</v>
      </c>
      <c r="J815" s="678" t="n">
        <v>10657</v>
      </c>
      <c r="K815" s="679" t="n">
        <v>7.732007131462888</v>
      </c>
      <c r="L815" s="260" t="n">
        <v>0.77</v>
      </c>
      <c r="M815" s="262" t="n">
        <v>0.1322330097087379</v>
      </c>
      <c r="N815" s="253" t="n">
        <v>1939</v>
      </c>
      <c r="O815" s="250" t="n">
        <v>1725</v>
      </c>
      <c r="Q815" s="245" t="n">
        <v>13</v>
      </c>
      <c r="R815" s="245" t="n">
        <v>1</v>
      </c>
      <c r="S815" s="245" t="n">
        <v>1</v>
      </c>
      <c r="T815" s="249" t="inlineStr">
        <is>
          <t xml:space="preserve">B4   </t>
        </is>
      </c>
      <c r="U815" s="249" t="n">
        <v>398</v>
      </c>
      <c r="V815" s="678" t="n">
        <v>18330</v>
      </c>
      <c r="W815" s="678" t="n">
        <v>18000</v>
      </c>
      <c r="X815" s="356" t="inlineStr">
        <is>
          <t>1.7:1</t>
        </is>
      </c>
      <c r="Y815" s="678">
        <f>ROUND(J815,-3)</f>
        <v/>
      </c>
      <c r="Z815" s="249" t="inlineStr">
        <is>
          <t xml:space="preserve">C </t>
        </is>
      </c>
      <c r="AA815" s="245" t="n">
        <v>3</v>
      </c>
      <c r="AB815" s="245" t="n">
        <v>3</v>
      </c>
      <c r="AC815" s="253" t="inlineStr">
        <is>
          <t>33</t>
        </is>
      </c>
      <c r="AD815" s="247" t="inlineStr">
        <is>
          <t xml:space="preserve">WHSE FURNITURE SHOP </t>
        </is>
      </c>
      <c r="AE815" s="680" t="n"/>
      <c r="AF815" s="680" t="n"/>
      <c r="AG815" s="680" t="n"/>
      <c r="AH815" s="680" t="n"/>
      <c r="AI815" s="680" t="n"/>
      <c r="AJ815" s="680" t="n"/>
      <c r="AK815" s="680" t="inlineStr">
        <is>
          <t xml:space="preserve">S-T WHSE.; MO-TO-MO LEASE.                                        </t>
        </is>
      </c>
    </row>
    <row r="816">
      <c r="A816" s="248" t="n">
        <v>8</v>
      </c>
      <c r="B816" s="370" t="n">
        <v>808</v>
      </c>
      <c r="C816" s="254" t="inlineStr">
        <is>
          <t>2009Q</t>
        </is>
      </c>
      <c r="D816" s="245" t="inlineStr">
        <is>
          <t xml:space="preserve">05044-18-043-000 </t>
        </is>
      </c>
      <c r="E816" s="258" t="inlineStr">
        <is>
          <t>Actual</t>
        </is>
      </c>
      <c r="F816" s="259" t="inlineStr">
        <is>
          <t>719   MARIPOSA             ST</t>
        </is>
      </c>
      <c r="G816" s="672" t="n">
        <v>44.1</v>
      </c>
      <c r="H816" s="253" t="n">
        <v>9505</v>
      </c>
      <c r="I816" s="255" t="n">
        <v>0</v>
      </c>
      <c r="J816" s="678" t="n">
        <v>3106</v>
      </c>
      <c r="K816" s="679" t="n">
        <v>11.99613650998068</v>
      </c>
      <c r="L816" s="260" t="n">
        <v>0</v>
      </c>
      <c r="M816" s="262" t="n">
        <v>0</v>
      </c>
      <c r="N816" s="253" t="n">
        <v>1983</v>
      </c>
      <c r="O816" s="250" t="n">
        <v>696</v>
      </c>
      <c r="P816" s="250" t="n">
        <v>722</v>
      </c>
      <c r="Q816" s="245" t="n">
        <v>16</v>
      </c>
      <c r="R816" s="245" t="n">
        <v>3</v>
      </c>
      <c r="S816" s="245" t="n">
        <v>1</v>
      </c>
      <c r="T816" s="249" t="inlineStr">
        <is>
          <t xml:space="preserve">I1   </t>
        </is>
      </c>
      <c r="U816" s="249" t="n">
        <v>397</v>
      </c>
      <c r="V816" s="678" t="n">
        <v>3126</v>
      </c>
      <c r="W816" s="678" t="n">
        <v>3000</v>
      </c>
      <c r="X816" s="356" t="inlineStr">
        <is>
          <t>1.0:1</t>
        </is>
      </c>
      <c r="Y816" s="678">
        <f>ROUND(J816,-3)</f>
        <v/>
      </c>
      <c r="Z816" s="249" t="inlineStr">
        <is>
          <t xml:space="preserve">C </t>
        </is>
      </c>
      <c r="AA816" s="245" t="n">
        <v>3</v>
      </c>
      <c r="AB816" s="245" t="n">
        <v>3</v>
      </c>
      <c r="AC816" s="253" t="inlineStr">
        <is>
          <t>33</t>
        </is>
      </c>
      <c r="AD816" s="247" t="inlineStr">
        <is>
          <t>DENVER DOJO SELF DEF</t>
        </is>
      </c>
      <c r="AE816" s="680" t="n"/>
      <c r="AF816" s="680" t="n"/>
      <c r="AG816" s="680" t="n"/>
      <c r="AH816" s="680" t="n"/>
      <c r="AI816" s="680" t="n"/>
      <c r="AJ816" s="680" t="n"/>
      <c r="AK816" s="680" t="inlineStr">
        <is>
          <t xml:space="preserve">M-T WHSE.; 2 TENANTS; LEASES 2005 &amp; 2006.                         </t>
        </is>
      </c>
    </row>
    <row r="817">
      <c r="A817" s="248" t="n">
        <v>8</v>
      </c>
      <c r="B817" s="370" t="n">
        <v>809</v>
      </c>
      <c r="C817" s="254" t="inlineStr">
        <is>
          <t>2009Q</t>
        </is>
      </c>
      <c r="D817" s="245" t="inlineStr">
        <is>
          <t xml:space="preserve">05044-18-044-000 </t>
        </is>
      </c>
      <c r="E817" s="258" t="inlineStr">
        <is>
          <t>Actual</t>
        </is>
      </c>
      <c r="F817" s="259" t="inlineStr">
        <is>
          <t>717   MARIPOSA             ST</t>
        </is>
      </c>
      <c r="G817" s="672" t="n">
        <v>44.2</v>
      </c>
      <c r="H817" s="253" t="n">
        <v>9505</v>
      </c>
      <c r="I817" s="255" t="n">
        <v>0</v>
      </c>
      <c r="J817" s="678" t="n">
        <v>1250</v>
      </c>
      <c r="K817" s="679" t="n">
        <v>9.6</v>
      </c>
      <c r="L817" s="260" t="n">
        <v>0</v>
      </c>
      <c r="M817" s="262" t="n">
        <v>0.36925</v>
      </c>
      <c r="N817" s="253" t="n">
        <v>1983</v>
      </c>
      <c r="O817" s="250" t="n">
        <v>1609</v>
      </c>
      <c r="P817" s="250" t="n">
        <v>696</v>
      </c>
      <c r="Q817" s="245" t="n">
        <v>16</v>
      </c>
      <c r="R817" s="245" t="n">
        <v>3</v>
      </c>
      <c r="S817" s="245" t="n">
        <v>1</v>
      </c>
      <c r="T817" s="249" t="inlineStr">
        <is>
          <t xml:space="preserve">I1   </t>
        </is>
      </c>
      <c r="U817" s="249" t="n">
        <v>397</v>
      </c>
      <c r="V817" s="678" t="n">
        <v>3183</v>
      </c>
      <c r="W817" s="678" t="n">
        <v>3000</v>
      </c>
      <c r="X817" s="356" t="inlineStr">
        <is>
          <t>1.0:1</t>
        </is>
      </c>
      <c r="Y817" s="678">
        <f>ROUND(J817,-2)</f>
        <v/>
      </c>
      <c r="Z817" s="249" t="inlineStr">
        <is>
          <t xml:space="preserve">C </t>
        </is>
      </c>
      <c r="AA817" s="245" t="n">
        <v>3</v>
      </c>
      <c r="AB817" s="245" t="n">
        <v>3</v>
      </c>
      <c r="AC817" s="253" t="inlineStr">
        <is>
          <t>33</t>
        </is>
      </c>
      <c r="AD817" s="247" t="inlineStr">
        <is>
          <t xml:space="preserve">S-W COLO INTERIORS  </t>
        </is>
      </c>
      <c r="AE817" s="680" t="n"/>
      <c r="AF817" s="680" t="n"/>
      <c r="AG817" s="680" t="n"/>
      <c r="AH817" s="680" t="n"/>
      <c r="AI817" s="680" t="n"/>
      <c r="AJ817" s="680" t="n"/>
      <c r="AK817" s="680" t="inlineStr">
        <is>
          <t xml:space="preserve">M-T WHSE; 2 TENANTS; LEASE DATES UNKNOWN.                         </t>
        </is>
      </c>
    </row>
    <row r="818">
      <c r="A818" s="248" t="n">
        <v>8</v>
      </c>
      <c r="B818" s="370" t="n">
        <v>810</v>
      </c>
      <c r="C818" s="254" t="inlineStr">
        <is>
          <t>2009Q</t>
        </is>
      </c>
      <c r="D818" s="245" t="inlineStr">
        <is>
          <t xml:space="preserve">05044-19-040-000 </t>
        </is>
      </c>
      <c r="E818" s="258" t="inlineStr">
        <is>
          <t>Actual</t>
        </is>
      </c>
      <c r="F818" s="259" t="inlineStr">
        <is>
          <t>717   LIPAN                ST</t>
        </is>
      </c>
      <c r="G818" s="672" t="n">
        <v>44.1</v>
      </c>
      <c r="H818" s="253" t="n">
        <v>9505</v>
      </c>
      <c r="I818" s="255" t="n">
        <v>0</v>
      </c>
      <c r="J818" s="678" t="n">
        <v>3240</v>
      </c>
      <c r="K818" s="679" t="n">
        <v>6.75</v>
      </c>
      <c r="L818" s="260" t="n">
        <v>0</v>
      </c>
      <c r="M818" s="262" t="n">
        <v>0.289437585733882</v>
      </c>
      <c r="N818" s="253" t="n">
        <v>2000</v>
      </c>
      <c r="O818" s="250" t="n">
        <v>743</v>
      </c>
      <c r="Q818" s="245" t="n">
        <v>17</v>
      </c>
      <c r="R818" s="245" t="n">
        <v>14</v>
      </c>
      <c r="S818" s="245" t="n">
        <v>1</v>
      </c>
      <c r="T818" s="249" t="inlineStr">
        <is>
          <t xml:space="preserve">I1   </t>
        </is>
      </c>
      <c r="U818" s="249" t="n">
        <v>398</v>
      </c>
      <c r="V818" s="678" t="n">
        <v>18754</v>
      </c>
      <c r="W818" s="678" t="n">
        <v>19000</v>
      </c>
      <c r="X818" s="356" t="inlineStr">
        <is>
          <t>2.1:1</t>
        </is>
      </c>
      <c r="Y818" s="678">
        <f>ROUND(J818,-3)</f>
        <v/>
      </c>
      <c r="Z818" s="249" t="inlineStr">
        <is>
          <t xml:space="preserve">C </t>
        </is>
      </c>
      <c r="AA818" s="245" t="n">
        <v>3</v>
      </c>
      <c r="AB818" s="245" t="n">
        <v>3</v>
      </c>
      <c r="AC818" s="253" t="inlineStr">
        <is>
          <t>33</t>
        </is>
      </c>
      <c r="AD818" s="247" t="inlineStr">
        <is>
          <t>                    </t>
        </is>
      </c>
      <c r="AE818" s="680" t="n"/>
      <c r="AF818" s="680" t="n"/>
      <c r="AG818" s="680" t="n"/>
      <c r="AH818" s="680" t="n"/>
      <c r="AI818" s="680" t="n"/>
      <c r="AJ818" s="680" t="n"/>
      <c r="AK818" s="680" t="inlineStr">
        <is>
          <t xml:space="preserve">M-T WHSE; 2 TENANTS; 2006 LEASE.                                  </t>
        </is>
      </c>
    </row>
    <row r="819">
      <c r="A819" s="248" t="n">
        <v>8</v>
      </c>
      <c r="B819" s="370" t="n">
        <v>811</v>
      </c>
      <c r="C819" s="254" t="inlineStr">
        <is>
          <t>2009Q</t>
        </is>
      </c>
      <c r="D819" s="245" t="inlineStr">
        <is>
          <t xml:space="preserve">05044-23-035-000 </t>
        </is>
      </c>
      <c r="E819" s="258" t="inlineStr">
        <is>
          <t>Actual</t>
        </is>
      </c>
      <c r="F819" s="259" t="inlineStr">
        <is>
          <t>680   LIPAN                ST</t>
        </is>
      </c>
      <c r="G819" s="672" t="n">
        <v>44.2</v>
      </c>
      <c r="H819" s="253" t="n">
        <v>9505</v>
      </c>
      <c r="I819" s="255" t="n">
        <v>0</v>
      </c>
      <c r="J819" s="678" t="n">
        <v>14906</v>
      </c>
      <c r="K819" s="679" t="n">
        <v>7.502213873607943</v>
      </c>
      <c r="L819" s="260" t="n">
        <v>0</v>
      </c>
      <c r="M819" s="262" t="n">
        <v>0.1151321672568588</v>
      </c>
      <c r="N819" s="253" t="n">
        <v>1963</v>
      </c>
      <c r="O819" s="250">
        <f>3187+1812</f>
        <v/>
      </c>
      <c r="Q819" s="245" t="n">
        <v>19</v>
      </c>
      <c r="R819" s="245" t="n">
        <v>3</v>
      </c>
      <c r="S819" s="245" t="n">
        <v>1</v>
      </c>
      <c r="T819" s="249" t="inlineStr">
        <is>
          <t xml:space="preserve">I1   </t>
        </is>
      </c>
      <c r="U819" s="249" t="n">
        <v>398</v>
      </c>
      <c r="V819" s="678" t="n">
        <v>31900</v>
      </c>
      <c r="W819" s="678" t="n">
        <v>32000</v>
      </c>
      <c r="X819" s="356" t="inlineStr">
        <is>
          <t>2.1:1</t>
        </is>
      </c>
      <c r="Y819" s="678">
        <f>ROUND(J819,-3)</f>
        <v/>
      </c>
      <c r="Z819" s="249" t="inlineStr">
        <is>
          <t xml:space="preserve">C </t>
        </is>
      </c>
      <c r="AA819" s="245" t="n">
        <v>3</v>
      </c>
      <c r="AB819" s="245" t="n">
        <v>3</v>
      </c>
      <c r="AC819" s="253" t="inlineStr">
        <is>
          <t>33</t>
        </is>
      </c>
      <c r="AD819" s="247" t="inlineStr">
        <is>
          <t xml:space="preserve">JEBCO HTG &amp; AC      </t>
        </is>
      </c>
      <c r="AE819" s="680" t="n"/>
      <c r="AF819" s="680" t="n"/>
      <c r="AG819" s="680" t="n"/>
      <c r="AH819" s="680" t="n"/>
      <c r="AI819" s="680" t="n"/>
      <c r="AJ819" s="680" t="n"/>
      <c r="AK819" s="680" t="inlineStr">
        <is>
          <t xml:space="preserve">S-T WHSE.; 2004 LEASE.                                            </t>
        </is>
      </c>
    </row>
    <row r="820">
      <c r="A820" s="248" t="n">
        <v>8</v>
      </c>
      <c r="B820" s="370" t="n">
        <v>812</v>
      </c>
      <c r="C820" s="254" t="inlineStr">
        <is>
          <t>2009Q</t>
        </is>
      </c>
      <c r="D820" s="245" t="inlineStr">
        <is>
          <t xml:space="preserve">05053-17-023-000 </t>
        </is>
      </c>
      <c r="E820" s="258" t="inlineStr">
        <is>
          <t>Actual</t>
        </is>
      </c>
      <c r="F820" s="259" t="inlineStr">
        <is>
          <t>969   FEDERAL              BV</t>
        </is>
      </c>
      <c r="G820" s="672" t="n">
        <v>44.1</v>
      </c>
      <c r="H820" s="253" t="n">
        <v>9508</v>
      </c>
      <c r="I820" s="255" t="n">
        <v>6</v>
      </c>
      <c r="J820" s="678" t="n">
        <v>7983</v>
      </c>
      <c r="K820" s="679" t="n">
        <v>9.019165727170236</v>
      </c>
      <c r="L820" s="260" t="n">
        <v>0</v>
      </c>
      <c r="M820" s="262" t="n">
        <v>0.1190972222222222</v>
      </c>
      <c r="N820" s="253" t="n">
        <v>1962</v>
      </c>
      <c r="Q820" s="245" t="n">
        <v>13</v>
      </c>
      <c r="R820" s="245" t="n">
        <v>3</v>
      </c>
      <c r="S820" s="245" t="n">
        <v>1</v>
      </c>
      <c r="T820" s="249" t="inlineStr">
        <is>
          <t xml:space="preserve">B4   </t>
        </is>
      </c>
      <c r="U820" s="249" t="n">
        <v>398</v>
      </c>
      <c r="V820" s="678" t="n">
        <v>17187</v>
      </c>
      <c r="W820" s="678" t="n">
        <v>17000</v>
      </c>
      <c r="X820" s="356" t="inlineStr">
        <is>
          <t>2.2:1</t>
        </is>
      </c>
      <c r="Y820" s="678">
        <f>ROUND(J820,-3)</f>
        <v/>
      </c>
      <c r="Z820" s="249" t="inlineStr">
        <is>
          <t xml:space="preserve">C </t>
        </is>
      </c>
      <c r="AA820" s="245" t="n">
        <v>2</v>
      </c>
      <c r="AB820" s="245" t="n">
        <v>3</v>
      </c>
      <c r="AC820" s="253" t="inlineStr">
        <is>
          <t>23</t>
        </is>
      </c>
      <c r="AD820" s="247" t="inlineStr">
        <is>
          <t xml:space="preserve">DIST.               </t>
        </is>
      </c>
      <c r="AE820" s="680" t="n"/>
      <c r="AF820" s="680" t="n"/>
      <c r="AG820" s="680" t="n"/>
      <c r="AH820" s="680" t="n"/>
      <c r="AI820" s="680" t="n"/>
      <c r="AJ820" s="680" t="n"/>
      <c r="AK820" s="680" t="inlineStr">
        <is>
          <t xml:space="preserve">M-T WHSE; 2 TENANTS; 2005 &amp; 2006 LEASES.                          </t>
        </is>
      </c>
    </row>
    <row r="821">
      <c r="A821" s="248" t="n">
        <v>8</v>
      </c>
      <c r="B821" s="370" t="n">
        <v>813</v>
      </c>
      <c r="C821" s="254" t="inlineStr">
        <is>
          <t>2009Q</t>
        </is>
      </c>
      <c r="D821" s="245" t="inlineStr">
        <is>
          <t xml:space="preserve">05054-01-032-000 </t>
        </is>
      </c>
      <c r="E821" s="258" t="inlineStr">
        <is>
          <t>Actual</t>
        </is>
      </c>
      <c r="F821" s="259" t="inlineStr">
        <is>
          <t>2715 W HOLDEN               PL</t>
        </is>
      </c>
      <c r="G821" s="672" t="n">
        <v>44.1</v>
      </c>
      <c r="H821" s="253" t="n">
        <v>9508</v>
      </c>
      <c r="I821" s="255" t="n">
        <v>0</v>
      </c>
      <c r="J821" s="678" t="n">
        <v>1208</v>
      </c>
      <c r="K821" s="679" t="n">
        <v>9.933774834437086</v>
      </c>
      <c r="L821" s="260" t="n">
        <v>0</v>
      </c>
      <c r="M821" s="262" t="n">
        <v>0.16975</v>
      </c>
      <c r="N821" s="253" t="n">
        <v>1987</v>
      </c>
      <c r="O821" s="250" t="n">
        <v>600</v>
      </c>
      <c r="Q821" s="245" t="n">
        <v>18</v>
      </c>
      <c r="R821" s="245" t="n">
        <v>3</v>
      </c>
      <c r="S821" s="245" t="n">
        <v>1</v>
      </c>
      <c r="T821" s="249" t="inlineStr">
        <is>
          <t xml:space="preserve">I1   </t>
        </is>
      </c>
      <c r="U821" s="249" t="n">
        <v>398</v>
      </c>
      <c r="V821" s="678" t="n">
        <v>4690</v>
      </c>
      <c r="W821" s="678" t="n">
        <v>5000</v>
      </c>
      <c r="X821" s="356" t="inlineStr">
        <is>
          <t>3.9:1</t>
        </is>
      </c>
      <c r="Y821" s="678">
        <f>ROUND(J821,-2)</f>
        <v/>
      </c>
      <c r="Z821" s="249" t="inlineStr">
        <is>
          <t xml:space="preserve">C </t>
        </is>
      </c>
      <c r="AA821" s="245" t="n">
        <v>3</v>
      </c>
      <c r="AB821" s="245" t="n">
        <v>3</v>
      </c>
      <c r="AC821" s="253" t="inlineStr">
        <is>
          <t>33</t>
        </is>
      </c>
      <c r="AD821" s="247" t="inlineStr">
        <is>
          <t>                    </t>
        </is>
      </c>
      <c r="AE821" s="680" t="n"/>
      <c r="AF821" s="680" t="n"/>
      <c r="AG821" s="680" t="n"/>
      <c r="AH821" s="680" t="n"/>
      <c r="AI821" s="680" t="n"/>
      <c r="AJ821" s="680" t="n"/>
      <c r="AK821" s="680" t="inlineStr">
        <is>
          <t xml:space="preserve">S-T WHSE.                                                         </t>
        </is>
      </c>
    </row>
    <row r="822">
      <c r="A822" s="248" t="n">
        <v>8</v>
      </c>
      <c r="B822" s="370" t="n">
        <v>814</v>
      </c>
      <c r="C822" s="254" t="inlineStr">
        <is>
          <t>2009Q</t>
        </is>
      </c>
      <c r="D822" s="245" t="inlineStr">
        <is>
          <t xml:space="preserve">05054-20-019-000 </t>
        </is>
      </c>
      <c r="E822" s="258" t="inlineStr">
        <is>
          <t>Actual</t>
        </is>
      </c>
      <c r="F822" s="259" t="inlineStr">
        <is>
          <t>860   BRYANT               ST</t>
        </is>
      </c>
      <c r="G822" s="672" t="n">
        <v>44.2</v>
      </c>
      <c r="H822" s="253" t="n">
        <v>9508</v>
      </c>
      <c r="I822" s="255" t="n">
        <v>0</v>
      </c>
      <c r="J822" s="678" t="n">
        <v>19832</v>
      </c>
      <c r="K822" s="679" t="n">
        <v>5.265429608713191</v>
      </c>
      <c r="L822" s="260" t="n">
        <v>0.09</v>
      </c>
      <c r="M822" s="262" t="n">
        <v>0.06812610127939937</v>
      </c>
      <c r="N822" s="253" t="n">
        <v>1952</v>
      </c>
      <c r="O822" s="250" t="n">
        <v>1144</v>
      </c>
      <c r="Q822" s="245" t="n">
        <v>14</v>
      </c>
      <c r="R822" s="245" t="n">
        <v>1</v>
      </c>
      <c r="S822" s="245" t="n">
        <v>1</v>
      </c>
      <c r="T822" s="249" t="inlineStr">
        <is>
          <t xml:space="preserve">I1   </t>
        </is>
      </c>
      <c r="U822" s="249" t="n">
        <v>398</v>
      </c>
      <c r="V822" s="678" t="n">
        <v>28235</v>
      </c>
      <c r="W822" s="678" t="n">
        <v>28000</v>
      </c>
      <c r="X822" s="356" t="inlineStr">
        <is>
          <t>1.4:1</t>
        </is>
      </c>
      <c r="Y822" s="678">
        <f>ROUND(J822,-3)</f>
        <v/>
      </c>
      <c r="Z822" s="249" t="inlineStr">
        <is>
          <t xml:space="preserve">C </t>
        </is>
      </c>
      <c r="AA822" s="245" t="n">
        <v>3</v>
      </c>
      <c r="AB822" s="245" t="n">
        <v>3</v>
      </c>
      <c r="AC822" s="253" t="inlineStr">
        <is>
          <t>33</t>
        </is>
      </c>
      <c r="AD822" s="247" t="inlineStr">
        <is>
          <t>                    </t>
        </is>
      </c>
      <c r="AE822" s="680" t="n"/>
      <c r="AF822" s="680" t="n"/>
      <c r="AG822" s="680" t="n"/>
      <c r="AH822" s="680" t="n"/>
      <c r="AI822" s="680" t="n"/>
      <c r="AJ822" s="680" t="n"/>
      <c r="AK822" s="680" t="inlineStr">
        <is>
          <t xml:space="preserve">M-T WHSE.; 3 TENANTS; LEASES 2006 - 2008.                         </t>
        </is>
      </c>
    </row>
    <row r="823">
      <c r="A823" s="248" t="n">
        <v>8</v>
      </c>
      <c r="B823" s="370" t="n">
        <v>815</v>
      </c>
      <c r="C823" s="254" t="inlineStr">
        <is>
          <t>2009Q</t>
        </is>
      </c>
      <c r="D823" s="245" t="inlineStr">
        <is>
          <t xml:space="preserve">05054-21-031-000 </t>
        </is>
      </c>
      <c r="E823" s="258" t="inlineStr">
        <is>
          <t>Actual</t>
        </is>
      </c>
      <c r="F823" s="259" t="inlineStr">
        <is>
          <t>2740 W 9TH                  AV</t>
        </is>
      </c>
      <c r="G823" s="672" t="n">
        <v>47.1</v>
      </c>
      <c r="H823" s="253" t="n">
        <v>9508</v>
      </c>
      <c r="I823" s="255" t="n">
        <v>0</v>
      </c>
      <c r="J823" s="678" t="n">
        <v>8371</v>
      </c>
      <c r="K823" s="679" t="n">
        <v>4.531597180743042</v>
      </c>
      <c r="L823" s="260" t="n">
        <v>0</v>
      </c>
      <c r="M823" s="262" t="n">
        <v>0.3765223809774872</v>
      </c>
      <c r="N823" s="253" t="n">
        <v>1964</v>
      </c>
      <c r="O823" s="250" t="n">
        <v>225</v>
      </c>
      <c r="Q823" s="245" t="n">
        <v>12</v>
      </c>
      <c r="R823" s="245" t="n">
        <v>1</v>
      </c>
      <c r="S823" s="245" t="n">
        <v>1</v>
      </c>
      <c r="T823" s="249" t="inlineStr">
        <is>
          <t xml:space="preserve">I0   </t>
        </is>
      </c>
      <c r="U823" s="249" t="n">
        <v>401</v>
      </c>
      <c r="V823" s="678" t="n">
        <v>22050</v>
      </c>
      <c r="W823" s="678" t="n">
        <v>22000</v>
      </c>
      <c r="X823" s="356" t="inlineStr">
        <is>
          <t>2.6:1</t>
        </is>
      </c>
      <c r="Y823" s="678">
        <f>ROUND(J823,-3)</f>
        <v/>
      </c>
      <c r="Z823" s="249" t="inlineStr">
        <is>
          <t xml:space="preserve">C </t>
        </is>
      </c>
      <c r="AA823" s="245" t="n">
        <v>1</v>
      </c>
      <c r="AB823" s="245" t="n">
        <v>2</v>
      </c>
      <c r="AC823" s="253" t="inlineStr">
        <is>
          <t>12</t>
        </is>
      </c>
      <c r="AD823" s="247" t="inlineStr">
        <is>
          <t>                    </t>
        </is>
      </c>
      <c r="AE823" s="680" t="n"/>
      <c r="AF823" s="680" t="n"/>
      <c r="AG823" s="680" t="n"/>
      <c r="AH823" s="680" t="n"/>
      <c r="AI823" s="680" t="n"/>
      <c r="AJ823" s="680" t="n"/>
      <c r="AK823" s="680" t="inlineStr">
        <is>
          <t xml:space="preserve">TENANCY &amp; LEASE DATES UNKNOWN; OP STATEMENT ONLY.                 </t>
        </is>
      </c>
    </row>
    <row r="824">
      <c r="A824" s="248" t="n">
        <v>8</v>
      </c>
      <c r="B824" s="370" t="n">
        <v>816</v>
      </c>
      <c r="C824" s="254" t="inlineStr">
        <is>
          <t>2009Q</t>
        </is>
      </c>
      <c r="D824" s="245" t="inlineStr">
        <is>
          <t xml:space="preserve">05054-24-008-000 </t>
        </is>
      </c>
      <c r="E824" s="258" t="inlineStr">
        <is>
          <t>Actual</t>
        </is>
      </c>
      <c r="F824" s="259" t="inlineStr">
        <is>
          <t>2600 W BARBERRY             PL</t>
        </is>
      </c>
      <c r="G824" s="672" t="n">
        <v>44.2</v>
      </c>
      <c r="H824" s="253" t="n">
        <v>9508</v>
      </c>
      <c r="I824" s="255" t="n">
        <v>0</v>
      </c>
      <c r="J824" s="678" t="n">
        <v>7697</v>
      </c>
      <c r="K824" s="679" t="n">
        <v>7.308042094322463</v>
      </c>
      <c r="L824" s="260" t="n">
        <v>0.5</v>
      </c>
      <c r="M824" s="262" t="n">
        <v>0.09713777777777778</v>
      </c>
      <c r="N824" s="253" t="n">
        <v>1971</v>
      </c>
      <c r="O824" s="250">
        <f>4399+2180</f>
        <v/>
      </c>
      <c r="Q824" s="245" t="n">
        <v>16</v>
      </c>
      <c r="R824" s="245" t="n">
        <v>3</v>
      </c>
      <c r="S824" s="245" t="n">
        <v>1</v>
      </c>
      <c r="T824" s="249" t="inlineStr">
        <is>
          <t xml:space="preserve">I1   </t>
        </is>
      </c>
      <c r="U824" s="249" t="n">
        <v>397</v>
      </c>
      <c r="V824" s="678" t="n">
        <v>14000</v>
      </c>
      <c r="W824" s="678" t="n">
        <v>14000</v>
      </c>
      <c r="X824" s="356" t="inlineStr">
        <is>
          <t>1.8:1</t>
        </is>
      </c>
      <c r="Y824" s="678">
        <f>ROUND(J824,-3)</f>
        <v/>
      </c>
      <c r="Z824" s="249" t="inlineStr">
        <is>
          <t xml:space="preserve">C </t>
        </is>
      </c>
      <c r="AA824" s="245" t="n">
        <v>3</v>
      </c>
      <c r="AB824" s="245" t="n">
        <v>3</v>
      </c>
      <c r="AC824" s="253" t="inlineStr">
        <is>
          <t>33</t>
        </is>
      </c>
      <c r="AD824" s="247" t="inlineStr">
        <is>
          <t>S-W MILE HIGH SUPPLY</t>
        </is>
      </c>
      <c r="AE824" s="680" t="n"/>
      <c r="AF824" s="680" t="n"/>
      <c r="AG824" s="680" t="n"/>
      <c r="AH824" s="680" t="n"/>
      <c r="AI824" s="680" t="n"/>
      <c r="AJ824" s="680" t="n"/>
      <c r="AK824" s="680" t="inlineStr">
        <is>
          <t xml:space="preserve">S-T WHSE.; 2006 LEASE.                                            </t>
        </is>
      </c>
    </row>
    <row r="825">
      <c r="A825" s="248" t="n">
        <v>8</v>
      </c>
      <c r="B825" s="370" t="n">
        <v>817</v>
      </c>
      <c r="C825" s="254" t="inlineStr">
        <is>
          <t>2009Q</t>
        </is>
      </c>
      <c r="D825" s="245" t="inlineStr">
        <is>
          <t xml:space="preserve">05054-24-026-000 </t>
        </is>
      </c>
      <c r="E825" s="258" t="inlineStr">
        <is>
          <t>Actual</t>
        </is>
      </c>
      <c r="F825" s="259" t="inlineStr">
        <is>
          <t>2605 W 8TH                  AV</t>
        </is>
      </c>
      <c r="G825" s="672" t="n">
        <v>44.1</v>
      </c>
      <c r="H825" s="253" t="n">
        <v>9508</v>
      </c>
      <c r="I825" s="255" t="n">
        <v>0</v>
      </c>
      <c r="J825" s="678" t="n">
        <v>13500</v>
      </c>
      <c r="K825" s="679" t="n">
        <v>18.51851851851852</v>
      </c>
      <c r="L825" s="260" t="n">
        <v>1</v>
      </c>
      <c r="M825" s="262" t="n">
        <v>0</v>
      </c>
      <c r="N825" s="253" t="n">
        <v>1973</v>
      </c>
      <c r="O825" s="250" t="n">
        <v>6657</v>
      </c>
      <c r="Q825" s="245" t="n">
        <v>21</v>
      </c>
      <c r="R825" s="245" t="n">
        <v>14</v>
      </c>
      <c r="S825" s="245" t="n">
        <v>1</v>
      </c>
      <c r="T825" s="249" t="inlineStr">
        <is>
          <t xml:space="preserve">I1   </t>
        </is>
      </c>
      <c r="U825" s="249" t="n">
        <v>398</v>
      </c>
      <c r="V825" s="678" t="n">
        <v>21000</v>
      </c>
      <c r="W825" s="678" t="n">
        <v>21000</v>
      </c>
      <c r="X825" s="356" t="inlineStr">
        <is>
          <t>1.6:1</t>
        </is>
      </c>
      <c r="Y825" s="678">
        <f>ROUND(J825,-3)</f>
        <v/>
      </c>
      <c r="Z825" s="249" t="inlineStr">
        <is>
          <t xml:space="preserve">C </t>
        </is>
      </c>
      <c r="AA825" s="245" t="n">
        <v>3</v>
      </c>
      <c r="AB825" s="245" t="n">
        <v>3</v>
      </c>
      <c r="AC825" s="253" t="inlineStr">
        <is>
          <t>33</t>
        </is>
      </c>
      <c r="AD825" s="247" t="inlineStr">
        <is>
          <t xml:space="preserve">COMCABLE            </t>
        </is>
      </c>
      <c r="AE825" s="680" t="n"/>
      <c r="AF825" s="680" t="n"/>
      <c r="AG825" s="680" t="n"/>
      <c r="AH825" s="680" t="n"/>
      <c r="AI825" s="680" t="n"/>
      <c r="AJ825" s="680" t="n"/>
      <c r="AK825" s="680" t="inlineStr">
        <is>
          <t xml:space="preserve">S-T WHSE.; 2005 LEASE - 20 YR LEASE; VACATED BY 2008.             </t>
        </is>
      </c>
    </row>
    <row r="826">
      <c r="A826" s="248" t="n">
        <v>8</v>
      </c>
      <c r="B826" s="370" t="n">
        <v>818</v>
      </c>
      <c r="C826" s="254" t="inlineStr">
        <is>
          <t>2009Q</t>
        </is>
      </c>
      <c r="D826" s="245" t="inlineStr">
        <is>
          <t xml:space="preserve">05054-24-030-000 </t>
        </is>
      </c>
      <c r="E826" s="258" t="inlineStr">
        <is>
          <t>Actual</t>
        </is>
      </c>
      <c r="F826" s="259" t="inlineStr">
        <is>
          <t>2625 W 8TH                  AV</t>
        </is>
      </c>
      <c r="G826" s="672" t="n">
        <v>44.1</v>
      </c>
      <c r="H826" s="253" t="n">
        <v>9508</v>
      </c>
      <c r="I826" s="255" t="n">
        <v>0</v>
      </c>
      <c r="J826" s="678" t="n">
        <v>5450</v>
      </c>
      <c r="K826" s="679" t="n">
        <v>5.064220183486238</v>
      </c>
      <c r="L826" s="260" t="n">
        <v>1</v>
      </c>
      <c r="M826" s="262" t="n">
        <v>0</v>
      </c>
      <c r="N826" s="253" t="n">
        <v>1987</v>
      </c>
      <c r="O826" s="250" t="n">
        <v>296</v>
      </c>
      <c r="Q826" s="245" t="n">
        <v>115</v>
      </c>
      <c r="R826" s="245" t="n">
        <v>3</v>
      </c>
      <c r="S826" s="245" t="n">
        <v>1</v>
      </c>
      <c r="T826" s="249" t="inlineStr">
        <is>
          <t xml:space="preserve">I1   </t>
        </is>
      </c>
      <c r="U826" s="249" t="n">
        <v>398</v>
      </c>
      <c r="V826" s="678" t="n">
        <v>7000</v>
      </c>
      <c r="W826" s="678" t="n">
        <v>7000</v>
      </c>
      <c r="X826" s="356" t="inlineStr">
        <is>
          <t>1.3:1</t>
        </is>
      </c>
      <c r="Y826" s="678">
        <f>ROUND(J826,-3)</f>
        <v/>
      </c>
      <c r="Z826" s="249" t="inlineStr">
        <is>
          <t xml:space="preserve">C </t>
        </is>
      </c>
      <c r="AA826" s="245" t="n">
        <v>3</v>
      </c>
      <c r="AB826" s="245" t="n">
        <v>3</v>
      </c>
      <c r="AC826" s="253" t="inlineStr">
        <is>
          <t>33</t>
        </is>
      </c>
      <c r="AD826" s="247" t="inlineStr">
        <is>
          <t xml:space="preserve">FASTER MOTORCYCLE   </t>
        </is>
      </c>
      <c r="AE826" s="680" t="n"/>
      <c r="AF826" s="680" t="n"/>
      <c r="AG826" s="680" t="n"/>
      <c r="AH826" s="680" t="n"/>
      <c r="AI826" s="680" t="n"/>
      <c r="AJ826" s="680" t="n"/>
      <c r="AK826" s="680" t="inlineStr">
        <is>
          <t xml:space="preserve">S-T WHSE.; 01/08 LEASE; VACATED BY 06/08.                         </t>
        </is>
      </c>
    </row>
    <row r="827">
      <c r="A827" s="248" t="n">
        <v>8</v>
      </c>
      <c r="B827" s="370" t="n">
        <v>819</v>
      </c>
      <c r="C827" s="254" t="inlineStr">
        <is>
          <t>2009W</t>
        </is>
      </c>
      <c r="D827" s="245" t="inlineStr">
        <is>
          <t>05066-00-128-000</t>
        </is>
      </c>
      <c r="E827" s="249" t="inlineStr">
        <is>
          <t>Actual</t>
        </is>
      </c>
      <c r="F827" s="245" t="inlineStr">
        <is>
          <t>680 Sheridan Blvd.</t>
        </is>
      </c>
      <c r="G827" s="672" t="n">
        <v>44.5</v>
      </c>
      <c r="H827" s="245" t="n">
        <v>9506</v>
      </c>
      <c r="I827" s="249" t="n">
        <v>8</v>
      </c>
      <c r="J827" s="250" t="n">
        <v>103200</v>
      </c>
      <c r="K827" s="685" t="n">
        <v>10.07</v>
      </c>
      <c r="L827" s="365" t="n">
        <v>0</v>
      </c>
      <c r="M827" s="365" t="n">
        <v>0.33</v>
      </c>
      <c r="N827" s="245" t="n">
        <v>1978</v>
      </c>
      <c r="O827" s="678" t="n">
        <v>0</v>
      </c>
      <c r="P827" s="678" t="n">
        <v>0</v>
      </c>
      <c r="Q827" s="245" t="n">
        <v>11</v>
      </c>
      <c r="R827" s="245" t="n">
        <v>1</v>
      </c>
      <c r="S827" s="245" t="n">
        <v>1</v>
      </c>
      <c r="T827" s="249" t="inlineStr">
        <is>
          <t>I1</t>
        </is>
      </c>
      <c r="U827" s="245" t="n">
        <v>396</v>
      </c>
      <c r="V827" s="250" t="n">
        <v>306575</v>
      </c>
      <c r="W827" s="250" t="n">
        <v>300000</v>
      </c>
      <c r="X827" s="253" t="inlineStr">
        <is>
          <t>3.0:1</t>
        </is>
      </c>
      <c r="Y827" s="250" t="n">
        <v>100000</v>
      </c>
      <c r="Z827" s="249" t="inlineStr">
        <is>
          <t>C</t>
        </is>
      </c>
      <c r="AA827" s="245" t="n">
        <v>3</v>
      </c>
      <c r="AB827" s="245" t="n">
        <v>3</v>
      </c>
      <c r="AC827" s="245" t="n">
        <v>33</v>
      </c>
      <c r="AD827" s="245" t="inlineStr">
        <is>
          <t>Public Storage</t>
        </is>
      </c>
      <c r="AE827" s="667" t="n">
        <v>10.07</v>
      </c>
      <c r="AF827" s="686" t="n">
        <v>10.07</v>
      </c>
      <c r="AG827" s="686" t="n">
        <v>6.9</v>
      </c>
      <c r="AH827" s="686" t="n">
        <v>3.17</v>
      </c>
      <c r="AI827" s="686" t="inlineStr">
        <is>
          <t>-</t>
        </is>
      </c>
      <c r="AJ827" s="667" t="inlineStr">
        <is>
          <t>-</t>
        </is>
      </c>
      <c r="AN827" s="680" t="n"/>
      <c r="AO827" s="680" t="n"/>
      <c r="AP827" s="680" t="n"/>
    </row>
    <row r="828">
      <c r="A828" s="248" t="n">
        <v>8</v>
      </c>
      <c r="B828" s="370" t="n">
        <v>820</v>
      </c>
      <c r="C828" s="254" t="inlineStr">
        <is>
          <t>2009Q</t>
        </is>
      </c>
      <c r="D828" s="245" t="inlineStr">
        <is>
          <t xml:space="preserve">05081-03-017-000 </t>
        </is>
      </c>
      <c r="E828" s="258" t="inlineStr">
        <is>
          <t>Actual</t>
        </is>
      </c>
      <c r="F828" s="259" t="inlineStr">
        <is>
          <t>2943 W 7TH                  AV</t>
        </is>
      </c>
      <c r="G828" s="672" t="n">
        <v>44.2</v>
      </c>
      <c r="H828" s="253" t="n">
        <v>9508</v>
      </c>
      <c r="I828" s="255" t="n">
        <v>0</v>
      </c>
      <c r="J828" s="678" t="n">
        <v>3873</v>
      </c>
      <c r="K828" s="679" t="n">
        <v>6.196746707978312</v>
      </c>
      <c r="L828" s="260" t="n">
        <v>1</v>
      </c>
      <c r="M828" s="262" t="n">
        <v>0.39175</v>
      </c>
      <c r="N828" s="253" t="n">
        <v>1964</v>
      </c>
      <c r="O828" s="250" t="n">
        <v>1350</v>
      </c>
      <c r="Q828" s="245" t="n">
        <v>12</v>
      </c>
      <c r="R828" s="245" t="n">
        <v>3</v>
      </c>
      <c r="S828" s="245" t="n">
        <v>1</v>
      </c>
      <c r="T828" s="249" t="inlineStr">
        <is>
          <t xml:space="preserve">I1   </t>
        </is>
      </c>
      <c r="U828" s="249" t="n">
        <v>398</v>
      </c>
      <c r="V828" s="678" t="n">
        <v>6250</v>
      </c>
      <c r="W828" s="678" t="n">
        <v>6000</v>
      </c>
      <c r="X828" s="356" t="inlineStr">
        <is>
          <t>1.6:1</t>
        </is>
      </c>
      <c r="Y828" s="678">
        <f>ROUND(J828,-3)</f>
        <v/>
      </c>
      <c r="Z828" s="249" t="inlineStr">
        <is>
          <t xml:space="preserve">C </t>
        </is>
      </c>
      <c r="AA828" s="245" t="n">
        <v>3</v>
      </c>
      <c r="AB828" s="245" t="n">
        <v>3</v>
      </c>
      <c r="AC828" s="253" t="inlineStr">
        <is>
          <t>33</t>
        </is>
      </c>
      <c r="AD828" s="247" t="inlineStr">
        <is>
          <t xml:space="preserve">S-W SHELLS PRINTING </t>
        </is>
      </c>
      <c r="AE828" s="680" t="n"/>
      <c r="AF828" s="680" t="n"/>
      <c r="AG828" s="680" t="n"/>
      <c r="AH828" s="680" t="n"/>
      <c r="AI828" s="680" t="n"/>
      <c r="AJ828" s="680" t="n"/>
      <c r="AK828" s="680" t="inlineStr">
        <is>
          <t xml:space="preserve">S-T WHSE.                                                         </t>
        </is>
      </c>
    </row>
    <row r="829">
      <c r="A829" s="248" t="n">
        <v>8</v>
      </c>
      <c r="B829" s="370" t="n">
        <v>821</v>
      </c>
      <c r="C829" s="254" t="inlineStr">
        <is>
          <t>2009Q</t>
        </is>
      </c>
      <c r="D829" s="245" t="inlineStr">
        <is>
          <t xml:space="preserve">05081-04-016-000 </t>
        </is>
      </c>
      <c r="E829" s="258" t="inlineStr">
        <is>
          <t>Actual</t>
        </is>
      </c>
      <c r="F829" s="259" t="inlineStr">
        <is>
          <t>695   CANOSA               CT</t>
        </is>
      </c>
      <c r="G829" s="672" t="n">
        <v>44.2</v>
      </c>
      <c r="H829" s="253" t="n">
        <v>9508</v>
      </c>
      <c r="I829" s="255" t="n">
        <v>0</v>
      </c>
      <c r="J829" s="678" t="n">
        <v>18000</v>
      </c>
      <c r="K829" s="679" t="n">
        <v>6.011555555555556</v>
      </c>
      <c r="L829" s="260" t="n">
        <v>0</v>
      </c>
      <c r="M829" s="262" t="n">
        <v>0.06357200946325595</v>
      </c>
      <c r="N829" s="253" t="n">
        <v>1954</v>
      </c>
      <c r="O829" s="250" t="n">
        <v>4000</v>
      </c>
      <c r="Q829" s="245" t="n">
        <v>14</v>
      </c>
      <c r="R829" s="245" t="n">
        <v>1</v>
      </c>
      <c r="S829" s="245" t="n">
        <v>2</v>
      </c>
      <c r="T829" s="249" t="inlineStr">
        <is>
          <t xml:space="preserve">I1   </t>
        </is>
      </c>
      <c r="U829" s="249" t="n">
        <v>398</v>
      </c>
      <c r="V829" s="678" t="n">
        <v>34375</v>
      </c>
      <c r="W829" s="678" t="n">
        <v>34000</v>
      </c>
      <c r="X829" s="356" t="inlineStr">
        <is>
          <t>1.9:1</t>
        </is>
      </c>
      <c r="Y829" s="678">
        <f>ROUND(J829,-3)</f>
        <v/>
      </c>
      <c r="Z829" s="249" t="inlineStr">
        <is>
          <t xml:space="preserve">C </t>
        </is>
      </c>
      <c r="AA829" s="245" t="n">
        <v>3</v>
      </c>
      <c r="AB829" s="245" t="n">
        <v>3</v>
      </c>
      <c r="AC829" s="253" t="inlineStr">
        <is>
          <t>33</t>
        </is>
      </c>
      <c r="AD829" s="247" t="inlineStr">
        <is>
          <t xml:space="preserve">M-W GREAT INDOORS   </t>
        </is>
      </c>
      <c r="AE829" s="680" t="n"/>
      <c r="AF829" s="680" t="n"/>
      <c r="AG829" s="680" t="n"/>
      <c r="AH829" s="680" t="n"/>
      <c r="AI829" s="680" t="n"/>
      <c r="AJ829" s="680" t="n"/>
      <c r="AK829" s="680" t="inlineStr">
        <is>
          <t xml:space="preserve">S-T WHSE; 2004 LEASE.                                             </t>
        </is>
      </c>
    </row>
    <row r="830">
      <c r="A830" s="248" t="n">
        <v>8</v>
      </c>
      <c r="B830" s="370" t="n">
        <v>822</v>
      </c>
      <c r="C830" s="254" t="inlineStr">
        <is>
          <t>2009Q</t>
        </is>
      </c>
      <c r="D830" s="245" t="inlineStr">
        <is>
          <t xml:space="preserve">05081-06-019-000 </t>
        </is>
      </c>
      <c r="E830" s="258" t="inlineStr">
        <is>
          <t>Actual</t>
        </is>
      </c>
      <c r="F830" s="259" t="inlineStr">
        <is>
          <t>670   BRYANT               ST</t>
        </is>
      </c>
      <c r="G830" s="672" t="n">
        <v>44.1</v>
      </c>
      <c r="H830" s="253" t="n">
        <v>9508</v>
      </c>
      <c r="I830" s="255" t="n">
        <v>0</v>
      </c>
      <c r="J830" s="678" t="n">
        <v>3704</v>
      </c>
      <c r="K830" s="679" t="n">
        <v>5.831533477321814</v>
      </c>
      <c r="L830" s="260" t="n">
        <v>0</v>
      </c>
      <c r="M830" s="262" t="n">
        <v>0.1018518518518518</v>
      </c>
      <c r="N830" s="253" t="n">
        <v>1963</v>
      </c>
      <c r="O830" s="250" t="n">
        <v>644</v>
      </c>
      <c r="Q830" s="245" t="n">
        <v>13</v>
      </c>
      <c r="R830" s="245" t="n">
        <v>3</v>
      </c>
      <c r="S830" s="245" t="n">
        <v>1</v>
      </c>
      <c r="T830" s="249" t="inlineStr">
        <is>
          <t xml:space="preserve">I1   </t>
        </is>
      </c>
      <c r="U830" s="249" t="n">
        <v>398</v>
      </c>
      <c r="V830" s="678" t="n">
        <v>6000</v>
      </c>
      <c r="W830" s="678" t="n">
        <v>6000</v>
      </c>
      <c r="X830" s="356" t="inlineStr">
        <is>
          <t>1.6:1</t>
        </is>
      </c>
      <c r="Y830" s="678">
        <f>ROUND(J830,-3)</f>
        <v/>
      </c>
      <c r="Z830" s="249" t="inlineStr">
        <is>
          <t xml:space="preserve">C </t>
        </is>
      </c>
      <c r="AA830" s="245" t="n">
        <v>3</v>
      </c>
      <c r="AB830" s="245" t="n">
        <v>3</v>
      </c>
      <c r="AC830" s="253" t="inlineStr">
        <is>
          <t>33</t>
        </is>
      </c>
      <c r="AD830" s="247" t="inlineStr">
        <is>
          <t xml:space="preserve">S-W LIQUID COFFEE   </t>
        </is>
      </c>
      <c r="AE830" s="680" t="n"/>
      <c r="AF830" s="680" t="n"/>
      <c r="AG830" s="680" t="n"/>
      <c r="AH830" s="680" t="n"/>
      <c r="AI830" s="680" t="n"/>
      <c r="AJ830" s="680" t="n"/>
      <c r="AK830" s="680" t="inlineStr">
        <is>
          <t xml:space="preserve">S-T WHSE.; AGE OF LEASE UNKNOWN.                                  </t>
        </is>
      </c>
    </row>
    <row r="831">
      <c r="A831" s="248" t="n">
        <v>8</v>
      </c>
      <c r="B831" s="370" t="n">
        <v>823</v>
      </c>
      <c r="C831" s="254" t="inlineStr">
        <is>
          <t>2009Q</t>
        </is>
      </c>
      <c r="D831" s="245" t="inlineStr">
        <is>
          <t xml:space="preserve">05081-13-002-000 </t>
        </is>
      </c>
      <c r="E831" s="258" t="inlineStr">
        <is>
          <t>Actual</t>
        </is>
      </c>
      <c r="F831" s="259" t="inlineStr">
        <is>
          <t>2650 W 6TH                  AV</t>
        </is>
      </c>
      <c r="G831" s="672" t="n">
        <v>44.2</v>
      </c>
      <c r="H831" s="253" t="n">
        <v>9508</v>
      </c>
      <c r="I831" s="255" t="n">
        <v>0</v>
      </c>
      <c r="J831" s="678" t="n">
        <v>30000</v>
      </c>
      <c r="K831" s="679" t="n">
        <v>4</v>
      </c>
      <c r="L831" s="260" t="n">
        <v>0</v>
      </c>
      <c r="M831" s="262" t="n">
        <v>0</v>
      </c>
      <c r="N831" s="253" t="n">
        <v>1965</v>
      </c>
      <c r="O831" s="250">
        <f>20258+12347</f>
        <v/>
      </c>
      <c r="Q831" s="245" t="n">
        <v>13</v>
      </c>
      <c r="R831" s="245" t="n">
        <v>3</v>
      </c>
      <c r="S831" s="245" t="n">
        <v>1</v>
      </c>
      <c r="T831" s="249" t="inlineStr">
        <is>
          <t xml:space="preserve">I1   </t>
        </is>
      </c>
      <c r="U831" s="249" t="n">
        <v>398</v>
      </c>
      <c r="V831" s="678" t="n">
        <v>93000</v>
      </c>
      <c r="W831" s="678" t="n">
        <v>90000</v>
      </c>
      <c r="X831" s="356" t="inlineStr">
        <is>
          <t>1.4:1</t>
        </is>
      </c>
      <c r="Y831" s="678">
        <f>ROUND(J831,-3)</f>
        <v/>
      </c>
      <c r="Z831" s="249" t="inlineStr">
        <is>
          <t xml:space="preserve">C </t>
        </is>
      </c>
      <c r="AA831" s="245" t="n">
        <v>3</v>
      </c>
      <c r="AB831" s="245" t="n">
        <v>3</v>
      </c>
      <c r="AC831" s="253" t="inlineStr">
        <is>
          <t>33</t>
        </is>
      </c>
      <c r="AD831" s="247" t="inlineStr">
        <is>
          <t>GAME EXCHNGE OF COLO</t>
        </is>
      </c>
      <c r="AE831" s="680" t="n"/>
      <c r="AF831" s="680" t="n"/>
      <c r="AG831" s="680" t="n"/>
      <c r="AH831" s="680" t="n"/>
      <c r="AI831" s="680" t="n"/>
      <c r="AJ831" s="680" t="n"/>
      <c r="AK831" s="680" t="inlineStr">
        <is>
          <t xml:space="preserve">M-T WHSE.; 4 TENANTS INCL OWNER; AGE OF LEASES UNKNOWN.           </t>
        </is>
      </c>
    </row>
    <row r="832">
      <c r="A832" s="248" t="n">
        <v>8</v>
      </c>
      <c r="B832" s="370" t="n">
        <v>824</v>
      </c>
      <c r="C832" s="254" t="inlineStr">
        <is>
          <t>2009Q</t>
        </is>
      </c>
      <c r="D832" s="245" t="inlineStr">
        <is>
          <t xml:space="preserve">05081-13-009-000 </t>
        </is>
      </c>
      <c r="E832" s="258" t="inlineStr">
        <is>
          <t>Actual</t>
        </is>
      </c>
      <c r="F832" s="259" t="inlineStr">
        <is>
          <t>2700 W 6TH                  AV</t>
        </is>
      </c>
      <c r="G832" s="672" t="n">
        <v>44.1</v>
      </c>
      <c r="H832" s="253" t="n">
        <v>9508</v>
      </c>
      <c r="I832" s="255" t="n">
        <v>0</v>
      </c>
      <c r="J832" s="678" t="n">
        <v>16096</v>
      </c>
      <c r="K832" s="679" t="n">
        <v>5.939612326043737</v>
      </c>
      <c r="L832" s="260" t="n">
        <v>0</v>
      </c>
      <c r="M832" s="262" t="n">
        <v>0</v>
      </c>
      <c r="N832" s="253" t="n">
        <v>1960</v>
      </c>
      <c r="O832" s="250" t="n">
        <v>4848</v>
      </c>
      <c r="Q832" s="245" t="n">
        <v>15</v>
      </c>
      <c r="R832" s="245" t="n">
        <v>3</v>
      </c>
      <c r="S832" s="245" t="n">
        <v>1</v>
      </c>
      <c r="T832" s="249" t="inlineStr">
        <is>
          <t xml:space="preserve">I1   </t>
        </is>
      </c>
      <c r="U832" s="249" t="n">
        <v>398</v>
      </c>
      <c r="V832" s="678" t="n">
        <v>30000</v>
      </c>
      <c r="W832" s="678" t="n">
        <v>30000</v>
      </c>
      <c r="X832" s="356" t="inlineStr">
        <is>
          <t>1.9:1</t>
        </is>
      </c>
      <c r="Y832" s="678">
        <f>ROUND(J832,-3)</f>
        <v/>
      </c>
      <c r="Z832" s="249" t="inlineStr">
        <is>
          <t xml:space="preserve">C </t>
        </is>
      </c>
      <c r="AA832" s="245" t="n">
        <v>3</v>
      </c>
      <c r="AB832" s="245" t="n">
        <v>3</v>
      </c>
      <c r="AC832" s="253" t="inlineStr">
        <is>
          <t>33</t>
        </is>
      </c>
      <c r="AD832" s="247" t="inlineStr">
        <is>
          <t xml:space="preserve">S-W SID HARVEY'S    </t>
        </is>
      </c>
      <c r="AE832" s="680" t="n"/>
      <c r="AF832" s="680" t="n"/>
      <c r="AG832" s="680" t="n"/>
      <c r="AH832" s="680" t="n"/>
      <c r="AI832" s="680" t="n"/>
      <c r="AJ832" s="680" t="n"/>
      <c r="AK832" s="680" t="inlineStr">
        <is>
          <t xml:space="preserve">S-T WHSE.; MO-TO-MO LEASE.                                        </t>
        </is>
      </c>
    </row>
    <row r="833">
      <c r="A833" s="248" t="n">
        <v>8</v>
      </c>
      <c r="B833" s="370" t="n">
        <v>825</v>
      </c>
      <c r="C833" s="254" t="inlineStr">
        <is>
          <t>2009Q</t>
        </is>
      </c>
      <c r="D833" s="245" t="inlineStr">
        <is>
          <t xml:space="preserve">05081-18-011-000 </t>
        </is>
      </c>
      <c r="E833" s="258" t="inlineStr">
        <is>
          <t>Actual</t>
        </is>
      </c>
      <c r="F833" s="259" t="inlineStr">
        <is>
          <t>2750 W 5TH                  AV</t>
        </is>
      </c>
      <c r="G833" s="672" t="n">
        <v>44.1</v>
      </c>
      <c r="H833" s="253" t="n">
        <v>9508</v>
      </c>
      <c r="I833" s="255" t="n">
        <v>0</v>
      </c>
      <c r="J833" s="678" t="n">
        <v>14000</v>
      </c>
      <c r="K833" s="679" t="n">
        <v>8.571428571428571</v>
      </c>
      <c r="L833" s="260" t="n">
        <v>0</v>
      </c>
      <c r="M833" s="262" t="n">
        <v>0.01163333333333333</v>
      </c>
      <c r="N833" s="253" t="n">
        <v>1972</v>
      </c>
      <c r="O833" s="250">
        <f>6213+2500</f>
        <v/>
      </c>
      <c r="Q833" s="245" t="n">
        <v>18</v>
      </c>
      <c r="R833" s="245" t="n">
        <v>3</v>
      </c>
      <c r="S833" s="245" t="n">
        <v>1</v>
      </c>
      <c r="T833" s="249" t="inlineStr">
        <is>
          <t xml:space="preserve">I0   </t>
        </is>
      </c>
      <c r="U833" s="249" t="n">
        <v>398</v>
      </c>
      <c r="V833" s="678" t="n">
        <v>27787</v>
      </c>
      <c r="W833" s="678" t="n">
        <v>28000</v>
      </c>
      <c r="X833" s="356" t="inlineStr">
        <is>
          <t>2.0:1</t>
        </is>
      </c>
      <c r="Y833" s="678">
        <f>ROUND(J833,-3)</f>
        <v/>
      </c>
      <c r="Z833" s="249" t="inlineStr">
        <is>
          <t xml:space="preserve">C </t>
        </is>
      </c>
      <c r="AA833" s="245" t="n">
        <v>3</v>
      </c>
      <c r="AB833" s="245" t="n">
        <v>3</v>
      </c>
      <c r="AC833" s="253" t="inlineStr">
        <is>
          <t>33</t>
        </is>
      </c>
      <c r="AD833" s="247" t="inlineStr">
        <is>
          <t xml:space="preserve">PEAK RESOURCES      </t>
        </is>
      </c>
      <c r="AE833" s="680" t="n"/>
      <c r="AF833" s="680" t="n"/>
      <c r="AG833" s="680" t="n"/>
      <c r="AH833" s="680" t="n"/>
      <c r="AI833" s="680" t="n"/>
      <c r="AJ833" s="680" t="n"/>
      <c r="AK833" s="680" t="inlineStr">
        <is>
          <t xml:space="preserve">S-T WHSE.; 2005 LEASE.                                            </t>
        </is>
      </c>
    </row>
    <row r="834">
      <c r="A834" s="248" t="n">
        <v>8</v>
      </c>
      <c r="B834" s="370" t="n">
        <v>826</v>
      </c>
      <c r="C834" s="254" t="inlineStr">
        <is>
          <t>2009Q</t>
        </is>
      </c>
      <c r="D834" s="245" t="inlineStr">
        <is>
          <t xml:space="preserve">05083-33-010-000 </t>
        </is>
      </c>
      <c r="E834" s="258" t="inlineStr">
        <is>
          <t>Actual</t>
        </is>
      </c>
      <c r="F834" s="259" t="inlineStr">
        <is>
          <t>105   FEDERAL              BV</t>
        </is>
      </c>
      <c r="G834" s="672" t="n">
        <v>44.1</v>
      </c>
      <c r="H834" s="253" t="n">
        <v>9508</v>
      </c>
      <c r="I834" s="255" t="n">
        <v>6</v>
      </c>
      <c r="J834" s="678" t="n">
        <v>3800</v>
      </c>
      <c r="K834" s="679" t="n">
        <v>9.473684210526315</v>
      </c>
      <c r="L834" s="260" t="n">
        <v>0</v>
      </c>
      <c r="M834" s="262" t="n">
        <v>0.16825</v>
      </c>
      <c r="N834" s="253" t="n">
        <v>1974</v>
      </c>
      <c r="P834" s="250" t="n">
        <v>1750</v>
      </c>
      <c r="Q834" s="245" t="n">
        <v>14</v>
      </c>
      <c r="R834" s="245" t="n">
        <v>1</v>
      </c>
      <c r="S834" s="245" t="n">
        <v>1</v>
      </c>
      <c r="T834" s="249" t="inlineStr">
        <is>
          <t xml:space="preserve">B4   </t>
        </is>
      </c>
      <c r="U834" s="249" t="n">
        <v>398</v>
      </c>
      <c r="V834" s="678" t="n">
        <v>6250</v>
      </c>
      <c r="W834" s="678" t="n">
        <v>6000</v>
      </c>
      <c r="X834" s="356" t="inlineStr">
        <is>
          <t>1.6:1</t>
        </is>
      </c>
      <c r="Y834" s="678">
        <f>ROUND(J834,-3)</f>
        <v/>
      </c>
      <c r="Z834" s="249" t="inlineStr">
        <is>
          <t xml:space="preserve">C </t>
        </is>
      </c>
      <c r="AA834" s="245" t="n">
        <v>3</v>
      </c>
      <c r="AB834" s="245" t="n">
        <v>3</v>
      </c>
      <c r="AC834" s="253" t="inlineStr">
        <is>
          <t>33</t>
        </is>
      </c>
      <c r="AD834" s="247" t="inlineStr">
        <is>
          <t xml:space="preserve">S-W VACANT          </t>
        </is>
      </c>
      <c r="AE834" s="680" t="n"/>
      <c r="AF834" s="680" t="n"/>
      <c r="AG834" s="680" t="n"/>
      <c r="AH834" s="680" t="n"/>
      <c r="AI834" s="680" t="n"/>
      <c r="AJ834" s="680" t="n"/>
      <c r="AK834" s="680" t="inlineStr">
        <is>
          <t xml:space="preserve">S-T WHSE.; 2006 LEASE.                                            </t>
        </is>
      </c>
    </row>
    <row r="835">
      <c r="A835" s="248" t="n">
        <v>8</v>
      </c>
      <c r="B835" s="370" t="n">
        <v>827</v>
      </c>
      <c r="C835" s="254" t="inlineStr">
        <is>
          <t>2009Q</t>
        </is>
      </c>
      <c r="D835" s="245" t="inlineStr">
        <is>
          <t xml:space="preserve">05084-00-025-000 </t>
        </is>
      </c>
      <c r="E835" s="258" t="inlineStr">
        <is>
          <t>Actual</t>
        </is>
      </c>
      <c r="F835" s="259" t="inlineStr">
        <is>
          <t>2395 W 2ND                  AV</t>
        </is>
      </c>
      <c r="G835" s="672" t="n">
        <v>44.2</v>
      </c>
      <c r="H835" s="253" t="n">
        <v>9508</v>
      </c>
      <c r="I835" s="255" t="n">
        <v>0</v>
      </c>
      <c r="J835" s="678" t="n">
        <v>16640</v>
      </c>
      <c r="K835" s="679" t="n">
        <v>7.285817307692308</v>
      </c>
      <c r="L835" s="260" t="n">
        <v>0</v>
      </c>
      <c r="M835" s="262" t="n">
        <v>0.08225279619914877</v>
      </c>
      <c r="N835" s="253" t="n">
        <v>1969</v>
      </c>
      <c r="O835" s="250">
        <f>2867+2451</f>
        <v/>
      </c>
      <c r="Q835" s="245" t="n">
        <v>20</v>
      </c>
      <c r="R835" s="245" t="n">
        <v>14</v>
      </c>
      <c r="S835" s="245" t="n">
        <v>1</v>
      </c>
      <c r="T835" s="249" t="inlineStr">
        <is>
          <t xml:space="preserve">I1   </t>
        </is>
      </c>
      <c r="U835" s="249" t="n">
        <v>398</v>
      </c>
      <c r="V835" s="678" t="n">
        <v>38742</v>
      </c>
      <c r="W835" s="678" t="n">
        <v>39000</v>
      </c>
      <c r="X835" s="356" t="inlineStr">
        <is>
          <t>2.3:1</t>
        </is>
      </c>
      <c r="Y835" s="678">
        <f>ROUND(J835,-3)</f>
        <v/>
      </c>
      <c r="Z835" s="249" t="inlineStr">
        <is>
          <t xml:space="preserve">C </t>
        </is>
      </c>
      <c r="AA835" s="245" t="n">
        <v>3</v>
      </c>
      <c r="AB835" s="245" t="n">
        <v>3</v>
      </c>
      <c r="AC835" s="253" t="inlineStr">
        <is>
          <t>33</t>
        </is>
      </c>
      <c r="AD835" s="247" t="inlineStr">
        <is>
          <t xml:space="preserve">BARNONESS WINES     </t>
        </is>
      </c>
      <c r="AE835" s="680" t="n"/>
      <c r="AF835" s="680" t="n"/>
      <c r="AG835" s="680" t="n"/>
      <c r="AH835" s="680" t="n"/>
      <c r="AI835" s="680" t="n"/>
      <c r="AJ835" s="680" t="n"/>
      <c r="AK835" s="680" t="inlineStr">
        <is>
          <t xml:space="preserve">S-T WHSE.; AGE OF LEASE UNKNOWN.                                  </t>
        </is>
      </c>
    </row>
    <row r="836">
      <c r="A836" s="248" t="n">
        <v>8</v>
      </c>
      <c r="B836" s="370" t="n">
        <v>828</v>
      </c>
      <c r="C836" s="254" t="inlineStr">
        <is>
          <t>2009Q</t>
        </is>
      </c>
      <c r="D836" s="245" t="inlineStr">
        <is>
          <t xml:space="preserve">05084-00-044-000 </t>
        </is>
      </c>
      <c r="E836" s="258" t="inlineStr">
        <is>
          <t>Actual</t>
        </is>
      </c>
      <c r="F836" s="259" t="inlineStr">
        <is>
          <t>2505 W 2ND                  AV</t>
        </is>
      </c>
      <c r="G836" s="672" t="n">
        <v>44.2</v>
      </c>
      <c r="H836" s="253" t="n">
        <v>9508</v>
      </c>
      <c r="I836" s="255" t="n">
        <v>0</v>
      </c>
      <c r="J836" s="678" t="n">
        <v>34866</v>
      </c>
      <c r="K836" s="679" t="n">
        <v>8.362014570068261</v>
      </c>
      <c r="L836" s="260" t="n">
        <v>0.2</v>
      </c>
      <c r="M836" s="262" t="n">
        <v>0.04106328245583948</v>
      </c>
      <c r="N836" s="253" t="n">
        <v>1984</v>
      </c>
      <c r="O836" s="250" t="n">
        <v>5654</v>
      </c>
      <c r="Q836" s="245" t="n">
        <v>18</v>
      </c>
      <c r="R836" s="245" t="n">
        <v>3</v>
      </c>
      <c r="S836" s="245" t="n">
        <v>1</v>
      </c>
      <c r="T836" s="249" t="inlineStr">
        <is>
          <t xml:space="preserve">I1   </t>
        </is>
      </c>
      <c r="U836" s="249" t="n">
        <v>398</v>
      </c>
      <c r="V836" s="678" t="n">
        <v>60428</v>
      </c>
      <c r="W836" s="678" t="n">
        <v>60000</v>
      </c>
      <c r="X836" s="356" t="inlineStr">
        <is>
          <t>1.6:1</t>
        </is>
      </c>
      <c r="Y836" s="678">
        <f>ROUND(J836,-3)</f>
        <v/>
      </c>
      <c r="Z836" s="249" t="inlineStr">
        <is>
          <t xml:space="preserve">C </t>
        </is>
      </c>
      <c r="AA836" s="245" t="n">
        <v>3</v>
      </c>
      <c r="AB836" s="245" t="n">
        <v>3</v>
      </c>
      <c r="AC836" s="253" t="inlineStr">
        <is>
          <t>33</t>
        </is>
      </c>
      <c r="AD836" s="247" t="inlineStr">
        <is>
          <t xml:space="preserve">MW 16 UNITS         </t>
        </is>
      </c>
      <c r="AE836" s="680" t="n"/>
      <c r="AF836" s="680" t="n"/>
      <c r="AG836" s="680" t="n"/>
      <c r="AH836" s="680" t="n"/>
      <c r="AI836" s="680" t="n"/>
      <c r="AJ836" s="680" t="n"/>
      <c r="AK836" s="680" t="inlineStr">
        <is>
          <t xml:space="preserve">DATE OF LEASE &amp; # OF TENANTS UNKNOWN.                             </t>
        </is>
      </c>
    </row>
    <row r="837">
      <c r="A837" s="248" t="n">
        <v>8</v>
      </c>
      <c r="B837" s="370" t="n">
        <v>829</v>
      </c>
      <c r="C837" s="254" t="inlineStr">
        <is>
          <t>2009Q</t>
        </is>
      </c>
      <c r="D837" s="245" t="inlineStr">
        <is>
          <t xml:space="preserve">05084-00-052-000 </t>
        </is>
      </c>
      <c r="E837" s="258" t="inlineStr">
        <is>
          <t>Actual</t>
        </is>
      </c>
      <c r="F837" s="259" t="inlineStr">
        <is>
          <t>210   BRYANT               ST</t>
        </is>
      </c>
      <c r="G837" s="672" t="n">
        <v>44.1</v>
      </c>
      <c r="H837" s="253" t="n">
        <v>9508</v>
      </c>
      <c r="I837" s="255" t="n">
        <v>0</v>
      </c>
      <c r="J837" s="678" t="n">
        <v>4800</v>
      </c>
      <c r="K837" s="679" t="n">
        <v>7.5</v>
      </c>
      <c r="L837" s="260" t="n">
        <v>0</v>
      </c>
      <c r="M837" s="262" t="n">
        <v>0.1055555555555556</v>
      </c>
      <c r="N837" s="253" t="n">
        <v>1972</v>
      </c>
      <c r="O837" s="250" t="n">
        <v>1458</v>
      </c>
      <c r="P837" s="250" t="n">
        <v>1020</v>
      </c>
      <c r="Q837" s="245" t="n">
        <v>15</v>
      </c>
      <c r="R837" s="245" t="n">
        <v>3</v>
      </c>
      <c r="S837" s="245" t="n">
        <v>1</v>
      </c>
      <c r="T837" s="249" t="inlineStr">
        <is>
          <t xml:space="preserve">I1   </t>
        </is>
      </c>
      <c r="U837" s="249" t="n">
        <v>398</v>
      </c>
      <c r="V837" s="678" t="n">
        <v>15330</v>
      </c>
      <c r="W837" s="678" t="n">
        <v>15000</v>
      </c>
      <c r="X837" s="356" t="inlineStr">
        <is>
          <t>3.2:1</t>
        </is>
      </c>
      <c r="Y837" s="678">
        <f>ROUND(J837,-3)</f>
        <v/>
      </c>
      <c r="Z837" s="249" t="inlineStr">
        <is>
          <t xml:space="preserve">C </t>
        </is>
      </c>
      <c r="AA837" s="245" t="n">
        <v>3</v>
      </c>
      <c r="AB837" s="245" t="n">
        <v>3</v>
      </c>
      <c r="AC837" s="253" t="inlineStr">
        <is>
          <t>33</t>
        </is>
      </c>
      <c r="AD837" s="247" t="inlineStr">
        <is>
          <t xml:space="preserve">S-W                 </t>
        </is>
      </c>
      <c r="AE837" s="680" t="n"/>
      <c r="AF837" s="680" t="n"/>
      <c r="AG837" s="680" t="n"/>
      <c r="AH837" s="680" t="n"/>
      <c r="AI837" s="680" t="n"/>
      <c r="AJ837" s="680" t="n"/>
      <c r="AK837" s="680" t="inlineStr">
        <is>
          <t xml:space="preserve">S-T WHSE.                                                         </t>
        </is>
      </c>
    </row>
    <row r="838">
      <c r="A838" s="248" t="n">
        <v>8</v>
      </c>
      <c r="B838" s="370" t="n">
        <v>830</v>
      </c>
      <c r="C838" s="254" t="inlineStr">
        <is>
          <t>2009Q</t>
        </is>
      </c>
      <c r="D838" s="245" t="inlineStr">
        <is>
          <t xml:space="preserve">05084-00-053-000 </t>
        </is>
      </c>
      <c r="E838" s="258" t="inlineStr">
        <is>
          <t>Actual</t>
        </is>
      </c>
      <c r="F838" s="259" t="inlineStr">
        <is>
          <t>2695 W 3RD                  AV</t>
        </is>
      </c>
      <c r="G838" s="672" t="n">
        <v>44.1</v>
      </c>
      <c r="H838" s="253" t="n">
        <v>9508</v>
      </c>
      <c r="I838" s="255" t="n">
        <v>0</v>
      </c>
      <c r="J838" s="678" t="n">
        <v>10000</v>
      </c>
      <c r="K838" s="679" t="n">
        <v>8.206200000000001</v>
      </c>
      <c r="L838" s="260" t="n">
        <v>0</v>
      </c>
      <c r="M838" s="262" t="n">
        <v>0.09994881918549389</v>
      </c>
      <c r="N838" s="253" t="n">
        <v>1963</v>
      </c>
      <c r="O838" s="250" t="n">
        <v>4291</v>
      </c>
      <c r="Q838" s="245" t="n">
        <v>15</v>
      </c>
      <c r="R838" s="245" t="n">
        <v>3</v>
      </c>
      <c r="S838" s="245" t="n">
        <v>1</v>
      </c>
      <c r="T838" s="249" t="inlineStr">
        <is>
          <t xml:space="preserve">I0   </t>
        </is>
      </c>
      <c r="U838" s="249" t="n">
        <v>398</v>
      </c>
      <c r="V838" s="678" t="n">
        <v>18722</v>
      </c>
      <c r="W838" s="678" t="n">
        <v>19000</v>
      </c>
      <c r="X838" s="356" t="inlineStr">
        <is>
          <t>1.9:1</t>
        </is>
      </c>
      <c r="Y838" s="678">
        <f>ROUND(J838,-3)</f>
        <v/>
      </c>
      <c r="Z838" s="249" t="inlineStr">
        <is>
          <t xml:space="preserve">C </t>
        </is>
      </c>
      <c r="AA838" s="245" t="n">
        <v>3</v>
      </c>
      <c r="AB838" s="245" t="n">
        <v>3</v>
      </c>
      <c r="AC838" s="253" t="inlineStr">
        <is>
          <t>33</t>
        </is>
      </c>
      <c r="AD838" s="247" t="inlineStr">
        <is>
          <t>                    </t>
        </is>
      </c>
      <c r="AE838" s="680" t="n"/>
      <c r="AF838" s="680" t="n"/>
      <c r="AG838" s="680" t="n"/>
      <c r="AH838" s="680" t="n"/>
      <c r="AI838" s="680" t="n"/>
      <c r="AJ838" s="680" t="n"/>
      <c r="AK838" s="680" t="inlineStr">
        <is>
          <t xml:space="preserve">S-T WHSE.; 2003 LEASE.                                            </t>
        </is>
      </c>
    </row>
    <row r="839">
      <c r="A839" s="248" t="n">
        <v>8</v>
      </c>
      <c r="B839" s="370" t="n">
        <v>831</v>
      </c>
      <c r="C839" s="254" t="inlineStr">
        <is>
          <t>2009Q</t>
        </is>
      </c>
      <c r="D839" s="245" t="inlineStr">
        <is>
          <t xml:space="preserve">05084-01-008-000 </t>
        </is>
      </c>
      <c r="E839" s="258" t="inlineStr">
        <is>
          <t>Actual</t>
        </is>
      </c>
      <c r="F839" s="259" t="inlineStr">
        <is>
          <t>2744 W 4TH                  AV</t>
        </is>
      </c>
      <c r="G839" s="672" t="n">
        <v>44.1</v>
      </c>
      <c r="H839" s="253" t="n">
        <v>9508</v>
      </c>
      <c r="I839" s="255" t="n">
        <v>0</v>
      </c>
      <c r="J839" s="678" t="n">
        <v>7692</v>
      </c>
      <c r="K839" s="679" t="n">
        <v>15.600624024961</v>
      </c>
      <c r="L839" s="260" t="n">
        <v>0</v>
      </c>
      <c r="M839" s="262" t="n">
        <v>0</v>
      </c>
      <c r="N839" s="253" t="n">
        <v>1974</v>
      </c>
      <c r="P839" s="250" t="n">
        <v>3161</v>
      </c>
      <c r="Q839" s="245" t="n">
        <v>18</v>
      </c>
      <c r="R839" s="245" t="n">
        <v>14</v>
      </c>
      <c r="S839" s="245" t="n">
        <v>1</v>
      </c>
      <c r="T839" s="249" t="inlineStr">
        <is>
          <t xml:space="preserve">I0   </t>
        </is>
      </c>
      <c r="U839" s="249" t="n">
        <v>398</v>
      </c>
      <c r="V839" s="678" t="n">
        <v>16250</v>
      </c>
      <c r="W839" s="678" t="n">
        <v>16000</v>
      </c>
      <c r="X839" s="356" t="inlineStr">
        <is>
          <t>2.1:1</t>
        </is>
      </c>
      <c r="Y839" s="678">
        <f>ROUND(J839,-3)</f>
        <v/>
      </c>
      <c r="Z839" s="249" t="inlineStr">
        <is>
          <t xml:space="preserve">C </t>
        </is>
      </c>
      <c r="AA839" s="245" t="n">
        <v>3</v>
      </c>
      <c r="AB839" s="245" t="n">
        <v>3</v>
      </c>
      <c r="AC839" s="253" t="inlineStr">
        <is>
          <t>33</t>
        </is>
      </c>
      <c r="AD839" s="247" t="inlineStr">
        <is>
          <t>                    </t>
        </is>
      </c>
      <c r="AE839" s="680" t="n"/>
      <c r="AF839" s="680" t="n"/>
      <c r="AG839" s="680" t="n"/>
      <c r="AH839" s="680" t="n"/>
      <c r="AI839" s="680" t="n"/>
      <c r="AJ839" s="680" t="n"/>
      <c r="AK839" s="680" t="inlineStr">
        <is>
          <t xml:space="preserve">S-T WHSE.; 2005 LEASE.                                            </t>
        </is>
      </c>
    </row>
    <row r="840">
      <c r="A840" s="248" t="n">
        <v>8</v>
      </c>
      <c r="B840" s="370" t="n">
        <v>832</v>
      </c>
      <c r="C840" s="254" t="inlineStr">
        <is>
          <t>2009Q</t>
        </is>
      </c>
      <c r="D840" s="245" t="inlineStr">
        <is>
          <t xml:space="preserve">05084-04-017-000 </t>
        </is>
      </c>
      <c r="E840" s="258" t="inlineStr">
        <is>
          <t>Actual</t>
        </is>
      </c>
      <c r="F840" s="259" t="inlineStr">
        <is>
          <t>2737 W 2ND                  AV</t>
        </is>
      </c>
      <c r="G840" s="672" t="n">
        <v>44.2</v>
      </c>
      <c r="H840" s="253" t="n">
        <v>9508</v>
      </c>
      <c r="I840" s="255" t="n">
        <v>0</v>
      </c>
      <c r="J840" s="678" t="n">
        <v>6448</v>
      </c>
      <c r="K840" s="679" t="n">
        <v>7.111507444168734</v>
      </c>
      <c r="L840" s="260" t="n">
        <v>0</v>
      </c>
      <c r="M840" s="262" t="n">
        <v>0.03637553156689565</v>
      </c>
      <c r="N840" s="253" t="n">
        <v>1982</v>
      </c>
      <c r="O840" s="250" t="n">
        <v>1805</v>
      </c>
      <c r="Q840" s="245" t="n">
        <v>16</v>
      </c>
      <c r="R840" s="245" t="n">
        <v>3</v>
      </c>
      <c r="S840" s="245" t="n">
        <v>1</v>
      </c>
      <c r="T840" s="249" t="inlineStr">
        <is>
          <t xml:space="preserve">I0   </t>
        </is>
      </c>
      <c r="U840" s="249" t="n">
        <v>398</v>
      </c>
      <c r="V840" s="678" t="n">
        <v>17875</v>
      </c>
      <c r="W840" s="678" t="n">
        <v>18000</v>
      </c>
      <c r="X840" s="356" t="inlineStr">
        <is>
          <t>2.8:1</t>
        </is>
      </c>
      <c r="Y840" s="678">
        <f>ROUND(J840,-3)</f>
        <v/>
      </c>
      <c r="Z840" s="249" t="inlineStr">
        <is>
          <t xml:space="preserve">C </t>
        </is>
      </c>
      <c r="AA840" s="245" t="n">
        <v>3</v>
      </c>
      <c r="AB840" s="245" t="n">
        <v>3</v>
      </c>
      <c r="AC840" s="253" t="inlineStr">
        <is>
          <t>33</t>
        </is>
      </c>
      <c r="AD840" s="247" t="inlineStr">
        <is>
          <t>                    </t>
        </is>
      </c>
      <c r="AE840" s="680" t="n"/>
      <c r="AF840" s="680" t="n"/>
      <c r="AG840" s="680" t="n"/>
      <c r="AH840" s="680" t="n"/>
      <c r="AI840" s="680" t="n"/>
      <c r="AJ840" s="680" t="n"/>
      <c r="AK840" s="680" t="inlineStr">
        <is>
          <t xml:space="preserve">S-T WHSE.; 2006 LEASE.                                            </t>
        </is>
      </c>
    </row>
    <row r="841">
      <c r="A841" s="248" t="n">
        <v>8</v>
      </c>
      <c r="B841" s="370" t="n">
        <v>833</v>
      </c>
      <c r="C841" s="254" t="inlineStr">
        <is>
          <t>2009Q</t>
        </is>
      </c>
      <c r="D841" s="245" t="inlineStr">
        <is>
          <t xml:space="preserve">05084-09-037-037 </t>
        </is>
      </c>
      <c r="E841" s="258" t="inlineStr">
        <is>
          <t>Actual</t>
        </is>
      </c>
      <c r="F841" s="259" t="inlineStr">
        <is>
          <t>2550 W 2ND                  AV</t>
        </is>
      </c>
      <c r="G841" s="672" t="n">
        <v>44.8</v>
      </c>
      <c r="H841" s="253" t="n">
        <v>9508</v>
      </c>
      <c r="I841" s="255" t="n">
        <v>0</v>
      </c>
      <c r="J841" s="678" t="n">
        <v>8586</v>
      </c>
      <c r="K841" s="679" t="n">
        <v>10.48218029350105</v>
      </c>
      <c r="L841" s="260" t="n">
        <v>0</v>
      </c>
      <c r="M841" s="262" t="n">
        <v>0</v>
      </c>
      <c r="N841" s="253" t="n">
        <v>1968</v>
      </c>
      <c r="Q841" s="245" t="n">
        <v>20</v>
      </c>
      <c r="R841" s="245" t="n">
        <v>14</v>
      </c>
      <c r="S841" s="245" t="n">
        <v>1</v>
      </c>
      <c r="T841" s="249" t="inlineStr">
        <is>
          <t xml:space="preserve">I1   </t>
        </is>
      </c>
      <c r="U841" s="249" t="n">
        <v>398</v>
      </c>
      <c r="V841" s="678" t="n">
        <v>17648</v>
      </c>
      <c r="W841" s="678" t="n">
        <v>18000</v>
      </c>
      <c r="X841" s="356" t="inlineStr">
        <is>
          <t>2.1:1</t>
        </is>
      </c>
      <c r="Y841" s="678">
        <f>ROUND(J841,-3)</f>
        <v/>
      </c>
      <c r="Z841" s="249" t="inlineStr">
        <is>
          <t xml:space="preserve">C </t>
        </is>
      </c>
      <c r="AA841" s="245" t="n">
        <v>3</v>
      </c>
      <c r="AB841" s="245" t="n">
        <v>3</v>
      </c>
      <c r="AC841" s="253" t="inlineStr">
        <is>
          <t>33</t>
        </is>
      </c>
      <c r="AD841" s="247" t="inlineStr">
        <is>
          <t>BRYANT ST CONDO #102</t>
        </is>
      </c>
      <c r="AE841" s="680" t="n"/>
      <c r="AF841" s="680" t="n"/>
      <c r="AG841" s="680" t="n"/>
      <c r="AH841" s="680" t="n"/>
      <c r="AI841" s="680" t="n"/>
      <c r="AJ841" s="680" t="n"/>
      <c r="AK841" s="680" t="inlineStr">
        <is>
          <t xml:space="preserve">S-T WHSE. CONDO.                                                  </t>
        </is>
      </c>
    </row>
    <row r="842">
      <c r="A842" s="248" t="n">
        <v>8</v>
      </c>
      <c r="B842" s="370" t="n">
        <v>834</v>
      </c>
      <c r="C842" s="254" t="inlineStr">
        <is>
          <t>2009Q</t>
        </is>
      </c>
      <c r="D842" s="245" t="inlineStr">
        <is>
          <t xml:space="preserve">05091-00-003-000 </t>
        </is>
      </c>
      <c r="E842" s="258" t="inlineStr">
        <is>
          <t>Actual</t>
        </is>
      </c>
      <c r="F842" s="259" t="inlineStr">
        <is>
          <t>577   OSAGE                ST</t>
        </is>
      </c>
      <c r="G842" s="672" t="n">
        <v>44.2</v>
      </c>
      <c r="H842" s="253" t="n">
        <v>9505</v>
      </c>
      <c r="I842" s="255" t="n">
        <v>0</v>
      </c>
      <c r="J842" s="678" t="n">
        <v>51985</v>
      </c>
      <c r="K842" s="679" t="n">
        <v>5.4</v>
      </c>
      <c r="L842" s="260" t="n">
        <v>0</v>
      </c>
      <c r="M842" s="262" t="n">
        <v>0</v>
      </c>
      <c r="N842" s="253" t="n">
        <v>1973</v>
      </c>
      <c r="O842" s="250" t="n">
        <v>2478</v>
      </c>
      <c r="Q842" s="245" t="n">
        <v>22</v>
      </c>
      <c r="R842" s="245" t="n">
        <v>14</v>
      </c>
      <c r="S842" s="245" t="n">
        <v>1</v>
      </c>
      <c r="T842" s="249" t="inlineStr">
        <is>
          <t xml:space="preserve">I1   </t>
        </is>
      </c>
      <c r="U842" s="249" t="n">
        <v>398</v>
      </c>
      <c r="V842" s="678" t="n">
        <v>54671</v>
      </c>
      <c r="W842" s="678" t="n">
        <v>50000</v>
      </c>
      <c r="X842" s="356" t="inlineStr">
        <is>
          <t>1.1:1</t>
        </is>
      </c>
      <c r="Y842" s="678">
        <f>ROUND(J842,-4)</f>
        <v/>
      </c>
      <c r="Z842" s="249" t="inlineStr">
        <is>
          <t xml:space="preserve">C </t>
        </is>
      </c>
      <c r="AA842" s="245" t="n">
        <v>2</v>
      </c>
      <c r="AB842" s="245" t="n">
        <v>1</v>
      </c>
      <c r="AC842" s="253" t="inlineStr">
        <is>
          <t>21</t>
        </is>
      </c>
      <c r="AD842" s="247" t="inlineStr">
        <is>
          <t>                    </t>
        </is>
      </c>
      <c r="AE842" s="680" t="n"/>
      <c r="AF842" s="680" t="n"/>
      <c r="AG842" s="680" t="n"/>
      <c r="AH842" s="680" t="n"/>
      <c r="AI842" s="680" t="n"/>
      <c r="AJ842" s="680" t="n"/>
      <c r="AK842" s="680" t="inlineStr">
        <is>
          <t xml:space="preserve">S-T WHSE.                                                         </t>
        </is>
      </c>
    </row>
    <row r="843">
      <c r="A843" s="248" t="n">
        <v>8</v>
      </c>
      <c r="B843" s="370" t="n">
        <v>835</v>
      </c>
      <c r="C843" s="254" t="inlineStr">
        <is>
          <t>2009Q</t>
        </is>
      </c>
      <c r="D843" s="245" t="inlineStr">
        <is>
          <t xml:space="preserve">05091-00-049-000 </t>
        </is>
      </c>
      <c r="E843" s="258" t="inlineStr">
        <is>
          <t>Actual</t>
        </is>
      </c>
      <c r="F843" s="259" t="inlineStr">
        <is>
          <t>123   RIO GRANDE           BV</t>
        </is>
      </c>
      <c r="G843" s="672" t="n">
        <v>44.2</v>
      </c>
      <c r="H843" s="253" t="n">
        <v>9505</v>
      </c>
      <c r="I843" s="255" t="n">
        <v>0</v>
      </c>
      <c r="J843" s="678" t="n">
        <v>12994</v>
      </c>
      <c r="K843" s="679" t="n">
        <v>7.107280283207634</v>
      </c>
      <c r="L843" s="260" t="n">
        <v>0</v>
      </c>
      <c r="M843" s="262" t="n">
        <v>0.1374631843381843</v>
      </c>
      <c r="N843" s="253" t="n">
        <v>1959</v>
      </c>
      <c r="O843" s="250" t="n">
        <v>2548</v>
      </c>
      <c r="Q843" s="245" t="n">
        <v>16</v>
      </c>
      <c r="R843" s="245" t="n">
        <v>1</v>
      </c>
      <c r="S843" s="245" t="n">
        <v>1</v>
      </c>
      <c r="T843" s="249" t="inlineStr">
        <is>
          <t xml:space="preserve">I1   </t>
        </is>
      </c>
      <c r="U843" s="249" t="n">
        <v>398</v>
      </c>
      <c r="V843" s="678" t="n">
        <v>20500</v>
      </c>
      <c r="W843" s="678" t="n">
        <v>21000</v>
      </c>
      <c r="X843" s="356" t="inlineStr">
        <is>
          <t>1.6:1</t>
        </is>
      </c>
      <c r="Y843" s="678">
        <f>ROUND(J843,-3)</f>
        <v/>
      </c>
      <c r="Z843" s="249" t="inlineStr">
        <is>
          <t xml:space="preserve">C </t>
        </is>
      </c>
      <c r="AA843" s="245" t="n">
        <v>3</v>
      </c>
      <c r="AB843" s="245" t="n">
        <v>3</v>
      </c>
      <c r="AC843" s="253" t="inlineStr">
        <is>
          <t>33</t>
        </is>
      </c>
      <c r="AD843" s="247" t="inlineStr">
        <is>
          <t xml:space="preserve">DIST                </t>
        </is>
      </c>
      <c r="AE843" s="680" t="n"/>
      <c r="AF843" s="680" t="n"/>
      <c r="AG843" s="680" t="n"/>
      <c r="AH843" s="680" t="n"/>
      <c r="AI843" s="680" t="n"/>
      <c r="AJ843" s="680" t="n"/>
      <c r="AK843" s="680" t="inlineStr">
        <is>
          <t xml:space="preserve">S-T WHSE.; 2005 LEASE.                                            </t>
        </is>
      </c>
    </row>
    <row r="844">
      <c r="A844" s="248" t="n">
        <v>8</v>
      </c>
      <c r="B844" s="370" t="n">
        <v>836</v>
      </c>
      <c r="C844" s="254" t="inlineStr">
        <is>
          <t>2009Q</t>
        </is>
      </c>
      <c r="D844" s="245" t="inlineStr">
        <is>
          <t xml:space="preserve">05091-00-050-000 </t>
        </is>
      </c>
      <c r="E844" s="258" t="inlineStr">
        <is>
          <t>Actual</t>
        </is>
      </c>
      <c r="F844" s="259" t="inlineStr">
        <is>
          <t>1490 W 3RD                  AV</t>
        </is>
      </c>
      <c r="G844" s="672" t="n">
        <v>44.2</v>
      </c>
      <c r="H844" s="253" t="n">
        <v>9505</v>
      </c>
      <c r="I844" s="255" t="n">
        <v>0</v>
      </c>
      <c r="J844" s="678" t="n">
        <v>8502</v>
      </c>
      <c r="K844" s="679" t="n">
        <v>7.339449541284404</v>
      </c>
      <c r="L844" s="260" t="n">
        <v>0</v>
      </c>
      <c r="M844" s="262" t="n">
        <v>0</v>
      </c>
      <c r="N844" s="253" t="n">
        <v>1968</v>
      </c>
      <c r="O844" s="250">
        <f>7467+1642</f>
        <v/>
      </c>
      <c r="Q844" s="245" t="n">
        <v>16</v>
      </c>
      <c r="R844" s="245" t="n">
        <v>1</v>
      </c>
      <c r="S844" s="245" t="n">
        <v>1</v>
      </c>
      <c r="T844" s="249" t="inlineStr">
        <is>
          <t xml:space="preserve">I1   </t>
        </is>
      </c>
      <c r="U844" s="249" t="n">
        <v>398</v>
      </c>
      <c r="V844" s="678" t="n">
        <v>12400</v>
      </c>
      <c r="W844" s="678" t="n">
        <v>12000</v>
      </c>
      <c r="X844" s="356" t="inlineStr">
        <is>
          <t>1.5:1</t>
        </is>
      </c>
      <c r="Y844" s="678">
        <f>ROUND(J844,-3)</f>
        <v/>
      </c>
      <c r="Z844" s="249" t="inlineStr">
        <is>
          <t xml:space="preserve">C </t>
        </is>
      </c>
      <c r="AA844" s="245" t="n">
        <v>3</v>
      </c>
      <c r="AB844" s="245" t="n">
        <v>3</v>
      </c>
      <c r="AC844" s="253" t="inlineStr">
        <is>
          <t>33</t>
        </is>
      </c>
      <c r="AD844" s="247" t="inlineStr">
        <is>
          <t>                    </t>
        </is>
      </c>
      <c r="AE844" s="680" t="n"/>
      <c r="AF844" s="680" t="n"/>
      <c r="AG844" s="680" t="n"/>
      <c r="AH844" s="680" t="n"/>
      <c r="AI844" s="680" t="n"/>
      <c r="AJ844" s="680" t="n"/>
      <c r="AK844" s="680" t="inlineStr">
        <is>
          <t xml:space="preserve">S-T WHSE.; 2005 LEASE.                                            </t>
        </is>
      </c>
    </row>
    <row r="845">
      <c r="A845" s="248" t="n">
        <v>8</v>
      </c>
      <c r="B845" s="370" t="n">
        <v>837</v>
      </c>
      <c r="C845" s="254" t="inlineStr">
        <is>
          <t>2009Q</t>
        </is>
      </c>
      <c r="D845" s="245" t="inlineStr">
        <is>
          <t xml:space="preserve">05091-00-067-000 </t>
        </is>
      </c>
      <c r="E845" s="258" t="inlineStr">
        <is>
          <t>Actual</t>
        </is>
      </c>
      <c r="F845" s="259" t="inlineStr">
        <is>
          <t>1480 W 3RD                  AV</t>
        </is>
      </c>
      <c r="G845" s="672" t="n">
        <v>44.1</v>
      </c>
      <c r="H845" s="253" t="n">
        <v>9505</v>
      </c>
      <c r="I845" s="255" t="n">
        <v>0</v>
      </c>
      <c r="J845" s="678" t="n">
        <v>7200</v>
      </c>
      <c r="K845" s="679" t="n">
        <v>6.666666666666667</v>
      </c>
      <c r="L845" s="260" t="n">
        <v>0</v>
      </c>
      <c r="M845" s="262" t="n">
        <v>0</v>
      </c>
      <c r="N845" s="253" t="n">
        <v>1966</v>
      </c>
      <c r="O845" s="250" t="n">
        <v>4200</v>
      </c>
      <c r="Q845" s="245" t="n">
        <v>14</v>
      </c>
      <c r="R845" s="245" t="n">
        <v>3</v>
      </c>
      <c r="S845" s="245" t="n">
        <v>1</v>
      </c>
      <c r="T845" s="249" t="inlineStr">
        <is>
          <t xml:space="preserve">I1   </t>
        </is>
      </c>
      <c r="U845" s="249" t="n">
        <v>398</v>
      </c>
      <c r="V845" s="678" t="n">
        <v>11917</v>
      </c>
      <c r="W845" s="678" t="n">
        <v>12000</v>
      </c>
      <c r="X845" s="356" t="inlineStr">
        <is>
          <t>1.7:1</t>
        </is>
      </c>
      <c r="Y845" s="678">
        <f>ROUND(J845,-3)</f>
        <v/>
      </c>
      <c r="Z845" s="249" t="inlineStr">
        <is>
          <t xml:space="preserve">C </t>
        </is>
      </c>
      <c r="AA845" s="245" t="n">
        <v>3</v>
      </c>
      <c r="AB845" s="245" t="n">
        <v>3</v>
      </c>
      <c r="AC845" s="253" t="inlineStr">
        <is>
          <t>33</t>
        </is>
      </c>
      <c r="AD845" s="247" t="inlineStr">
        <is>
          <t>                    </t>
        </is>
      </c>
      <c r="AE845" s="680" t="n"/>
      <c r="AF845" s="680" t="n"/>
      <c r="AG845" s="680" t="n"/>
      <c r="AH845" s="680" t="n"/>
      <c r="AI845" s="680" t="n"/>
      <c r="AJ845" s="680" t="n"/>
      <c r="AK845" s="680" t="inlineStr">
        <is>
          <t xml:space="preserve">S-T WHSE.; 2004 LEASE.                                            </t>
        </is>
      </c>
    </row>
    <row r="846">
      <c r="A846" s="248" t="n">
        <v>8</v>
      </c>
      <c r="B846" s="370" t="n">
        <v>838</v>
      </c>
      <c r="C846" s="254" t="inlineStr">
        <is>
          <t>2009Q</t>
        </is>
      </c>
      <c r="D846" s="245" t="inlineStr">
        <is>
          <t xml:space="preserve">05091-00-082-000 </t>
        </is>
      </c>
      <c r="E846" s="258" t="inlineStr">
        <is>
          <t>Actual</t>
        </is>
      </c>
      <c r="F846" s="259" t="inlineStr">
        <is>
          <t>485   OSAGE                ST</t>
        </is>
      </c>
      <c r="G846" s="672" t="n">
        <v>44.1</v>
      </c>
      <c r="H846" s="253" t="n">
        <v>9505</v>
      </c>
      <c r="I846" s="255" t="n">
        <v>0</v>
      </c>
      <c r="J846" s="678" t="n">
        <v>19565</v>
      </c>
      <c r="K846" s="679" t="n">
        <v>6.133401482238692</v>
      </c>
      <c r="L846" s="260" t="n">
        <v>0</v>
      </c>
      <c r="M846" s="262" t="n">
        <v>0.001125</v>
      </c>
      <c r="N846" s="253" t="n">
        <v>1960</v>
      </c>
      <c r="O846" s="250" t="n">
        <v>2015</v>
      </c>
      <c r="Q846" s="245" t="n">
        <v>17</v>
      </c>
      <c r="R846" s="245" t="n">
        <v>3</v>
      </c>
      <c r="S846" s="245" t="n">
        <v>1</v>
      </c>
      <c r="T846" s="249" t="inlineStr">
        <is>
          <t xml:space="preserve">I1   </t>
        </is>
      </c>
      <c r="U846" s="249" t="n">
        <v>398</v>
      </c>
      <c r="V846" s="678" t="n">
        <v>43372</v>
      </c>
      <c r="W846" s="678" t="n">
        <v>43000</v>
      </c>
      <c r="X846" s="356" t="inlineStr">
        <is>
          <t>2.2:1</t>
        </is>
      </c>
      <c r="Y846" s="678">
        <f>ROUND(J846,-3)</f>
        <v/>
      </c>
      <c r="Z846" s="249" t="inlineStr">
        <is>
          <t xml:space="preserve">C </t>
        </is>
      </c>
      <c r="AA846" s="245" t="n">
        <v>3</v>
      </c>
      <c r="AB846" s="245" t="n">
        <v>3</v>
      </c>
      <c r="AC846" s="253" t="inlineStr">
        <is>
          <t>33</t>
        </is>
      </c>
      <c r="AD846" s="247" t="inlineStr">
        <is>
          <t xml:space="preserve">COLO WIRE &amp; CABLE   </t>
        </is>
      </c>
      <c r="AE846" s="680" t="n"/>
      <c r="AF846" s="680" t="n"/>
      <c r="AG846" s="680" t="n"/>
      <c r="AH846" s="680" t="n"/>
      <c r="AI846" s="680" t="n"/>
      <c r="AJ846" s="680" t="n"/>
      <c r="AK846" s="680" t="inlineStr">
        <is>
          <t xml:space="preserve">S-T WHSE.; AGE OF LEASE UNKNOWN.                                  </t>
        </is>
      </c>
    </row>
    <row r="847">
      <c r="A847" s="248" t="n">
        <v>8</v>
      </c>
      <c r="B847" s="370" t="n">
        <v>839</v>
      </c>
      <c r="C847" s="254" t="inlineStr">
        <is>
          <t>2009Q</t>
        </is>
      </c>
      <c r="D847" s="245" t="inlineStr">
        <is>
          <t xml:space="preserve">05091-00-133-000 </t>
        </is>
      </c>
      <c r="E847" s="258" t="inlineStr">
        <is>
          <t>Actual</t>
        </is>
      </c>
      <c r="F847" s="259" t="inlineStr">
        <is>
          <t>275   RIO GRANDE           BV</t>
        </is>
      </c>
      <c r="G847" s="672" t="n">
        <v>44.1</v>
      </c>
      <c r="H847" s="253" t="n">
        <v>9505</v>
      </c>
      <c r="I847" s="255" t="n">
        <v>0</v>
      </c>
      <c r="J847" s="678" t="n">
        <v>51633</v>
      </c>
      <c r="K847" s="679" t="n">
        <v>4.069993996087773</v>
      </c>
      <c r="L847" s="260" t="n">
        <v>0</v>
      </c>
      <c r="M847" s="262" t="n">
        <v>0</v>
      </c>
      <c r="N847" s="253" t="n">
        <v>1957</v>
      </c>
      <c r="O847" s="250" t="n">
        <v>6565</v>
      </c>
      <c r="Q847" s="245" t="n">
        <v>14</v>
      </c>
      <c r="R847" s="245" t="n">
        <v>3</v>
      </c>
      <c r="S847" s="245" t="n">
        <v>1</v>
      </c>
      <c r="T847" s="249" t="inlineStr">
        <is>
          <t xml:space="preserve">I1   </t>
        </is>
      </c>
      <c r="U847" s="249" t="n">
        <v>398</v>
      </c>
      <c r="V847" s="678" t="n">
        <v>74400</v>
      </c>
      <c r="W847" s="678" t="n">
        <v>70000</v>
      </c>
      <c r="X847" s="356" t="inlineStr">
        <is>
          <t>1.4:1</t>
        </is>
      </c>
      <c r="Y847" s="678">
        <f>ROUND(J847,-4)</f>
        <v/>
      </c>
      <c r="Z847" s="249" t="inlineStr">
        <is>
          <t xml:space="preserve">A </t>
        </is>
      </c>
      <c r="AA847" s="245" t="n">
        <v>3</v>
      </c>
      <c r="AB847" s="245" t="n">
        <v>3</v>
      </c>
      <c r="AC847" s="253" t="inlineStr">
        <is>
          <t>33</t>
        </is>
      </c>
      <c r="AD847" s="247" t="inlineStr">
        <is>
          <t xml:space="preserve">DIST/WATER SYSTEMS  </t>
        </is>
      </c>
      <c r="AE847" s="680" t="n"/>
      <c r="AF847" s="680" t="n"/>
      <c r="AG847" s="680" t="n"/>
      <c r="AH847" s="680" t="n"/>
      <c r="AI847" s="680" t="n"/>
      <c r="AJ847" s="680" t="n"/>
      <c r="AK847" s="680" t="inlineStr">
        <is>
          <t xml:space="preserve">S-T WHSE.; 2005 LEASE.                                            </t>
        </is>
      </c>
    </row>
    <row r="848">
      <c r="A848" s="248" t="n">
        <v>8</v>
      </c>
      <c r="B848" s="370" t="n">
        <v>840</v>
      </c>
      <c r="C848" s="254" t="inlineStr">
        <is>
          <t>2009Q</t>
        </is>
      </c>
      <c r="D848" s="245" t="inlineStr">
        <is>
          <t xml:space="preserve">05091-00-147-000 </t>
        </is>
      </c>
      <c r="E848" s="258" t="inlineStr">
        <is>
          <t>Actual</t>
        </is>
      </c>
      <c r="F848" s="259" t="inlineStr">
        <is>
          <t>480   OSAGE                ST</t>
        </is>
      </c>
      <c r="G848" s="672" t="n">
        <v>44.2</v>
      </c>
      <c r="H848" s="253" t="n">
        <v>9505</v>
      </c>
      <c r="I848" s="255" t="n">
        <v>0</v>
      </c>
      <c r="J848" s="678" t="n">
        <v>37478</v>
      </c>
      <c r="K848" s="679" t="n">
        <v>5.944607503068466</v>
      </c>
      <c r="L848" s="260" t="n">
        <v>0</v>
      </c>
      <c r="M848" s="262" t="n">
        <v>0</v>
      </c>
      <c r="N848" s="253" t="n">
        <v>1962</v>
      </c>
      <c r="Q848" s="245" t="n">
        <v>21</v>
      </c>
      <c r="R848" s="245" t="n">
        <v>3</v>
      </c>
      <c r="S848" s="245" t="n">
        <v>1</v>
      </c>
      <c r="T848" s="249" t="inlineStr">
        <is>
          <t xml:space="preserve">I2   </t>
        </is>
      </c>
      <c r="U848" s="249" t="n">
        <v>398</v>
      </c>
      <c r="V848" s="678" t="n">
        <v>117467</v>
      </c>
      <c r="W848" s="678" t="n">
        <v>120000</v>
      </c>
      <c r="X848" s="356" t="inlineStr">
        <is>
          <t>3.1:1</t>
        </is>
      </c>
      <c r="Y848" s="678">
        <f>ROUND(J848,-3)</f>
        <v/>
      </c>
      <c r="Z848" s="249" t="inlineStr">
        <is>
          <t xml:space="preserve">C </t>
        </is>
      </c>
      <c r="AA848" s="245" t="n">
        <v>2</v>
      </c>
      <c r="AB848" s="245" t="n">
        <v>3</v>
      </c>
      <c r="AC848" s="253" t="inlineStr">
        <is>
          <t>23</t>
        </is>
      </c>
      <c r="AD848" s="247" t="inlineStr">
        <is>
          <t xml:space="preserve">CAL EXPNDED METAL   </t>
        </is>
      </c>
      <c r="AE848" s="680" t="n"/>
      <c r="AF848" s="680" t="n"/>
      <c r="AG848" s="680" t="n"/>
      <c r="AH848" s="680" t="n"/>
      <c r="AI848" s="680" t="n"/>
      <c r="AJ848" s="680" t="n"/>
      <c r="AK848" s="680" t="inlineStr">
        <is>
          <t xml:space="preserve">S-T WHSE.                                                         </t>
        </is>
      </c>
    </row>
    <row r="849">
      <c r="A849" s="248" t="n">
        <v>8</v>
      </c>
      <c r="B849" s="370" t="n">
        <v>841</v>
      </c>
      <c r="C849" s="254" t="inlineStr">
        <is>
          <t>2009Q</t>
        </is>
      </c>
      <c r="D849" s="245" t="inlineStr">
        <is>
          <t xml:space="preserve">05091-00-150-000 </t>
        </is>
      </c>
      <c r="E849" s="258" t="inlineStr">
        <is>
          <t>Actual</t>
        </is>
      </c>
      <c r="F849" s="259" t="inlineStr">
        <is>
          <t>1440 W 3RD                  AV</t>
        </is>
      </c>
      <c r="G849" s="672" t="n">
        <v>44.1</v>
      </c>
      <c r="H849" s="253" t="n">
        <v>9505</v>
      </c>
      <c r="I849" s="255" t="n">
        <v>0</v>
      </c>
      <c r="J849" s="678" t="n">
        <v>13440</v>
      </c>
      <c r="K849" s="679" t="n">
        <v>4.069940476190476</v>
      </c>
      <c r="L849" s="260" t="n">
        <v>0</v>
      </c>
      <c r="M849" s="262" t="n">
        <v>0</v>
      </c>
      <c r="N849" s="253" t="n">
        <v>1952</v>
      </c>
      <c r="O849" s="250" t="n">
        <v>2360</v>
      </c>
      <c r="Q849" s="245" t="n">
        <v>17</v>
      </c>
      <c r="R849" s="245" t="n">
        <v>1</v>
      </c>
      <c r="S849" s="245" t="n">
        <v>1</v>
      </c>
      <c r="T849" s="249" t="inlineStr">
        <is>
          <t xml:space="preserve">I1   </t>
        </is>
      </c>
      <c r="U849" s="249" t="n">
        <v>398</v>
      </c>
      <c r="V849" s="678" t="n">
        <v>34439</v>
      </c>
      <c r="W849" s="678" t="n">
        <v>34000</v>
      </c>
      <c r="X849" s="356" t="inlineStr">
        <is>
          <t>2.6:1</t>
        </is>
      </c>
      <c r="Y849" s="678">
        <f>ROUND(J849,-3)</f>
        <v/>
      </c>
      <c r="Z849" s="249" t="inlineStr">
        <is>
          <t xml:space="preserve">C </t>
        </is>
      </c>
      <c r="AA849" s="245" t="n">
        <v>3</v>
      </c>
      <c r="AB849" s="245" t="n">
        <v>3</v>
      </c>
      <c r="AC849" s="253" t="inlineStr">
        <is>
          <t>33</t>
        </is>
      </c>
      <c r="AD849" s="247" t="inlineStr">
        <is>
          <t xml:space="preserve">S-W WATER SYSTEMS   </t>
        </is>
      </c>
      <c r="AE849" s="680" t="n"/>
      <c r="AF849" s="680" t="n"/>
      <c r="AG849" s="680" t="n"/>
      <c r="AH849" s="680" t="n"/>
      <c r="AI849" s="680" t="n"/>
      <c r="AJ849" s="680" t="n"/>
      <c r="AK849" s="680" t="inlineStr">
        <is>
          <t xml:space="preserve">S-T WHSE.; 2005 LEASE.                                            </t>
        </is>
      </c>
    </row>
    <row r="850">
      <c r="A850" s="248" t="n">
        <v>8</v>
      </c>
      <c r="B850" s="370" t="n">
        <v>842</v>
      </c>
      <c r="C850" s="254" t="inlineStr">
        <is>
          <t>2009Q</t>
        </is>
      </c>
      <c r="D850" s="245" t="inlineStr">
        <is>
          <t xml:space="preserve">05091-02-008-000 </t>
        </is>
      </c>
      <c r="E850" s="258" t="inlineStr">
        <is>
          <t>Actual</t>
        </is>
      </c>
      <c r="F850" s="259" t="inlineStr">
        <is>
          <t>530   SANTA FE             DR</t>
        </is>
      </c>
      <c r="G850" s="672" t="n">
        <v>43.1</v>
      </c>
      <c r="H850" s="253" t="n">
        <v>9505</v>
      </c>
      <c r="I850" s="255" t="n">
        <v>3</v>
      </c>
      <c r="J850" s="678" t="n">
        <v>2380</v>
      </c>
      <c r="K850" s="679" t="n">
        <v>6.050420168067227</v>
      </c>
      <c r="L850" s="260" t="n">
        <v>0.5</v>
      </c>
      <c r="M850" s="262" t="n">
        <v>0</v>
      </c>
      <c r="N850" s="253" t="n">
        <v>1942</v>
      </c>
      <c r="O850" s="250" t="inlineStr">
        <is>
          <t> </t>
        </is>
      </c>
      <c r="Q850" s="245" t="n">
        <v>10</v>
      </c>
      <c r="R850" s="245" t="n">
        <v>3</v>
      </c>
      <c r="S850" s="245" t="n">
        <v>1</v>
      </c>
      <c r="T850" s="249" t="inlineStr">
        <is>
          <t xml:space="preserve">B4   </t>
        </is>
      </c>
      <c r="U850" s="249" t="n">
        <v>401</v>
      </c>
      <c r="V850" s="678" t="n">
        <v>2624</v>
      </c>
      <c r="W850" s="678" t="n">
        <v>3000</v>
      </c>
      <c r="X850" s="356" t="inlineStr">
        <is>
          <t>1.1:1</t>
        </is>
      </c>
      <c r="Y850" s="678">
        <f>ROUND(J850,-3)</f>
        <v/>
      </c>
      <c r="Z850" s="249" t="inlineStr">
        <is>
          <t xml:space="preserve">C </t>
        </is>
      </c>
      <c r="AA850" s="245" t="n">
        <v>3</v>
      </c>
      <c r="AB850" s="245" t="n">
        <v>3</v>
      </c>
      <c r="AC850" s="253" t="inlineStr">
        <is>
          <t>33</t>
        </is>
      </c>
      <c r="AD850" s="247" t="inlineStr">
        <is>
          <t>S-F TOM MEYER SHEETM</t>
        </is>
      </c>
      <c r="AE850" s="680" t="n"/>
      <c r="AF850" s="680" t="n"/>
      <c r="AG850" s="680" t="n"/>
      <c r="AH850" s="680" t="n"/>
      <c r="AI850" s="680" t="n"/>
      <c r="AJ850" s="680" t="n"/>
      <c r="AK850" s="680" t="inlineStr">
        <is>
          <t xml:space="preserve">S-T WHSE.                                                         </t>
        </is>
      </c>
    </row>
    <row r="851">
      <c r="A851" s="248" t="n">
        <v>8</v>
      </c>
      <c r="B851" s="370" t="n">
        <v>843</v>
      </c>
      <c r="C851" s="254" t="inlineStr">
        <is>
          <t>2009Q</t>
        </is>
      </c>
      <c r="D851" s="245" t="inlineStr">
        <is>
          <t xml:space="preserve">05091-03-046-000 </t>
        </is>
      </c>
      <c r="E851" s="258" t="inlineStr">
        <is>
          <t>Actual</t>
        </is>
      </c>
      <c r="F851" s="259" t="inlineStr">
        <is>
          <t>525   SANTA FE             DR</t>
        </is>
      </c>
      <c r="G851" s="672" t="n">
        <v>44.1</v>
      </c>
      <c r="H851" s="253" t="n">
        <v>9505</v>
      </c>
      <c r="I851" s="255" t="n">
        <v>3</v>
      </c>
      <c r="J851" s="678" t="n">
        <v>21594</v>
      </c>
      <c r="K851" s="679" t="n">
        <v>7.219690654811521</v>
      </c>
      <c r="L851" s="260" t="n">
        <v>0</v>
      </c>
      <c r="M851" s="262" t="n">
        <v>0</v>
      </c>
      <c r="N851" s="253" t="n">
        <v>1975</v>
      </c>
      <c r="O851" s="250" t="n">
        <v>5148</v>
      </c>
      <c r="P851" s="250" t="n">
        <v>8100</v>
      </c>
      <c r="Q851" s="245" t="n">
        <v>17</v>
      </c>
      <c r="R851" s="245" t="n">
        <v>3</v>
      </c>
      <c r="S851" s="245" t="n">
        <v>3</v>
      </c>
      <c r="T851" s="249" t="inlineStr">
        <is>
          <t xml:space="preserve">B4   </t>
        </is>
      </c>
      <c r="U851" s="249" t="n">
        <v>398</v>
      </c>
      <c r="V851" s="678" t="n">
        <v>26775</v>
      </c>
      <c r="W851" s="678" t="n">
        <v>27000</v>
      </c>
      <c r="X851" s="356" t="inlineStr">
        <is>
          <t>1.2:1</t>
        </is>
      </c>
      <c r="Y851" s="678">
        <f>ROUND(J851,-3)</f>
        <v/>
      </c>
      <c r="Z851" s="249" t="inlineStr">
        <is>
          <t xml:space="preserve">C </t>
        </is>
      </c>
      <c r="AA851" s="245" t="n">
        <v>3</v>
      </c>
      <c r="AB851" s="245" t="n">
        <v>3</v>
      </c>
      <c r="AC851" s="253" t="inlineStr">
        <is>
          <t>33</t>
        </is>
      </c>
      <c r="AD851" s="247" t="inlineStr">
        <is>
          <t>MULTI/DISTRIB/OFFICE</t>
        </is>
      </c>
      <c r="AE851" s="680" t="n"/>
      <c r="AF851" s="680" t="n"/>
      <c r="AG851" s="680" t="n"/>
      <c r="AH851" s="680" t="n"/>
      <c r="AI851" s="680" t="n"/>
      <c r="AJ851" s="680" t="n"/>
      <c r="AK851" s="680" t="inlineStr">
        <is>
          <t xml:space="preserve">TRIPLE NET-2 STORY 8,100 SF OF OFFICE ON 2ND-TWO TENANTS          </t>
        </is>
      </c>
    </row>
    <row r="852">
      <c r="A852" s="248" t="n">
        <v>8</v>
      </c>
      <c r="B852" s="370" t="n">
        <v>844</v>
      </c>
      <c r="C852" s="254" t="inlineStr">
        <is>
          <t>2009Q</t>
        </is>
      </c>
      <c r="D852" s="245" t="inlineStr">
        <is>
          <t xml:space="preserve">05091-03-047-000 </t>
        </is>
      </c>
      <c r="E852" s="258" t="inlineStr">
        <is>
          <t>Actual</t>
        </is>
      </c>
      <c r="F852" s="259" t="inlineStr">
        <is>
          <t>925 W 5TH                  AV</t>
        </is>
      </c>
      <c r="G852" s="672" t="n">
        <v>44.1</v>
      </c>
      <c r="H852" s="253" t="n">
        <v>9505</v>
      </c>
      <c r="I852" s="255" t="n">
        <v>3</v>
      </c>
      <c r="J852" s="678" t="n">
        <v>1995</v>
      </c>
      <c r="K852" s="679" t="n">
        <v>3.007518796992481</v>
      </c>
      <c r="L852" s="260" t="n">
        <v>0</v>
      </c>
      <c r="M852" s="262" t="n">
        <v>0</v>
      </c>
      <c r="N852" s="253" t="n">
        <v>1929</v>
      </c>
      <c r="Q852" s="245" t="n">
        <v>14</v>
      </c>
      <c r="R852" s="245" t="n">
        <v>1</v>
      </c>
      <c r="S852" s="245" t="n">
        <v>1</v>
      </c>
      <c r="T852" s="249" t="inlineStr">
        <is>
          <t xml:space="preserve">B4   </t>
        </is>
      </c>
      <c r="U852" s="249" t="n">
        <v>398</v>
      </c>
      <c r="V852" s="678" t="n">
        <v>17850</v>
      </c>
      <c r="W852" s="678" t="n">
        <v>18000</v>
      </c>
      <c r="X852" s="356" t="inlineStr">
        <is>
          <t>8.9:1</t>
        </is>
      </c>
      <c r="Y852" s="678">
        <f>ROUND(J852,-2)</f>
        <v/>
      </c>
      <c r="Z852" s="249" t="inlineStr">
        <is>
          <t xml:space="preserve">C </t>
        </is>
      </c>
      <c r="AA852" s="245" t="n">
        <v>3</v>
      </c>
      <c r="AB852" s="245" t="n">
        <v>3</v>
      </c>
      <c r="AC852" s="253" t="inlineStr">
        <is>
          <t>33</t>
        </is>
      </c>
      <c r="AD852" s="247" t="inlineStr">
        <is>
          <t xml:space="preserve">WAREHOUSE           </t>
        </is>
      </c>
      <c r="AE852" s="680" t="n"/>
      <c r="AF852" s="680" t="n"/>
      <c r="AG852" s="680" t="n"/>
      <c r="AH852" s="680" t="n"/>
      <c r="AI852" s="680" t="n"/>
      <c r="AJ852" s="680" t="n"/>
      <c r="AK852" s="680" t="inlineStr">
        <is>
          <t>                                                                  </t>
        </is>
      </c>
    </row>
    <row r="853">
      <c r="A853" s="248" t="n">
        <v>8</v>
      </c>
      <c r="B853" s="370" t="n">
        <v>845</v>
      </c>
      <c r="C853" s="254" t="inlineStr">
        <is>
          <t>2009Q</t>
        </is>
      </c>
      <c r="D853" s="245" t="inlineStr">
        <is>
          <t xml:space="preserve">05091-03-048-000 </t>
        </is>
      </c>
      <c r="E853" s="258" t="inlineStr">
        <is>
          <t>Actual</t>
        </is>
      </c>
      <c r="F853" s="259" t="inlineStr">
        <is>
          <t>525   SANTA FE             DR</t>
        </is>
      </c>
      <c r="G853" s="672" t="n">
        <v>44.1</v>
      </c>
      <c r="H853" s="253" t="n">
        <v>9505</v>
      </c>
      <c r="I853" s="255" t="n">
        <v>3</v>
      </c>
      <c r="J853" s="678" t="n">
        <v>7555</v>
      </c>
      <c r="K853" s="679" t="n">
        <v>11.56796823295831</v>
      </c>
      <c r="L853" s="260" t="n">
        <v>0</v>
      </c>
      <c r="M853" s="262" t="n">
        <v>0</v>
      </c>
      <c r="N853" s="253" t="n">
        <v>1975</v>
      </c>
      <c r="O853" s="250" t="n">
        <v>287</v>
      </c>
      <c r="Q853" s="245" t="n">
        <v>17</v>
      </c>
      <c r="R853" s="245" t="n">
        <v>3</v>
      </c>
      <c r="S853" s="245" t="n">
        <v>1</v>
      </c>
      <c r="T853" s="249" t="inlineStr">
        <is>
          <t xml:space="preserve">B4   </t>
        </is>
      </c>
      <c r="U853" s="249" t="n">
        <v>398</v>
      </c>
      <c r="V853" s="678" t="n">
        <v>8925</v>
      </c>
      <c r="W853" s="678" t="n">
        <v>9000</v>
      </c>
      <c r="X853" s="356" t="inlineStr">
        <is>
          <t>1.2:1</t>
        </is>
      </c>
      <c r="Y853" s="678">
        <f>ROUND(J853,-3)</f>
        <v/>
      </c>
      <c r="Z853" s="249" t="inlineStr">
        <is>
          <t xml:space="preserve">C </t>
        </is>
      </c>
      <c r="AA853" s="245" t="n">
        <v>3</v>
      </c>
      <c r="AB853" s="245" t="n">
        <v>3</v>
      </c>
      <c r="AC853" s="253" t="inlineStr">
        <is>
          <t>33</t>
        </is>
      </c>
      <c r="AD853" s="247" t="inlineStr">
        <is>
          <t xml:space="preserve">WAREHOUSE           </t>
        </is>
      </c>
      <c r="AE853" s="680" t="n"/>
      <c r="AF853" s="680" t="n"/>
      <c r="AG853" s="680" t="n"/>
      <c r="AH853" s="680" t="n"/>
      <c r="AI853" s="680" t="n"/>
      <c r="AJ853" s="680" t="n"/>
      <c r="AK853" s="680" t="inlineStr">
        <is>
          <t>                                                                  </t>
        </is>
      </c>
    </row>
    <row r="854">
      <c r="A854" s="248" t="n">
        <v>8</v>
      </c>
      <c r="B854" s="370" t="n">
        <v>846</v>
      </c>
      <c r="C854" s="254" t="inlineStr">
        <is>
          <t>2009Q</t>
        </is>
      </c>
      <c r="D854" s="245" t="inlineStr">
        <is>
          <t xml:space="preserve">05091-04-018-000 </t>
        </is>
      </c>
      <c r="E854" s="258" t="inlineStr">
        <is>
          <t>Actual</t>
        </is>
      </c>
      <c r="F854" s="259" t="inlineStr">
        <is>
          <t>527   KALAMATH             ST</t>
        </is>
      </c>
      <c r="G854" s="672" t="n">
        <v>44.1</v>
      </c>
      <c r="H854" s="253" t="n">
        <v>9505</v>
      </c>
      <c r="I854" s="255" t="n">
        <v>0</v>
      </c>
      <c r="J854" s="678" t="n">
        <v>2500</v>
      </c>
      <c r="K854" s="679" t="n">
        <v>4.8</v>
      </c>
      <c r="L854" s="260" t="n">
        <v>0</v>
      </c>
      <c r="M854" s="262" t="n">
        <v>0.10025</v>
      </c>
      <c r="N854" s="253" t="n">
        <v>1973</v>
      </c>
      <c r="O854" s="250" t="n">
        <v>336</v>
      </c>
      <c r="Q854" s="245" t="n">
        <v>13</v>
      </c>
      <c r="R854" s="245" t="n">
        <v>3</v>
      </c>
      <c r="S854" s="245" t="n">
        <v>1</v>
      </c>
      <c r="T854" s="249" t="inlineStr">
        <is>
          <t xml:space="preserve">I1   </t>
        </is>
      </c>
      <c r="U854" s="249" t="n">
        <v>398</v>
      </c>
      <c r="V854" s="678" t="n">
        <v>3900</v>
      </c>
      <c r="W854" s="678" t="n">
        <v>4000</v>
      </c>
      <c r="X854" s="356" t="inlineStr">
        <is>
          <t>1.6:1</t>
        </is>
      </c>
      <c r="Y854" s="678">
        <f>ROUND(J854,-3)</f>
        <v/>
      </c>
      <c r="Z854" s="249" t="inlineStr">
        <is>
          <t xml:space="preserve">C </t>
        </is>
      </c>
      <c r="AA854" s="245" t="n">
        <v>3</v>
      </c>
      <c r="AB854" s="245" t="n">
        <v>3</v>
      </c>
      <c r="AC854" s="253" t="inlineStr">
        <is>
          <t>33</t>
        </is>
      </c>
      <c r="AD854" s="247" t="inlineStr">
        <is>
          <t>S-W COLO MOLD SUPPLY</t>
        </is>
      </c>
      <c r="AE854" s="680" t="n"/>
      <c r="AF854" s="680" t="n"/>
      <c r="AG854" s="680" t="n"/>
      <c r="AH854" s="680" t="n"/>
      <c r="AI854" s="680" t="n"/>
      <c r="AJ854" s="680" t="n"/>
      <c r="AK854" s="680" t="inlineStr">
        <is>
          <t>                                                                  </t>
        </is>
      </c>
    </row>
    <row r="855">
      <c r="A855" s="248" t="n">
        <v>8</v>
      </c>
      <c r="B855" s="370" t="n">
        <v>847</v>
      </c>
      <c r="C855" s="254" t="inlineStr">
        <is>
          <t>2009Q</t>
        </is>
      </c>
      <c r="D855" s="245" t="inlineStr">
        <is>
          <t xml:space="preserve">05091-04-037-000 </t>
        </is>
      </c>
      <c r="E855" s="258" t="inlineStr">
        <is>
          <t>Actual</t>
        </is>
      </c>
      <c r="F855" s="259" t="inlineStr">
        <is>
          <t>550   LIPAN                ST</t>
        </is>
      </c>
      <c r="G855" s="672" t="n">
        <v>44.1</v>
      </c>
      <c r="H855" s="253" t="n">
        <v>9505</v>
      </c>
      <c r="I855" s="255" t="n">
        <v>0</v>
      </c>
      <c r="J855" s="678" t="n">
        <v>16340</v>
      </c>
      <c r="K855" s="679" t="n">
        <v>6.536107711138311</v>
      </c>
      <c r="L855" s="260" t="n">
        <v>0</v>
      </c>
      <c r="M855" s="262" t="n">
        <v>0</v>
      </c>
      <c r="N855" s="253" t="n">
        <v>1958</v>
      </c>
      <c r="O855" s="250">
        <f>980+1118+658</f>
        <v/>
      </c>
      <c r="P855" s="250">
        <f>1466*2</f>
        <v/>
      </c>
      <c r="Q855" s="245" t="n">
        <v>16</v>
      </c>
      <c r="R855" s="245" t="n">
        <v>7</v>
      </c>
      <c r="S855" s="245" t="n">
        <v>1</v>
      </c>
      <c r="T855" s="249" t="inlineStr">
        <is>
          <t xml:space="preserve">I1   </t>
        </is>
      </c>
      <c r="U855" s="249" t="n">
        <v>398</v>
      </c>
      <c r="V855" s="678" t="n">
        <v>35625</v>
      </c>
      <c r="W855" s="678" t="n">
        <v>36000</v>
      </c>
      <c r="X855" s="356" t="inlineStr">
        <is>
          <t>2.2:1</t>
        </is>
      </c>
      <c r="Y855" s="678">
        <f>ROUND(J855,-3)</f>
        <v/>
      </c>
      <c r="Z855" s="249" t="inlineStr">
        <is>
          <t xml:space="preserve">C </t>
        </is>
      </c>
      <c r="AA855" s="245" t="n">
        <v>3</v>
      </c>
      <c r="AB855" s="245" t="n">
        <v>1</v>
      </c>
      <c r="AC855" s="253" t="inlineStr">
        <is>
          <t>31</t>
        </is>
      </c>
      <c r="AD855" s="247" t="inlineStr">
        <is>
          <t xml:space="preserve">HOWELL CONSTRUCTION </t>
        </is>
      </c>
      <c r="AE855" s="680" t="n"/>
      <c r="AF855" s="680" t="n"/>
      <c r="AG855" s="680" t="n"/>
      <c r="AH855" s="680" t="n"/>
      <c r="AI855" s="680" t="n"/>
      <c r="AJ855" s="680" t="n"/>
      <c r="AK855" s="680" t="inlineStr">
        <is>
          <t>                                                                  </t>
        </is>
      </c>
    </row>
    <row r="856">
      <c r="A856" s="248" t="n">
        <v>8</v>
      </c>
      <c r="B856" s="370" t="n">
        <v>848</v>
      </c>
      <c r="C856" s="254" t="inlineStr">
        <is>
          <t>2009Q</t>
        </is>
      </c>
      <c r="D856" s="245" t="inlineStr">
        <is>
          <t xml:space="preserve">05091-07-022-000 </t>
        </is>
      </c>
      <c r="E856" s="258" t="inlineStr">
        <is>
          <t>Actual</t>
        </is>
      </c>
      <c r="F856" s="259" t="inlineStr">
        <is>
          <t>425   SANTA FE             DR</t>
        </is>
      </c>
      <c r="G856" s="672" t="n">
        <v>44.2</v>
      </c>
      <c r="H856" s="253" t="n">
        <v>9505</v>
      </c>
      <c r="I856" s="255" t="n">
        <v>3</v>
      </c>
      <c r="J856" s="678" t="n">
        <v>8925</v>
      </c>
      <c r="K856" s="679" t="n">
        <v>5.378151260504202</v>
      </c>
      <c r="L856" s="260" t="n">
        <v>0</v>
      </c>
      <c r="M856" s="262" t="n">
        <v>0</v>
      </c>
      <c r="N856" s="253" t="n">
        <v>1959</v>
      </c>
      <c r="O856" s="250" t="n">
        <v>2775</v>
      </c>
      <c r="Q856" s="245" t="n">
        <v>11</v>
      </c>
      <c r="R856" s="245" t="n">
        <v>1</v>
      </c>
      <c r="S856" s="245" t="n">
        <v>1</v>
      </c>
      <c r="T856" s="249" t="inlineStr">
        <is>
          <t xml:space="preserve">B4   </t>
        </is>
      </c>
      <c r="U856" s="249" t="n">
        <v>398</v>
      </c>
      <c r="V856" s="678" t="n">
        <v>8925</v>
      </c>
      <c r="W856" s="678" t="n">
        <v>9000</v>
      </c>
      <c r="X856" s="356" t="inlineStr">
        <is>
          <t>1.0:1</t>
        </is>
      </c>
      <c r="Y856" s="678">
        <f>ROUND(J856,-3)</f>
        <v/>
      </c>
      <c r="Z856" s="249" t="inlineStr">
        <is>
          <t xml:space="preserve">C </t>
        </is>
      </c>
      <c r="AA856" s="245" t="n">
        <v>3</v>
      </c>
      <c r="AB856" s="245" t="n">
        <v>3</v>
      </c>
      <c r="AC856" s="253" t="inlineStr">
        <is>
          <t>33</t>
        </is>
      </c>
      <c r="AD856" s="247" t="inlineStr">
        <is>
          <t xml:space="preserve">S-W                 </t>
        </is>
      </c>
      <c r="AE856" s="680" t="n"/>
      <c r="AF856" s="680" t="n"/>
      <c r="AG856" s="680" t="n"/>
      <c r="AH856" s="680" t="n"/>
      <c r="AI856" s="680" t="n"/>
      <c r="AJ856" s="680" t="n"/>
      <c r="AK856" s="680" t="inlineStr">
        <is>
          <t>                                                                  </t>
        </is>
      </c>
    </row>
    <row r="857">
      <c r="A857" s="248" t="n">
        <v>8</v>
      </c>
      <c r="B857" s="370" t="n">
        <v>849</v>
      </c>
      <c r="C857" s="254" t="inlineStr">
        <is>
          <t>2009Q</t>
        </is>
      </c>
      <c r="D857" s="245" t="inlineStr">
        <is>
          <t xml:space="preserve">05091-08-001-000 </t>
        </is>
      </c>
      <c r="E857" s="258" t="inlineStr">
        <is>
          <t>Actual</t>
        </is>
      </c>
      <c r="F857" s="259" t="inlineStr">
        <is>
          <t>490   SANTA FE             DR</t>
        </is>
      </c>
      <c r="G857" s="672" t="n">
        <v>42.1</v>
      </c>
      <c r="H857" s="253" t="n">
        <v>9505</v>
      </c>
      <c r="I857" s="255" t="n">
        <v>3</v>
      </c>
      <c r="J857" s="678" t="n">
        <v>4020</v>
      </c>
      <c r="K857" s="679" t="n">
        <v>5.970149253731344</v>
      </c>
      <c r="L857" s="260" t="n">
        <v>0</v>
      </c>
      <c r="M857" s="262" t="n">
        <v>0.04166666666666666</v>
      </c>
      <c r="N857" s="253" t="n">
        <v>1975</v>
      </c>
      <c r="O857" s="250" t="n">
        <v>705</v>
      </c>
      <c r="Q857" s="245" t="n">
        <v>17</v>
      </c>
      <c r="R857" s="245" t="n">
        <v>1</v>
      </c>
      <c r="S857" s="245" t="n">
        <v>1</v>
      </c>
      <c r="T857" s="249" t="inlineStr">
        <is>
          <t xml:space="preserve">B4   </t>
        </is>
      </c>
      <c r="U857" s="249" t="n">
        <v>401</v>
      </c>
      <c r="V857" s="678" t="n">
        <v>5247</v>
      </c>
      <c r="W857" s="678" t="n">
        <v>5000</v>
      </c>
      <c r="X857" s="356" t="inlineStr">
        <is>
          <t>1.3:1</t>
        </is>
      </c>
      <c r="Y857" s="678">
        <f>ROUND(J857,-3)</f>
        <v/>
      </c>
      <c r="Z857" s="249" t="inlineStr">
        <is>
          <t xml:space="preserve">C </t>
        </is>
      </c>
      <c r="AA857" s="245" t="n">
        <v>3</v>
      </c>
      <c r="AB857" s="245" t="n">
        <v>3</v>
      </c>
      <c r="AC857" s="253" t="inlineStr">
        <is>
          <t>33</t>
        </is>
      </c>
      <c r="AD857" s="247" t="inlineStr">
        <is>
          <t xml:space="preserve">S-W                 </t>
        </is>
      </c>
      <c r="AE857" s="680" t="n"/>
      <c r="AF857" s="680" t="n"/>
      <c r="AG857" s="680" t="n"/>
      <c r="AH857" s="680" t="n"/>
      <c r="AI857" s="680" t="n"/>
      <c r="AJ857" s="680" t="n"/>
      <c r="AK857" s="680" t="inlineStr">
        <is>
          <t>                                                                  </t>
        </is>
      </c>
    </row>
    <row r="858">
      <c r="A858" s="248" t="n">
        <v>8</v>
      </c>
      <c r="B858" s="370" t="n">
        <v>850</v>
      </c>
      <c r="C858" s="254" t="inlineStr">
        <is>
          <t>2009Q</t>
        </is>
      </c>
      <c r="D858" s="245" t="inlineStr">
        <is>
          <t xml:space="preserve">05091-11-011-000 </t>
        </is>
      </c>
      <c r="E858" s="258" t="inlineStr">
        <is>
          <t>Actual</t>
        </is>
      </c>
      <c r="F858" s="259" t="inlineStr">
        <is>
          <t>320   SANTA FE             DR</t>
        </is>
      </c>
      <c r="G858" s="672" t="n">
        <v>44.2</v>
      </c>
      <c r="H858" s="253" t="n">
        <v>9505</v>
      </c>
      <c r="I858" s="255" t="n">
        <v>3</v>
      </c>
      <c r="J858" s="678" t="n">
        <v>1615</v>
      </c>
      <c r="K858" s="679" t="n">
        <v>6.315789473684211</v>
      </c>
      <c r="L858" s="260" t="n">
        <v>0</v>
      </c>
      <c r="M858" s="262" t="n">
        <v>0.05098039215686274</v>
      </c>
      <c r="N858" s="253" t="n">
        <v>1983</v>
      </c>
      <c r="O858" s="250" t="n">
        <v>324</v>
      </c>
      <c r="Q858" s="245" t="n">
        <v>14</v>
      </c>
      <c r="R858" s="245" t="n">
        <v>1</v>
      </c>
      <c r="S858" s="245" t="n">
        <v>1</v>
      </c>
      <c r="T858" s="249" t="inlineStr">
        <is>
          <t xml:space="preserve">B4   </t>
        </is>
      </c>
      <c r="U858" s="249" t="n">
        <v>398</v>
      </c>
      <c r="V858" s="678" t="n">
        <v>2698</v>
      </c>
      <c r="W858" s="678" t="n">
        <v>3000</v>
      </c>
      <c r="X858" s="356" t="inlineStr">
        <is>
          <t>1.7:1</t>
        </is>
      </c>
      <c r="Y858" s="678">
        <f>ROUND(J858,-2)</f>
        <v/>
      </c>
      <c r="Z858" s="249" t="inlineStr">
        <is>
          <t xml:space="preserve">C </t>
        </is>
      </c>
      <c r="AA858" s="245" t="n">
        <v>3</v>
      </c>
      <c r="AB858" s="245" t="n">
        <v>3</v>
      </c>
      <c r="AC858" s="253" t="inlineStr">
        <is>
          <t>33</t>
        </is>
      </c>
      <c r="AD858" s="247" t="inlineStr">
        <is>
          <t>S-W MNT PRKING EQUIP</t>
        </is>
      </c>
      <c r="AE858" s="680" t="n"/>
      <c r="AF858" s="680" t="n"/>
      <c r="AG858" s="680" t="n"/>
      <c r="AH858" s="680" t="n"/>
      <c r="AI858" s="680" t="n"/>
      <c r="AJ858" s="680" t="n"/>
      <c r="AK858" s="680" t="inlineStr">
        <is>
          <t>                                                                  </t>
        </is>
      </c>
    </row>
    <row r="859">
      <c r="A859" s="248" t="n">
        <v>8</v>
      </c>
      <c r="B859" s="370" t="n">
        <v>851</v>
      </c>
      <c r="C859" s="254" t="inlineStr">
        <is>
          <t>2009Q</t>
        </is>
      </c>
      <c r="D859" s="245" t="inlineStr">
        <is>
          <t xml:space="preserve">05091-12-026-000 </t>
        </is>
      </c>
      <c r="E859" s="258" t="inlineStr">
        <is>
          <t>Actual</t>
        </is>
      </c>
      <c r="F859" s="259" t="inlineStr">
        <is>
          <t>357   SANTA FE             DR</t>
        </is>
      </c>
      <c r="G859" s="672" t="n">
        <v>47.2</v>
      </c>
      <c r="H859" s="253" t="n">
        <v>9505</v>
      </c>
      <c r="I859" s="255" t="n">
        <v>3</v>
      </c>
      <c r="J859" s="678" t="n">
        <v>8271</v>
      </c>
      <c r="K859" s="679" t="n">
        <v>4.352557127312296</v>
      </c>
      <c r="L859" s="260" t="n">
        <v>0</v>
      </c>
      <c r="M859" s="262" t="n">
        <v>0.05</v>
      </c>
      <c r="N859" s="253" t="n">
        <v>1957</v>
      </c>
      <c r="O859" s="250" t="n">
        <v>945</v>
      </c>
      <c r="Q859" s="245" t="n">
        <v>11</v>
      </c>
      <c r="R859" s="245" t="n">
        <v>3</v>
      </c>
      <c r="S859" s="245" t="n">
        <v>1</v>
      </c>
      <c r="T859" s="249" t="inlineStr">
        <is>
          <t xml:space="preserve">B4   </t>
        </is>
      </c>
      <c r="U859" s="249" t="n">
        <v>401</v>
      </c>
      <c r="V859" s="678" t="n">
        <v>11591</v>
      </c>
      <c r="W859" s="678" t="n">
        <v>12000</v>
      </c>
      <c r="X859" s="356" t="inlineStr">
        <is>
          <t>1.4:1</t>
        </is>
      </c>
      <c r="Y859" s="678">
        <f>ROUND(J859,-3)</f>
        <v/>
      </c>
      <c r="Z859" s="249" t="inlineStr">
        <is>
          <t xml:space="preserve">C </t>
        </is>
      </c>
      <c r="AA859" s="245" t="n">
        <v>3</v>
      </c>
      <c r="AB859" s="245" t="n">
        <v>2</v>
      </c>
      <c r="AC859" s="253" t="inlineStr">
        <is>
          <t>32</t>
        </is>
      </c>
      <c r="AD859" s="247" t="inlineStr">
        <is>
          <t>                    </t>
        </is>
      </c>
      <c r="AE859" s="680" t="n"/>
      <c r="AF859" s="680" t="n"/>
      <c r="AG859" s="680" t="n"/>
      <c r="AH859" s="680" t="n"/>
      <c r="AI859" s="680" t="n"/>
      <c r="AJ859" s="680" t="n"/>
      <c r="AK859" s="680" t="inlineStr">
        <is>
          <t xml:space="preserve">OWNER PAYS TAXES                                                  </t>
        </is>
      </c>
    </row>
    <row r="860">
      <c r="A860" s="248" t="n">
        <v>8</v>
      </c>
      <c r="B860" s="370" t="n">
        <v>852</v>
      </c>
      <c r="C860" s="254" t="inlineStr">
        <is>
          <t>2009Q</t>
        </is>
      </c>
      <c r="D860" s="245" t="inlineStr">
        <is>
          <t xml:space="preserve">05091-20-016-000 </t>
        </is>
      </c>
      <c r="E860" s="258" t="inlineStr">
        <is>
          <t>Actual</t>
        </is>
      </c>
      <c r="F860" s="259" t="inlineStr">
        <is>
          <t>275   KALAMATH             ST</t>
        </is>
      </c>
      <c r="G860" s="672" t="n">
        <v>44.2</v>
      </c>
      <c r="H860" s="253" t="n">
        <v>9505</v>
      </c>
      <c r="I860" s="255" t="n">
        <v>0</v>
      </c>
      <c r="J860" s="678" t="n">
        <v>17286</v>
      </c>
      <c r="K860" s="679" t="n">
        <v>3.362374175633461</v>
      </c>
      <c r="L860" s="260" t="n">
        <v>0</v>
      </c>
      <c r="M860" s="262" t="n">
        <v>0.04585182891159974</v>
      </c>
      <c r="N860" s="253" t="n">
        <v>1959</v>
      </c>
      <c r="O860" s="250" t="n">
        <v>2902</v>
      </c>
      <c r="Q860" s="245" t="n">
        <v>15</v>
      </c>
      <c r="R860" s="245" t="n">
        <v>3</v>
      </c>
      <c r="S860" s="245" t="n">
        <v>1</v>
      </c>
      <c r="T860" s="249" t="inlineStr">
        <is>
          <t xml:space="preserve">I1   </t>
        </is>
      </c>
      <c r="U860" s="249" t="n">
        <v>398</v>
      </c>
      <c r="V860" s="678" t="n">
        <v>36500</v>
      </c>
      <c r="W860" s="678" t="n">
        <v>37000</v>
      </c>
      <c r="X860" s="356" t="inlineStr">
        <is>
          <t>2.1:1</t>
        </is>
      </c>
      <c r="Y860" s="678">
        <f>ROUND(J860,-3)</f>
        <v/>
      </c>
      <c r="Z860" s="249" t="inlineStr">
        <is>
          <t xml:space="preserve">C </t>
        </is>
      </c>
      <c r="AA860" s="245" t="n">
        <v>3</v>
      </c>
      <c r="AB860" s="245" t="n">
        <v>3</v>
      </c>
      <c r="AC860" s="253" t="inlineStr">
        <is>
          <t>33</t>
        </is>
      </c>
      <c r="AD860" s="247" t="inlineStr">
        <is>
          <t xml:space="preserve">WHSE DIST.          </t>
        </is>
      </c>
      <c r="AE860" s="680" t="n"/>
      <c r="AF860" s="680" t="n"/>
      <c r="AG860" s="680" t="n"/>
      <c r="AH860" s="680" t="n"/>
      <c r="AI860" s="680" t="n"/>
      <c r="AJ860" s="680" t="n"/>
      <c r="AK860" s="680" t="inlineStr">
        <is>
          <t xml:space="preserve">OWNER PAYS TAXES                                                  </t>
        </is>
      </c>
    </row>
    <row r="861">
      <c r="A861" s="248" t="n">
        <v>8</v>
      </c>
      <c r="B861" s="370" t="n">
        <v>853</v>
      </c>
      <c r="C861" s="254" t="inlineStr">
        <is>
          <t>2009Q</t>
        </is>
      </c>
      <c r="D861" s="245" t="inlineStr">
        <is>
          <t xml:space="preserve">05091-20-029-000 </t>
        </is>
      </c>
      <c r="E861" s="258" t="inlineStr">
        <is>
          <t>Actual</t>
        </is>
      </c>
      <c r="F861" s="259" t="inlineStr">
        <is>
          <t>200   LIPAN                ST</t>
        </is>
      </c>
      <c r="G861" s="672" t="n">
        <v>44.2</v>
      </c>
      <c r="H861" s="253" t="n">
        <v>9505</v>
      </c>
      <c r="I861" s="255" t="n">
        <v>0</v>
      </c>
      <c r="J861" s="678" t="n">
        <v>17945</v>
      </c>
      <c r="K861" s="679" t="n">
        <v>4.463304541655057</v>
      </c>
      <c r="L861" s="260" t="n">
        <v>0</v>
      </c>
      <c r="M861" s="262" t="n">
        <v>0.01498239568507004</v>
      </c>
      <c r="N861" s="253" t="n">
        <v>1952</v>
      </c>
      <c r="O861" s="250" t="n">
        <v>3083</v>
      </c>
      <c r="Q861" s="245" t="n">
        <v>14</v>
      </c>
      <c r="R861" s="245" t="n">
        <v>1</v>
      </c>
      <c r="S861" s="245" t="n">
        <v>1</v>
      </c>
      <c r="T861" s="249" t="inlineStr">
        <is>
          <t xml:space="preserve">I1   </t>
        </is>
      </c>
      <c r="U861" s="249" t="n">
        <v>398</v>
      </c>
      <c r="V861" s="678" t="n">
        <v>34960</v>
      </c>
      <c r="W861" s="678" t="n">
        <v>35000</v>
      </c>
      <c r="X861" s="356" t="inlineStr">
        <is>
          <t>1.9:1</t>
        </is>
      </c>
      <c r="Y861" s="678">
        <f>ROUND(J861,-3)</f>
        <v/>
      </c>
      <c r="Z861" s="249" t="inlineStr">
        <is>
          <t xml:space="preserve">C </t>
        </is>
      </c>
      <c r="AA861" s="245" t="n">
        <v>3</v>
      </c>
      <c r="AB861" s="245" t="n">
        <v>3</v>
      </c>
      <c r="AC861" s="253" t="inlineStr">
        <is>
          <t>33</t>
        </is>
      </c>
      <c r="AD861" s="247" t="inlineStr">
        <is>
          <t xml:space="preserve">S-W J.K. CONCEPTS   </t>
        </is>
      </c>
      <c r="AE861" s="680" t="n"/>
      <c r="AF861" s="680" t="n"/>
      <c r="AG861" s="680" t="n"/>
      <c r="AH861" s="680" t="n"/>
      <c r="AI861" s="680" t="n"/>
      <c r="AJ861" s="680" t="n"/>
      <c r="AK861" s="680" t="inlineStr">
        <is>
          <t xml:space="preserve">RELATED LEASE                                                     </t>
        </is>
      </c>
    </row>
    <row r="862">
      <c r="A862" s="248" t="n">
        <v>8</v>
      </c>
      <c r="B862" s="370" t="n">
        <v>854</v>
      </c>
      <c r="C862" s="254" t="inlineStr">
        <is>
          <t>2009Q</t>
        </is>
      </c>
      <c r="D862" s="245" t="inlineStr">
        <is>
          <t xml:space="preserve">05091-26-009-000 </t>
        </is>
      </c>
      <c r="E862" s="258" t="inlineStr">
        <is>
          <t>Actual</t>
        </is>
      </c>
      <c r="F862" s="259" t="inlineStr">
        <is>
          <t>100   LIPAN                ST</t>
        </is>
      </c>
      <c r="G862" s="672" t="n">
        <v>44.2</v>
      </c>
      <c r="H862" s="253" t="n">
        <v>9505</v>
      </c>
      <c r="I862" s="255" t="n">
        <v>0</v>
      </c>
      <c r="J862" s="678" t="n">
        <v>11626</v>
      </c>
      <c r="K862" s="679" t="n">
        <v>3.571305694133838</v>
      </c>
      <c r="L862" s="260" t="n">
        <v>0</v>
      </c>
      <c r="M862" s="262" t="n">
        <v>0.09470134874759152</v>
      </c>
      <c r="N862" s="253" t="n">
        <v>1957</v>
      </c>
      <c r="O862" s="250" t="n">
        <v>3018</v>
      </c>
      <c r="Q862" s="245" t="n">
        <v>14</v>
      </c>
      <c r="R862" s="245" t="n">
        <v>1</v>
      </c>
      <c r="S862" s="245" t="n">
        <v>1</v>
      </c>
      <c r="T862" s="249" t="inlineStr">
        <is>
          <t xml:space="preserve">I1   </t>
        </is>
      </c>
      <c r="U862" s="249" t="n">
        <v>398</v>
      </c>
      <c r="V862" s="678" t="n">
        <v>17625</v>
      </c>
      <c r="W862" s="678" t="n">
        <v>18000</v>
      </c>
      <c r="X862" s="356" t="inlineStr">
        <is>
          <t>1.5:1</t>
        </is>
      </c>
      <c r="Y862" s="678">
        <f>ROUND(J862,-3)</f>
        <v/>
      </c>
      <c r="Z862" s="249" t="inlineStr">
        <is>
          <t xml:space="preserve">C </t>
        </is>
      </c>
      <c r="AA862" s="245" t="n">
        <v>3</v>
      </c>
      <c r="AB862" s="245" t="n">
        <v>3</v>
      </c>
      <c r="AC862" s="253" t="inlineStr">
        <is>
          <t>33</t>
        </is>
      </c>
      <c r="AD862" s="247" t="inlineStr">
        <is>
          <t xml:space="preserve">TURBO PRESS         </t>
        </is>
      </c>
      <c r="AE862" s="680" t="n"/>
      <c r="AF862" s="680" t="n"/>
      <c r="AG862" s="680" t="n"/>
      <c r="AH862" s="680" t="n"/>
      <c r="AI862" s="680" t="n"/>
      <c r="AJ862" s="680" t="n"/>
      <c r="AK862" s="680" t="inlineStr">
        <is>
          <t xml:space="preserve">OWNER PAYS PROPERTY TAXES                                         </t>
        </is>
      </c>
    </row>
    <row r="863">
      <c r="A863" s="248" t="n">
        <v>8</v>
      </c>
      <c r="B863" s="370" t="n">
        <v>855</v>
      </c>
      <c r="C863" s="254" t="inlineStr">
        <is>
          <t>2009Q</t>
        </is>
      </c>
      <c r="D863" s="245" t="inlineStr">
        <is>
          <t xml:space="preserve">05092-00-035-000 </t>
        </is>
      </c>
      <c r="E863" s="258" t="inlineStr">
        <is>
          <t>Actual</t>
        </is>
      </c>
      <c r="F863" s="259" t="inlineStr">
        <is>
          <t>555   QUIVAS               ST</t>
        </is>
      </c>
      <c r="G863" s="672" t="n">
        <v>44.1</v>
      </c>
      <c r="H863" s="253" t="n">
        <v>9505</v>
      </c>
      <c r="I863" s="255" t="n">
        <v>0</v>
      </c>
      <c r="J863" s="678" t="n">
        <v>22750</v>
      </c>
      <c r="K863" s="679" t="n">
        <v>6.153846153846154</v>
      </c>
      <c r="L863" s="260" t="n">
        <v>0.6301098901098902</v>
      </c>
      <c r="M863" s="262" t="n">
        <v>0</v>
      </c>
      <c r="N863" s="253" t="n">
        <v>1956</v>
      </c>
      <c r="O863" s="250" t="n">
        <v>6221</v>
      </c>
      <c r="Q863" s="245" t="n">
        <v>14</v>
      </c>
      <c r="R863" s="245" t="n">
        <v>1</v>
      </c>
      <c r="S863" s="245" t="n">
        <v>1</v>
      </c>
      <c r="T863" s="249" t="inlineStr">
        <is>
          <t xml:space="preserve">I1   </t>
        </is>
      </c>
      <c r="U863" s="249" t="n">
        <v>398</v>
      </c>
      <c r="V863" s="678" t="n">
        <v>50000</v>
      </c>
      <c r="W863" s="678" t="n">
        <v>50000</v>
      </c>
      <c r="X863" s="356" t="inlineStr">
        <is>
          <t>2.2:1</t>
        </is>
      </c>
      <c r="Y863" s="678">
        <f>ROUND(J863,-3)</f>
        <v/>
      </c>
      <c r="Z863" s="249" t="inlineStr">
        <is>
          <t xml:space="preserve">C </t>
        </is>
      </c>
      <c r="AA863" s="245" t="n">
        <v>3</v>
      </c>
      <c r="AB863" s="245" t="n">
        <v>3</v>
      </c>
      <c r="AC863" s="253" t="inlineStr">
        <is>
          <t>33</t>
        </is>
      </c>
      <c r="AD863" s="247" t="inlineStr">
        <is>
          <t>                    </t>
        </is>
      </c>
      <c r="AE863" s="680" t="n"/>
      <c r="AF863" s="680" t="n"/>
      <c r="AG863" s="680" t="n"/>
      <c r="AH863" s="680" t="n"/>
      <c r="AI863" s="680" t="n"/>
      <c r="AJ863" s="680" t="n"/>
      <c r="AK863" s="680" t="inlineStr">
        <is>
          <t>                                                                  </t>
        </is>
      </c>
    </row>
    <row r="864">
      <c r="A864" s="248" t="n">
        <v>8</v>
      </c>
      <c r="B864" s="370" t="n">
        <v>856</v>
      </c>
      <c r="C864" s="254" t="inlineStr">
        <is>
          <t>2009Q</t>
        </is>
      </c>
      <c r="D864" s="245" t="inlineStr">
        <is>
          <t xml:space="preserve">05092-00-076-000 </t>
        </is>
      </c>
      <c r="E864" s="258" t="inlineStr">
        <is>
          <t>Actual</t>
        </is>
      </c>
      <c r="F864" s="259" t="inlineStr">
        <is>
          <t>657   OSAGE                ST</t>
        </is>
      </c>
      <c r="G864" s="672" t="n">
        <v>44.1</v>
      </c>
      <c r="H864" s="253" t="n">
        <v>9505</v>
      </c>
      <c r="I864" s="255" t="n">
        <v>0</v>
      </c>
      <c r="J864" s="678" t="n">
        <v>9361</v>
      </c>
      <c r="K864" s="679" t="n">
        <v>6.703023181284051</v>
      </c>
      <c r="L864" s="260" t="n">
        <v>0</v>
      </c>
      <c r="M864" s="262" t="n">
        <v>0.001115591183642246</v>
      </c>
      <c r="N864" s="253" t="n">
        <v>1965</v>
      </c>
      <c r="O864" s="250" t="n">
        <v>1260</v>
      </c>
      <c r="Q864" s="245" t="n">
        <v>14</v>
      </c>
      <c r="R864" s="245" t="n">
        <v>1</v>
      </c>
      <c r="S864" s="245" t="n">
        <v>1</v>
      </c>
      <c r="T864" s="249" t="inlineStr">
        <is>
          <t xml:space="preserve">I1   </t>
        </is>
      </c>
      <c r="U864" s="249" t="n">
        <v>398</v>
      </c>
      <c r="V864" s="678" t="n">
        <v>17908</v>
      </c>
      <c r="W864" s="678" t="n">
        <v>18000</v>
      </c>
      <c r="X864" s="356" t="inlineStr">
        <is>
          <t>1.9:1</t>
        </is>
      </c>
      <c r="Y864" s="678">
        <f>ROUND(J864,-3)</f>
        <v/>
      </c>
      <c r="Z864" s="249" t="inlineStr">
        <is>
          <t xml:space="preserve">C </t>
        </is>
      </c>
      <c r="AA864" s="245" t="n">
        <v>3</v>
      </c>
      <c r="AB864" s="245" t="n">
        <v>3</v>
      </c>
      <c r="AC864" s="253" t="inlineStr">
        <is>
          <t>33</t>
        </is>
      </c>
      <c r="AD864" s="247" t="inlineStr">
        <is>
          <t>                    </t>
        </is>
      </c>
      <c r="AE864" s="680" t="n"/>
      <c r="AF864" s="680" t="n"/>
      <c r="AG864" s="680" t="n"/>
      <c r="AH864" s="680" t="n"/>
      <c r="AI864" s="680" t="n"/>
      <c r="AJ864" s="680" t="n"/>
      <c r="AK864" s="680" t="inlineStr">
        <is>
          <t>                                                                  </t>
        </is>
      </c>
    </row>
    <row r="865">
      <c r="A865" s="248" t="n">
        <v>8</v>
      </c>
      <c r="B865" s="370" t="n">
        <v>857</v>
      </c>
      <c r="C865" s="254" t="inlineStr">
        <is>
          <t>2009Q</t>
        </is>
      </c>
      <c r="D865" s="245" t="inlineStr">
        <is>
          <t xml:space="preserve">05092-05-017-000 </t>
        </is>
      </c>
      <c r="E865" s="258" t="inlineStr">
        <is>
          <t>Actual</t>
        </is>
      </c>
      <c r="F865" s="259" t="inlineStr">
        <is>
          <t>2000 W 8TH                  AV</t>
        </is>
      </c>
      <c r="G865" s="672" t="n">
        <v>44.1</v>
      </c>
      <c r="H865" s="253" t="n">
        <v>9505</v>
      </c>
      <c r="I865" s="255" t="n">
        <v>0</v>
      </c>
      <c r="J865" s="678" t="n">
        <v>10702</v>
      </c>
      <c r="K865" s="679" t="n">
        <v>5.606428704914969</v>
      </c>
      <c r="L865" s="260" t="n">
        <v>0</v>
      </c>
      <c r="M865" s="262" t="n">
        <v>0</v>
      </c>
      <c r="N865" s="253" t="n">
        <v>1933</v>
      </c>
      <c r="O865" s="250">
        <f>1200+384+4384</f>
        <v/>
      </c>
      <c r="Q865" s="245" t="n">
        <v>12</v>
      </c>
      <c r="R865" s="245" t="n">
        <v>1</v>
      </c>
      <c r="S865" s="245" t="n">
        <v>1</v>
      </c>
      <c r="T865" s="249" t="inlineStr">
        <is>
          <t xml:space="preserve">I1   </t>
        </is>
      </c>
      <c r="U865" s="249" t="n">
        <v>398</v>
      </c>
      <c r="V865" s="678" t="n">
        <v>28801</v>
      </c>
      <c r="W865" s="678" t="n">
        <v>29000</v>
      </c>
      <c r="X865" s="356" t="inlineStr">
        <is>
          <t>2.7:1</t>
        </is>
      </c>
      <c r="Y865" s="678">
        <f>ROUND(J865,-3)</f>
        <v/>
      </c>
      <c r="Z865" s="249" t="inlineStr">
        <is>
          <t xml:space="preserve">C </t>
        </is>
      </c>
      <c r="AA865" s="245" t="n">
        <v>3</v>
      </c>
      <c r="AB865" s="245" t="n">
        <v>3</v>
      </c>
      <c r="AC865" s="253" t="inlineStr">
        <is>
          <t>33</t>
        </is>
      </c>
      <c r="AD865" s="247" t="inlineStr">
        <is>
          <t>CITY BARK DOGDAYCARE</t>
        </is>
      </c>
      <c r="AE865" s="680" t="n"/>
      <c r="AF865" s="680" t="n"/>
      <c r="AG865" s="680" t="n"/>
      <c r="AH865" s="680" t="n"/>
      <c r="AI865" s="680" t="n"/>
      <c r="AJ865" s="680" t="n"/>
      <c r="AK865" s="680" t="inlineStr">
        <is>
          <t xml:space="preserve">PROPERTY RENOVATED-OWNER PAID MORE EXPENSES                       </t>
        </is>
      </c>
    </row>
    <row r="866">
      <c r="A866" s="248" t="n">
        <v>8</v>
      </c>
      <c r="B866" s="370" t="n">
        <v>858</v>
      </c>
      <c r="C866" s="254" t="inlineStr">
        <is>
          <t>2009Q</t>
        </is>
      </c>
      <c r="D866" s="245" t="inlineStr">
        <is>
          <t xml:space="preserve">05092-05-021-000 </t>
        </is>
      </c>
      <c r="E866" s="258" t="inlineStr">
        <is>
          <t>Actual</t>
        </is>
      </c>
      <c r="F866" s="259" t="inlineStr">
        <is>
          <t>730   UMATILLA             ST</t>
        </is>
      </c>
      <c r="G866" s="672" t="n">
        <v>47.1</v>
      </c>
      <c r="H866" s="253" t="n">
        <v>9505</v>
      </c>
      <c r="I866" s="255" t="n">
        <v>0</v>
      </c>
      <c r="J866" s="678" t="n">
        <v>12791</v>
      </c>
      <c r="K866" s="679" t="n">
        <v>7.116879055585959</v>
      </c>
      <c r="L866" s="260" t="n">
        <v>0</v>
      </c>
      <c r="M866" s="262" t="n">
        <v>0.0998220406011073</v>
      </c>
      <c r="N866" s="253" t="n">
        <v>1959</v>
      </c>
      <c r="O866" s="250">
        <f>1431+150</f>
        <v/>
      </c>
      <c r="Q866" s="245" t="n">
        <v>24</v>
      </c>
      <c r="R866" s="245" t="n">
        <v>3</v>
      </c>
      <c r="S866" s="245" t="n">
        <v>1</v>
      </c>
      <c r="T866" s="249" t="inlineStr">
        <is>
          <t xml:space="preserve">I1   </t>
        </is>
      </c>
      <c r="U866" s="249" t="n">
        <v>401</v>
      </c>
      <c r="V866" s="678" t="n">
        <v>51701</v>
      </c>
      <c r="W866" s="678" t="n">
        <v>50000</v>
      </c>
      <c r="X866" s="356" t="inlineStr">
        <is>
          <t>4.0:1</t>
        </is>
      </c>
      <c r="Y866" s="678">
        <f>ROUND(J866,-3)</f>
        <v/>
      </c>
      <c r="Z866" s="249" t="inlineStr">
        <is>
          <t xml:space="preserve">C </t>
        </is>
      </c>
      <c r="AA866" s="245" t="n">
        <v>3</v>
      </c>
      <c r="AB866" s="245" t="n">
        <v>3</v>
      </c>
      <c r="AC866" s="253" t="inlineStr">
        <is>
          <t>33</t>
        </is>
      </c>
      <c r="AD866" s="247" t="inlineStr">
        <is>
          <t>                    </t>
        </is>
      </c>
      <c r="AE866" s="680" t="n"/>
      <c r="AF866" s="680" t="n"/>
      <c r="AG866" s="680" t="n"/>
      <c r="AH866" s="680" t="n"/>
      <c r="AI866" s="680" t="n"/>
      <c r="AJ866" s="680" t="n"/>
      <c r="AK866" s="680" t="inlineStr">
        <is>
          <t xml:space="preserve">OWNER PAID TAXES IN 2007-LEASE 1/01/08 AT $139,596                </t>
        </is>
      </c>
    </row>
    <row r="867">
      <c r="A867" s="248" t="n">
        <v>8</v>
      </c>
      <c r="B867" s="370" t="n">
        <v>859</v>
      </c>
      <c r="C867" s="254" t="inlineStr">
        <is>
          <t>2009Q</t>
        </is>
      </c>
      <c r="D867" s="245" t="inlineStr">
        <is>
          <t xml:space="preserve">05092-06-015-000 </t>
        </is>
      </c>
      <c r="E867" s="258" t="inlineStr">
        <is>
          <t>Actual</t>
        </is>
      </c>
      <c r="F867" s="259" t="inlineStr">
        <is>
          <t>707   UMATILLA             ST</t>
        </is>
      </c>
      <c r="G867" s="672" t="n">
        <v>44.1</v>
      </c>
      <c r="H867" s="253" t="n">
        <v>9505</v>
      </c>
      <c r="I867" s="255" t="n">
        <v>0</v>
      </c>
      <c r="J867" s="678" t="n">
        <v>18270</v>
      </c>
      <c r="K867" s="679" t="n">
        <v>5.289381499726328</v>
      </c>
      <c r="L867" s="260" t="n">
        <v>0</v>
      </c>
      <c r="M867" s="262" t="n">
        <v>0.004139201341101234</v>
      </c>
      <c r="N867" s="253" t="n">
        <v>1982</v>
      </c>
      <c r="O867" s="250" t="n">
        <v>1128</v>
      </c>
      <c r="P867" s="250" t="n">
        <v>1293</v>
      </c>
      <c r="Q867" s="245" t="n">
        <v>17</v>
      </c>
      <c r="R867" s="245" t="n">
        <v>7</v>
      </c>
      <c r="S867" s="245" t="n">
        <v>1</v>
      </c>
      <c r="T867" s="249" t="inlineStr">
        <is>
          <t xml:space="preserve">I1   </t>
        </is>
      </c>
      <c r="U867" s="249" t="n">
        <v>398</v>
      </c>
      <c r="V867" s="678" t="n">
        <v>29950</v>
      </c>
      <c r="W867" s="678" t="n">
        <v>30000</v>
      </c>
      <c r="X867" s="356" t="inlineStr">
        <is>
          <t>1.6:1</t>
        </is>
      </c>
      <c r="Y867" s="678">
        <f>ROUND(J867,-3)</f>
        <v/>
      </c>
      <c r="Z867" s="249" t="inlineStr">
        <is>
          <t xml:space="preserve">C </t>
        </is>
      </c>
      <c r="AA867" s="245" t="n">
        <v>3</v>
      </c>
      <c r="AB867" s="245" t="n">
        <v>3</v>
      </c>
      <c r="AC867" s="253" t="inlineStr">
        <is>
          <t>33</t>
        </is>
      </c>
      <c r="AD867" s="247" t="inlineStr">
        <is>
          <t>                    </t>
        </is>
      </c>
      <c r="AE867" s="680" t="n"/>
      <c r="AF867" s="680" t="n"/>
      <c r="AG867" s="680" t="n"/>
      <c r="AH867" s="680" t="n"/>
      <c r="AI867" s="680" t="n"/>
      <c r="AJ867" s="680" t="n"/>
      <c r="AK867" s="680" t="inlineStr">
        <is>
          <t>                                                                  </t>
        </is>
      </c>
    </row>
    <row r="868">
      <c r="A868" s="248" t="n">
        <v>8</v>
      </c>
      <c r="B868" s="370" t="n">
        <v>860</v>
      </c>
      <c r="C868" s="254" t="inlineStr">
        <is>
          <t>2009Q</t>
        </is>
      </c>
      <c r="D868" s="245" t="inlineStr">
        <is>
          <t xml:space="preserve">05092-06-019-000 </t>
        </is>
      </c>
      <c r="E868" s="258" t="inlineStr">
        <is>
          <t>Actual</t>
        </is>
      </c>
      <c r="F868" s="259" t="inlineStr">
        <is>
          <t>2177 W 7TH                  AV</t>
        </is>
      </c>
      <c r="G868" s="672" t="n">
        <v>47.1</v>
      </c>
      <c r="H868" s="253" t="n">
        <v>9505</v>
      </c>
      <c r="I868" s="255" t="n">
        <v>0</v>
      </c>
      <c r="J868" s="678" t="n">
        <v>9000</v>
      </c>
      <c r="K868" s="679" t="n">
        <v>4</v>
      </c>
      <c r="L868" s="260" t="n">
        <v>0.1146566131602472</v>
      </c>
      <c r="M868" s="262" t="n">
        <v>0.2361111111111111</v>
      </c>
      <c r="N868" s="253" t="n">
        <v>1969</v>
      </c>
      <c r="O868" s="250" t="n">
        <v>668</v>
      </c>
      <c r="P868" s="250">
        <f>2942*2</f>
        <v/>
      </c>
      <c r="Q868" s="245" t="n">
        <v>12</v>
      </c>
      <c r="R868" s="245" t="n">
        <v>14</v>
      </c>
      <c r="S868" s="245" t="n">
        <v>1</v>
      </c>
      <c r="T868" s="249" t="inlineStr">
        <is>
          <t xml:space="preserve">I1   </t>
        </is>
      </c>
      <c r="U868" s="249" t="n">
        <v>401</v>
      </c>
      <c r="V868" s="678" t="n">
        <v>50950</v>
      </c>
      <c r="W868" s="678" t="n">
        <v>50000</v>
      </c>
      <c r="X868" s="356" t="inlineStr">
        <is>
          <t>2.0:1</t>
        </is>
      </c>
      <c r="Y868" s="678">
        <f>ROUND(J868,-3)</f>
        <v/>
      </c>
      <c r="Z868" s="249" t="inlineStr">
        <is>
          <t xml:space="preserve">C </t>
        </is>
      </c>
      <c r="AA868" s="245" t="n">
        <v>3</v>
      </c>
      <c r="AB868" s="245" t="n">
        <v>3</v>
      </c>
      <c r="AC868" s="253" t="inlineStr">
        <is>
          <t>33</t>
        </is>
      </c>
      <c r="AD868" s="247" t="inlineStr">
        <is>
          <t>                    </t>
        </is>
      </c>
      <c r="AE868" s="680" t="n"/>
      <c r="AF868" s="680" t="n"/>
      <c r="AG868" s="680" t="n"/>
      <c r="AH868" s="680" t="n"/>
      <c r="AI868" s="680" t="n"/>
      <c r="AJ868" s="680" t="n"/>
      <c r="AK868" s="680" t="inlineStr">
        <is>
          <t xml:space="preserve">ACTUAL INCOME FOR 1 UNIT 6,050 SF-$4.12/SF                        </t>
        </is>
      </c>
    </row>
    <row r="869">
      <c r="A869" s="248" t="n">
        <v>8</v>
      </c>
      <c r="B869" s="370" t="n">
        <v>861</v>
      </c>
      <c r="C869" s="254" t="inlineStr">
        <is>
          <t>2009Q</t>
        </is>
      </c>
      <c r="D869" s="245" t="inlineStr">
        <is>
          <t xml:space="preserve">05092-07-013-000 </t>
        </is>
      </c>
      <c r="E869" s="258" t="inlineStr">
        <is>
          <t>Actual</t>
        </is>
      </c>
      <c r="F869" s="259" t="inlineStr">
        <is>
          <t>745   VALLEJO              ST</t>
        </is>
      </c>
      <c r="G869" s="672" t="n">
        <v>44.1</v>
      </c>
      <c r="H869" s="253" t="n">
        <v>9505</v>
      </c>
      <c r="I869" s="255" t="n">
        <v>0</v>
      </c>
      <c r="J869" s="678" t="n">
        <v>2800</v>
      </c>
      <c r="K869" s="679" t="n">
        <v>8.207142857142857</v>
      </c>
      <c r="L869" s="260" t="n">
        <v>0</v>
      </c>
      <c r="M869" s="262" t="n">
        <v>0</v>
      </c>
      <c r="N869" s="253" t="n">
        <v>1964</v>
      </c>
      <c r="O869" s="250" t="n">
        <v>198</v>
      </c>
      <c r="Q869" s="245" t="n">
        <v>14</v>
      </c>
      <c r="R869" s="245" t="n">
        <v>3</v>
      </c>
      <c r="S869" s="245" t="n">
        <v>1</v>
      </c>
      <c r="T869" s="249" t="inlineStr">
        <is>
          <t xml:space="preserve">I1   </t>
        </is>
      </c>
      <c r="U869" s="249" t="n">
        <v>398</v>
      </c>
      <c r="V869" s="678" t="n">
        <v>6000</v>
      </c>
      <c r="W869" s="678" t="n">
        <v>6000</v>
      </c>
      <c r="X869" s="356" t="inlineStr">
        <is>
          <t>2.1:1</t>
        </is>
      </c>
      <c r="Y869" s="678">
        <f>ROUND(J869,-3)</f>
        <v/>
      </c>
      <c r="Z869" s="249" t="inlineStr">
        <is>
          <t xml:space="preserve">C </t>
        </is>
      </c>
      <c r="AA869" s="245" t="n">
        <v>3</v>
      </c>
      <c r="AB869" s="245" t="n">
        <v>3</v>
      </c>
      <c r="AC869" s="253" t="inlineStr">
        <is>
          <t>33</t>
        </is>
      </c>
      <c r="AD869" s="247" t="inlineStr">
        <is>
          <t>S-W DENVER WIRE WORK</t>
        </is>
      </c>
      <c r="AE869" s="680" t="n"/>
      <c r="AF869" s="680" t="n"/>
      <c r="AG869" s="680" t="n"/>
      <c r="AH869" s="680" t="n"/>
      <c r="AI869" s="680" t="n"/>
      <c r="AJ869" s="680" t="n"/>
      <c r="AK869" s="680" t="inlineStr">
        <is>
          <t xml:space="preserve">VACANT FOR 2007-LEASED ON 03/2008-ASSUME NNN                      </t>
        </is>
      </c>
    </row>
    <row r="870">
      <c r="A870" s="248" t="n">
        <v>8</v>
      </c>
      <c r="B870" s="370" t="n">
        <v>862</v>
      </c>
      <c r="C870" s="254" t="inlineStr">
        <is>
          <t>2009Q</t>
        </is>
      </c>
      <c r="D870" s="245" t="inlineStr">
        <is>
          <t xml:space="preserve">05092-07-032-000 </t>
        </is>
      </c>
      <c r="E870" s="258" t="inlineStr">
        <is>
          <t>Actual</t>
        </is>
      </c>
      <c r="F870" s="259" t="inlineStr">
        <is>
          <t>755   VALLEJO              ST</t>
        </is>
      </c>
      <c r="G870" s="672" t="n">
        <v>44.2</v>
      </c>
      <c r="H870" s="253" t="n">
        <v>9505</v>
      </c>
      <c r="I870" s="255" t="n">
        <v>0</v>
      </c>
      <c r="J870" s="678" t="n">
        <v>11867</v>
      </c>
      <c r="K870" s="679" t="n">
        <v>6.281199966293082</v>
      </c>
      <c r="L870" s="260" t="n">
        <v>0.4054099603943709</v>
      </c>
      <c r="M870" s="262" t="n">
        <v>0.1382229436939052</v>
      </c>
      <c r="N870" s="253" t="n">
        <v>1970</v>
      </c>
      <c r="O870" s="250" t="n">
        <v>5575</v>
      </c>
      <c r="Q870" s="245" t="n">
        <v>18</v>
      </c>
      <c r="R870" s="245" t="n">
        <v>1</v>
      </c>
      <c r="S870" s="245" t="n">
        <v>1</v>
      </c>
      <c r="T870" s="249" t="inlineStr">
        <is>
          <t xml:space="preserve">I1   </t>
        </is>
      </c>
      <c r="U870" s="249" t="n">
        <v>398</v>
      </c>
      <c r="V870" s="678" t="n">
        <v>18000</v>
      </c>
      <c r="W870" s="678" t="n">
        <v>18000</v>
      </c>
      <c r="X870" s="356" t="inlineStr">
        <is>
          <t>1.5:1</t>
        </is>
      </c>
      <c r="Y870" s="678">
        <f>ROUND(J870,-3)</f>
        <v/>
      </c>
      <c r="Z870" s="249" t="inlineStr">
        <is>
          <t xml:space="preserve">C </t>
        </is>
      </c>
      <c r="AA870" s="245" t="n">
        <v>3</v>
      </c>
      <c r="AB870" s="245" t="n">
        <v>3</v>
      </c>
      <c r="AC870" s="253" t="inlineStr">
        <is>
          <t>33</t>
        </is>
      </c>
      <c r="AD870" s="247" t="inlineStr">
        <is>
          <t xml:space="preserve">M-W                 </t>
        </is>
      </c>
      <c r="AE870" s="680" t="n"/>
      <c r="AF870" s="680" t="n"/>
      <c r="AG870" s="680" t="n"/>
      <c r="AH870" s="680" t="n"/>
      <c r="AI870" s="680" t="n"/>
      <c r="AJ870" s="680" t="n"/>
      <c r="AK870" s="680" t="inlineStr">
        <is>
          <t xml:space="preserve">OWNER PAYS TAXES                                                  </t>
        </is>
      </c>
    </row>
    <row r="871">
      <c r="A871" s="248" t="n">
        <v>8</v>
      </c>
      <c r="B871" s="370" t="n">
        <v>863</v>
      </c>
      <c r="C871" s="254" t="inlineStr">
        <is>
          <t>2009Q</t>
        </is>
      </c>
      <c r="D871" s="245" t="inlineStr">
        <is>
          <t xml:space="preserve">05093-00-052-000 </t>
        </is>
      </c>
      <c r="E871" s="258" t="inlineStr">
        <is>
          <t>Actual</t>
        </is>
      </c>
      <c r="F871" s="259" t="inlineStr">
        <is>
          <t>163   VALLEJO              ST</t>
        </is>
      </c>
      <c r="G871" s="672" t="n">
        <v>44.1</v>
      </c>
      <c r="H871" s="253" t="n">
        <v>9508</v>
      </c>
      <c r="I871" s="255" t="n">
        <v>0</v>
      </c>
      <c r="J871" s="678" t="n">
        <v>4681</v>
      </c>
      <c r="K871" s="679" t="n">
        <v>9.67741935483871</v>
      </c>
      <c r="L871" s="260" t="n">
        <v>0</v>
      </c>
      <c r="M871" s="262" t="n">
        <v>0.04187637969094923</v>
      </c>
      <c r="N871" s="253" t="n">
        <v>1937</v>
      </c>
      <c r="O871" s="250">
        <f>1100+1922</f>
        <v/>
      </c>
      <c r="Q871" s="245" t="n">
        <v>18</v>
      </c>
      <c r="R871" s="245" t="n">
        <v>3</v>
      </c>
      <c r="S871" s="245" t="n">
        <v>1</v>
      </c>
      <c r="T871" s="249" t="inlineStr">
        <is>
          <t xml:space="preserve">I1   </t>
        </is>
      </c>
      <c r="U871" s="249" t="n">
        <v>398</v>
      </c>
      <c r="V871" s="678" t="n">
        <v>14136</v>
      </c>
      <c r="W871" s="678" t="n">
        <v>14000</v>
      </c>
      <c r="X871" s="356" t="inlineStr">
        <is>
          <t>3.0:1</t>
        </is>
      </c>
      <c r="Y871" s="678">
        <f>ROUND(J871,-3)</f>
        <v/>
      </c>
      <c r="Z871" s="249" t="inlineStr">
        <is>
          <t xml:space="preserve">C </t>
        </is>
      </c>
      <c r="AA871" s="245" t="n">
        <v>3</v>
      </c>
      <c r="AB871" s="245" t="n">
        <v>3</v>
      </c>
      <c r="AC871" s="253" t="inlineStr">
        <is>
          <t>33</t>
        </is>
      </c>
      <c r="AD871" s="247" t="inlineStr">
        <is>
          <t>IAI CONSTRUCTION CO.</t>
        </is>
      </c>
      <c r="AE871" s="680" t="n"/>
      <c r="AF871" s="680" t="n"/>
      <c r="AG871" s="680" t="n"/>
      <c r="AH871" s="680" t="n"/>
      <c r="AI871" s="680" t="n"/>
      <c r="AJ871" s="680" t="n"/>
      <c r="AK871" s="680" t="inlineStr">
        <is>
          <t xml:space="preserve">TWO TENANTS                                                       </t>
        </is>
      </c>
    </row>
    <row r="872">
      <c r="A872" s="248" t="n">
        <v>8</v>
      </c>
      <c r="B872" s="370" t="n">
        <v>864</v>
      </c>
      <c r="C872" s="254" t="inlineStr">
        <is>
          <t>2009Q</t>
        </is>
      </c>
      <c r="D872" s="245" t="inlineStr">
        <is>
          <t xml:space="preserve">05093-00-054-000 </t>
        </is>
      </c>
      <c r="E872" s="258" t="inlineStr">
        <is>
          <t>Actual</t>
        </is>
      </c>
      <c r="F872" s="259" t="inlineStr">
        <is>
          <t>148   VALLEJO              ST</t>
        </is>
      </c>
      <c r="G872" s="672" t="n">
        <v>47.1</v>
      </c>
      <c r="H872" s="253" t="n">
        <v>9508</v>
      </c>
      <c r="I872" s="255" t="n">
        <v>0</v>
      </c>
      <c r="J872" s="678" t="n">
        <v>7203</v>
      </c>
      <c r="K872" s="679" t="n">
        <v>3.665139525197834</v>
      </c>
      <c r="L872" s="260" t="n">
        <v>0</v>
      </c>
      <c r="M872" s="262" t="n">
        <v>0</v>
      </c>
      <c r="N872" s="253" t="n">
        <v>1965</v>
      </c>
      <c r="O872" s="250" t="n">
        <v>640</v>
      </c>
      <c r="Q872" s="245" t="n">
        <v>13</v>
      </c>
      <c r="R872" s="245" t="n">
        <v>3</v>
      </c>
      <c r="S872" s="245" t="n">
        <v>1</v>
      </c>
      <c r="T872" s="249" t="inlineStr">
        <is>
          <t xml:space="preserve">I2   </t>
        </is>
      </c>
      <c r="U872" s="249" t="n">
        <v>401</v>
      </c>
      <c r="V872" s="678" t="n">
        <v>14230</v>
      </c>
      <c r="W872" s="678" t="n">
        <v>14000</v>
      </c>
      <c r="X872" s="356" t="inlineStr">
        <is>
          <t>2.0:1</t>
        </is>
      </c>
      <c r="Y872" s="678">
        <f>ROUND(J872,-3)</f>
        <v/>
      </c>
      <c r="Z872" s="249" t="inlineStr">
        <is>
          <t xml:space="preserve">C </t>
        </is>
      </c>
      <c r="AA872" s="245" t="n">
        <v>3</v>
      </c>
      <c r="AB872" s="245" t="n">
        <v>3</v>
      </c>
      <c r="AC872" s="253" t="inlineStr">
        <is>
          <t>33</t>
        </is>
      </c>
      <c r="AD872" s="247" t="inlineStr">
        <is>
          <t>                    </t>
        </is>
      </c>
      <c r="AE872" s="680" t="n"/>
      <c r="AF872" s="680" t="n"/>
      <c r="AG872" s="680" t="n"/>
      <c r="AH872" s="680" t="n"/>
      <c r="AI872" s="680" t="n"/>
      <c r="AJ872" s="680" t="n"/>
      <c r="AK872" s="680" t="inlineStr">
        <is>
          <t xml:space="preserve">OWNER PAY PROPERTY TAXES                                          </t>
        </is>
      </c>
    </row>
    <row r="873">
      <c r="A873" s="248" t="n">
        <v>8</v>
      </c>
      <c r="B873" s="370" t="n">
        <v>865</v>
      </c>
      <c r="C873" s="254" t="inlineStr">
        <is>
          <t>2009Q</t>
        </is>
      </c>
      <c r="D873" s="245" t="inlineStr">
        <is>
          <t xml:space="preserve">05093-04-023-000 </t>
        </is>
      </c>
      <c r="E873" s="258" t="inlineStr">
        <is>
          <t>Actual</t>
        </is>
      </c>
      <c r="F873" s="259" t="inlineStr">
        <is>
          <t>415   YUMA                 ST</t>
        </is>
      </c>
      <c r="G873" s="672" t="n">
        <v>45.7</v>
      </c>
      <c r="H873" s="253" t="n">
        <v>9508</v>
      </c>
      <c r="I873" s="255" t="n">
        <v>0</v>
      </c>
      <c r="J873" s="678" t="n">
        <v>15659</v>
      </c>
      <c r="K873" s="679" t="n">
        <v>3.924963279902931</v>
      </c>
      <c r="L873" s="260" t="n">
        <v>0</v>
      </c>
      <c r="M873" s="262" t="n">
        <v>0.02464977790794162</v>
      </c>
      <c r="N873" s="253" t="n">
        <v>1977</v>
      </c>
      <c r="O873" s="250" t="n">
        <v>2787</v>
      </c>
      <c r="Q873" s="245" t="n">
        <v>14</v>
      </c>
      <c r="R873" s="245" t="n">
        <v>3</v>
      </c>
      <c r="S873" s="245" t="n">
        <v>1</v>
      </c>
      <c r="T873" s="249" t="inlineStr">
        <is>
          <t xml:space="preserve">I1   </t>
        </is>
      </c>
      <c r="U873" s="249" t="n">
        <v>391</v>
      </c>
      <c r="V873" s="678" t="n">
        <v>35054</v>
      </c>
      <c r="W873" s="678" t="n">
        <v>35000</v>
      </c>
      <c r="X873" s="356" t="inlineStr">
        <is>
          <t>2.2:1</t>
        </is>
      </c>
      <c r="Y873" s="678">
        <f>ROUND(J873,-3)</f>
        <v/>
      </c>
      <c r="Z873" s="249" t="inlineStr">
        <is>
          <t xml:space="preserve">C </t>
        </is>
      </c>
      <c r="AA873" s="245" t="n">
        <v>5</v>
      </c>
      <c r="AB873" s="245" t="n">
        <v>3</v>
      </c>
      <c r="AC873" s="253" t="inlineStr">
        <is>
          <t>53</t>
        </is>
      </c>
      <c r="AD873" s="247" t="inlineStr">
        <is>
          <t xml:space="preserve">S-W CONAGRA BEEF CO </t>
        </is>
      </c>
      <c r="AE873" s="680" t="n"/>
      <c r="AF873" s="680" t="n"/>
      <c r="AG873" s="680" t="n"/>
      <c r="AH873" s="680" t="n"/>
      <c r="AI873" s="680" t="n"/>
      <c r="AJ873" s="680" t="n"/>
      <c r="AK873" s="680" t="inlineStr">
        <is>
          <t>                                                                  </t>
        </is>
      </c>
    </row>
    <row r="874">
      <c r="A874" s="248" t="n">
        <v>8</v>
      </c>
      <c r="B874" s="370" t="n">
        <v>866</v>
      </c>
      <c r="C874" s="254" t="inlineStr">
        <is>
          <t>2009Q</t>
        </is>
      </c>
      <c r="D874" s="245" t="inlineStr">
        <is>
          <t xml:space="preserve">05093-05-008-000 </t>
        </is>
      </c>
      <c r="E874" s="258" t="inlineStr">
        <is>
          <t>Actual</t>
        </is>
      </c>
      <c r="F874" s="259" t="inlineStr">
        <is>
          <t>355   YUMA                 ST</t>
        </is>
      </c>
      <c r="G874" s="672" t="n">
        <v>44.1</v>
      </c>
      <c r="H874" s="253" t="n">
        <v>9508</v>
      </c>
      <c r="I874" s="255" t="n">
        <v>0</v>
      </c>
      <c r="J874" s="678" t="n">
        <v>5500</v>
      </c>
      <c r="K874" s="679" t="n">
        <v>8.624545454545455</v>
      </c>
      <c r="L874" s="260" t="n">
        <v>0</v>
      </c>
      <c r="M874" s="262" t="n">
        <v>0.02072309476125224</v>
      </c>
      <c r="N874" s="253" t="n">
        <v>1964</v>
      </c>
      <c r="O874" s="250" t="n">
        <v>1150</v>
      </c>
      <c r="Q874" s="245" t="n">
        <v>13</v>
      </c>
      <c r="R874" s="245" t="n">
        <v>1</v>
      </c>
      <c r="S874" s="245" t="n">
        <v>1</v>
      </c>
      <c r="T874" s="249" t="inlineStr">
        <is>
          <t xml:space="preserve">I1   </t>
        </is>
      </c>
      <c r="U874" s="249" t="n">
        <v>398</v>
      </c>
      <c r="V874" s="678" t="n">
        <v>17250</v>
      </c>
      <c r="W874" s="678" t="n">
        <v>17000</v>
      </c>
      <c r="X874" s="356" t="inlineStr">
        <is>
          <t>3.1:1</t>
        </is>
      </c>
      <c r="Y874" s="678">
        <f>ROUND(J874,-3)</f>
        <v/>
      </c>
      <c r="Z874" s="249" t="inlineStr">
        <is>
          <t xml:space="preserve">C </t>
        </is>
      </c>
      <c r="AA874" s="245" t="n">
        <v>3</v>
      </c>
      <c r="AB874" s="245" t="n">
        <v>3</v>
      </c>
      <c r="AC874" s="253" t="inlineStr">
        <is>
          <t>33</t>
        </is>
      </c>
      <c r="AD874" s="247" t="inlineStr">
        <is>
          <t xml:space="preserve">PARASOL             </t>
        </is>
      </c>
      <c r="AE874" s="680" t="n"/>
      <c r="AF874" s="680" t="n"/>
      <c r="AG874" s="680" t="n"/>
      <c r="AH874" s="680" t="n"/>
      <c r="AI874" s="680" t="n"/>
      <c r="AJ874" s="680" t="n"/>
      <c r="AK874" s="680" t="inlineStr">
        <is>
          <t>                                                                  </t>
        </is>
      </c>
    </row>
    <row r="875">
      <c r="A875" s="248" t="n">
        <v>8</v>
      </c>
      <c r="B875" s="370" t="n">
        <v>867</v>
      </c>
      <c r="C875" s="254" t="inlineStr">
        <is>
          <t>2009Q</t>
        </is>
      </c>
      <c r="D875" s="245" t="inlineStr">
        <is>
          <t xml:space="preserve">05093-11-008-000 </t>
        </is>
      </c>
      <c r="E875" s="258" t="inlineStr">
        <is>
          <t>Actual</t>
        </is>
      </c>
      <c r="F875" s="259" t="inlineStr">
        <is>
          <t>145   YUMA                 ST</t>
        </is>
      </c>
      <c r="G875" s="672" t="n">
        <v>44.1</v>
      </c>
      <c r="H875" s="253" t="n">
        <v>9508</v>
      </c>
      <c r="I875" s="255" t="n">
        <v>0</v>
      </c>
      <c r="J875" s="678" t="n">
        <v>6930</v>
      </c>
      <c r="K875" s="679" t="n">
        <v>5.96969696969697</v>
      </c>
      <c r="L875" s="260" t="n">
        <v>0</v>
      </c>
      <c r="M875" s="262" t="n">
        <v>0.122673434856176</v>
      </c>
      <c r="N875" s="253" t="n">
        <v>1965</v>
      </c>
      <c r="O875" s="250" t="n">
        <v>1260</v>
      </c>
      <c r="Q875" s="245" t="n">
        <v>13</v>
      </c>
      <c r="R875" s="245" t="n">
        <v>1</v>
      </c>
      <c r="S875" s="245" t="n">
        <v>1</v>
      </c>
      <c r="T875" s="249" t="inlineStr">
        <is>
          <t xml:space="preserve">I1   </t>
        </is>
      </c>
      <c r="U875" s="249" t="n">
        <v>398</v>
      </c>
      <c r="V875" s="678" t="n">
        <v>18900</v>
      </c>
      <c r="W875" s="678" t="n">
        <v>19000</v>
      </c>
      <c r="X875" s="356" t="inlineStr">
        <is>
          <t>2.7:1</t>
        </is>
      </c>
      <c r="Y875" s="678">
        <f>ROUND(J875,-3)</f>
        <v/>
      </c>
      <c r="Z875" s="249" t="inlineStr">
        <is>
          <t xml:space="preserve">C </t>
        </is>
      </c>
      <c r="AA875" s="245" t="n">
        <v>3</v>
      </c>
      <c r="AB875" s="245" t="n">
        <v>3</v>
      </c>
      <c r="AC875" s="253" t="inlineStr">
        <is>
          <t>33</t>
        </is>
      </c>
      <c r="AD875" s="247" t="inlineStr">
        <is>
          <t>                    </t>
        </is>
      </c>
      <c r="AE875" s="680" t="n"/>
      <c r="AF875" s="680" t="n"/>
      <c r="AG875" s="680" t="n"/>
      <c r="AH875" s="680" t="n"/>
      <c r="AI875" s="680" t="n"/>
      <c r="AJ875" s="680" t="n"/>
      <c r="AK875" s="680" t="inlineStr">
        <is>
          <t xml:space="preserve">100% VACANT AS OF 6/30/2008                                       </t>
        </is>
      </c>
    </row>
    <row r="876">
      <c r="A876" s="248" t="n">
        <v>8</v>
      </c>
      <c r="B876" s="370" t="n">
        <v>868</v>
      </c>
      <c r="C876" s="254" t="inlineStr">
        <is>
          <t>2009Q</t>
        </is>
      </c>
      <c r="D876" s="245" t="inlineStr">
        <is>
          <t xml:space="preserve">05094-04-016-000 </t>
        </is>
      </c>
      <c r="E876" s="258" t="inlineStr">
        <is>
          <t>Actual</t>
        </is>
      </c>
      <c r="F876" s="259" t="inlineStr">
        <is>
          <t>1455 W CEDAR                AV</t>
        </is>
      </c>
      <c r="G876" s="672" t="n">
        <v>44.1</v>
      </c>
      <c r="H876" s="253" t="n">
        <v>9508</v>
      </c>
      <c r="I876" s="255" t="n">
        <v>0</v>
      </c>
      <c r="J876" s="678" t="n">
        <v>2400</v>
      </c>
      <c r="K876" s="679" t="n">
        <v>9</v>
      </c>
      <c r="L876" s="260" t="n">
        <v>0</v>
      </c>
      <c r="M876" s="262" t="n">
        <v>0.1436111111111111</v>
      </c>
      <c r="N876" s="253" t="n">
        <v>1982</v>
      </c>
      <c r="O876" s="250" t="n">
        <v>678</v>
      </c>
      <c r="Q876" s="245" t="n">
        <v>15</v>
      </c>
      <c r="R876" s="245" t="n">
        <v>7</v>
      </c>
      <c r="S876" s="245" t="n">
        <v>1</v>
      </c>
      <c r="T876" s="249" t="inlineStr">
        <is>
          <t xml:space="preserve">I0   </t>
        </is>
      </c>
      <c r="U876" s="249" t="n">
        <v>398</v>
      </c>
      <c r="V876" s="678" t="n">
        <v>9375</v>
      </c>
      <c r="W876" s="678" t="n">
        <v>9000</v>
      </c>
      <c r="X876" s="356" t="inlineStr">
        <is>
          <t>3.9:1</t>
        </is>
      </c>
      <c r="Y876" s="678">
        <f>ROUND(J876,-3)</f>
        <v/>
      </c>
      <c r="Z876" s="249" t="inlineStr">
        <is>
          <t xml:space="preserve">C </t>
        </is>
      </c>
      <c r="AA876" s="245" t="n">
        <v>3</v>
      </c>
      <c r="AB876" s="245" t="n">
        <v>3</v>
      </c>
      <c r="AC876" s="253" t="inlineStr">
        <is>
          <t>33</t>
        </is>
      </c>
      <c r="AD876" s="247" t="inlineStr">
        <is>
          <t>S-W COMM COMMUNCATNS</t>
        </is>
      </c>
      <c r="AE876" s="680" t="n"/>
      <c r="AF876" s="680" t="n"/>
      <c r="AG876" s="680" t="n"/>
      <c r="AH876" s="680" t="n"/>
      <c r="AI876" s="680" t="n"/>
      <c r="AJ876" s="680" t="n"/>
      <c r="AK876" s="680" t="inlineStr">
        <is>
          <t>                                                                  </t>
        </is>
      </c>
    </row>
    <row r="877">
      <c r="A877" s="248" t="n">
        <v>8</v>
      </c>
      <c r="B877" s="370" t="n">
        <v>869</v>
      </c>
      <c r="C877" s="254" t="inlineStr">
        <is>
          <t>2009Q</t>
        </is>
      </c>
      <c r="D877" s="245" t="inlineStr">
        <is>
          <t xml:space="preserve">05094-04-021-000 </t>
        </is>
      </c>
      <c r="E877" s="258" t="inlineStr">
        <is>
          <t>Actual</t>
        </is>
      </c>
      <c r="F877" s="259" t="inlineStr">
        <is>
          <t>1415 W CEDAR                AV</t>
        </is>
      </c>
      <c r="G877" s="672" t="n">
        <v>44.1</v>
      </c>
      <c r="H877" s="253" t="n">
        <v>9508</v>
      </c>
      <c r="I877" s="255" t="n">
        <v>0</v>
      </c>
      <c r="J877" s="678" t="n">
        <v>3531</v>
      </c>
      <c r="K877" s="679" t="n">
        <v>11.46983857264231</v>
      </c>
      <c r="L877" s="260" t="n">
        <v>0</v>
      </c>
      <c r="M877" s="262" t="n">
        <v>0.3235308641975309</v>
      </c>
      <c r="N877" s="253" t="n">
        <v>1983</v>
      </c>
      <c r="O877" s="250">
        <f>1983+1194</f>
        <v/>
      </c>
      <c r="Q877" s="245" t="n">
        <v>17</v>
      </c>
      <c r="R877" s="245" t="n">
        <v>1</v>
      </c>
      <c r="S877" s="245" t="n">
        <v>1</v>
      </c>
      <c r="T877" s="249" t="inlineStr">
        <is>
          <t xml:space="preserve">I0   </t>
        </is>
      </c>
      <c r="U877" s="249" t="n">
        <v>398</v>
      </c>
      <c r="V877" s="678" t="n">
        <v>6875</v>
      </c>
      <c r="W877" s="678" t="n">
        <v>7000</v>
      </c>
      <c r="X877" s="356" t="inlineStr">
        <is>
          <t>1.9:1</t>
        </is>
      </c>
      <c r="Y877" s="678">
        <f>ROUND(J877,-3)</f>
        <v/>
      </c>
      <c r="Z877" s="249" t="inlineStr">
        <is>
          <t xml:space="preserve">C </t>
        </is>
      </c>
      <c r="AA877" s="245" t="n">
        <v>3</v>
      </c>
      <c r="AB877" s="245" t="n">
        <v>3</v>
      </c>
      <c r="AC877" s="253" t="inlineStr">
        <is>
          <t>33</t>
        </is>
      </c>
      <c r="AD877" s="247" t="inlineStr">
        <is>
          <t xml:space="preserve">S-W SASCO           </t>
        </is>
      </c>
      <c r="AE877" s="680" t="n"/>
      <c r="AF877" s="680" t="n"/>
      <c r="AG877" s="680" t="n"/>
      <c r="AH877" s="680" t="n"/>
      <c r="AI877" s="680" t="n"/>
      <c r="AJ877" s="680" t="n"/>
      <c r="AK877" s="680" t="inlineStr">
        <is>
          <t>                                                                  </t>
        </is>
      </c>
    </row>
    <row r="878">
      <c r="A878" s="248" t="n">
        <v>8</v>
      </c>
      <c r="B878" s="370" t="n">
        <v>870</v>
      </c>
      <c r="C878" s="254" t="inlineStr">
        <is>
          <t>2009Q</t>
        </is>
      </c>
      <c r="D878" s="245" t="inlineStr">
        <is>
          <t xml:space="preserve">05094-04-024-000 </t>
        </is>
      </c>
      <c r="E878" s="258" t="inlineStr">
        <is>
          <t>Actual</t>
        </is>
      </c>
      <c r="F878" s="259" t="inlineStr">
        <is>
          <t>175 S PECOS                ST</t>
        </is>
      </c>
      <c r="G878" s="672" t="n">
        <v>44.2</v>
      </c>
      <c r="H878" s="253" t="n">
        <v>9508</v>
      </c>
      <c r="I878" s="255" t="n">
        <v>0</v>
      </c>
      <c r="J878" s="678" t="n">
        <v>2550</v>
      </c>
      <c r="K878" s="679" t="n">
        <v>6.588235294117647</v>
      </c>
      <c r="L878" s="260" t="n">
        <v>0</v>
      </c>
      <c r="M878" s="262" t="n">
        <v>0</v>
      </c>
      <c r="N878" s="253" t="n">
        <v>1977</v>
      </c>
      <c r="O878" s="250" t="n">
        <v>648</v>
      </c>
      <c r="Q878" s="245" t="n">
        <v>14</v>
      </c>
      <c r="R878" s="245" t="n">
        <v>1</v>
      </c>
      <c r="S878" s="245" t="n">
        <v>2</v>
      </c>
      <c r="T878" s="249" t="inlineStr">
        <is>
          <t xml:space="preserve">I0   </t>
        </is>
      </c>
      <c r="U878" s="249" t="n">
        <v>398</v>
      </c>
      <c r="V878" s="678" t="n">
        <v>6250</v>
      </c>
      <c r="W878" s="678" t="n">
        <v>6000</v>
      </c>
      <c r="X878" s="356" t="inlineStr">
        <is>
          <t>2.5:1</t>
        </is>
      </c>
      <c r="Y878" s="678">
        <f>ROUND(J878,-3)</f>
        <v/>
      </c>
      <c r="Z878" s="249" t="inlineStr">
        <is>
          <t xml:space="preserve">C </t>
        </is>
      </c>
      <c r="AA878" s="245" t="n">
        <v>3</v>
      </c>
      <c r="AB878" s="245" t="n">
        <v>3</v>
      </c>
      <c r="AC878" s="253" t="inlineStr">
        <is>
          <t>33</t>
        </is>
      </c>
      <c r="AD878" s="247" t="inlineStr">
        <is>
          <t xml:space="preserve">M-W                 </t>
        </is>
      </c>
      <c r="AE878" s="680" t="n"/>
      <c r="AF878" s="680" t="n"/>
      <c r="AG878" s="680" t="n"/>
      <c r="AH878" s="680" t="n"/>
      <c r="AI878" s="680" t="n"/>
      <c r="AJ878" s="680" t="n"/>
      <c r="AK878" s="680" t="inlineStr">
        <is>
          <t xml:space="preserve">1/2008 LEASE                                                      </t>
        </is>
      </c>
    </row>
    <row r="879">
      <c r="A879" s="248" t="n">
        <v>8</v>
      </c>
      <c r="B879" s="370" t="n">
        <v>871</v>
      </c>
      <c r="C879" s="254" t="inlineStr">
        <is>
          <t>2009Q</t>
        </is>
      </c>
      <c r="D879" s="245" t="inlineStr">
        <is>
          <t xml:space="preserve">05094-04-028-000 </t>
        </is>
      </c>
      <c r="E879" s="258" t="inlineStr">
        <is>
          <t>Actual</t>
        </is>
      </c>
      <c r="F879" s="259" t="inlineStr">
        <is>
          <t>1441 W CEDAR                AV</t>
        </is>
      </c>
      <c r="G879" s="672" t="n">
        <v>44.1</v>
      </c>
      <c r="H879" s="253" t="n">
        <v>9508</v>
      </c>
      <c r="I879" s="255" t="n">
        <v>0</v>
      </c>
      <c r="J879" s="678" t="n">
        <v>6200</v>
      </c>
      <c r="K879" s="679" t="n">
        <v>7.580645161290323</v>
      </c>
      <c r="L879" s="260" t="n">
        <v>0</v>
      </c>
      <c r="M879" s="262" t="n">
        <v>0.01972340425531915</v>
      </c>
      <c r="N879" s="253" t="n">
        <v>1983</v>
      </c>
      <c r="O879" s="250" t="n">
        <v>962</v>
      </c>
      <c r="Q879" s="245" t="n">
        <v>13</v>
      </c>
      <c r="R879" s="245" t="n">
        <v>3</v>
      </c>
      <c r="S879" s="245" t="n">
        <v>1</v>
      </c>
      <c r="T879" s="249" t="inlineStr">
        <is>
          <t xml:space="preserve">I0   </t>
        </is>
      </c>
      <c r="U879" s="249" t="n">
        <v>398</v>
      </c>
      <c r="V879" s="678" t="n">
        <v>12500</v>
      </c>
      <c r="W879" s="678" t="n">
        <v>13000</v>
      </c>
      <c r="X879" s="356" t="inlineStr">
        <is>
          <t>2.0:1</t>
        </is>
      </c>
      <c r="Y879" s="678">
        <f>ROUND(J879,-3)</f>
        <v/>
      </c>
      <c r="Z879" s="249" t="inlineStr">
        <is>
          <t xml:space="preserve">C </t>
        </is>
      </c>
      <c r="AA879" s="245" t="n">
        <v>3</v>
      </c>
      <c r="AB879" s="245" t="n">
        <v>3</v>
      </c>
      <c r="AC879" s="253" t="inlineStr">
        <is>
          <t>33</t>
        </is>
      </c>
      <c r="AD879" s="247" t="inlineStr">
        <is>
          <t>                    </t>
        </is>
      </c>
      <c r="AE879" s="680" t="n"/>
      <c r="AF879" s="680" t="n"/>
      <c r="AG879" s="680" t="n"/>
      <c r="AH879" s="680" t="n"/>
      <c r="AI879" s="680" t="n"/>
      <c r="AJ879" s="680" t="n"/>
      <c r="AK879" s="680" t="inlineStr">
        <is>
          <t xml:space="preserve">LEASES IN 2007-$7.60 TO $8.20 PER SF-FOUR UNITS                   </t>
        </is>
      </c>
    </row>
    <row r="880">
      <c r="A880" s="248" t="n">
        <v>8</v>
      </c>
      <c r="B880" s="370" t="n">
        <v>872</v>
      </c>
      <c r="C880" s="254" t="inlineStr">
        <is>
          <t>2009Q</t>
        </is>
      </c>
      <c r="D880" s="245" t="inlineStr">
        <is>
          <t xml:space="preserve">05094-04-029-000 </t>
        </is>
      </c>
      <c r="E880" s="258" t="inlineStr">
        <is>
          <t>Actual</t>
        </is>
      </c>
      <c r="F880" s="259" t="inlineStr">
        <is>
          <t>1472 W MAPLE                AV</t>
        </is>
      </c>
      <c r="G880" s="672" t="n">
        <v>44.2</v>
      </c>
      <c r="H880" s="253" t="n">
        <v>9508</v>
      </c>
      <c r="I880" s="255" t="n">
        <v>0</v>
      </c>
      <c r="J880" s="678" t="n">
        <v>19008</v>
      </c>
      <c r="K880" s="679" t="n">
        <v>5.900042087542087</v>
      </c>
      <c r="L880" s="260" t="n">
        <v>0</v>
      </c>
      <c r="M880" s="262" t="n">
        <v>0.300272853729001</v>
      </c>
      <c r="N880" s="253" t="n">
        <v>1998</v>
      </c>
      <c r="O880" s="250" t="n">
        <v>2117</v>
      </c>
      <c r="Q880" s="245" t="n">
        <v>19</v>
      </c>
      <c r="R880" s="245" t="n">
        <v>14</v>
      </c>
      <c r="S880" s="245" t="n">
        <v>1</v>
      </c>
      <c r="T880" s="249" t="inlineStr">
        <is>
          <t xml:space="preserve">I0   </t>
        </is>
      </c>
      <c r="U880" s="249" t="n">
        <v>398</v>
      </c>
      <c r="V880" s="678" t="n">
        <v>25000</v>
      </c>
      <c r="W880" s="678" t="n">
        <v>25000</v>
      </c>
      <c r="X880" s="356" t="inlineStr">
        <is>
          <t>1.3:1</t>
        </is>
      </c>
      <c r="Y880" s="678">
        <f>ROUND(J880,-3)</f>
        <v/>
      </c>
      <c r="Z880" s="249" t="inlineStr">
        <is>
          <t xml:space="preserve">C </t>
        </is>
      </c>
      <c r="AA880" s="245" t="n">
        <v>3</v>
      </c>
      <c r="AB880" s="245" t="n">
        <v>3</v>
      </c>
      <c r="AC880" s="253" t="inlineStr">
        <is>
          <t>33</t>
        </is>
      </c>
      <c r="AD880" s="247" t="inlineStr">
        <is>
          <t xml:space="preserve">M-D DIST WHSE       </t>
        </is>
      </c>
      <c r="AE880" s="680" t="n"/>
      <c r="AF880" s="680" t="n"/>
      <c r="AG880" s="680" t="n"/>
      <c r="AH880" s="680" t="n"/>
      <c r="AI880" s="680" t="n"/>
      <c r="AJ880" s="680" t="n"/>
      <c r="AK880" s="680" t="inlineStr">
        <is>
          <t xml:space="preserve">TWO UNITS                                                         </t>
        </is>
      </c>
    </row>
    <row r="881">
      <c r="A881" s="248" t="n">
        <v>8</v>
      </c>
      <c r="B881" s="370" t="n">
        <v>873</v>
      </c>
      <c r="C881" s="254" t="inlineStr">
        <is>
          <t>2009Q</t>
        </is>
      </c>
      <c r="D881" s="245" t="inlineStr">
        <is>
          <t xml:space="preserve">05094-06-001-000 </t>
        </is>
      </c>
      <c r="E881" s="258" t="inlineStr">
        <is>
          <t>Actual</t>
        </is>
      </c>
      <c r="F881" s="259" t="inlineStr">
        <is>
          <t>1500 W CEDAR                AV</t>
        </is>
      </c>
      <c r="G881" s="672" t="n">
        <v>44.1</v>
      </c>
      <c r="H881" s="253" t="n">
        <v>9508</v>
      </c>
      <c r="I881" s="255" t="n">
        <v>0</v>
      </c>
      <c r="J881" s="678" t="n">
        <v>3333</v>
      </c>
      <c r="K881" s="679" t="n">
        <v>11.16111611161116</v>
      </c>
      <c r="L881" s="260" t="n">
        <v>0</v>
      </c>
      <c r="M881" s="262" t="n">
        <v>0.4565322580645161</v>
      </c>
      <c r="N881" s="253" t="n">
        <v>1987</v>
      </c>
      <c r="O881" s="250">
        <f>1140*2</f>
        <v/>
      </c>
      <c r="Q881" s="245" t="n">
        <v>18</v>
      </c>
      <c r="R881" s="245" t="n">
        <v>1</v>
      </c>
      <c r="S881" s="245" t="n">
        <v>1</v>
      </c>
      <c r="T881" s="249" t="inlineStr">
        <is>
          <t xml:space="preserve">I0   </t>
        </is>
      </c>
      <c r="U881" s="249" t="n">
        <v>398</v>
      </c>
      <c r="V881" s="678" t="n">
        <v>6870</v>
      </c>
      <c r="W881" s="678" t="n">
        <v>7000</v>
      </c>
      <c r="X881" s="356" t="inlineStr">
        <is>
          <t>2.1:1</t>
        </is>
      </c>
      <c r="Y881" s="678">
        <f>ROUND(J881,-3)</f>
        <v/>
      </c>
      <c r="Z881" s="249" t="inlineStr">
        <is>
          <t xml:space="preserve">C </t>
        </is>
      </c>
      <c r="AA881" s="245" t="n">
        <v>3</v>
      </c>
      <c r="AB881" s="245" t="n">
        <v>3</v>
      </c>
      <c r="AC881" s="253" t="inlineStr">
        <is>
          <t>33</t>
        </is>
      </c>
      <c r="AD881" s="247" t="inlineStr">
        <is>
          <t xml:space="preserve">S-W CHATCO          </t>
        </is>
      </c>
      <c r="AE881" s="680" t="n"/>
      <c r="AF881" s="680" t="n"/>
      <c r="AG881" s="680" t="n"/>
      <c r="AH881" s="680" t="n"/>
      <c r="AI881" s="680" t="n"/>
      <c r="AJ881" s="680" t="n"/>
      <c r="AK881" s="680" t="inlineStr">
        <is>
          <t>                                                                  </t>
        </is>
      </c>
    </row>
    <row r="882">
      <c r="A882" s="248" t="n">
        <v>8</v>
      </c>
      <c r="B882" s="370" t="n">
        <v>874</v>
      </c>
      <c r="C882" s="254" t="inlineStr">
        <is>
          <t>2009Q</t>
        </is>
      </c>
      <c r="D882" s="245" t="inlineStr">
        <is>
          <t xml:space="preserve">05095-05-005-000 </t>
        </is>
      </c>
      <c r="E882" s="258" t="inlineStr">
        <is>
          <t>Actual</t>
        </is>
      </c>
      <c r="F882" s="259" t="inlineStr">
        <is>
          <t>1345 W BAYAUD               AV</t>
        </is>
      </c>
      <c r="G882" s="672" t="n">
        <v>44.1</v>
      </c>
      <c r="H882" s="253" t="n">
        <v>9508</v>
      </c>
      <c r="I882" s="255" t="n">
        <v>0</v>
      </c>
      <c r="J882" s="678" t="n">
        <v>3424</v>
      </c>
      <c r="K882" s="679" t="n">
        <v>8.411214953271028</v>
      </c>
      <c r="L882" s="260" t="n">
        <v>0</v>
      </c>
      <c r="M882" s="262" t="n">
        <v>0.02888888888888889</v>
      </c>
      <c r="N882" s="253" t="n">
        <v>1966</v>
      </c>
      <c r="O882" s="250" t="n">
        <v>1024</v>
      </c>
      <c r="Q882" s="245" t="n">
        <v>12</v>
      </c>
      <c r="R882" s="245" t="n">
        <v>7</v>
      </c>
      <c r="S882" s="245" t="n">
        <v>1</v>
      </c>
      <c r="T882" s="249" t="inlineStr">
        <is>
          <t xml:space="preserve">I2   </t>
        </is>
      </c>
      <c r="U882" s="249" t="n">
        <v>398</v>
      </c>
      <c r="V882" s="678" t="n">
        <v>21106</v>
      </c>
      <c r="W882" s="678" t="n">
        <v>21000</v>
      </c>
      <c r="X882" s="356" t="inlineStr">
        <is>
          <t>6.2:1</t>
        </is>
      </c>
      <c r="Y882" s="678">
        <f>ROUND(J882,-3)</f>
        <v/>
      </c>
      <c r="Z882" s="249" t="inlineStr">
        <is>
          <t xml:space="preserve">C </t>
        </is>
      </c>
      <c r="AA882" s="245" t="n">
        <v>3</v>
      </c>
      <c r="AB882" s="245" t="n">
        <v>3</v>
      </c>
      <c r="AC882" s="253" t="inlineStr">
        <is>
          <t>33</t>
        </is>
      </c>
      <c r="AD882" s="247" t="inlineStr">
        <is>
          <t>S-W LINCOLN LANDSCPE</t>
        </is>
      </c>
      <c r="AE882" s="680" t="n"/>
      <c r="AF882" s="680" t="n"/>
      <c r="AG882" s="680" t="n"/>
      <c r="AH882" s="680" t="n"/>
      <c r="AI882" s="680" t="n"/>
      <c r="AJ882" s="680" t="n"/>
      <c r="AK882" s="680" t="inlineStr">
        <is>
          <t>                                                                  </t>
        </is>
      </c>
    </row>
    <row r="883">
      <c r="A883" s="248" t="n">
        <v>8</v>
      </c>
      <c r="B883" s="370" t="n">
        <v>875</v>
      </c>
      <c r="C883" s="254" t="inlineStr">
        <is>
          <t>2009Q</t>
        </is>
      </c>
      <c r="D883" s="245" t="inlineStr">
        <is>
          <t xml:space="preserve">05095-07-029-000 </t>
        </is>
      </c>
      <c r="E883" s="258" t="inlineStr">
        <is>
          <t>Actual</t>
        </is>
      </c>
      <c r="F883" s="259" t="inlineStr">
        <is>
          <t>1531 W BAYAUD               AV</t>
        </is>
      </c>
      <c r="G883" s="672" t="n">
        <v>44.2</v>
      </c>
      <c r="H883" s="253" t="n">
        <v>9508</v>
      </c>
      <c r="I883" s="255" t="n">
        <v>0</v>
      </c>
      <c r="J883" s="678" t="n">
        <v>5238</v>
      </c>
      <c r="K883" s="679" t="n">
        <v>5.744177166857579</v>
      </c>
      <c r="L883" s="260" t="n">
        <v>0</v>
      </c>
      <c r="M883" s="262" t="n">
        <v>0.2670167508641319</v>
      </c>
      <c r="N883" s="253" t="n">
        <v>1985</v>
      </c>
      <c r="O883" s="250">
        <f>522+800</f>
        <v/>
      </c>
      <c r="Q883" s="245" t="n">
        <v>13</v>
      </c>
      <c r="R883" s="245" t="n">
        <v>3</v>
      </c>
      <c r="S883" s="245" t="n">
        <v>3</v>
      </c>
      <c r="T883" s="249" t="inlineStr">
        <is>
          <t xml:space="preserve">I0   </t>
        </is>
      </c>
      <c r="U883" s="249" t="n">
        <v>398</v>
      </c>
      <c r="V883" s="678" t="n">
        <v>19950</v>
      </c>
      <c r="W883" s="678" t="n">
        <v>20000</v>
      </c>
      <c r="X883" s="356" t="inlineStr">
        <is>
          <t>1.7:1</t>
        </is>
      </c>
      <c r="Y883" s="678">
        <f>ROUND(J883,-3)</f>
        <v/>
      </c>
      <c r="Z883" s="249" t="inlineStr">
        <is>
          <t xml:space="preserve">C </t>
        </is>
      </c>
      <c r="AA883" s="245" t="n">
        <v>3</v>
      </c>
      <c r="AB883" s="245" t="n">
        <v>3</v>
      </c>
      <c r="AC883" s="253" t="inlineStr">
        <is>
          <t>33</t>
        </is>
      </c>
      <c r="AD883" s="247" t="inlineStr">
        <is>
          <t xml:space="preserve">WAREHOUSE           </t>
        </is>
      </c>
      <c r="AE883" s="680" t="n"/>
      <c r="AF883" s="680" t="n"/>
      <c r="AG883" s="680" t="n"/>
      <c r="AH883" s="680" t="n"/>
      <c r="AI883" s="680" t="n"/>
      <c r="AJ883" s="680" t="n"/>
      <c r="AK883" s="680" t="inlineStr">
        <is>
          <t xml:space="preserve">THREE UNITS-OWNER OCCUPIES 6,450 SF                               </t>
        </is>
      </c>
    </row>
    <row r="884">
      <c r="A884" s="248" t="n">
        <v>8</v>
      </c>
      <c r="B884" s="370" t="n">
        <v>876</v>
      </c>
      <c r="C884" s="254" t="inlineStr">
        <is>
          <t>2009Q</t>
        </is>
      </c>
      <c r="D884" s="245" t="inlineStr">
        <is>
          <t xml:space="preserve">05095-08-006-000 </t>
        </is>
      </c>
      <c r="E884" s="258" t="inlineStr">
        <is>
          <t>Actual</t>
        </is>
      </c>
      <c r="F884" s="259" t="inlineStr">
        <is>
          <t>1340 W BAYAUD               AV</t>
        </is>
      </c>
      <c r="G884" s="672" t="n">
        <v>44.1</v>
      </c>
      <c r="H884" s="253" t="n">
        <v>9508</v>
      </c>
      <c r="I884" s="255" t="n">
        <v>0</v>
      </c>
      <c r="J884" s="678" t="n">
        <v>21450</v>
      </c>
      <c r="K884" s="679" t="n">
        <v>4.884848484848485</v>
      </c>
      <c r="L884" s="260" t="n">
        <v>0</v>
      </c>
      <c r="M884" s="262" t="n">
        <v>0.2370776865814087</v>
      </c>
      <c r="N884" s="253" t="n">
        <v>1977</v>
      </c>
      <c r="O884" s="250">
        <f>-168+531</f>
        <v/>
      </c>
      <c r="P884" s="250" t="n">
        <v>3381</v>
      </c>
      <c r="Q884" s="245" t="n">
        <v>21</v>
      </c>
      <c r="R884" s="245" t="n">
        <v>14</v>
      </c>
      <c r="S884" s="245" t="n">
        <v>1</v>
      </c>
      <c r="T884" s="249" t="inlineStr">
        <is>
          <t xml:space="preserve">I2   </t>
        </is>
      </c>
      <c r="U884" s="249" t="n">
        <v>398</v>
      </c>
      <c r="V884" s="678" t="n">
        <v>33457</v>
      </c>
      <c r="W884" s="678" t="n">
        <v>33000</v>
      </c>
      <c r="X884" s="356" t="inlineStr">
        <is>
          <t>1.5:1</t>
        </is>
      </c>
      <c r="Y884" s="678">
        <f>ROUND(J884,-3)</f>
        <v/>
      </c>
      <c r="Z884" s="249" t="inlineStr">
        <is>
          <t xml:space="preserve">C </t>
        </is>
      </c>
      <c r="AA884" s="245" t="n">
        <v>3</v>
      </c>
      <c r="AB884" s="245" t="n">
        <v>2</v>
      </c>
      <c r="AC884" s="253" t="inlineStr">
        <is>
          <t>32</t>
        </is>
      </c>
      <c r="AD884" s="247" t="inlineStr">
        <is>
          <t xml:space="preserve">M-W                 </t>
        </is>
      </c>
      <c r="AE884" s="680" t="n"/>
      <c r="AF884" s="680" t="n"/>
      <c r="AG884" s="680" t="n"/>
      <c r="AH884" s="680" t="n"/>
      <c r="AI884" s="680" t="n"/>
      <c r="AJ884" s="680" t="n"/>
      <c r="AK884" s="680" t="inlineStr">
        <is>
          <t xml:space="preserve">4 UNITS-TWO BASE YEAR LEASES                                      </t>
        </is>
      </c>
    </row>
    <row r="885">
      <c r="A885" s="248" t="n">
        <v>8</v>
      </c>
      <c r="B885" s="370" t="n">
        <v>877</v>
      </c>
      <c r="C885" s="254" t="inlineStr">
        <is>
          <t>2009Q</t>
        </is>
      </c>
      <c r="D885" s="245" t="inlineStr">
        <is>
          <t xml:space="preserve">05095-08-009-000 </t>
        </is>
      </c>
      <c r="E885" s="258" t="inlineStr">
        <is>
          <t>Actual</t>
        </is>
      </c>
      <c r="F885" s="259" t="inlineStr">
        <is>
          <t>140 S PECOS                ST</t>
        </is>
      </c>
      <c r="G885" s="672" t="n">
        <v>44.1</v>
      </c>
      <c r="H885" s="253" t="n">
        <v>9508</v>
      </c>
      <c r="I885" s="255" t="n">
        <v>0</v>
      </c>
      <c r="J885" s="678" t="n">
        <v>25496</v>
      </c>
      <c r="K885" s="679" t="n">
        <v>6.168418575462818</v>
      </c>
      <c r="L885" s="260" t="n">
        <v>0</v>
      </c>
      <c r="M885" s="262" t="n">
        <v>0.2084631525402175</v>
      </c>
      <c r="N885" s="253" t="n">
        <v>1996</v>
      </c>
      <c r="O885" s="250" t="n">
        <v>1703</v>
      </c>
      <c r="Q885" s="245" t="n">
        <v>24</v>
      </c>
      <c r="R885" s="245" t="n">
        <v>4</v>
      </c>
      <c r="S885" s="245" t="n">
        <v>2</v>
      </c>
      <c r="T885" s="249" t="inlineStr">
        <is>
          <t xml:space="preserve">I2   </t>
        </is>
      </c>
      <c r="U885" s="249" t="n">
        <v>398</v>
      </c>
      <c r="V885" s="678" t="n">
        <v>36816</v>
      </c>
      <c r="W885" s="678" t="n">
        <v>37000</v>
      </c>
      <c r="X885" s="356" t="inlineStr">
        <is>
          <t>1.4:1</t>
        </is>
      </c>
      <c r="Y885" s="678">
        <f>ROUND(J885,-3)</f>
        <v/>
      </c>
      <c r="Z885" s="249" t="inlineStr">
        <is>
          <t xml:space="preserve">C </t>
        </is>
      </c>
      <c r="AA885" s="245" t="n">
        <v>3</v>
      </c>
      <c r="AB885" s="245" t="n">
        <v>3</v>
      </c>
      <c r="AC885" s="253" t="inlineStr">
        <is>
          <t>33</t>
        </is>
      </c>
      <c r="AD885" s="247" t="inlineStr">
        <is>
          <t xml:space="preserve">DISTRIBUTION WHSE   </t>
        </is>
      </c>
      <c r="AE885" s="680" t="n"/>
      <c r="AF885" s="680" t="n"/>
      <c r="AG885" s="680" t="n"/>
      <c r="AH885" s="680" t="n"/>
      <c r="AI885" s="680" t="n"/>
      <c r="AJ885" s="680" t="n"/>
      <c r="AK885" s="680" t="inlineStr">
        <is>
          <t>                                                                  </t>
        </is>
      </c>
    </row>
    <row r="886">
      <c r="A886" s="248" t="n">
        <v>8</v>
      </c>
      <c r="B886" s="370" t="n">
        <v>878</v>
      </c>
      <c r="C886" s="254" t="inlineStr">
        <is>
          <t>2009Q</t>
        </is>
      </c>
      <c r="D886" s="245" t="inlineStr">
        <is>
          <t xml:space="preserve">05095-12-015-000 </t>
        </is>
      </c>
      <c r="E886" s="258" t="inlineStr">
        <is>
          <t>Actual</t>
        </is>
      </c>
      <c r="F886" s="259" t="inlineStr">
        <is>
          <t>240 S PECOS                ST</t>
        </is>
      </c>
      <c r="G886" s="672" t="n">
        <v>44.1</v>
      </c>
      <c r="H886" s="253" t="n">
        <v>9508</v>
      </c>
      <c r="I886" s="255" t="n">
        <v>0</v>
      </c>
      <c r="J886" s="678" t="n">
        <v>2905</v>
      </c>
      <c r="K886" s="679" t="n">
        <v>4.130808950086059</v>
      </c>
      <c r="L886" s="260" t="n">
        <v>0</v>
      </c>
      <c r="M886" s="262" t="n">
        <v>0</v>
      </c>
      <c r="N886" s="253" t="n">
        <v>1978</v>
      </c>
      <c r="O886" s="250" t="n">
        <v>350</v>
      </c>
      <c r="Q886" s="245" t="n">
        <v>14</v>
      </c>
      <c r="R886" s="245" t="n">
        <v>3</v>
      </c>
      <c r="S886" s="245" t="n">
        <v>1</v>
      </c>
      <c r="T886" s="249" t="inlineStr">
        <is>
          <t xml:space="preserve">I0   </t>
        </is>
      </c>
      <c r="U886" s="249" t="n">
        <v>398</v>
      </c>
      <c r="V886" s="678" t="n">
        <v>6875</v>
      </c>
      <c r="W886" s="678" t="n">
        <v>7000</v>
      </c>
      <c r="X886" s="356" t="inlineStr">
        <is>
          <t>2.4:1</t>
        </is>
      </c>
      <c r="Y886" s="678">
        <f>ROUND(J886,-3)</f>
        <v/>
      </c>
      <c r="Z886" s="249" t="inlineStr">
        <is>
          <t xml:space="preserve">C </t>
        </is>
      </c>
      <c r="AA886" s="245" t="n">
        <v>3</v>
      </c>
      <c r="AB886" s="245" t="n">
        <v>3</v>
      </c>
      <c r="AC886" s="253" t="inlineStr">
        <is>
          <t>33</t>
        </is>
      </c>
      <c r="AD886" s="247" t="inlineStr">
        <is>
          <t>S-W UNTD MECH SYSTEM</t>
        </is>
      </c>
      <c r="AE886" s="680" t="n"/>
      <c r="AF886" s="680" t="n"/>
      <c r="AG886" s="680" t="n"/>
      <c r="AH886" s="680" t="n"/>
      <c r="AI886" s="680" t="n"/>
      <c r="AJ886" s="680" t="n"/>
      <c r="AK886" s="680" t="inlineStr">
        <is>
          <t>                                                                  </t>
        </is>
      </c>
    </row>
    <row r="887">
      <c r="A887" s="248" t="n">
        <v>8</v>
      </c>
      <c r="B887" s="370" t="n">
        <v>879</v>
      </c>
      <c r="C887" s="254" t="inlineStr">
        <is>
          <t>2009Q</t>
        </is>
      </c>
      <c r="D887" s="245" t="inlineStr">
        <is>
          <t xml:space="preserve">05095-12-028-000 </t>
        </is>
      </c>
      <c r="E887" s="258" t="inlineStr">
        <is>
          <t>Actual</t>
        </is>
      </c>
      <c r="F887" s="259" t="inlineStr">
        <is>
          <t>1369 W BYERS                PL</t>
        </is>
      </c>
      <c r="G887" s="672" t="n">
        <v>44.2</v>
      </c>
      <c r="H887" s="253" t="n">
        <v>9508</v>
      </c>
      <c r="I887" s="255" t="n">
        <v>0</v>
      </c>
      <c r="J887" s="678" t="n">
        <v>8000</v>
      </c>
      <c r="K887" s="679" t="n">
        <v>6.374375</v>
      </c>
      <c r="L887" s="260" t="n">
        <v>0</v>
      </c>
      <c r="M887" s="262" t="n">
        <v>0.133856260417688</v>
      </c>
      <c r="N887" s="253" t="n">
        <v>1978</v>
      </c>
      <c r="O887" s="250" t="n">
        <v>1376</v>
      </c>
      <c r="Q887" s="245" t="n">
        <v>14</v>
      </c>
      <c r="R887" s="245" t="n">
        <v>3</v>
      </c>
      <c r="S887" s="245" t="n">
        <v>1</v>
      </c>
      <c r="T887" s="249" t="inlineStr">
        <is>
          <t xml:space="preserve">I0   </t>
        </is>
      </c>
      <c r="U887" s="249" t="n">
        <v>398</v>
      </c>
      <c r="V887" s="678" t="n">
        <v>17187</v>
      </c>
      <c r="W887" s="678" t="n">
        <v>17000</v>
      </c>
      <c r="X887" s="356" t="inlineStr">
        <is>
          <t>2.1:1</t>
        </is>
      </c>
      <c r="Y887" s="678">
        <f>ROUND(J887,-3)</f>
        <v/>
      </c>
      <c r="Z887" s="249" t="inlineStr">
        <is>
          <t xml:space="preserve">C </t>
        </is>
      </c>
      <c r="AA887" s="245" t="n">
        <v>3</v>
      </c>
      <c r="AB887" s="245" t="n">
        <v>3</v>
      </c>
      <c r="AC887" s="253" t="inlineStr">
        <is>
          <t>33</t>
        </is>
      </c>
      <c r="AD887" s="247" t="inlineStr">
        <is>
          <t>WESCO LASER MACHINRY</t>
        </is>
      </c>
      <c r="AE887" s="680" t="n"/>
      <c r="AF887" s="680" t="n"/>
      <c r="AG887" s="680" t="n"/>
      <c r="AH887" s="680" t="n"/>
      <c r="AI887" s="680" t="n"/>
      <c r="AJ887" s="680" t="n"/>
      <c r="AK887" s="680" t="inlineStr">
        <is>
          <t xml:space="preserve">4 UNIT-3 OCCUPIED BY ONE TENANT                                   </t>
        </is>
      </c>
    </row>
    <row r="888">
      <c r="A888" s="248" t="n">
        <v>8</v>
      </c>
      <c r="B888" s="370" t="n">
        <v>880</v>
      </c>
      <c r="C888" s="254" t="inlineStr">
        <is>
          <t>2009Q</t>
        </is>
      </c>
      <c r="D888" s="245" t="inlineStr">
        <is>
          <t xml:space="preserve">05095-13-033-000 </t>
        </is>
      </c>
      <c r="E888" s="258" t="inlineStr">
        <is>
          <t>Actual</t>
        </is>
      </c>
      <c r="F888" s="259" t="inlineStr">
        <is>
          <t>1234 W CEDAR                AV</t>
        </is>
      </c>
      <c r="G888" s="672" t="n">
        <v>44.2</v>
      </c>
      <c r="H888" s="253" t="n">
        <v>9508</v>
      </c>
      <c r="I888" s="255" t="n">
        <v>0</v>
      </c>
      <c r="J888" s="678" t="n">
        <v>6558</v>
      </c>
      <c r="K888" s="679" t="n">
        <v>9.149130832570906</v>
      </c>
      <c r="L888" s="260" t="n">
        <v>0</v>
      </c>
      <c r="M888" s="262" t="n">
        <v>0</v>
      </c>
      <c r="N888" s="253" t="n">
        <v>1980</v>
      </c>
      <c r="O888" s="250" t="n">
        <v>2350</v>
      </c>
      <c r="Q888" s="245" t="n">
        <v>14</v>
      </c>
      <c r="R888" s="245" t="n">
        <v>3</v>
      </c>
      <c r="S888" s="245" t="n">
        <v>1</v>
      </c>
      <c r="T888" s="249" t="inlineStr">
        <is>
          <t xml:space="preserve">I0   </t>
        </is>
      </c>
      <c r="U888" s="249" t="n">
        <v>398</v>
      </c>
      <c r="V888" s="678" t="n">
        <v>12875</v>
      </c>
      <c r="W888" s="678" t="n">
        <v>13000</v>
      </c>
      <c r="X888" s="356" t="inlineStr">
        <is>
          <t>2.0:1</t>
        </is>
      </c>
      <c r="Y888" s="678">
        <f>ROUND(J888,-3)</f>
        <v/>
      </c>
      <c r="Z888" s="249" t="inlineStr">
        <is>
          <t xml:space="preserve">C </t>
        </is>
      </c>
      <c r="AA888" s="245" t="n">
        <v>3</v>
      </c>
      <c r="AB888" s="245" t="n">
        <v>3</v>
      </c>
      <c r="AC888" s="253" t="inlineStr">
        <is>
          <t>33</t>
        </is>
      </c>
      <c r="AD888" s="247" t="inlineStr">
        <is>
          <t>                    </t>
        </is>
      </c>
      <c r="AE888" s="680" t="n"/>
      <c r="AF888" s="680" t="n"/>
      <c r="AG888" s="680" t="n"/>
      <c r="AH888" s="680" t="n"/>
      <c r="AI888" s="680" t="n"/>
      <c r="AJ888" s="680" t="n"/>
      <c r="AK888" s="680" t="inlineStr">
        <is>
          <t>                                                                  </t>
        </is>
      </c>
    </row>
    <row r="889">
      <c r="A889" s="248" t="n">
        <v>8</v>
      </c>
      <c r="B889" s="370" t="n">
        <v>881</v>
      </c>
      <c r="C889" s="254" t="inlineStr">
        <is>
          <t>2009Q</t>
        </is>
      </c>
      <c r="D889" s="245" t="inlineStr">
        <is>
          <t xml:space="preserve">05095-14-038-000 </t>
        </is>
      </c>
      <c r="E889" s="258" t="inlineStr">
        <is>
          <t>Actual</t>
        </is>
      </c>
      <c r="F889" s="259" t="inlineStr">
        <is>
          <t>1258 W BYERS                PL</t>
        </is>
      </c>
      <c r="G889" s="672" t="n">
        <v>44.1</v>
      </c>
      <c r="H889" s="253" t="n">
        <v>9508</v>
      </c>
      <c r="I889" s="255" t="n">
        <v>0</v>
      </c>
      <c r="J889" s="678" t="n">
        <v>8588</v>
      </c>
      <c r="K889" s="679" t="n">
        <v>7.467396367023754</v>
      </c>
      <c r="L889" s="260" t="n">
        <v>0</v>
      </c>
      <c r="M889" s="262" t="n">
        <v>0.2682208014969593</v>
      </c>
      <c r="N889" s="253" t="n">
        <v>1984</v>
      </c>
      <c r="O889" s="250">
        <f>930+1920</f>
        <v/>
      </c>
      <c r="Q889" s="245" t="n">
        <v>21</v>
      </c>
      <c r="R889" s="245" t="n">
        <v>3</v>
      </c>
      <c r="S889" s="245" t="n">
        <v>1</v>
      </c>
      <c r="T889" s="249" t="inlineStr">
        <is>
          <t xml:space="preserve">I0   </t>
        </is>
      </c>
      <c r="U889" s="249" t="n">
        <v>398</v>
      </c>
      <c r="V889" s="678" t="n">
        <v>15459</v>
      </c>
      <c r="W889" s="678" t="n">
        <v>15000</v>
      </c>
      <c r="X889" s="356" t="inlineStr">
        <is>
          <t>1.8:1</t>
        </is>
      </c>
      <c r="Y889" s="678">
        <f>ROUND(J889,-3)</f>
        <v/>
      </c>
      <c r="Z889" s="249" t="inlineStr">
        <is>
          <t xml:space="preserve">C </t>
        </is>
      </c>
      <c r="AA889" s="245" t="n">
        <v>3</v>
      </c>
      <c r="AB889" s="245" t="n">
        <v>3</v>
      </c>
      <c r="AC889" s="253" t="inlineStr">
        <is>
          <t>33</t>
        </is>
      </c>
      <c r="AD889" s="247" t="inlineStr">
        <is>
          <t>S-W(NO NAME ON BLDG)</t>
        </is>
      </c>
      <c r="AE889" s="680" t="n"/>
      <c r="AF889" s="680" t="n"/>
      <c r="AG889" s="680" t="n"/>
      <c r="AH889" s="680" t="n"/>
      <c r="AI889" s="680" t="n"/>
      <c r="AJ889" s="680" t="n"/>
      <c r="AK889" s="680" t="inlineStr">
        <is>
          <t>                                                                  </t>
        </is>
      </c>
    </row>
    <row r="890">
      <c r="A890" s="248" t="n">
        <v>8</v>
      </c>
      <c r="B890" s="370" t="n">
        <v>882</v>
      </c>
      <c r="C890" s="254" t="inlineStr">
        <is>
          <t>2009Q</t>
        </is>
      </c>
      <c r="D890" s="245" t="inlineStr">
        <is>
          <t xml:space="preserve">05096-00-009-000 </t>
        </is>
      </c>
      <c r="E890" s="258" t="inlineStr">
        <is>
          <t>Actual</t>
        </is>
      </c>
      <c r="F890" s="259" t="inlineStr">
        <is>
          <t>100 S SANTA FE             DR</t>
        </is>
      </c>
      <c r="G890" s="672" t="n">
        <v>44.2</v>
      </c>
      <c r="H890" s="253" t="n">
        <v>9505</v>
      </c>
      <c r="I890" s="255" t="n">
        <v>3</v>
      </c>
      <c r="J890" s="678" t="n">
        <v>36508</v>
      </c>
      <c r="K890" s="679" t="n">
        <v>4.108688506628684</v>
      </c>
      <c r="L890" s="260" t="n">
        <v>0</v>
      </c>
      <c r="M890" s="262" t="n">
        <v>0</v>
      </c>
      <c r="N890" s="253" t="n">
        <v>1955</v>
      </c>
      <c r="P890" s="250" t="n">
        <v>2944</v>
      </c>
      <c r="Q890" s="245" t="n">
        <v>14</v>
      </c>
      <c r="R890" s="245" t="n">
        <v>3</v>
      </c>
      <c r="S890" s="245" t="n">
        <v>1</v>
      </c>
      <c r="T890" s="249" t="inlineStr">
        <is>
          <t xml:space="preserve">I2   </t>
        </is>
      </c>
      <c r="U890" s="249" t="n">
        <v>398</v>
      </c>
      <c r="V890" s="678" t="n">
        <v>75794</v>
      </c>
      <c r="W890" s="678" t="n">
        <v>80000</v>
      </c>
      <c r="X890" s="356" t="inlineStr">
        <is>
          <t>2.1:1</t>
        </is>
      </c>
      <c r="Y890" s="678">
        <f>ROUND(J890,-3)</f>
        <v/>
      </c>
      <c r="Z890" s="249" t="inlineStr">
        <is>
          <t xml:space="preserve">C </t>
        </is>
      </c>
      <c r="AA890" s="245" t="n">
        <v>3</v>
      </c>
      <c r="AB890" s="245" t="n">
        <v>3</v>
      </c>
      <c r="AC890" s="253" t="inlineStr">
        <is>
          <t>33</t>
        </is>
      </c>
      <c r="AD890" s="247" t="inlineStr">
        <is>
          <t>                    </t>
        </is>
      </c>
      <c r="AE890" s="680" t="n"/>
      <c r="AF890" s="680" t="n"/>
      <c r="AG890" s="680" t="n"/>
      <c r="AH890" s="680" t="n"/>
      <c r="AI890" s="680" t="n"/>
      <c r="AJ890" s="680" t="n"/>
      <c r="AK890" s="680" t="inlineStr">
        <is>
          <t>                                                                  </t>
        </is>
      </c>
    </row>
    <row r="891">
      <c r="A891" s="248" t="n">
        <v>8</v>
      </c>
      <c r="B891" s="370" t="n">
        <v>883</v>
      </c>
      <c r="C891" s="254" t="inlineStr">
        <is>
          <t>2009Q</t>
        </is>
      </c>
      <c r="D891" s="245" t="inlineStr">
        <is>
          <t xml:space="preserve">05096-01-018-000 </t>
        </is>
      </c>
      <c r="E891" s="258" t="inlineStr">
        <is>
          <t>Actual</t>
        </is>
      </c>
      <c r="F891" s="259" t="inlineStr">
        <is>
          <t>875 W ELLSWORTH            AV</t>
        </is>
      </c>
      <c r="G891" s="672" t="n">
        <v>44.2</v>
      </c>
      <c r="H891" s="253" t="n">
        <v>9505</v>
      </c>
      <c r="I891" s="255" t="n">
        <v>0</v>
      </c>
      <c r="J891" s="678" t="n">
        <v>27373</v>
      </c>
      <c r="K891" s="679" t="n">
        <v>9.498410842801301</v>
      </c>
      <c r="L891" s="260" t="n">
        <v>0</v>
      </c>
      <c r="M891" s="262" t="n">
        <v>0</v>
      </c>
      <c r="N891" s="253" t="n">
        <v>2002</v>
      </c>
      <c r="O891" s="250">
        <f>6950+7220</f>
        <v/>
      </c>
      <c r="P891" s="250" t="inlineStr">
        <is>
          <t> </t>
        </is>
      </c>
      <c r="Q891" s="245" t="n">
        <v>31</v>
      </c>
      <c r="R891" s="245" t="n">
        <v>7</v>
      </c>
      <c r="S891" s="245" t="n">
        <v>1</v>
      </c>
      <c r="T891" s="249" t="inlineStr">
        <is>
          <t xml:space="preserve">I1   </t>
        </is>
      </c>
      <c r="U891" s="249" t="n">
        <v>398</v>
      </c>
      <c r="V891" s="678" t="n">
        <v>51308</v>
      </c>
      <c r="W891" s="678" t="n">
        <v>50000</v>
      </c>
      <c r="X891" s="356" t="inlineStr">
        <is>
          <t>1.9:1</t>
        </is>
      </c>
      <c r="Y891" s="678">
        <f>ROUND(J891,-3)</f>
        <v/>
      </c>
      <c r="Z891" s="249" t="inlineStr">
        <is>
          <t xml:space="preserve">C </t>
        </is>
      </c>
      <c r="AA891" s="245" t="n">
        <v>3</v>
      </c>
      <c r="AB891" s="245" t="n">
        <v>3</v>
      </c>
      <c r="AC891" s="253" t="inlineStr">
        <is>
          <t>33</t>
        </is>
      </c>
      <c r="AD891" s="247" t="inlineStr">
        <is>
          <t xml:space="preserve">BRON TAPE           </t>
        </is>
      </c>
      <c r="AE891" s="680" t="n"/>
      <c r="AF891" s="680" t="n"/>
      <c r="AG891" s="680" t="n"/>
      <c r="AH891" s="680" t="n"/>
      <c r="AI891" s="680" t="n"/>
      <c r="AJ891" s="680" t="n"/>
      <c r="AK891" s="680" t="inlineStr">
        <is>
          <t>                                                                  </t>
        </is>
      </c>
    </row>
    <row r="892">
      <c r="A892" s="248" t="n">
        <v>8</v>
      </c>
      <c r="B892" s="370" t="n">
        <v>884</v>
      </c>
      <c r="C892" s="254" t="inlineStr">
        <is>
          <t>2009Q</t>
        </is>
      </c>
      <c r="D892" s="245" t="inlineStr">
        <is>
          <t xml:space="preserve">05096-02-019-000 </t>
        </is>
      </c>
      <c r="E892" s="258" t="inlineStr">
        <is>
          <t>Actual</t>
        </is>
      </c>
      <c r="F892" s="259" t="inlineStr">
        <is>
          <t>70   SANTA FE             DR</t>
        </is>
      </c>
      <c r="G892" s="672" t="n">
        <v>44.1</v>
      </c>
      <c r="H892" s="253" t="n">
        <v>9505</v>
      </c>
      <c r="I892" s="255" t="n">
        <v>3</v>
      </c>
      <c r="J892" s="678" t="n">
        <v>33831</v>
      </c>
      <c r="K892" s="679" t="n">
        <v>5.075818036711891</v>
      </c>
      <c r="L892" s="260" t="n">
        <v>0</v>
      </c>
      <c r="M892" s="262" t="n">
        <v>0</v>
      </c>
      <c r="N892" s="253" t="n">
        <v>1974</v>
      </c>
      <c r="O892" s="250">
        <f>832+640</f>
        <v/>
      </c>
      <c r="P892" s="250" t="n">
        <v>3025</v>
      </c>
      <c r="Q892" s="245" t="n">
        <v>16</v>
      </c>
      <c r="R892" s="245" t="n">
        <v>7</v>
      </c>
      <c r="S892" s="245" t="n">
        <v>1</v>
      </c>
      <c r="T892" s="249" t="inlineStr">
        <is>
          <t xml:space="preserve">I1   </t>
        </is>
      </c>
      <c r="U892" s="249" t="n">
        <v>398</v>
      </c>
      <c r="V892" s="678" t="n">
        <v>42180</v>
      </c>
      <c r="W892" s="678" t="n">
        <v>42000</v>
      </c>
      <c r="X892" s="356" t="inlineStr">
        <is>
          <t>1.2:1</t>
        </is>
      </c>
      <c r="Y892" s="678">
        <f>ROUND(J892,-3)</f>
        <v/>
      </c>
      <c r="Z892" s="249" t="inlineStr">
        <is>
          <t xml:space="preserve">C </t>
        </is>
      </c>
      <c r="AA892" s="245" t="n">
        <v>2</v>
      </c>
      <c r="AB892" s="245" t="n">
        <v>2</v>
      </c>
      <c r="AC892" s="253" t="inlineStr">
        <is>
          <t>22</t>
        </is>
      </c>
      <c r="AD892" s="247" t="inlineStr">
        <is>
          <t xml:space="preserve">DISTRIBUTION WHSE   </t>
        </is>
      </c>
      <c r="AE892" s="680" t="n"/>
      <c r="AF892" s="680" t="n"/>
      <c r="AG892" s="680" t="n"/>
      <c r="AH892" s="680" t="n"/>
      <c r="AI892" s="680" t="n"/>
      <c r="AJ892" s="680" t="n"/>
      <c r="AK892" s="680" t="inlineStr">
        <is>
          <t>                                                                  </t>
        </is>
      </c>
    </row>
    <row r="893">
      <c r="A893" s="248" t="n">
        <v>8</v>
      </c>
      <c r="B893" s="370" t="n">
        <v>885</v>
      </c>
      <c r="C893" s="254" t="inlineStr">
        <is>
          <t>2009Q</t>
        </is>
      </c>
      <c r="D893" s="245" t="inlineStr">
        <is>
          <t xml:space="preserve">05096-03-029-000 </t>
        </is>
      </c>
      <c r="E893" s="258" t="inlineStr">
        <is>
          <t>Actual</t>
        </is>
      </c>
      <c r="F893" s="259" t="inlineStr">
        <is>
          <t>924 W 1ST                  AV</t>
        </is>
      </c>
      <c r="G893" s="672" t="n">
        <v>44.1</v>
      </c>
      <c r="H893" s="253" t="n">
        <v>9505</v>
      </c>
      <c r="I893" s="255" t="n">
        <v>0</v>
      </c>
      <c r="J893" s="678" t="n">
        <v>43000</v>
      </c>
      <c r="K893" s="679" t="n">
        <v>5.023255813953488</v>
      </c>
      <c r="L893" s="260" t="n">
        <v>0</v>
      </c>
      <c r="M893" s="262" t="n">
        <v>0</v>
      </c>
      <c r="N893" s="253" t="n">
        <v>1937</v>
      </c>
      <c r="O893" s="250" t="n">
        <v>1540</v>
      </c>
      <c r="Q893" s="245" t="n">
        <v>10</v>
      </c>
      <c r="R893" s="245" t="n">
        <v>1</v>
      </c>
      <c r="S893" s="245" t="n">
        <v>1</v>
      </c>
      <c r="T893" s="249" t="inlineStr">
        <is>
          <t xml:space="preserve">I1   </t>
        </is>
      </c>
      <c r="U893" s="249" t="n">
        <v>398</v>
      </c>
      <c r="V893" s="678" t="n">
        <v>79830</v>
      </c>
      <c r="W893" s="678" t="n">
        <v>80000</v>
      </c>
      <c r="X893" s="356" t="inlineStr">
        <is>
          <t>3.0:1</t>
        </is>
      </c>
      <c r="Y893" s="678">
        <f>ROUND(J893,-3)</f>
        <v/>
      </c>
      <c r="Z893" s="249" t="inlineStr">
        <is>
          <t xml:space="preserve">C </t>
        </is>
      </c>
      <c r="AA893" s="245" t="n">
        <v>3</v>
      </c>
      <c r="AB893" s="245" t="n">
        <v>3</v>
      </c>
      <c r="AC893" s="253" t="inlineStr">
        <is>
          <t>33</t>
        </is>
      </c>
      <c r="AD893" s="247" t="inlineStr">
        <is>
          <t xml:space="preserve">STARK LUMBER        </t>
        </is>
      </c>
      <c r="AE893" s="680" t="n"/>
      <c r="AF893" s="680" t="n"/>
      <c r="AG893" s="680" t="n"/>
      <c r="AH893" s="680" t="n"/>
      <c r="AI893" s="680" t="n"/>
      <c r="AJ893" s="680" t="n"/>
      <c r="AK893" s="680" t="inlineStr">
        <is>
          <t xml:space="preserve">STARK LUMBER-AREA FROM OWNER                                      </t>
        </is>
      </c>
    </row>
    <row r="894">
      <c r="A894" s="248" t="n">
        <v>8</v>
      </c>
      <c r="B894" s="370" t="n">
        <v>886</v>
      </c>
      <c r="C894" s="254" t="inlineStr">
        <is>
          <t>2009Q</t>
        </is>
      </c>
      <c r="D894" s="245" t="inlineStr">
        <is>
          <t xml:space="preserve">05096-04-001-000 </t>
        </is>
      </c>
      <c r="E894" s="258" t="inlineStr">
        <is>
          <t>Actual</t>
        </is>
      </c>
      <c r="F894" s="259" t="inlineStr">
        <is>
          <t>88   LIPAN                ST</t>
        </is>
      </c>
      <c r="G894" s="672" t="n">
        <v>44.2</v>
      </c>
      <c r="H894" s="253" t="n">
        <v>9505</v>
      </c>
      <c r="I894" s="255" t="n">
        <v>0</v>
      </c>
      <c r="J894" s="678" t="n">
        <v>3479</v>
      </c>
      <c r="K894" s="679" t="n">
        <v>12.07243460764587</v>
      </c>
      <c r="L894" s="260" t="n">
        <v>0</v>
      </c>
      <c r="M894" s="262" t="n">
        <v>0</v>
      </c>
      <c r="N894" s="253" t="n">
        <v>1965</v>
      </c>
      <c r="O894" s="250" t="n">
        <v>1779</v>
      </c>
      <c r="Q894" s="245" t="n">
        <v>14</v>
      </c>
      <c r="R894" s="245" t="n">
        <v>3</v>
      </c>
      <c r="S894" s="245" t="n">
        <v>1</v>
      </c>
      <c r="T894" s="249" t="inlineStr">
        <is>
          <t xml:space="preserve">I1   </t>
        </is>
      </c>
      <c r="U894" s="249" t="n">
        <v>398</v>
      </c>
      <c r="V894" s="678" t="n">
        <v>5576</v>
      </c>
      <c r="W894" s="678" t="n">
        <v>6000</v>
      </c>
      <c r="X894" s="356" t="inlineStr">
        <is>
          <t>1.6:1</t>
        </is>
      </c>
      <c r="Y894" s="678">
        <f>ROUND(J894,-3)</f>
        <v/>
      </c>
      <c r="Z894" s="249" t="inlineStr">
        <is>
          <t xml:space="preserve">C </t>
        </is>
      </c>
      <c r="AA894" s="245" t="n">
        <v>3</v>
      </c>
      <c r="AB894" s="245" t="n">
        <v>3</v>
      </c>
      <c r="AC894" s="253" t="inlineStr">
        <is>
          <t>33</t>
        </is>
      </c>
      <c r="AD894" s="247" t="inlineStr">
        <is>
          <t>S-W IND. WESTERN INC</t>
        </is>
      </c>
      <c r="AE894" s="680" t="n"/>
      <c r="AF894" s="680" t="n"/>
      <c r="AG894" s="680" t="n"/>
      <c r="AH894" s="680" t="n"/>
      <c r="AI894" s="680" t="n"/>
      <c r="AJ894" s="680" t="n"/>
      <c r="AK894" s="680" t="inlineStr">
        <is>
          <t>                                                                  </t>
        </is>
      </c>
    </row>
    <row r="895">
      <c r="A895" s="248" t="n">
        <v>8</v>
      </c>
      <c r="B895" s="370" t="n">
        <v>887</v>
      </c>
      <c r="C895" s="254" t="inlineStr">
        <is>
          <t>2009Q</t>
        </is>
      </c>
      <c r="D895" s="245" t="inlineStr">
        <is>
          <t xml:space="preserve">05096-04-038-000 </t>
        </is>
      </c>
      <c r="E895" s="258" t="inlineStr">
        <is>
          <t>Actual</t>
        </is>
      </c>
      <c r="F895" s="259" t="inlineStr">
        <is>
          <t>60   LIPAN                ST</t>
        </is>
      </c>
      <c r="G895" s="672" t="n">
        <v>44.2</v>
      </c>
      <c r="H895" s="253" t="n">
        <v>9505</v>
      </c>
      <c r="I895" s="255" t="n">
        <v>0</v>
      </c>
      <c r="J895" s="678" t="n">
        <v>4950</v>
      </c>
      <c r="K895" s="679" t="n">
        <v>6.398585858585858</v>
      </c>
      <c r="L895" s="260" t="n">
        <v>0</v>
      </c>
      <c r="M895" s="262" t="n">
        <v>0.0535156126669403</v>
      </c>
      <c r="N895" s="253" t="n">
        <v>1966</v>
      </c>
      <c r="O895" s="250" t="n">
        <v>517</v>
      </c>
      <c r="Q895" s="245" t="n">
        <v>14</v>
      </c>
      <c r="R895" s="245" t="n">
        <v>3</v>
      </c>
      <c r="S895" s="245" t="n">
        <v>1</v>
      </c>
      <c r="T895" s="249" t="inlineStr">
        <is>
          <t xml:space="preserve">I1   </t>
        </is>
      </c>
      <c r="U895" s="249" t="n">
        <v>397</v>
      </c>
      <c r="V895" s="678" t="n">
        <v>7582</v>
      </c>
      <c r="W895" s="678" t="n">
        <v>8000</v>
      </c>
      <c r="X895" s="356" t="inlineStr">
        <is>
          <t>1.5:1</t>
        </is>
      </c>
      <c r="Y895" s="678">
        <f>ROUND(J895,-3)</f>
        <v/>
      </c>
      <c r="Z895" s="249" t="inlineStr">
        <is>
          <t xml:space="preserve">C </t>
        </is>
      </c>
      <c r="AA895" s="245" t="n">
        <v>3</v>
      </c>
      <c r="AB895" s="245" t="n">
        <v>3</v>
      </c>
      <c r="AC895" s="253" t="inlineStr">
        <is>
          <t>33</t>
        </is>
      </c>
      <c r="AD895" s="247" t="inlineStr">
        <is>
          <t>S-W AAA METRIC SUPPL</t>
        </is>
      </c>
      <c r="AE895" s="680" t="n"/>
      <c r="AF895" s="680" t="n"/>
      <c r="AG895" s="680" t="n"/>
      <c r="AH895" s="680" t="n"/>
      <c r="AI895" s="680" t="n"/>
      <c r="AJ895" s="680" t="n"/>
      <c r="AK895" s="680" t="inlineStr">
        <is>
          <t>                                                                  </t>
        </is>
      </c>
    </row>
    <row r="896">
      <c r="A896" s="248" t="n">
        <v>8</v>
      </c>
      <c r="B896" s="370" t="n">
        <v>888</v>
      </c>
      <c r="C896" s="254" t="inlineStr">
        <is>
          <t>2009Q</t>
        </is>
      </c>
      <c r="D896" s="245" t="inlineStr">
        <is>
          <t xml:space="preserve">05096-15-056-000 </t>
        </is>
      </c>
      <c r="E896" s="258" t="inlineStr">
        <is>
          <t>Actual</t>
        </is>
      </c>
      <c r="F896" s="259" t="inlineStr">
        <is>
          <t>172 S KALAMATH             ST</t>
        </is>
      </c>
      <c r="G896" s="672" t="n">
        <v>44.1</v>
      </c>
      <c r="H896" s="253" t="n">
        <v>9505</v>
      </c>
      <c r="I896" s="255" t="n">
        <v>0</v>
      </c>
      <c r="J896" s="678" t="n">
        <v>17250</v>
      </c>
      <c r="K896" s="679" t="n">
        <v>5.565217391304348</v>
      </c>
      <c r="L896" s="260" t="n">
        <v>0</v>
      </c>
      <c r="M896" s="262" t="n">
        <v>0</v>
      </c>
      <c r="N896" s="253" t="n">
        <v>1972</v>
      </c>
      <c r="O896" s="250" t="n">
        <v>2500</v>
      </c>
      <c r="Q896" s="245" t="n">
        <v>12</v>
      </c>
      <c r="R896" s="245" t="n">
        <v>3</v>
      </c>
      <c r="S896" s="245" t="n">
        <v>1</v>
      </c>
      <c r="T896" s="249" t="inlineStr">
        <is>
          <t xml:space="preserve">I1   </t>
        </is>
      </c>
      <c r="U896" s="249" t="n">
        <v>398</v>
      </c>
      <c r="V896" s="678" t="n">
        <v>21875</v>
      </c>
      <c r="W896" s="678" t="n">
        <v>22000</v>
      </c>
      <c r="X896" s="356" t="inlineStr">
        <is>
          <t>1.3:1</t>
        </is>
      </c>
      <c r="Y896" s="678">
        <f>ROUND(J896,-3)</f>
        <v/>
      </c>
      <c r="Z896" s="249" t="inlineStr">
        <is>
          <t xml:space="preserve">C </t>
        </is>
      </c>
      <c r="AA896" s="245" t="n">
        <v>3</v>
      </c>
      <c r="AB896" s="245" t="n">
        <v>3</v>
      </c>
      <c r="AC896" s="253" t="inlineStr">
        <is>
          <t>33</t>
        </is>
      </c>
      <c r="AD896" s="247" t="inlineStr">
        <is>
          <t xml:space="preserve">DIST / PRINT SHOP   </t>
        </is>
      </c>
      <c r="AE896" s="680" t="n"/>
      <c r="AF896" s="680" t="n"/>
      <c r="AG896" s="680" t="n"/>
      <c r="AH896" s="680" t="n"/>
      <c r="AI896" s="680" t="n"/>
      <c r="AJ896" s="680" t="n"/>
      <c r="AK896" s="680" t="inlineStr">
        <is>
          <t>                                                                  </t>
        </is>
      </c>
    </row>
    <row r="897">
      <c r="A897" s="248" t="n">
        <v>8</v>
      </c>
      <c r="B897" s="370" t="n">
        <v>889</v>
      </c>
      <c r="C897" s="254" t="inlineStr">
        <is>
          <t>2009Q</t>
        </is>
      </c>
      <c r="D897" s="245" t="inlineStr">
        <is>
          <t xml:space="preserve">05096-18-016-000 </t>
        </is>
      </c>
      <c r="E897" s="258" t="inlineStr">
        <is>
          <t>Actual</t>
        </is>
      </c>
      <c r="F897" s="259" t="inlineStr">
        <is>
          <t>285 S SANTA FE             DR</t>
        </is>
      </c>
      <c r="G897" s="672" t="n">
        <v>44.1</v>
      </c>
      <c r="H897" s="253" t="n">
        <v>9505</v>
      </c>
      <c r="I897" s="255" t="n">
        <v>3</v>
      </c>
      <c r="J897" s="678" t="n">
        <v>6802</v>
      </c>
      <c r="K897" s="679" t="n">
        <v>7.339017935901206</v>
      </c>
      <c r="L897" s="260" t="n">
        <v>0</v>
      </c>
      <c r="M897" s="262" t="n">
        <v>0</v>
      </c>
      <c r="N897" s="253" t="n">
        <v>1971</v>
      </c>
      <c r="O897" s="250" t="n">
        <v>1338</v>
      </c>
      <c r="Q897" s="245" t="n">
        <v>20</v>
      </c>
      <c r="R897" s="245" t="n">
        <v>7</v>
      </c>
      <c r="S897" s="245" t="n">
        <v>1</v>
      </c>
      <c r="T897" s="249" t="inlineStr">
        <is>
          <t xml:space="preserve">I1   </t>
        </is>
      </c>
      <c r="U897" s="249" t="n">
        <v>398</v>
      </c>
      <c r="V897" s="678" t="n">
        <v>13864</v>
      </c>
      <c r="W897" s="678" t="n">
        <v>14000</v>
      </c>
      <c r="X897" s="356" t="inlineStr">
        <is>
          <t>2.0:1</t>
        </is>
      </c>
      <c r="Y897" s="678">
        <f>ROUND(J897,-3)</f>
        <v/>
      </c>
      <c r="Z897" s="249" t="inlineStr">
        <is>
          <t xml:space="preserve">C </t>
        </is>
      </c>
      <c r="AA897" s="245" t="n">
        <v>3</v>
      </c>
      <c r="AB897" s="245" t="n">
        <v>3</v>
      </c>
      <c r="AC897" s="253" t="inlineStr">
        <is>
          <t>33</t>
        </is>
      </c>
      <c r="AD897" s="247" t="inlineStr">
        <is>
          <t xml:space="preserve">WHSE/DIST PLUMBING  </t>
        </is>
      </c>
      <c r="AE897" s="680" t="n"/>
      <c r="AF897" s="680" t="n"/>
      <c r="AG897" s="680" t="n"/>
      <c r="AH897" s="680" t="n"/>
      <c r="AI897" s="680" t="n"/>
      <c r="AJ897" s="680" t="n"/>
      <c r="AK897" s="680" t="inlineStr">
        <is>
          <t>                                                                  </t>
        </is>
      </c>
    </row>
    <row r="898">
      <c r="A898" s="248" t="n">
        <v>8</v>
      </c>
      <c r="B898" s="370" t="n">
        <v>890</v>
      </c>
      <c r="C898" s="254" t="inlineStr">
        <is>
          <t>2009Q</t>
        </is>
      </c>
      <c r="D898" s="245" t="inlineStr">
        <is>
          <t xml:space="preserve">05102-01-002-000 </t>
        </is>
      </c>
      <c r="E898" s="258" t="inlineStr">
        <is>
          <t>Actual</t>
        </is>
      </c>
      <c r="F898" s="259" t="inlineStr">
        <is>
          <t>550   ACOMA                ST</t>
        </is>
      </c>
      <c r="G898" s="672" t="n">
        <v>44.2</v>
      </c>
      <c r="H898" s="253" t="n">
        <v>9505</v>
      </c>
      <c r="I898" s="255" t="n">
        <v>0</v>
      </c>
      <c r="J898" s="678" t="n">
        <v>19962</v>
      </c>
      <c r="K898" s="679" t="n">
        <v>5.427512273319307</v>
      </c>
      <c r="L898" s="260" t="n">
        <v>0</v>
      </c>
      <c r="M898" s="262" t="n">
        <v>0</v>
      </c>
      <c r="N898" s="253" t="n">
        <v>1951</v>
      </c>
      <c r="Q898" s="245" t="n">
        <v>16</v>
      </c>
      <c r="R898" s="245" t="n">
        <v>1</v>
      </c>
      <c r="S898" s="245" t="n">
        <v>1</v>
      </c>
      <c r="T898" s="249" t="inlineStr">
        <is>
          <t xml:space="preserve">B8   </t>
        </is>
      </c>
      <c r="U898" s="249" t="n">
        <v>398</v>
      </c>
      <c r="V898" s="678" t="n">
        <v>22875</v>
      </c>
      <c r="W898" s="678" t="n">
        <v>23000</v>
      </c>
      <c r="X898" s="356" t="inlineStr">
        <is>
          <t>1.1:1</t>
        </is>
      </c>
      <c r="Y898" s="678">
        <f>ROUND(J898,-3)</f>
        <v/>
      </c>
      <c r="Z898" s="249" t="inlineStr">
        <is>
          <t xml:space="preserve">C </t>
        </is>
      </c>
      <c r="AA898" s="245" t="n">
        <v>3</v>
      </c>
      <c r="AB898" s="245" t="n">
        <v>3</v>
      </c>
      <c r="AC898" s="253" t="inlineStr">
        <is>
          <t>33</t>
        </is>
      </c>
      <c r="AD898" s="247" t="inlineStr">
        <is>
          <t xml:space="preserve">LAND TITLE          </t>
        </is>
      </c>
      <c r="AE898" s="680" t="n"/>
      <c r="AF898" s="680" t="n"/>
      <c r="AG898" s="680" t="n"/>
      <c r="AH898" s="680" t="n"/>
      <c r="AI898" s="680" t="n"/>
      <c r="AJ898" s="680" t="n"/>
      <c r="AK898" s="680" t="inlineStr">
        <is>
          <t>                                                                  </t>
        </is>
      </c>
    </row>
    <row r="899">
      <c r="A899" s="248" t="n">
        <v>8</v>
      </c>
      <c r="B899" s="370" t="n">
        <v>891</v>
      </c>
      <c r="C899" s="254" t="inlineStr">
        <is>
          <t>2009Q</t>
        </is>
      </c>
      <c r="D899" s="245" t="inlineStr">
        <is>
          <t xml:space="preserve">05102-01-013-000 </t>
        </is>
      </c>
      <c r="E899" s="258" t="inlineStr">
        <is>
          <t>Actual</t>
        </is>
      </c>
      <c r="F899" s="259" t="inlineStr">
        <is>
          <t>526   ACOMA                ST</t>
        </is>
      </c>
      <c r="G899" s="672" t="n">
        <v>47.1</v>
      </c>
      <c r="H899" s="253" t="n">
        <v>9505</v>
      </c>
      <c r="I899" s="255" t="n">
        <v>0</v>
      </c>
      <c r="J899" s="678" t="n">
        <v>16394</v>
      </c>
      <c r="K899" s="679" t="n">
        <v>4.942966939124069</v>
      </c>
      <c r="L899" s="260" t="n">
        <v>0</v>
      </c>
      <c r="M899" s="262" t="n">
        <v>0.2207071018695625</v>
      </c>
      <c r="N899" s="253" t="n">
        <v>1952</v>
      </c>
      <c r="O899" s="250" t="n">
        <v>3133</v>
      </c>
      <c r="Q899" s="245" t="n">
        <v>14</v>
      </c>
      <c r="R899" s="245" t="n">
        <v>3</v>
      </c>
      <c r="S899" s="245" t="n">
        <v>1</v>
      </c>
      <c r="T899" s="249" t="inlineStr">
        <is>
          <t xml:space="preserve">B8   </t>
        </is>
      </c>
      <c r="U899" s="249" t="n">
        <v>401</v>
      </c>
      <c r="V899" s="678" t="n">
        <v>22875</v>
      </c>
      <c r="W899" s="678" t="n">
        <v>23000</v>
      </c>
      <c r="X899" s="356" t="inlineStr">
        <is>
          <t>1.4:1</t>
        </is>
      </c>
      <c r="Y899" s="678">
        <f>ROUND(J899,-3)</f>
        <v/>
      </c>
      <c r="Z899" s="249" t="inlineStr">
        <is>
          <t xml:space="preserve">C </t>
        </is>
      </c>
      <c r="AA899" s="245" t="n">
        <v>3</v>
      </c>
      <c r="AB899" s="245" t="n">
        <v>3</v>
      </c>
      <c r="AC899" s="253" t="inlineStr">
        <is>
          <t>33</t>
        </is>
      </c>
      <c r="AD899" s="247" t="inlineStr">
        <is>
          <t xml:space="preserve">RICE PAPER BOX      </t>
        </is>
      </c>
      <c r="AE899" s="680" t="n"/>
      <c r="AF899" s="680" t="n"/>
      <c r="AG899" s="680" t="n"/>
      <c r="AH899" s="680" t="n"/>
      <c r="AI899" s="680" t="n"/>
      <c r="AJ899" s="680" t="n"/>
      <c r="AK899" s="680" t="inlineStr">
        <is>
          <t xml:space="preserve">4 UNITS ON MONTH TO MONTH LEASES                                  </t>
        </is>
      </c>
    </row>
    <row r="900">
      <c r="A900" s="248" t="n">
        <v>8</v>
      </c>
      <c r="B900" s="370" t="n">
        <v>892</v>
      </c>
      <c r="C900" s="254" t="inlineStr">
        <is>
          <t>2009Q</t>
        </is>
      </c>
      <c r="D900" s="245" t="inlineStr">
        <is>
          <t xml:space="preserve">05103-00-027-000 </t>
        </is>
      </c>
      <c r="E900" s="258" t="inlineStr">
        <is>
          <t>Actual</t>
        </is>
      </c>
      <c r="F900" s="259" t="inlineStr">
        <is>
          <t>106 S SANTA FE             DR</t>
        </is>
      </c>
      <c r="G900" s="672" t="n">
        <v>44.1</v>
      </c>
      <c r="H900" s="253" t="n">
        <v>9505</v>
      </c>
      <c r="I900" s="255" t="n">
        <v>0</v>
      </c>
      <c r="J900" s="678" t="n">
        <v>16987</v>
      </c>
      <c r="K900" s="679" t="n">
        <v>6.607994348619533</v>
      </c>
      <c r="L900" s="260" t="n">
        <v>0</v>
      </c>
      <c r="M900" s="262" t="n">
        <v>0</v>
      </c>
      <c r="N900" s="253" t="n">
        <v>1974</v>
      </c>
      <c r="O900" s="250" t="n">
        <v>1044</v>
      </c>
      <c r="Q900" s="245" t="n">
        <v>19</v>
      </c>
      <c r="R900" s="245" t="n">
        <v>10</v>
      </c>
      <c r="S900" s="245" t="n">
        <v>1</v>
      </c>
      <c r="T900" s="249" t="inlineStr">
        <is>
          <t xml:space="preserve">I2   </t>
        </is>
      </c>
      <c r="U900" s="249" t="n">
        <v>398</v>
      </c>
      <c r="V900" s="678" t="n">
        <v>84931</v>
      </c>
      <c r="W900" s="678" t="n">
        <v>80000</v>
      </c>
      <c r="X900" s="356" t="inlineStr">
        <is>
          <t>2.6:1</t>
        </is>
      </c>
      <c r="Y900" s="678">
        <f>ROUND(J900,-3)</f>
        <v/>
      </c>
      <c r="Z900" s="249" t="inlineStr">
        <is>
          <t xml:space="preserve">C </t>
        </is>
      </c>
      <c r="AA900" s="245" t="n">
        <v>3</v>
      </c>
      <c r="AB900" s="245" t="n">
        <v>3</v>
      </c>
      <c r="AC900" s="253" t="inlineStr">
        <is>
          <t>33</t>
        </is>
      </c>
      <c r="AD900" s="247" t="inlineStr">
        <is>
          <t xml:space="preserve">XPEDX               </t>
        </is>
      </c>
      <c r="AE900" s="680" t="n"/>
      <c r="AF900" s="680" t="n"/>
      <c r="AG900" s="680" t="n"/>
      <c r="AH900" s="680" t="n"/>
      <c r="AI900" s="680" t="n"/>
      <c r="AJ900" s="680" t="n"/>
      <c r="AK900" s="680" t="inlineStr">
        <is>
          <t xml:space="preserve">LEASE IS FOR ONLY BUILDING 1                                      </t>
        </is>
      </c>
    </row>
    <row r="901">
      <c r="A901" s="248" t="n">
        <v>8</v>
      </c>
      <c r="B901" s="370" t="n">
        <v>893</v>
      </c>
      <c r="C901" s="254" t="inlineStr">
        <is>
          <t>2009Q</t>
        </is>
      </c>
      <c r="D901" s="245" t="inlineStr">
        <is>
          <t xml:space="preserve">05103-23-001-000 </t>
        </is>
      </c>
      <c r="E901" s="258" t="inlineStr">
        <is>
          <t>Actual</t>
        </is>
      </c>
      <c r="F901" s="259" t="inlineStr">
        <is>
          <t>112 S ELATI                ST</t>
        </is>
      </c>
      <c r="G901" s="672" t="n">
        <v>44.1</v>
      </c>
      <c r="H901" s="253" t="n">
        <v>9505</v>
      </c>
      <c r="I901" s="255" t="n">
        <v>0</v>
      </c>
      <c r="J901" s="678" t="n">
        <v>4503</v>
      </c>
      <c r="K901" s="679" t="n">
        <v>3.997335109926715</v>
      </c>
      <c r="L901" s="260" t="n">
        <v>0</v>
      </c>
      <c r="M901" s="262" t="n">
        <v>0.2</v>
      </c>
      <c r="N901" s="253" t="n">
        <v>1947</v>
      </c>
      <c r="P901" s="250">
        <f>462+462+379</f>
        <v/>
      </c>
      <c r="Q901" s="245" t="n">
        <v>11</v>
      </c>
      <c r="R901" s="245" t="n">
        <v>1</v>
      </c>
      <c r="S901" s="245" t="n">
        <v>1</v>
      </c>
      <c r="T901" s="249" t="inlineStr">
        <is>
          <t xml:space="preserve">I1   </t>
        </is>
      </c>
      <c r="U901" s="249" t="n">
        <v>398</v>
      </c>
      <c r="V901" s="678" t="n">
        <v>12500</v>
      </c>
      <c r="W901" s="678" t="n">
        <v>13000</v>
      </c>
      <c r="X901" s="356" t="inlineStr">
        <is>
          <t>2.8:1</t>
        </is>
      </c>
      <c r="Y901" s="678">
        <f>ROUND(J901,-3)</f>
        <v/>
      </c>
      <c r="Z901" s="249" t="inlineStr">
        <is>
          <t xml:space="preserve">C </t>
        </is>
      </c>
      <c r="AA901" s="245" t="n">
        <v>3</v>
      </c>
      <c r="AB901" s="245" t="n">
        <v>1</v>
      </c>
      <c r="AC901" s="253" t="inlineStr">
        <is>
          <t>31</t>
        </is>
      </c>
      <c r="AD901" s="247" t="inlineStr">
        <is>
          <t>S-W NIELSEN PLASTRNG</t>
        </is>
      </c>
      <c r="AE901" s="680" t="n"/>
      <c r="AF901" s="680" t="n"/>
      <c r="AG901" s="680" t="n"/>
      <c r="AH901" s="680" t="n"/>
      <c r="AI901" s="680" t="n"/>
      <c r="AJ901" s="680" t="n"/>
      <c r="AK901" s="680" t="inlineStr">
        <is>
          <t>                                                                  </t>
        </is>
      </c>
    </row>
    <row r="902">
      <c r="A902" s="248" t="n">
        <v>8</v>
      </c>
      <c r="B902" s="370" t="n">
        <v>894</v>
      </c>
      <c r="C902" s="254" t="inlineStr">
        <is>
          <t>2009Q</t>
        </is>
      </c>
      <c r="D902" s="245" t="inlineStr">
        <is>
          <t xml:space="preserve">05103-23-002-000 </t>
        </is>
      </c>
      <c r="E902" s="258" t="inlineStr">
        <is>
          <t>Actual</t>
        </is>
      </c>
      <c r="F902" s="259" t="inlineStr">
        <is>
          <t>140 S ELATI                ST</t>
        </is>
      </c>
      <c r="G902" s="672" t="n">
        <v>44.2</v>
      </c>
      <c r="H902" s="253" t="n">
        <v>9505</v>
      </c>
      <c r="I902" s="255" t="n">
        <v>0</v>
      </c>
      <c r="J902" s="678" t="n">
        <v>3750</v>
      </c>
      <c r="K902" s="679" t="n">
        <v>5.44</v>
      </c>
      <c r="L902" s="260" t="n">
        <v>0</v>
      </c>
      <c r="M902" s="262" t="n">
        <v>0.1568627450980392</v>
      </c>
      <c r="N902" s="253" t="n">
        <v>1935</v>
      </c>
      <c r="O902" s="250" t="n">
        <v>1340</v>
      </c>
      <c r="P902" s="250" t="n">
        <v>572</v>
      </c>
      <c r="Q902" s="245" t="n">
        <v>15</v>
      </c>
      <c r="R902" s="245" t="n">
        <v>1</v>
      </c>
      <c r="S902" s="245" t="n">
        <v>1</v>
      </c>
      <c r="T902" s="249" t="inlineStr">
        <is>
          <t xml:space="preserve">I1   </t>
        </is>
      </c>
      <c r="U902" s="249" t="n">
        <v>398</v>
      </c>
      <c r="V902" s="678" t="n">
        <v>25000</v>
      </c>
      <c r="W902" s="678" t="n">
        <v>25000</v>
      </c>
      <c r="X902" s="356" t="inlineStr">
        <is>
          <t>6.7:1</t>
        </is>
      </c>
      <c r="Y902" s="678">
        <f>ROUND(J902,-3)</f>
        <v/>
      </c>
      <c r="Z902" s="249" t="inlineStr">
        <is>
          <t xml:space="preserve">C </t>
        </is>
      </c>
      <c r="AA902" s="245" t="n">
        <v>2</v>
      </c>
      <c r="AB902" s="245" t="n">
        <v>2</v>
      </c>
      <c r="AC902" s="253" t="inlineStr">
        <is>
          <t>22</t>
        </is>
      </c>
      <c r="AD902" s="247" t="inlineStr">
        <is>
          <t>S-W NIELSON PLASTRNG</t>
        </is>
      </c>
      <c r="AE902" s="680" t="n"/>
      <c r="AF902" s="680" t="n"/>
      <c r="AG902" s="680" t="n"/>
      <c r="AH902" s="680" t="n"/>
      <c r="AI902" s="680" t="n"/>
      <c r="AJ902" s="680" t="n"/>
      <c r="AK902" s="680" t="inlineStr">
        <is>
          <t>                                                                  </t>
        </is>
      </c>
    </row>
    <row r="903">
      <c r="A903" s="248" t="n">
        <v>8</v>
      </c>
      <c r="B903" s="370" t="n">
        <v>895</v>
      </c>
      <c r="C903" s="254" t="inlineStr">
        <is>
          <t>2009Q</t>
        </is>
      </c>
      <c r="D903" s="245" t="inlineStr">
        <is>
          <t xml:space="preserve">05103-23-018-000 </t>
        </is>
      </c>
      <c r="E903" s="258" t="inlineStr">
        <is>
          <t>Actual</t>
        </is>
      </c>
      <c r="F903" s="259" t="inlineStr">
        <is>
          <t>495 W CEDAR                AV</t>
        </is>
      </c>
      <c r="G903" s="672" t="n">
        <v>47.2</v>
      </c>
      <c r="H903" s="253" t="n">
        <v>9505</v>
      </c>
      <c r="I903" s="255" t="n">
        <v>0</v>
      </c>
      <c r="J903" s="678" t="n">
        <v>6624</v>
      </c>
      <c r="K903" s="679" t="n">
        <v>8.070652173913043</v>
      </c>
      <c r="L903" s="260" t="n">
        <v>0</v>
      </c>
      <c r="M903" s="262" t="n">
        <v>0.1491956603067714</v>
      </c>
      <c r="N903" s="253" t="n">
        <v>1976</v>
      </c>
      <c r="O903" s="250" t="n">
        <v>4224</v>
      </c>
      <c r="Q903" s="245" t="n">
        <v>12</v>
      </c>
      <c r="R903" s="245" t="n">
        <v>3</v>
      </c>
      <c r="S903" s="245" t="n">
        <v>1</v>
      </c>
      <c r="T903" s="249" t="inlineStr">
        <is>
          <t xml:space="preserve">I1   </t>
        </is>
      </c>
      <c r="U903" s="249" t="n">
        <v>401</v>
      </c>
      <c r="V903" s="678" t="n">
        <v>18200</v>
      </c>
      <c r="W903" s="678" t="n">
        <v>18000</v>
      </c>
      <c r="X903" s="356" t="inlineStr">
        <is>
          <t>2.7:1</t>
        </is>
      </c>
      <c r="Y903" s="678">
        <f>ROUND(J903,-3)</f>
        <v/>
      </c>
      <c r="Z903" s="249" t="inlineStr">
        <is>
          <t xml:space="preserve">C </t>
        </is>
      </c>
      <c r="AA903" s="245" t="n">
        <v>5</v>
      </c>
      <c r="AB903" s="245" t="n">
        <v>3</v>
      </c>
      <c r="AC903" s="253" t="inlineStr">
        <is>
          <t>53</t>
        </is>
      </c>
      <c r="AD903" s="247" t="inlineStr">
        <is>
          <t xml:space="preserve">WALMAN OPTICAL      </t>
        </is>
      </c>
      <c r="AE903" s="680" t="n"/>
      <c r="AF903" s="680" t="n"/>
      <c r="AG903" s="680" t="n"/>
      <c r="AH903" s="680" t="n"/>
      <c r="AI903" s="680" t="n"/>
      <c r="AJ903" s="680" t="n"/>
      <c r="AK903" s="680" t="inlineStr">
        <is>
          <t>                                                                  </t>
        </is>
      </c>
    </row>
    <row r="904">
      <c r="A904" s="248" t="n">
        <v>8</v>
      </c>
      <c r="B904" s="370" t="n">
        <v>896</v>
      </c>
      <c r="C904" s="254" t="inlineStr">
        <is>
          <t>2009Q</t>
        </is>
      </c>
      <c r="D904" s="245" t="inlineStr">
        <is>
          <t xml:space="preserve">05112-16-003-000 </t>
        </is>
      </c>
      <c r="E904" s="258" t="inlineStr">
        <is>
          <t>Actual</t>
        </is>
      </c>
      <c r="F904" s="259" t="inlineStr">
        <is>
          <t>383   CORONA               ST</t>
        </is>
      </c>
      <c r="G904" s="672" t="n">
        <v>47.1</v>
      </c>
      <c r="H904" s="253" t="n">
        <v>9502</v>
      </c>
      <c r="I904" s="255" t="n">
        <v>0</v>
      </c>
      <c r="J904" s="678" t="n">
        <v>4660</v>
      </c>
      <c r="K904" s="679" t="n">
        <v>9.785407725321889</v>
      </c>
      <c r="L904" s="260" t="n">
        <v>0</v>
      </c>
      <c r="M904" s="262" t="n">
        <v>0.04385964912280702</v>
      </c>
      <c r="N904" s="253" t="n">
        <v>1955</v>
      </c>
      <c r="Q904" s="245" t="n">
        <v>10</v>
      </c>
      <c r="R904" s="245" t="n">
        <v>1</v>
      </c>
      <c r="S904" s="245" t="n">
        <v>1</v>
      </c>
      <c r="T904" s="249" t="inlineStr">
        <is>
          <t xml:space="preserve">B2   </t>
        </is>
      </c>
      <c r="U904" s="249" t="n">
        <v>401</v>
      </c>
      <c r="V904" s="678" t="n">
        <v>4687</v>
      </c>
      <c r="W904" s="678" t="n">
        <v>5000</v>
      </c>
      <c r="X904" s="356" t="inlineStr">
        <is>
          <t>1.0:1</t>
        </is>
      </c>
      <c r="Y904" s="678">
        <f>ROUND(J904,-3)</f>
        <v/>
      </c>
      <c r="Z904" s="249" t="inlineStr">
        <is>
          <t xml:space="preserve">C </t>
        </is>
      </c>
      <c r="AA904" s="245" t="n">
        <v>3</v>
      </c>
      <c r="AB904" s="245" t="n">
        <v>3</v>
      </c>
      <c r="AC904" s="253" t="inlineStr">
        <is>
          <t>33</t>
        </is>
      </c>
      <c r="AD904" s="247" t="inlineStr">
        <is>
          <t>                    </t>
        </is>
      </c>
      <c r="AE904" s="680" t="n"/>
      <c r="AF904" s="680" t="n"/>
      <c r="AG904" s="680" t="n"/>
      <c r="AH904" s="680" t="n"/>
      <c r="AI904" s="680" t="n"/>
      <c r="AJ904" s="680" t="n"/>
      <c r="AK904" s="680" t="inlineStr">
        <is>
          <t>                                                                  </t>
        </is>
      </c>
    </row>
    <row r="905">
      <c r="A905" s="248" t="n">
        <v>8</v>
      </c>
      <c r="B905" s="370" t="n">
        <v>897</v>
      </c>
      <c r="C905" s="254" t="inlineStr">
        <is>
          <t>2009Q</t>
        </is>
      </c>
      <c r="D905" s="245" t="inlineStr">
        <is>
          <t xml:space="preserve">05154-02-016-000 </t>
        </is>
      </c>
      <c r="E905" s="258" t="inlineStr">
        <is>
          <t>Actual</t>
        </is>
      </c>
      <c r="F905" s="259" t="inlineStr">
        <is>
          <t>500 W TENNESSEE            AV</t>
        </is>
      </c>
      <c r="G905" s="672" t="n">
        <v>44.1</v>
      </c>
      <c r="H905" s="253" t="n">
        <v>9506</v>
      </c>
      <c r="I905" s="255" t="n">
        <v>0</v>
      </c>
      <c r="J905" s="678" t="n">
        <v>30204</v>
      </c>
      <c r="K905" s="679" t="n">
        <v>5.611011786518342</v>
      </c>
      <c r="L905" s="260" t="n">
        <v>0</v>
      </c>
      <c r="M905" s="262" t="n">
        <v>0</v>
      </c>
      <c r="N905" s="253" t="n">
        <v>1972</v>
      </c>
      <c r="O905" s="250">
        <f>3325+3963</f>
        <v/>
      </c>
      <c r="P905" s="250">
        <f>1800+1404</f>
        <v/>
      </c>
      <c r="Q905" s="245" t="n">
        <v>24</v>
      </c>
      <c r="R905" s="245" t="n">
        <v>10</v>
      </c>
      <c r="S905" s="245" t="n">
        <v>1</v>
      </c>
      <c r="T905" s="249" t="inlineStr">
        <is>
          <t xml:space="preserve">I1   </t>
        </is>
      </c>
      <c r="U905" s="249" t="n">
        <v>398</v>
      </c>
      <c r="V905" s="678" t="n">
        <v>61900</v>
      </c>
      <c r="W905" s="678" t="n">
        <v>60000</v>
      </c>
      <c r="X905" s="356" t="inlineStr">
        <is>
          <t>2.0:1</t>
        </is>
      </c>
      <c r="Y905" s="678">
        <f>ROUND(J905,-3)</f>
        <v/>
      </c>
      <c r="Z905" s="249" t="inlineStr">
        <is>
          <t xml:space="preserve">C </t>
        </is>
      </c>
      <c r="AA905" s="245" t="n">
        <v>3</v>
      </c>
      <c r="AB905" s="245" t="n">
        <v>3</v>
      </c>
      <c r="AC905" s="253" t="inlineStr">
        <is>
          <t>33</t>
        </is>
      </c>
      <c r="AD905" s="247" t="inlineStr">
        <is>
          <t>                    </t>
        </is>
      </c>
      <c r="AE905" s="680" t="n"/>
      <c r="AF905" s="680" t="n"/>
      <c r="AG905" s="680" t="n"/>
      <c r="AH905" s="680" t="n"/>
      <c r="AI905" s="680" t="n"/>
      <c r="AJ905" s="680" t="n"/>
      <c r="AK905" s="680" t="inlineStr">
        <is>
          <t>                                                                  </t>
        </is>
      </c>
    </row>
    <row r="906">
      <c r="A906" s="248" t="n">
        <v>8</v>
      </c>
      <c r="B906" s="370" t="n">
        <v>898</v>
      </c>
      <c r="C906" s="254" t="inlineStr">
        <is>
          <t>2009Q</t>
        </is>
      </c>
      <c r="D906" s="245" t="inlineStr">
        <is>
          <t xml:space="preserve">05154-03-016-000 </t>
        </is>
      </c>
      <c r="E906" s="258" t="inlineStr">
        <is>
          <t>Actual</t>
        </is>
      </c>
      <c r="F906" s="259" t="inlineStr">
        <is>
          <t>640 W TENNESSEE            AV</t>
        </is>
      </c>
      <c r="G906" s="672" t="n">
        <v>44.2</v>
      </c>
      <c r="H906" s="253" t="n">
        <v>9506</v>
      </c>
      <c r="I906" s="255" t="n">
        <v>0</v>
      </c>
      <c r="J906" s="678" t="n">
        <v>35000</v>
      </c>
      <c r="K906" s="679" t="n">
        <v>6.576</v>
      </c>
      <c r="L906" s="260" t="n">
        <v>0</v>
      </c>
      <c r="M906" s="262" t="n">
        <v>0.1462113312478276</v>
      </c>
      <c r="N906" s="253" t="n">
        <v>1974</v>
      </c>
      <c r="O906" s="250">
        <f>2782+748+748+2782</f>
        <v/>
      </c>
      <c r="Q906" s="245" t="n">
        <v>21</v>
      </c>
      <c r="R906" s="245" t="n">
        <v>14</v>
      </c>
      <c r="S906" s="245" t="n">
        <v>1</v>
      </c>
      <c r="T906" s="249" t="inlineStr">
        <is>
          <t xml:space="preserve">I1   </t>
        </is>
      </c>
      <c r="U906" s="249" t="n">
        <v>398</v>
      </c>
      <c r="V906" s="678" t="n">
        <v>70320</v>
      </c>
      <c r="W906" s="678" t="n">
        <v>70000</v>
      </c>
      <c r="X906" s="356" t="inlineStr">
        <is>
          <t>2.0:1</t>
        </is>
      </c>
      <c r="Y906" s="678">
        <f>ROUND(J906,-3)</f>
        <v/>
      </c>
      <c r="Z906" s="249" t="inlineStr">
        <is>
          <t xml:space="preserve">C </t>
        </is>
      </c>
      <c r="AA906" s="245" t="n">
        <v>3</v>
      </c>
      <c r="AB906" s="245" t="n">
        <v>3</v>
      </c>
      <c r="AC906" s="253" t="inlineStr">
        <is>
          <t>33</t>
        </is>
      </c>
      <c r="AD906" s="247" t="inlineStr">
        <is>
          <t xml:space="preserve">M-W                 </t>
        </is>
      </c>
      <c r="AE906" s="680" t="n"/>
      <c r="AF906" s="680" t="n"/>
      <c r="AG906" s="680" t="n"/>
      <c r="AH906" s="680" t="n"/>
      <c r="AI906" s="680" t="n"/>
      <c r="AJ906" s="680" t="n"/>
      <c r="AK906" s="680" t="inlineStr">
        <is>
          <t xml:space="preserve">MULTI-TENANT 5 UNITS                                              </t>
        </is>
      </c>
    </row>
    <row r="907">
      <c r="A907" s="248" t="n">
        <v>8</v>
      </c>
      <c r="B907" s="370" t="n">
        <v>899</v>
      </c>
      <c r="C907" s="254" t="inlineStr">
        <is>
          <t>2009Q</t>
        </is>
      </c>
      <c r="D907" s="245" t="inlineStr">
        <is>
          <t xml:space="preserve">05154-03-017-000 </t>
        </is>
      </c>
      <c r="E907" s="258" t="inlineStr">
        <is>
          <t>Actual</t>
        </is>
      </c>
      <c r="F907" s="259" t="inlineStr">
        <is>
          <t>1070 S GALAPAGO             ST</t>
        </is>
      </c>
      <c r="G907" s="672" t="n">
        <v>44.2</v>
      </c>
      <c r="H907" s="253" t="n">
        <v>9506</v>
      </c>
      <c r="I907" s="255" t="n">
        <v>0</v>
      </c>
      <c r="J907" s="678" t="n">
        <v>13570</v>
      </c>
      <c r="K907" s="679" t="n">
        <v>7.958732498157701</v>
      </c>
      <c r="L907" s="260" t="n">
        <v>0</v>
      </c>
      <c r="M907" s="262" t="n">
        <v>0</v>
      </c>
      <c r="N907" s="253" t="n">
        <v>1974</v>
      </c>
      <c r="O907" s="250" t="n">
        <v>3360</v>
      </c>
      <c r="Q907" s="245" t="n">
        <v>13</v>
      </c>
      <c r="R907" s="245" t="n">
        <v>3</v>
      </c>
      <c r="S907" s="245" t="n">
        <v>1</v>
      </c>
      <c r="T907" s="249" t="inlineStr">
        <is>
          <t xml:space="preserve">I1   </t>
        </is>
      </c>
      <c r="U907" s="249" t="n">
        <v>398</v>
      </c>
      <c r="V907" s="678" t="n">
        <v>53150</v>
      </c>
      <c r="W907" s="678" t="n">
        <v>50000</v>
      </c>
      <c r="X907" s="356" t="inlineStr">
        <is>
          <t>3.9:1</t>
        </is>
      </c>
      <c r="Y907" s="678">
        <f>ROUND(J907,-3)</f>
        <v/>
      </c>
      <c r="Z907" s="249" t="inlineStr">
        <is>
          <t xml:space="preserve">C </t>
        </is>
      </c>
      <c r="AA907" s="245" t="n">
        <v>3</v>
      </c>
      <c r="AB907" s="245" t="n">
        <v>3</v>
      </c>
      <c r="AC907" s="253" t="inlineStr">
        <is>
          <t>33</t>
        </is>
      </c>
      <c r="AD907" s="247" t="inlineStr">
        <is>
          <t>                    </t>
        </is>
      </c>
      <c r="AE907" s="680" t="n"/>
      <c r="AF907" s="680" t="n"/>
      <c r="AG907" s="680" t="n"/>
      <c r="AH907" s="680" t="n"/>
      <c r="AI907" s="680" t="n"/>
      <c r="AJ907" s="680" t="n"/>
      <c r="AK907" s="680" t="inlineStr">
        <is>
          <t xml:space="preserve">1997 LEASE                                                        </t>
        </is>
      </c>
    </row>
    <row r="908">
      <c r="A908" s="248" t="n">
        <v>8</v>
      </c>
      <c r="B908" s="370" t="n">
        <v>900</v>
      </c>
      <c r="C908" s="254" t="inlineStr">
        <is>
          <t>2009Q</t>
        </is>
      </c>
      <c r="D908" s="245" t="inlineStr">
        <is>
          <t xml:space="preserve">05161-00-034-000 </t>
        </is>
      </c>
      <c r="E908" s="258" t="inlineStr">
        <is>
          <t>Actual</t>
        </is>
      </c>
      <c r="F908" s="259" t="inlineStr">
        <is>
          <t>320 S LIPAN                ST</t>
        </is>
      </c>
      <c r="G908" s="672" t="n">
        <v>44.1</v>
      </c>
      <c r="H908" s="253" t="n">
        <v>9506</v>
      </c>
      <c r="I908" s="255" t="n">
        <v>0</v>
      </c>
      <c r="J908" s="678" t="n">
        <v>69120</v>
      </c>
      <c r="K908" s="679" t="n">
        <v>4.532146990740741</v>
      </c>
      <c r="L908" s="260" t="n">
        <v>0</v>
      </c>
      <c r="M908" s="262" t="n">
        <v>0.005407614073842343</v>
      </c>
      <c r="N908" s="253" t="n">
        <v>1974</v>
      </c>
      <c r="O908" s="250">
        <f>5480+10619</f>
        <v/>
      </c>
      <c r="Q908" s="245" t="n">
        <v>24</v>
      </c>
      <c r="R908" s="245" t="n">
        <v>1</v>
      </c>
      <c r="S908" s="245" t="n">
        <v>1</v>
      </c>
      <c r="T908" s="249" t="inlineStr">
        <is>
          <t xml:space="preserve">I1   </t>
        </is>
      </c>
      <c r="U908" s="249" t="n">
        <v>398</v>
      </c>
      <c r="V908" s="678" t="n">
        <v>124000</v>
      </c>
      <c r="W908" s="678" t="n">
        <v>120000</v>
      </c>
      <c r="X908" s="356" t="inlineStr">
        <is>
          <t>1.8:1</t>
        </is>
      </c>
      <c r="Y908" s="678">
        <f>ROUND(J908,-4)</f>
        <v/>
      </c>
      <c r="Z908" s="249" t="inlineStr">
        <is>
          <t xml:space="preserve">C </t>
        </is>
      </c>
      <c r="AA908" s="245" t="n">
        <v>3</v>
      </c>
      <c r="AB908" s="245" t="n">
        <v>3</v>
      </c>
      <c r="AC908" s="253" t="inlineStr">
        <is>
          <t>33</t>
        </is>
      </c>
      <c r="AD908" s="247" t="inlineStr">
        <is>
          <t>                    </t>
        </is>
      </c>
      <c r="AE908" s="680" t="n"/>
      <c r="AF908" s="680" t="n"/>
      <c r="AG908" s="680" t="n"/>
      <c r="AH908" s="680" t="n"/>
      <c r="AI908" s="680" t="n"/>
      <c r="AJ908" s="680" t="n"/>
      <c r="AK908" s="680" t="inlineStr">
        <is>
          <t>                                                                  </t>
        </is>
      </c>
    </row>
    <row r="909">
      <c r="A909" s="248" t="n">
        <v>8</v>
      </c>
      <c r="B909" s="370" t="n">
        <v>901</v>
      </c>
      <c r="C909" s="254" t="inlineStr">
        <is>
          <t>2009Q</t>
        </is>
      </c>
      <c r="D909" s="245" t="inlineStr">
        <is>
          <t xml:space="preserve">05161-08-001-000 </t>
        </is>
      </c>
      <c r="E909" s="258" t="inlineStr">
        <is>
          <t>Actual</t>
        </is>
      </c>
      <c r="F909" s="259" t="inlineStr">
        <is>
          <t>451 S LIPAN                ST</t>
        </is>
      </c>
      <c r="G909" s="672" t="n">
        <v>44.1</v>
      </c>
      <c r="H909" s="253" t="n">
        <v>9506</v>
      </c>
      <c r="I909" s="255" t="n">
        <v>0</v>
      </c>
      <c r="J909" s="678" t="n">
        <v>3027</v>
      </c>
      <c r="K909" s="679" t="n">
        <v>9.80773042616452</v>
      </c>
      <c r="L909" s="260" t="n">
        <v>0</v>
      </c>
      <c r="M909" s="262" t="n">
        <v>0</v>
      </c>
      <c r="N909" s="253" t="n">
        <v>1959</v>
      </c>
      <c r="O909" s="250" t="n">
        <v>629</v>
      </c>
      <c r="Q909" s="245" t="n">
        <v>11</v>
      </c>
      <c r="R909" s="245" t="n">
        <v>3</v>
      </c>
      <c r="S909" s="245" t="n">
        <v>1</v>
      </c>
      <c r="T909" s="249" t="inlineStr">
        <is>
          <t xml:space="preserve">I1   </t>
        </is>
      </c>
      <c r="U909" s="249" t="n">
        <v>398</v>
      </c>
      <c r="V909" s="678" t="n">
        <v>4837</v>
      </c>
      <c r="W909" s="678" t="n">
        <v>5000</v>
      </c>
      <c r="X909" s="356" t="inlineStr">
        <is>
          <t>1.6:1</t>
        </is>
      </c>
      <c r="Y909" s="678">
        <f>ROUND(J909,-3)</f>
        <v/>
      </c>
      <c r="Z909" s="249" t="inlineStr">
        <is>
          <t xml:space="preserve">C </t>
        </is>
      </c>
      <c r="AA909" s="245" t="n">
        <v>3</v>
      </c>
      <c r="AB909" s="245" t="n">
        <v>3</v>
      </c>
      <c r="AC909" s="253" t="inlineStr">
        <is>
          <t>33</t>
        </is>
      </c>
      <c r="AD909" s="247" t="inlineStr">
        <is>
          <t>OMNI-PRO CLEAN'NG CO</t>
        </is>
      </c>
      <c r="AE909" s="680" t="n"/>
      <c r="AF909" s="680" t="n"/>
      <c r="AG909" s="680" t="n"/>
      <c r="AH909" s="680" t="n"/>
      <c r="AI909" s="680" t="n"/>
      <c r="AJ909" s="680" t="n"/>
      <c r="AK909" s="680" t="inlineStr">
        <is>
          <t xml:space="preserve">NNN LEASE SIGNED IN 09/2007-VACANT 8 MOS IN 2007                  </t>
        </is>
      </c>
    </row>
    <row r="910">
      <c r="A910" s="248" t="n">
        <v>8</v>
      </c>
      <c r="B910" s="370" t="n">
        <v>902</v>
      </c>
      <c r="C910" s="254" t="inlineStr">
        <is>
          <t>2009Q</t>
        </is>
      </c>
      <c r="D910" s="245" t="inlineStr">
        <is>
          <t xml:space="preserve">05161-08-010-000 </t>
        </is>
      </c>
      <c r="E910" s="258" t="inlineStr">
        <is>
          <t>Actual</t>
        </is>
      </c>
      <c r="F910" s="259" t="inlineStr">
        <is>
          <t>460 S NAVAJO               ST</t>
        </is>
      </c>
      <c r="G910" s="672" t="n">
        <v>46.1</v>
      </c>
      <c r="H910" s="253" t="n">
        <v>9506</v>
      </c>
      <c r="I910" s="255" t="n">
        <v>0</v>
      </c>
      <c r="J910" s="678" t="n">
        <v>4000</v>
      </c>
      <c r="K910" s="679" t="n">
        <v>5.4</v>
      </c>
      <c r="L910" s="260" t="n">
        <v>0</v>
      </c>
      <c r="M910" s="262" t="n">
        <v>0</v>
      </c>
      <c r="N910" s="253" t="n">
        <v>1966</v>
      </c>
      <c r="O910" s="250" t="n">
        <v>500</v>
      </c>
      <c r="Q910" s="245" t="n">
        <v>14</v>
      </c>
      <c r="R910" s="245" t="n">
        <v>3</v>
      </c>
      <c r="S910" s="245" t="n">
        <v>1</v>
      </c>
      <c r="T910" s="249" t="inlineStr">
        <is>
          <t xml:space="preserve">I0   </t>
        </is>
      </c>
      <c r="U910" s="249" t="n">
        <v>401</v>
      </c>
      <c r="V910" s="678" t="n">
        <v>10000</v>
      </c>
      <c r="W910" s="678" t="n">
        <v>10000</v>
      </c>
      <c r="X910" s="356" t="inlineStr">
        <is>
          <t>2.5:1</t>
        </is>
      </c>
      <c r="Y910" s="678">
        <f>ROUND(J910,-3)</f>
        <v/>
      </c>
      <c r="Z910" s="249" t="inlineStr">
        <is>
          <t xml:space="preserve">C </t>
        </is>
      </c>
      <c r="AA910" s="245" t="n">
        <v>3</v>
      </c>
      <c r="AB910" s="245" t="n">
        <v>3</v>
      </c>
      <c r="AC910" s="253" t="inlineStr">
        <is>
          <t>33</t>
        </is>
      </c>
      <c r="AD910" s="247" t="inlineStr">
        <is>
          <t xml:space="preserve">S-F CHILD'S PASTRY  </t>
        </is>
      </c>
      <c r="AE910" s="680" t="n"/>
      <c r="AF910" s="680" t="n"/>
      <c r="AG910" s="680" t="n"/>
      <c r="AH910" s="680" t="n"/>
      <c r="AI910" s="680" t="n"/>
      <c r="AJ910" s="680" t="n"/>
      <c r="AK910" s="680" t="inlineStr">
        <is>
          <t>                                                                  </t>
        </is>
      </c>
    </row>
    <row r="911">
      <c r="A911" s="248" t="n">
        <v>8</v>
      </c>
      <c r="B911" s="370" t="n">
        <v>903</v>
      </c>
      <c r="C911" s="254" t="inlineStr">
        <is>
          <t>2009Q</t>
        </is>
      </c>
      <c r="D911" s="245" t="inlineStr">
        <is>
          <t xml:space="preserve">05161-09-025-000 </t>
        </is>
      </c>
      <c r="E911" s="258" t="inlineStr">
        <is>
          <t>Actual</t>
        </is>
      </c>
      <c r="F911" s="259" t="inlineStr">
        <is>
          <t>1128 W VIRGINIA             AV</t>
        </is>
      </c>
      <c r="G911" s="672" t="n">
        <v>44.2</v>
      </c>
      <c r="H911" s="253" t="n">
        <v>9506</v>
      </c>
      <c r="I911" s="255" t="n">
        <v>0</v>
      </c>
      <c r="J911" s="678" t="n">
        <v>7881</v>
      </c>
      <c r="K911" s="679" t="n">
        <v>7.917776931861439</v>
      </c>
      <c r="L911" s="260" t="n">
        <v>0</v>
      </c>
      <c r="M911" s="262" t="n">
        <v>0.1708814102564103</v>
      </c>
      <c r="N911" s="253" t="n">
        <v>1981</v>
      </c>
      <c r="O911" s="250">
        <f>1487+603</f>
        <v/>
      </c>
      <c r="Q911" s="245" t="n">
        <v>17</v>
      </c>
      <c r="R911" s="245" t="n">
        <v>3</v>
      </c>
      <c r="S911" s="245" t="n">
        <v>1</v>
      </c>
      <c r="T911" s="249" t="inlineStr">
        <is>
          <t xml:space="preserve">I1   </t>
        </is>
      </c>
      <c r="U911" s="249" t="n">
        <v>398</v>
      </c>
      <c r="V911" s="678" t="n">
        <v>12500</v>
      </c>
      <c r="W911" s="678" t="n">
        <v>13000</v>
      </c>
      <c r="X911" s="356" t="inlineStr">
        <is>
          <t>1.6:1</t>
        </is>
      </c>
      <c r="Y911" s="678">
        <f>ROUND(J911,-3)</f>
        <v/>
      </c>
      <c r="Z911" s="249" t="inlineStr">
        <is>
          <t xml:space="preserve">C </t>
        </is>
      </c>
      <c r="AA911" s="245" t="n">
        <v>3</v>
      </c>
      <c r="AB911" s="245" t="n">
        <v>3</v>
      </c>
      <c r="AC911" s="253" t="inlineStr">
        <is>
          <t>33</t>
        </is>
      </c>
      <c r="AD911" s="247" t="inlineStr">
        <is>
          <t>                    </t>
        </is>
      </c>
      <c r="AE911" s="680" t="n"/>
      <c r="AF911" s="680" t="n"/>
      <c r="AG911" s="680" t="n"/>
      <c r="AH911" s="680" t="n"/>
      <c r="AI911" s="680" t="n"/>
      <c r="AJ911" s="680" t="n"/>
      <c r="AK911" s="680" t="inlineStr">
        <is>
          <t>                                                                  </t>
        </is>
      </c>
    </row>
    <row r="912">
      <c r="A912" s="248" t="n">
        <v>8</v>
      </c>
      <c r="B912" s="370" t="n">
        <v>904</v>
      </c>
      <c r="C912" s="254" t="inlineStr">
        <is>
          <t>2009Q</t>
        </is>
      </c>
      <c r="D912" s="245" t="inlineStr">
        <is>
          <t xml:space="preserve">05161-10-002-000 </t>
        </is>
      </c>
      <c r="E912" s="258" t="inlineStr">
        <is>
          <t>Actual</t>
        </is>
      </c>
      <c r="F912" s="259" t="inlineStr">
        <is>
          <t>1216 W VIRGINIA             AV</t>
        </is>
      </c>
      <c r="G912" s="672" t="n">
        <v>44.5</v>
      </c>
      <c r="H912" s="253" t="n">
        <v>9506</v>
      </c>
      <c r="I912" s="255" t="n">
        <v>0</v>
      </c>
      <c r="J912" s="678" t="n">
        <v>3285</v>
      </c>
      <c r="K912" s="679" t="n">
        <v>6.210045662100456</v>
      </c>
      <c r="L912" s="260" t="n">
        <v>0.6312769010043041</v>
      </c>
      <c r="M912" s="262" t="n">
        <v>0</v>
      </c>
      <c r="N912" s="253" t="n">
        <v>1973</v>
      </c>
      <c r="Q912" s="245" t="n">
        <v>12</v>
      </c>
      <c r="R912" s="245" t="n">
        <v>7</v>
      </c>
      <c r="S912" s="245" t="n">
        <v>20</v>
      </c>
      <c r="T912" s="249" t="inlineStr">
        <is>
          <t xml:space="preserve">I0   </t>
        </is>
      </c>
      <c r="U912" s="249" t="n">
        <v>396</v>
      </c>
      <c r="V912" s="678" t="n">
        <v>9375</v>
      </c>
      <c r="W912" s="678" t="n">
        <v>9000</v>
      </c>
      <c r="X912" s="356" t="inlineStr">
        <is>
          <t>2.7:1</t>
        </is>
      </c>
      <c r="Y912" s="678">
        <f>ROUND(J912,-3)</f>
        <v/>
      </c>
      <c r="Z912" s="249" t="inlineStr">
        <is>
          <t xml:space="preserve">C </t>
        </is>
      </c>
      <c r="AA912" s="245" t="n">
        <v>3</v>
      </c>
      <c r="AB912" s="245" t="n">
        <v>3</v>
      </c>
      <c r="AC912" s="253" t="inlineStr">
        <is>
          <t>33</t>
        </is>
      </c>
      <c r="AD912" s="247" t="inlineStr">
        <is>
          <t xml:space="preserve">MINI STORAGE        </t>
        </is>
      </c>
      <c r="AE912" s="680" t="n"/>
      <c r="AF912" s="680" t="n"/>
      <c r="AG912" s="680" t="n"/>
      <c r="AH912" s="680" t="n"/>
      <c r="AI912" s="680" t="n"/>
      <c r="AJ912" s="680" t="n"/>
      <c r="AK912" s="680" t="inlineStr">
        <is>
          <t xml:space="preserve">4 UNIT LEASED MONTH TO MONTH                                      </t>
        </is>
      </c>
    </row>
    <row r="913">
      <c r="A913" s="248" t="n">
        <v>8</v>
      </c>
      <c r="B913" s="370" t="n">
        <v>905</v>
      </c>
      <c r="C913" s="254" t="inlineStr">
        <is>
          <t>2009Q</t>
        </is>
      </c>
      <c r="D913" s="245" t="inlineStr">
        <is>
          <t xml:space="preserve">05161-13-026-000 </t>
        </is>
      </c>
      <c r="E913" s="258" t="inlineStr">
        <is>
          <t>Actual</t>
        </is>
      </c>
      <c r="F913" s="259" t="inlineStr">
        <is>
          <t>1210 W CUSTER               PL</t>
        </is>
      </c>
      <c r="G913" s="672" t="n">
        <v>44.2</v>
      </c>
      <c r="H913" s="253" t="n">
        <v>9506</v>
      </c>
      <c r="I913" s="255" t="n">
        <v>0</v>
      </c>
      <c r="J913" s="678" t="n">
        <v>6000</v>
      </c>
      <c r="K913" s="679" t="n">
        <v>5.729166666666667</v>
      </c>
      <c r="L913" s="260" t="n">
        <v>0</v>
      </c>
      <c r="M913" s="262" t="n">
        <v>0.06053818181818182</v>
      </c>
      <c r="N913" s="253" t="n">
        <v>1971</v>
      </c>
      <c r="O913" s="250" t="n">
        <v>630</v>
      </c>
      <c r="Q913" s="245" t="n">
        <v>13</v>
      </c>
      <c r="R913" s="245" t="n">
        <v>3</v>
      </c>
      <c r="S913" s="245" t="n">
        <v>1</v>
      </c>
      <c r="T913" s="249" t="inlineStr">
        <is>
          <t xml:space="preserve">I0   </t>
        </is>
      </c>
      <c r="U913" s="249" t="n">
        <v>398</v>
      </c>
      <c r="V913" s="678" t="n">
        <v>12500</v>
      </c>
      <c r="W913" s="678" t="n">
        <v>13000</v>
      </c>
      <c r="X913" s="356" t="inlineStr">
        <is>
          <t>2.1:1</t>
        </is>
      </c>
      <c r="Y913" s="678">
        <f>ROUND(J913,-3)</f>
        <v/>
      </c>
      <c r="Z913" s="249" t="inlineStr">
        <is>
          <t xml:space="preserve">C </t>
        </is>
      </c>
      <c r="AA913" s="245" t="n">
        <v>3</v>
      </c>
      <c r="AB913" s="245" t="n">
        <v>3</v>
      </c>
      <c r="AC913" s="253" t="inlineStr">
        <is>
          <t>33</t>
        </is>
      </c>
      <c r="AD913" s="247" t="inlineStr">
        <is>
          <t>                    </t>
        </is>
      </c>
      <c r="AE913" s="680" t="n"/>
      <c r="AF913" s="680" t="n"/>
      <c r="AG913" s="680" t="n"/>
      <c r="AH913" s="680" t="n"/>
      <c r="AI913" s="680" t="n"/>
      <c r="AJ913" s="680" t="n"/>
      <c r="AK913" s="680" t="inlineStr">
        <is>
          <t xml:space="preserve">MULTI TENANT 3 UNITS                                              </t>
        </is>
      </c>
    </row>
    <row r="914">
      <c r="A914" s="248" t="n">
        <v>8</v>
      </c>
      <c r="B914" s="370" t="n">
        <v>906</v>
      </c>
      <c r="C914" s="254" t="inlineStr">
        <is>
          <t>2009Q</t>
        </is>
      </c>
      <c r="D914" s="245" t="inlineStr">
        <is>
          <t xml:space="preserve">05161-13-027-000 </t>
        </is>
      </c>
      <c r="E914" s="258" t="inlineStr">
        <is>
          <t>Actual</t>
        </is>
      </c>
      <c r="F914" s="259" t="inlineStr">
        <is>
          <t>1205 W CENTER               AV</t>
        </is>
      </c>
      <c r="G914" s="672" t="n">
        <v>44.2</v>
      </c>
      <c r="H914" s="253" t="n">
        <v>9506</v>
      </c>
      <c r="I914" s="255" t="n">
        <v>0</v>
      </c>
      <c r="J914" s="678" t="n">
        <v>7775</v>
      </c>
      <c r="K914" s="679" t="n">
        <v>13.42456591639871</v>
      </c>
      <c r="L914" s="260" t="n">
        <v>0</v>
      </c>
      <c r="M914" s="262" t="n">
        <v>0.2118877902966199</v>
      </c>
      <c r="N914" s="253" t="n">
        <v>2000</v>
      </c>
      <c r="O914" s="250" t="n">
        <v>4188</v>
      </c>
      <c r="Q914" s="245" t="n">
        <v>16</v>
      </c>
      <c r="R914" s="245" t="n">
        <v>1</v>
      </c>
      <c r="S914" s="245" t="n">
        <v>3</v>
      </c>
      <c r="T914" s="249" t="inlineStr">
        <is>
          <t xml:space="preserve">I0   </t>
        </is>
      </c>
      <c r="U914" s="249" t="n">
        <v>398</v>
      </c>
      <c r="V914" s="678" t="n">
        <v>18750</v>
      </c>
      <c r="W914" s="678" t="n">
        <v>19000</v>
      </c>
      <c r="X914" s="356" t="inlineStr">
        <is>
          <t>2.4:1</t>
        </is>
      </c>
      <c r="Y914" s="678">
        <f>ROUND(J914,-3)</f>
        <v/>
      </c>
      <c r="Z914" s="249" t="inlineStr">
        <is>
          <t xml:space="preserve">C </t>
        </is>
      </c>
      <c r="AA914" s="245" t="n">
        <v>3</v>
      </c>
      <c r="AB914" s="245" t="n">
        <v>3</v>
      </c>
      <c r="AC914" s="253" t="inlineStr">
        <is>
          <t>33</t>
        </is>
      </c>
      <c r="AD914" s="247" t="inlineStr">
        <is>
          <t xml:space="preserve">M-W                 </t>
        </is>
      </c>
      <c r="AE914" s="680" t="n"/>
      <c r="AF914" s="680" t="n"/>
      <c r="AG914" s="680" t="n"/>
      <c r="AH914" s="680" t="n"/>
      <c r="AI914" s="680" t="n"/>
      <c r="AJ914" s="680" t="n"/>
      <c r="AK914" s="680" t="inlineStr">
        <is>
          <t xml:space="preserve">3 UNITS-TOTAL EXPENSES ARE CAM RECOVERY                           </t>
        </is>
      </c>
    </row>
    <row r="915">
      <c r="A915" s="248" t="n">
        <v>8</v>
      </c>
      <c r="B915" s="370" t="n">
        <v>907</v>
      </c>
      <c r="C915" s="254" t="inlineStr">
        <is>
          <t>2009Q</t>
        </is>
      </c>
      <c r="D915" s="245" t="inlineStr">
        <is>
          <t xml:space="preserve">05161-15-015-000 </t>
        </is>
      </c>
      <c r="E915" s="258" t="inlineStr">
        <is>
          <t>Actual</t>
        </is>
      </c>
      <c r="F915" s="259" t="inlineStr">
        <is>
          <t>610 S LIPAN                ST</t>
        </is>
      </c>
      <c r="G915" s="672" t="n">
        <v>43.1</v>
      </c>
      <c r="H915" s="253" t="n">
        <v>9506</v>
      </c>
      <c r="I915" s="255" t="n">
        <v>0</v>
      </c>
      <c r="J915" s="678" t="n">
        <v>9132</v>
      </c>
      <c r="K915" s="679" t="n">
        <v>3.942181340341656</v>
      </c>
      <c r="L915" s="260" t="n">
        <v>0</v>
      </c>
      <c r="M915" s="262" t="n">
        <v>0</v>
      </c>
      <c r="N915" s="253" t="n">
        <v>1969</v>
      </c>
      <c r="O915" s="250" t="n">
        <v>7162</v>
      </c>
      <c r="Q915" s="245" t="n">
        <v>12</v>
      </c>
      <c r="R915" s="245" t="n">
        <v>3</v>
      </c>
      <c r="S915" s="245" t="n">
        <v>1</v>
      </c>
      <c r="T915" s="249" t="inlineStr">
        <is>
          <t xml:space="preserve">I0   </t>
        </is>
      </c>
      <c r="U915" s="249" t="n">
        <v>401</v>
      </c>
      <c r="V915" s="678" t="n">
        <v>16500</v>
      </c>
      <c r="W915" s="678" t="n">
        <v>17000</v>
      </c>
      <c r="X915" s="356" t="inlineStr">
        <is>
          <t>1.8:1</t>
        </is>
      </c>
      <c r="Y915" s="678">
        <f>ROUND(J915,-3)</f>
        <v/>
      </c>
      <c r="Z915" s="249" t="inlineStr">
        <is>
          <t xml:space="preserve">C </t>
        </is>
      </c>
      <c r="AA915" s="245" t="n">
        <v>3</v>
      </c>
      <c r="AB915" s="245" t="n">
        <v>3</v>
      </c>
      <c r="AC915" s="253" t="inlineStr">
        <is>
          <t>33</t>
        </is>
      </c>
      <c r="AD915" s="247" t="inlineStr">
        <is>
          <t>LANGE GRAPHICS/PRINT</t>
        </is>
      </c>
      <c r="AE915" s="680" t="n"/>
      <c r="AF915" s="680" t="n"/>
      <c r="AG915" s="680" t="n"/>
      <c r="AH915" s="680" t="n"/>
      <c r="AI915" s="680" t="n"/>
      <c r="AJ915" s="680" t="n"/>
      <c r="AK915" s="680" t="inlineStr">
        <is>
          <t xml:space="preserve">OWNER PAYS PROPERTY TAXES                                         </t>
        </is>
      </c>
    </row>
    <row r="916">
      <c r="A916" s="248" t="n">
        <v>8</v>
      </c>
      <c r="B916" s="370" t="n">
        <v>908</v>
      </c>
      <c r="C916" s="254" t="inlineStr">
        <is>
          <t>2009Q</t>
        </is>
      </c>
      <c r="D916" s="245" t="inlineStr">
        <is>
          <t xml:space="preserve">05161-16-024-000 </t>
        </is>
      </c>
      <c r="E916" s="258" t="inlineStr">
        <is>
          <t>Actual</t>
        </is>
      </c>
      <c r="F916" s="259" t="inlineStr">
        <is>
          <t>1204 W CENTER               AV</t>
        </is>
      </c>
      <c r="G916" s="672" t="n">
        <v>44.2</v>
      </c>
      <c r="H916" s="253" t="n">
        <v>9506</v>
      </c>
      <c r="I916" s="255" t="n">
        <v>0</v>
      </c>
      <c r="J916" s="678" t="n">
        <v>5000</v>
      </c>
      <c r="K916" s="679" t="n">
        <v>6.7</v>
      </c>
      <c r="L916" s="260" t="n">
        <v>0</v>
      </c>
      <c r="M916" s="262" t="n">
        <v>0</v>
      </c>
      <c r="N916" s="253" t="n">
        <v>1995</v>
      </c>
      <c r="O916" s="250" t="n">
        <v>576</v>
      </c>
      <c r="Q916" s="245" t="n">
        <v>16</v>
      </c>
      <c r="R916" s="245" t="n">
        <v>8</v>
      </c>
      <c r="S916" s="245" t="n">
        <v>1</v>
      </c>
      <c r="T916" s="249" t="inlineStr">
        <is>
          <t xml:space="preserve">I0   </t>
        </is>
      </c>
      <c r="U916" s="249" t="n">
        <v>398</v>
      </c>
      <c r="V916" s="678" t="n">
        <v>15625</v>
      </c>
      <c r="W916" s="678" t="n">
        <v>16000</v>
      </c>
      <c r="X916" s="356" t="inlineStr">
        <is>
          <t>3.1:1</t>
        </is>
      </c>
      <c r="Y916" s="678">
        <f>ROUND(J916,-3)</f>
        <v/>
      </c>
      <c r="Z916" s="249" t="inlineStr">
        <is>
          <t xml:space="preserve">C </t>
        </is>
      </c>
      <c r="AA916" s="245" t="n">
        <v>3</v>
      </c>
      <c r="AB916" s="245" t="n">
        <v>3</v>
      </c>
      <c r="AC916" s="253" t="inlineStr">
        <is>
          <t>33</t>
        </is>
      </c>
      <c r="AD916" s="247" t="inlineStr">
        <is>
          <t xml:space="preserve">WAREHOUSE / STORAGE </t>
        </is>
      </c>
      <c r="AE916" s="680" t="n"/>
      <c r="AF916" s="680" t="n"/>
      <c r="AG916" s="680" t="n"/>
      <c r="AH916" s="680" t="n"/>
      <c r="AI916" s="680" t="n"/>
      <c r="AJ916" s="680" t="n"/>
      <c r="AK916" s="680" t="inlineStr">
        <is>
          <t xml:space="preserve">PURCHASED IN 2007-LEASE STARTED 01/2008                           </t>
        </is>
      </c>
    </row>
    <row r="917">
      <c r="A917" s="248" t="n">
        <v>8</v>
      </c>
      <c r="B917" s="370" t="n">
        <v>909</v>
      </c>
      <c r="C917" s="254" t="inlineStr">
        <is>
          <t>2009Q</t>
        </is>
      </c>
      <c r="D917" s="245" t="inlineStr">
        <is>
          <t xml:space="preserve">05161-20-022-000 </t>
        </is>
      </c>
      <c r="E917" s="258" t="inlineStr">
        <is>
          <t>Actual</t>
        </is>
      </c>
      <c r="F917" s="259" t="inlineStr">
        <is>
          <t>687 S JASON                ST</t>
        </is>
      </c>
      <c r="G917" s="672" t="n">
        <v>44.1</v>
      </c>
      <c r="H917" s="253" t="n">
        <v>9506</v>
      </c>
      <c r="I917" s="255" t="n">
        <v>0</v>
      </c>
      <c r="J917" s="678" t="n">
        <v>5615</v>
      </c>
      <c r="K917" s="679" t="n">
        <v>7.212822796081923</v>
      </c>
      <c r="L917" s="260" t="n">
        <v>0</v>
      </c>
      <c r="M917" s="262" t="n">
        <v>0.1024691358024691</v>
      </c>
      <c r="N917" s="253" t="n">
        <v>1963</v>
      </c>
      <c r="O917" s="250" t="n">
        <v>1057</v>
      </c>
      <c r="P917" s="250" t="inlineStr">
        <is>
          <t> </t>
        </is>
      </c>
      <c r="Q917" s="245" t="n">
        <v>13</v>
      </c>
      <c r="R917" s="245" t="n">
        <v>1</v>
      </c>
      <c r="S917" s="245" t="n">
        <v>2</v>
      </c>
      <c r="T917" s="249" t="inlineStr">
        <is>
          <t xml:space="preserve">I1   </t>
        </is>
      </c>
      <c r="U917" s="249" t="n">
        <v>398</v>
      </c>
      <c r="V917" s="678" t="n">
        <v>10027</v>
      </c>
      <c r="W917" s="678" t="n">
        <v>10000</v>
      </c>
      <c r="X917" s="356" t="inlineStr">
        <is>
          <t>1.5:1</t>
        </is>
      </c>
      <c r="Y917" s="678">
        <f>ROUND(J917,-3)</f>
        <v/>
      </c>
      <c r="Z917" s="249" t="inlineStr">
        <is>
          <t xml:space="preserve">C </t>
        </is>
      </c>
      <c r="AA917" s="245" t="n">
        <v>3</v>
      </c>
      <c r="AB917" s="245" t="n">
        <v>3</v>
      </c>
      <c r="AC917" s="253" t="inlineStr">
        <is>
          <t>33</t>
        </is>
      </c>
      <c r="AD917" s="247" t="inlineStr">
        <is>
          <t xml:space="preserve">MOTHER TRUCKERS     </t>
        </is>
      </c>
      <c r="AE917" s="680" t="n"/>
      <c r="AF917" s="680" t="n"/>
      <c r="AG917" s="680" t="n"/>
      <c r="AH917" s="680" t="n"/>
      <c r="AI917" s="680" t="n"/>
      <c r="AJ917" s="680" t="n"/>
      <c r="AK917" s="680" t="inlineStr">
        <is>
          <t xml:space="preserve">3 UNITS-1 BASE YEAR LEASE                                         </t>
        </is>
      </c>
    </row>
    <row r="918">
      <c r="A918" s="248" t="n">
        <v>8</v>
      </c>
      <c r="B918" s="370" t="n">
        <v>910</v>
      </c>
      <c r="C918" s="254" t="inlineStr">
        <is>
          <t>2009Q</t>
        </is>
      </c>
      <c r="D918" s="245" t="inlineStr">
        <is>
          <t xml:space="preserve">05164-00-029-000 </t>
        </is>
      </c>
      <c r="E918" s="258" t="inlineStr">
        <is>
          <t>Actual</t>
        </is>
      </c>
      <c r="F918" s="259" t="inlineStr">
        <is>
          <t>1055 S JASON                ST</t>
        </is>
      </c>
      <c r="G918" s="672" t="n">
        <v>47.1</v>
      </c>
      <c r="H918" s="253" t="n">
        <v>9506</v>
      </c>
      <c r="I918" s="255" t="n">
        <v>0</v>
      </c>
      <c r="J918" s="678" t="n">
        <v>47216</v>
      </c>
      <c r="K918" s="679" t="n">
        <v>5.083022704168078</v>
      </c>
      <c r="L918" s="260" t="n">
        <v>0</v>
      </c>
      <c r="M918" s="262" t="n">
        <v>0</v>
      </c>
      <c r="N918" s="253" t="n">
        <v>1956</v>
      </c>
      <c r="O918" s="250">
        <f>4222+420</f>
        <v/>
      </c>
      <c r="Q918" s="245" t="n">
        <v>14</v>
      </c>
      <c r="R918" s="245" t="n">
        <v>10</v>
      </c>
      <c r="S918" s="245" t="n">
        <v>1</v>
      </c>
      <c r="T918" s="249" t="inlineStr">
        <is>
          <t xml:space="preserve">I1   </t>
        </is>
      </c>
      <c r="U918" s="249" t="n">
        <v>401</v>
      </c>
      <c r="V918" s="678" t="n">
        <v>89364</v>
      </c>
      <c r="W918" s="678" t="n">
        <v>90000</v>
      </c>
      <c r="X918" s="356" t="inlineStr">
        <is>
          <t>1.9:1</t>
        </is>
      </c>
      <c r="Y918" s="678">
        <f>ROUND(J918,-3)</f>
        <v/>
      </c>
      <c r="Z918" s="249" t="inlineStr">
        <is>
          <t xml:space="preserve">C </t>
        </is>
      </c>
      <c r="AA918" s="245" t="n">
        <v>3</v>
      </c>
      <c r="AB918" s="245" t="n">
        <v>3</v>
      </c>
      <c r="AC918" s="253" t="inlineStr">
        <is>
          <t>33</t>
        </is>
      </c>
      <c r="AD918" s="247" t="inlineStr">
        <is>
          <t xml:space="preserve">SPRING AIR MATTRESS </t>
        </is>
      </c>
      <c r="AE918" s="680" t="n"/>
      <c r="AF918" s="680" t="n"/>
      <c r="AG918" s="680" t="n"/>
      <c r="AH918" s="680" t="n"/>
      <c r="AI918" s="680" t="n"/>
      <c r="AJ918" s="680" t="n"/>
      <c r="AK918" s="680" t="inlineStr">
        <is>
          <t>                                                                  </t>
        </is>
      </c>
    </row>
    <row r="919">
      <c r="A919" s="248" t="n">
        <v>8</v>
      </c>
      <c r="B919" s="370" t="n">
        <v>911</v>
      </c>
      <c r="C919" s="254" t="inlineStr">
        <is>
          <t>2009Q</t>
        </is>
      </c>
      <c r="D919" s="245" t="inlineStr">
        <is>
          <t xml:space="preserve">05164-00-030-000 </t>
        </is>
      </c>
      <c r="E919" s="258" t="inlineStr">
        <is>
          <t>Actual</t>
        </is>
      </c>
      <c r="F919" s="259" t="inlineStr">
        <is>
          <t>1002 S JASON                ST</t>
        </is>
      </c>
      <c r="G919" s="672" t="n">
        <v>44.2</v>
      </c>
      <c r="H919" s="253" t="n">
        <v>9506</v>
      </c>
      <c r="I919" s="255" t="n">
        <v>0</v>
      </c>
      <c r="J919" s="678" t="n">
        <v>22290</v>
      </c>
      <c r="K919" s="679" t="n">
        <v>4.586137281292059</v>
      </c>
      <c r="L919" s="260" t="n">
        <v>0.2781516375056079</v>
      </c>
      <c r="M919" s="262" t="n">
        <v>0.4692785522132551</v>
      </c>
      <c r="N919" s="253" t="n">
        <v>1954</v>
      </c>
      <c r="O919" s="250">
        <f>2507+2517</f>
        <v/>
      </c>
      <c r="P919" s="250" t="n">
        <v>651</v>
      </c>
      <c r="Q919" s="245" t="n">
        <v>9</v>
      </c>
      <c r="R919" s="245" t="n">
        <v>3</v>
      </c>
      <c r="S919" s="245" t="n">
        <v>4</v>
      </c>
      <c r="T919" s="249" t="inlineStr">
        <is>
          <t xml:space="preserve">I1   </t>
        </is>
      </c>
      <c r="U919" s="249" t="n">
        <v>398</v>
      </c>
      <c r="V919" s="678" t="n">
        <v>52850</v>
      </c>
      <c r="W919" s="678" t="n">
        <v>50000</v>
      </c>
      <c r="X919" s="356" t="inlineStr">
        <is>
          <t>2.0:1</t>
        </is>
      </c>
      <c r="Y919" s="678">
        <f>ROUND(J919,-3)</f>
        <v/>
      </c>
      <c r="Z919" s="249" t="inlineStr">
        <is>
          <t xml:space="preserve">C </t>
        </is>
      </c>
      <c r="AA919" s="245" t="n">
        <v>3</v>
      </c>
      <c r="AB919" s="245" t="n">
        <v>2</v>
      </c>
      <c r="AC919" s="253" t="inlineStr">
        <is>
          <t>32</t>
        </is>
      </c>
      <c r="AD919" s="247" t="inlineStr">
        <is>
          <t xml:space="preserve">DENVER STONE &amp; TILE </t>
        </is>
      </c>
      <c r="AE919" s="680" t="n"/>
      <c r="AF919" s="680" t="n"/>
      <c r="AG919" s="680" t="n"/>
      <c r="AH919" s="680" t="n"/>
      <c r="AI919" s="680" t="n"/>
      <c r="AJ919" s="680" t="n"/>
      <c r="AK919" s="680" t="inlineStr">
        <is>
          <t xml:space="preserve">INCOME INCLUDES RECOVERY-MULTI TENANT-7 UNITS                     </t>
        </is>
      </c>
    </row>
    <row r="920">
      <c r="A920" s="248" t="n">
        <v>8</v>
      </c>
      <c r="B920" s="370" t="n">
        <v>912</v>
      </c>
      <c r="C920" s="254" t="inlineStr">
        <is>
          <t>2009W</t>
        </is>
      </c>
      <c r="D920" s="245" t="inlineStr">
        <is>
          <t>05164-00-030-000</t>
        </is>
      </c>
      <c r="E920" s="249" t="inlineStr">
        <is>
          <t>Actual</t>
        </is>
      </c>
      <c r="F920" s="245" t="inlineStr">
        <is>
          <t>1002 S Jason St.</t>
        </is>
      </c>
      <c r="G920" s="672" t="n">
        <v>44.2</v>
      </c>
      <c r="H920" s="245" t="n">
        <v>9506</v>
      </c>
      <c r="I920" s="249" t="n">
        <v>0</v>
      </c>
      <c r="J920" s="250" t="n">
        <v>26251</v>
      </c>
      <c r="K920" s="685" t="n">
        <v>5.23</v>
      </c>
      <c r="L920" s="365" t="n">
        <v>0.39</v>
      </c>
      <c r="M920" s="365" t="n">
        <v>0</v>
      </c>
      <c r="N920" s="245" t="n">
        <v>1954</v>
      </c>
      <c r="O920" s="678" t="n">
        <v>6211</v>
      </c>
      <c r="P920" s="678" t="n">
        <v>651</v>
      </c>
      <c r="Q920" s="245" t="n">
        <v>9</v>
      </c>
      <c r="R920" s="245" t="n">
        <v>3</v>
      </c>
      <c r="S920" s="245" t="n">
        <v>5</v>
      </c>
      <c r="T920" s="249" t="inlineStr">
        <is>
          <t>I1</t>
        </is>
      </c>
      <c r="U920" s="249" t="n">
        <v>398</v>
      </c>
      <c r="V920" s="250" t="n">
        <v>52850</v>
      </c>
      <c r="W920" s="250" t="n">
        <v>50000</v>
      </c>
      <c r="X920" s="253" t="inlineStr">
        <is>
          <t>2.0:1</t>
        </is>
      </c>
      <c r="Y920" s="250" t="n">
        <v>25000</v>
      </c>
      <c r="Z920" s="249" t="inlineStr">
        <is>
          <t>C</t>
        </is>
      </c>
      <c r="AA920" s="245" t="n">
        <v>2</v>
      </c>
      <c r="AB920" s="245" t="n">
        <v>2</v>
      </c>
      <c r="AC920" s="245" t="n">
        <v>22</v>
      </c>
      <c r="AD920" s="245" t="inlineStr">
        <is>
          <t>DENVER TILE &amp; STONE</t>
        </is>
      </c>
      <c r="AE920" s="667" t="n">
        <v>5.23</v>
      </c>
      <c r="AF920" s="686">
        <f>AE920*0.61</f>
        <v/>
      </c>
      <c r="AG920" s="686" t="n">
        <v>3.19</v>
      </c>
      <c r="AH920" s="686" t="n">
        <v>0</v>
      </c>
      <c r="AI920" s="686" t="n"/>
      <c r="AJ920" s="667" t="n"/>
      <c r="AK920" s="245" t="inlineStr">
        <is>
          <t>Only rent roll, presume NNN. No operating statement supplied</t>
        </is>
      </c>
      <c r="AN920" s="680" t="n"/>
      <c r="AO920" s="680" t="n"/>
      <c r="AP920" s="680" t="n"/>
    </row>
    <row r="921">
      <c r="A921" s="248" t="n">
        <v>8</v>
      </c>
      <c r="B921" s="370" t="n">
        <v>913</v>
      </c>
      <c r="C921" s="254" t="inlineStr">
        <is>
          <t>2009Q</t>
        </is>
      </c>
      <c r="D921" s="245" t="inlineStr">
        <is>
          <t xml:space="preserve">05164-00-129-000 </t>
        </is>
      </c>
      <c r="E921" s="258" t="inlineStr">
        <is>
          <t>Actual</t>
        </is>
      </c>
      <c r="F921" s="259" t="inlineStr">
        <is>
          <t>1050 S JASON                ST</t>
        </is>
      </c>
      <c r="G921" s="672" t="n">
        <v>44.1</v>
      </c>
      <c r="H921" s="253" t="n">
        <v>9506</v>
      </c>
      <c r="I921" s="255" t="n">
        <v>0</v>
      </c>
      <c r="J921" s="678" t="n">
        <v>17064</v>
      </c>
      <c r="K921" s="679" t="n">
        <v>3.881856540084388</v>
      </c>
      <c r="L921" s="260" t="n">
        <v>0</v>
      </c>
      <c r="M921" s="262" t="n">
        <v>0</v>
      </c>
      <c r="N921" s="253" t="n">
        <v>2000</v>
      </c>
      <c r="O921" s="250" t="inlineStr">
        <is>
          <t> </t>
        </is>
      </c>
      <c r="Q921" s="245" t="n">
        <v>25</v>
      </c>
      <c r="R921" s="245" t="n">
        <v>7</v>
      </c>
      <c r="S921" s="245" t="n">
        <v>1</v>
      </c>
      <c r="T921" s="249" t="inlineStr">
        <is>
          <t xml:space="preserve">I1   </t>
        </is>
      </c>
      <c r="U921" s="249" t="n">
        <v>398</v>
      </c>
      <c r="V921" s="678" t="n">
        <v>93000</v>
      </c>
      <c r="W921" s="678" t="n">
        <v>90000</v>
      </c>
      <c r="X921" s="356" t="inlineStr">
        <is>
          <t>5.5:1</t>
        </is>
      </c>
      <c r="Y921" s="678">
        <f>ROUND(J921,-3)</f>
        <v/>
      </c>
      <c r="Z921" s="249" t="inlineStr">
        <is>
          <t xml:space="preserve">C </t>
        </is>
      </c>
      <c r="AA921" s="245" t="n">
        <v>3</v>
      </c>
      <c r="AB921" s="245" t="n">
        <v>1</v>
      </c>
      <c r="AC921" s="253" t="inlineStr">
        <is>
          <t>31</t>
        </is>
      </c>
      <c r="AD921" s="247" t="inlineStr">
        <is>
          <t xml:space="preserve">DRY STORAGE ONLY    </t>
        </is>
      </c>
      <c r="AE921" s="680" t="n"/>
      <c r="AF921" s="680" t="n"/>
      <c r="AG921" s="680" t="n"/>
      <c r="AH921" s="680" t="n"/>
      <c r="AI921" s="680" t="n"/>
      <c r="AJ921" s="680" t="n"/>
      <c r="AK921" s="680" t="inlineStr">
        <is>
          <t xml:space="preserve">PROPERTY TAXES PAID BY OWNER                                      </t>
        </is>
      </c>
    </row>
    <row r="922">
      <c r="A922" s="248" t="n">
        <v>8</v>
      </c>
      <c r="B922" s="370" t="n">
        <v>914</v>
      </c>
      <c r="C922" s="254" t="inlineStr">
        <is>
          <t>2009Q</t>
        </is>
      </c>
      <c r="D922" s="245" t="inlineStr">
        <is>
          <t xml:space="preserve">05164-00-134-000 </t>
        </is>
      </c>
      <c r="E922" s="258" t="inlineStr">
        <is>
          <t>Actual</t>
        </is>
      </c>
      <c r="F922" s="259" t="inlineStr">
        <is>
          <t>1030 S LIPAN                ST</t>
        </is>
      </c>
      <c r="G922" s="672" t="n">
        <v>44.1</v>
      </c>
      <c r="H922" s="253" t="n">
        <v>9506</v>
      </c>
      <c r="I922" s="255" t="n">
        <v>0</v>
      </c>
      <c r="J922" s="678" t="n">
        <v>2746</v>
      </c>
      <c r="K922" s="679" t="n">
        <v>9.067734887108521</v>
      </c>
      <c r="L922" s="260" t="n">
        <v>0</v>
      </c>
      <c r="M922" s="262" t="n">
        <v>0</v>
      </c>
      <c r="N922" s="253" t="n">
        <v>1959</v>
      </c>
      <c r="O922" s="250" t="n">
        <v>197</v>
      </c>
      <c r="Q922" s="245" t="n">
        <v>11</v>
      </c>
      <c r="R922" s="245" t="n">
        <v>3</v>
      </c>
      <c r="S922" s="245" t="n">
        <v>1</v>
      </c>
      <c r="T922" s="249" t="inlineStr">
        <is>
          <t xml:space="preserve">I0   </t>
        </is>
      </c>
      <c r="U922" s="249" t="n">
        <v>398</v>
      </c>
      <c r="V922" s="678" t="n">
        <v>9910</v>
      </c>
      <c r="W922" s="678" t="n">
        <v>10000</v>
      </c>
      <c r="X922" s="356" t="inlineStr">
        <is>
          <t>3.6:1</t>
        </is>
      </c>
      <c r="Y922" s="678">
        <f>ROUND(J922,-3)</f>
        <v/>
      </c>
      <c r="Z922" s="249" t="inlineStr">
        <is>
          <t xml:space="preserve">C </t>
        </is>
      </c>
      <c r="AA922" s="245" t="n">
        <v>3</v>
      </c>
      <c r="AB922" s="245" t="n">
        <v>3</v>
      </c>
      <c r="AC922" s="253" t="inlineStr">
        <is>
          <t>33</t>
        </is>
      </c>
      <c r="AD922" s="247" t="inlineStr">
        <is>
          <t xml:space="preserve">S-W                 </t>
        </is>
      </c>
      <c r="AE922" s="680" t="n"/>
      <c r="AF922" s="680" t="n"/>
      <c r="AG922" s="680" t="n"/>
      <c r="AH922" s="680" t="n"/>
      <c r="AI922" s="680" t="n"/>
      <c r="AJ922" s="680" t="n"/>
      <c r="AK922" s="680" t="inlineStr">
        <is>
          <t>                                                                  </t>
        </is>
      </c>
    </row>
    <row r="923">
      <c r="A923" s="248" t="n">
        <v>8</v>
      </c>
      <c r="B923" s="370" t="n">
        <v>915</v>
      </c>
      <c r="C923" s="254" t="inlineStr">
        <is>
          <t>2009W</t>
        </is>
      </c>
      <c r="D923" s="245" t="inlineStr">
        <is>
          <t>05164-00-141-000</t>
        </is>
      </c>
      <c r="E923" s="249" t="inlineStr">
        <is>
          <t>Actual</t>
        </is>
      </c>
      <c r="F923" s="245" t="inlineStr">
        <is>
          <t>755 S. Jason St.</t>
        </is>
      </c>
      <c r="G923" s="672" t="n">
        <v>44.2</v>
      </c>
      <c r="H923" s="245" t="n">
        <v>9506</v>
      </c>
      <c r="I923" s="249" t="n">
        <v>0</v>
      </c>
      <c r="J923" s="250" t="n">
        <v>14819</v>
      </c>
      <c r="K923" s="685" t="n">
        <v>4.8</v>
      </c>
      <c r="L923" s="365" t="n">
        <v>0</v>
      </c>
      <c r="M923" s="365" t="n">
        <v>0.17</v>
      </c>
      <c r="N923" s="245" t="n">
        <v>1963</v>
      </c>
      <c r="O923" s="678" t="n">
        <v>1824</v>
      </c>
      <c r="P923" s="678" t="n">
        <v>0</v>
      </c>
      <c r="Q923" s="245" t="n">
        <v>14</v>
      </c>
      <c r="R923" s="245" t="n">
        <v>1</v>
      </c>
      <c r="S923" s="245" t="n">
        <v>1</v>
      </c>
      <c r="T923" s="249" t="inlineStr">
        <is>
          <t>I1</t>
        </is>
      </c>
      <c r="U923" s="245" t="n">
        <v>398</v>
      </c>
      <c r="V923" s="250" t="n">
        <v>20000</v>
      </c>
      <c r="W923" s="250" t="n">
        <v>20000</v>
      </c>
      <c r="X923" s="253" t="inlineStr">
        <is>
          <t>1.3:1</t>
        </is>
      </c>
      <c r="Y923" s="250" t="n">
        <v>15000</v>
      </c>
      <c r="Z923" s="249" t="inlineStr">
        <is>
          <t>C</t>
        </is>
      </c>
      <c r="AA923" s="245" t="n">
        <v>3</v>
      </c>
      <c r="AB923" s="245" t="n">
        <v>3</v>
      </c>
      <c r="AC923" s="245" t="n">
        <v>33</v>
      </c>
      <c r="AE923" s="667" t="n">
        <v>4.8</v>
      </c>
      <c r="AF923" s="686" t="n">
        <v>4.05</v>
      </c>
      <c r="AG923" s="686" t="n">
        <v>3.34</v>
      </c>
      <c r="AH923" s="686" t="n">
        <v>0.7</v>
      </c>
      <c r="AI923" s="686" t="inlineStr">
        <is>
          <t>-</t>
        </is>
      </c>
      <c r="AJ923" s="667" t="inlineStr">
        <is>
          <t>-</t>
        </is>
      </c>
      <c r="AN923" s="680" t="n"/>
      <c r="AO923" s="680" t="n"/>
      <c r="AP923" s="680" t="n"/>
    </row>
    <row r="924">
      <c r="A924" s="248" t="n">
        <v>8</v>
      </c>
      <c r="B924" s="370" t="n">
        <v>916</v>
      </c>
      <c r="C924" s="254" t="inlineStr">
        <is>
          <t>2009Q</t>
        </is>
      </c>
      <c r="D924" s="245" t="inlineStr">
        <is>
          <t xml:space="preserve">05164-03-006-000 </t>
        </is>
      </c>
      <c r="E924" s="258" t="inlineStr">
        <is>
          <t>Actual</t>
        </is>
      </c>
      <c r="F924" s="259" t="inlineStr">
        <is>
          <t>975 W MISSISSIPPI          AV</t>
        </is>
      </c>
      <c r="G924" s="672" t="n">
        <v>44.1</v>
      </c>
      <c r="H924" s="253" t="n">
        <v>9506</v>
      </c>
      <c r="I924" s="255" t="n">
        <v>0</v>
      </c>
      <c r="J924" s="678" t="n">
        <v>71142</v>
      </c>
      <c r="K924" s="679" t="n">
        <v>6.518512271232184</v>
      </c>
      <c r="L924" s="260" t="n">
        <v>0</v>
      </c>
      <c r="M924" s="262" t="n">
        <v>0</v>
      </c>
      <c r="N924" s="253" t="n">
        <v>2001</v>
      </c>
      <c r="Q924" s="245" t="n">
        <v>22</v>
      </c>
      <c r="R924" s="245" t="n">
        <v>7</v>
      </c>
      <c r="S924" s="245" t="n">
        <v>1</v>
      </c>
      <c r="T924" s="249" t="inlineStr">
        <is>
          <t xml:space="preserve">I1   </t>
        </is>
      </c>
      <c r="U924" s="249" t="n">
        <v>398</v>
      </c>
      <c r="V924" s="678" t="n">
        <v>187236</v>
      </c>
      <c r="W924" s="678" t="n">
        <v>190000</v>
      </c>
      <c r="X924" s="356" t="inlineStr">
        <is>
          <t>2.6:1</t>
        </is>
      </c>
      <c r="Y924" s="678">
        <f>ROUND(J924,-4)</f>
        <v/>
      </c>
      <c r="Z924" s="249" t="inlineStr">
        <is>
          <t xml:space="preserve">C </t>
        </is>
      </c>
      <c r="AA924" s="245" t="n">
        <v>3</v>
      </c>
      <c r="AB924" s="245" t="n">
        <v>3</v>
      </c>
      <c r="AC924" s="253" t="inlineStr">
        <is>
          <t>33</t>
        </is>
      </c>
      <c r="AD924" s="247" t="inlineStr">
        <is>
          <t xml:space="preserve">AUSTIN HARDWOOD     </t>
        </is>
      </c>
      <c r="AE924" s="680" t="n"/>
      <c r="AF924" s="680" t="n"/>
      <c r="AG924" s="680" t="n"/>
      <c r="AH924" s="680" t="n"/>
      <c r="AI924" s="680" t="n"/>
      <c r="AJ924" s="680" t="n"/>
      <c r="AK924" s="680" t="inlineStr">
        <is>
          <t xml:space="preserve">OWNER PAYS PROPERTY TAXES                                         </t>
        </is>
      </c>
    </row>
    <row r="925">
      <c r="A925" s="248" t="n">
        <v>8</v>
      </c>
      <c r="B925" s="370" t="n">
        <v>917</v>
      </c>
      <c r="C925" s="254" t="inlineStr">
        <is>
          <t>2009Q</t>
        </is>
      </c>
      <c r="D925" s="245" t="inlineStr">
        <is>
          <t xml:space="preserve">05181-20-014-000 </t>
        </is>
      </c>
      <c r="E925" s="258" t="inlineStr">
        <is>
          <t>Actual</t>
        </is>
      </c>
      <c r="F925" s="259" t="inlineStr">
        <is>
          <t>3715   MORRISON             RD</t>
        </is>
      </c>
      <c r="G925" s="672" t="n">
        <v>44.1</v>
      </c>
      <c r="H925" s="253" t="n">
        <v>9506</v>
      </c>
      <c r="I925" s="255" t="n">
        <v>5</v>
      </c>
      <c r="J925" s="678" t="n">
        <v>5077</v>
      </c>
      <c r="K925" s="679" t="n">
        <v>7.090801654520386</v>
      </c>
      <c r="L925" s="260" t="n">
        <v>0</v>
      </c>
      <c r="M925" s="262" t="n">
        <v>0</v>
      </c>
      <c r="N925" s="253" t="n">
        <v>1956</v>
      </c>
      <c r="O925" s="250" t="n">
        <v>480</v>
      </c>
      <c r="Q925" s="245" t="n">
        <v>15</v>
      </c>
      <c r="R925" s="245" t="n">
        <v>1</v>
      </c>
      <c r="S925" s="245" t="n">
        <v>1</v>
      </c>
      <c r="T925" s="249" t="inlineStr">
        <is>
          <t xml:space="preserve">B4   </t>
        </is>
      </c>
      <c r="U925" s="249" t="n">
        <v>398</v>
      </c>
      <c r="V925" s="678" t="n">
        <v>15254</v>
      </c>
      <c r="W925" s="678" t="n">
        <v>15000</v>
      </c>
      <c r="X925" s="356" t="inlineStr">
        <is>
          <t>3.0:1</t>
        </is>
      </c>
      <c r="Y925" s="678">
        <f>ROUND(J925,-3)</f>
        <v/>
      </c>
      <c r="Z925" s="249" t="inlineStr">
        <is>
          <t xml:space="preserve">C </t>
        </is>
      </c>
      <c r="AA925" s="245" t="n">
        <v>3</v>
      </c>
      <c r="AB925" s="245" t="n">
        <v>3</v>
      </c>
      <c r="AC925" s="253" t="inlineStr">
        <is>
          <t>33</t>
        </is>
      </c>
      <c r="AD925" s="247" t="inlineStr">
        <is>
          <t>                    </t>
        </is>
      </c>
      <c r="AE925" s="680" t="n"/>
      <c r="AF925" s="680" t="n"/>
      <c r="AG925" s="680" t="n"/>
      <c r="AH925" s="680" t="n"/>
      <c r="AI925" s="680" t="n"/>
      <c r="AJ925" s="680" t="n"/>
      <c r="AK925" s="680" t="inlineStr">
        <is>
          <t>                                                                  </t>
        </is>
      </c>
    </row>
    <row r="926">
      <c r="A926" s="248" t="n">
        <v>8</v>
      </c>
      <c r="B926" s="370" t="n">
        <v>918</v>
      </c>
      <c r="C926" s="254" t="inlineStr">
        <is>
          <t>2009Q</t>
        </is>
      </c>
      <c r="D926" s="245" t="inlineStr">
        <is>
          <t xml:space="preserve">05211-01-003-000 </t>
        </is>
      </c>
      <c r="E926" s="258" t="inlineStr">
        <is>
          <t>Actual</t>
        </is>
      </c>
      <c r="F926" s="259" t="inlineStr">
        <is>
          <t>1155 S HURON                ST</t>
        </is>
      </c>
      <c r="G926" s="672" t="n">
        <v>44.5</v>
      </c>
      <c r="H926" s="253" t="n">
        <v>9506</v>
      </c>
      <c r="I926" s="255" t="n">
        <v>0</v>
      </c>
      <c r="J926" s="678" t="n">
        <v>88065</v>
      </c>
      <c r="K926" s="679" t="n">
        <v>8.179855788338159</v>
      </c>
      <c r="L926" s="260" t="n">
        <v>0</v>
      </c>
      <c r="M926" s="262" t="n">
        <v>0.3601093343735554</v>
      </c>
      <c r="N926" s="253" t="n">
        <v>1977</v>
      </c>
      <c r="O926" s="250">
        <f>14230+6035</f>
        <v/>
      </c>
      <c r="Q926" s="245" t="n">
        <v>18</v>
      </c>
      <c r="R926" s="245" t="n">
        <v>1</v>
      </c>
      <c r="S926" s="245" t="n">
        <v>1</v>
      </c>
      <c r="T926" s="249" t="inlineStr">
        <is>
          <t xml:space="preserve">I2   </t>
        </is>
      </c>
      <c r="U926" s="249" t="n">
        <v>396</v>
      </c>
      <c r="V926" s="678" t="n">
        <v>161280</v>
      </c>
      <c r="W926" s="678" t="n">
        <v>160000</v>
      </c>
      <c r="X926" s="356" t="inlineStr">
        <is>
          <t>1.8:1</t>
        </is>
      </c>
      <c r="Y926" s="678">
        <f>ROUND(J926,-4)</f>
        <v/>
      </c>
      <c r="Z926" s="249" t="inlineStr">
        <is>
          <t xml:space="preserve">C </t>
        </is>
      </c>
      <c r="AA926" s="245" t="n">
        <v>3</v>
      </c>
      <c r="AB926" s="245" t="n">
        <v>3</v>
      </c>
      <c r="AC926" s="253" t="inlineStr">
        <is>
          <t>33</t>
        </is>
      </c>
      <c r="AD926" s="247" t="inlineStr">
        <is>
          <t xml:space="preserve">U STOR ALL          </t>
        </is>
      </c>
      <c r="AE926" s="680" t="n"/>
      <c r="AF926" s="680" t="n"/>
      <c r="AG926" s="680" t="n"/>
      <c r="AH926" s="680" t="n"/>
      <c r="AI926" s="680" t="n"/>
      <c r="AJ926" s="680" t="n"/>
      <c r="AK926" s="680" t="inlineStr">
        <is>
          <t>                                                                  </t>
        </is>
      </c>
    </row>
    <row r="927">
      <c r="A927" s="248" t="n">
        <v>8</v>
      </c>
      <c r="B927" s="370" t="n">
        <v>919</v>
      </c>
      <c r="C927" s="254" t="inlineStr">
        <is>
          <t>2009Q</t>
        </is>
      </c>
      <c r="D927" s="245" t="inlineStr">
        <is>
          <t xml:space="preserve">05211-02-001-000 </t>
        </is>
      </c>
      <c r="E927" s="258" t="inlineStr">
        <is>
          <t>Actual</t>
        </is>
      </c>
      <c r="F927" s="259" t="inlineStr">
        <is>
          <t>900 W MISSISSIPPI          AV</t>
        </is>
      </c>
      <c r="G927" s="672" t="n">
        <v>44.1</v>
      </c>
      <c r="H927" s="253" t="n">
        <v>9506</v>
      </c>
      <c r="I927" s="255" t="n">
        <v>0</v>
      </c>
      <c r="J927" s="678" t="n">
        <v>3720</v>
      </c>
      <c r="K927" s="679" t="n">
        <v>6.913172043010753</v>
      </c>
      <c r="L927" s="260" t="n">
        <v>0</v>
      </c>
      <c r="M927" s="262" t="n">
        <v>0.1690710425010693</v>
      </c>
      <c r="N927" s="253" t="n">
        <v>1965</v>
      </c>
      <c r="O927" s="250" t="n">
        <v>1347</v>
      </c>
      <c r="Q927" s="245" t="n">
        <v>12</v>
      </c>
      <c r="R927" s="245" t="n">
        <v>1</v>
      </c>
      <c r="S927" s="245" t="n">
        <v>1</v>
      </c>
      <c r="T927" s="249" t="inlineStr">
        <is>
          <t xml:space="preserve">I2   </t>
        </is>
      </c>
      <c r="U927" s="249" t="n">
        <v>398</v>
      </c>
      <c r="V927" s="678" t="n">
        <v>11135</v>
      </c>
      <c r="W927" s="678" t="n">
        <v>11000</v>
      </c>
      <c r="X927" s="356" t="inlineStr">
        <is>
          <t>3.0:1</t>
        </is>
      </c>
      <c r="Y927" s="678">
        <f>ROUND(J927,-3)</f>
        <v/>
      </c>
      <c r="Z927" s="249" t="inlineStr">
        <is>
          <t xml:space="preserve">C </t>
        </is>
      </c>
      <c r="AA927" s="245" t="n">
        <v>3</v>
      </c>
      <c r="AB927" s="245" t="n">
        <v>3</v>
      </c>
      <c r="AC927" s="253" t="inlineStr">
        <is>
          <t>33</t>
        </is>
      </c>
      <c r="AD927" s="247" t="inlineStr">
        <is>
          <t>                    </t>
        </is>
      </c>
      <c r="AE927" s="680" t="n"/>
      <c r="AF927" s="680" t="n"/>
      <c r="AG927" s="680" t="n"/>
      <c r="AH927" s="680" t="n"/>
      <c r="AI927" s="680" t="n"/>
      <c r="AJ927" s="680" t="n"/>
      <c r="AK927" s="680" t="inlineStr">
        <is>
          <t xml:space="preserve">S-T WHSE.; AGE OF LEASE UNKNOWN.                                  </t>
        </is>
      </c>
    </row>
    <row r="928">
      <c r="A928" s="248" t="n">
        <v>8</v>
      </c>
      <c r="B928" s="370" t="n">
        <v>920</v>
      </c>
      <c r="C928" s="254" t="inlineStr">
        <is>
          <t>2009Q</t>
        </is>
      </c>
      <c r="D928" s="245" t="inlineStr">
        <is>
          <t xml:space="preserve">05211-02-009-000 </t>
        </is>
      </c>
      <c r="E928" s="258" t="inlineStr">
        <is>
          <t>Actual</t>
        </is>
      </c>
      <c r="F928" s="259" t="inlineStr">
        <is>
          <t>1155 S INCA                 ST</t>
        </is>
      </c>
      <c r="G928" s="672" t="n">
        <v>44.1</v>
      </c>
      <c r="H928" s="253" t="n">
        <v>9506</v>
      </c>
      <c r="I928" s="255" t="n">
        <v>0</v>
      </c>
      <c r="J928" s="678" t="n">
        <v>9274</v>
      </c>
      <c r="K928" s="679" t="n">
        <v>6.25</v>
      </c>
      <c r="L928" s="260" t="n">
        <v>0</v>
      </c>
      <c r="M928" s="262" t="n">
        <v>0.1</v>
      </c>
      <c r="N928" s="253" t="n">
        <v>1959</v>
      </c>
      <c r="O928" s="250" t="n">
        <v>1584</v>
      </c>
      <c r="Q928" s="245" t="n">
        <v>17</v>
      </c>
      <c r="R928" s="245" t="n">
        <v>1</v>
      </c>
      <c r="S928" s="245" t="n">
        <v>1</v>
      </c>
      <c r="T928" s="249" t="inlineStr">
        <is>
          <t xml:space="preserve">I2   </t>
        </is>
      </c>
      <c r="U928" s="249" t="n">
        <v>398</v>
      </c>
      <c r="V928" s="678" t="n">
        <v>20250</v>
      </c>
      <c r="W928" s="678" t="n">
        <v>20000</v>
      </c>
      <c r="X928" s="356" t="inlineStr">
        <is>
          <t>2.2:1</t>
        </is>
      </c>
      <c r="Y928" s="678">
        <f>ROUND(J928,-3)</f>
        <v/>
      </c>
      <c r="Z928" s="249" t="inlineStr">
        <is>
          <t xml:space="preserve">C </t>
        </is>
      </c>
      <c r="AA928" s="245" t="n">
        <v>3</v>
      </c>
      <c r="AB928" s="245" t="n">
        <v>3</v>
      </c>
      <c r="AC928" s="253" t="inlineStr">
        <is>
          <t>33</t>
        </is>
      </c>
      <c r="AD928" s="247" t="inlineStr">
        <is>
          <t>S-W S.DENVER WINDUST</t>
        </is>
      </c>
      <c r="AE928" s="680" t="n"/>
      <c r="AF928" s="680" t="n"/>
      <c r="AG928" s="680" t="n"/>
      <c r="AH928" s="680" t="n"/>
      <c r="AI928" s="680" t="n"/>
      <c r="AJ928" s="680" t="n"/>
      <c r="AK928" s="680" t="inlineStr">
        <is>
          <t>                                                                  </t>
        </is>
      </c>
    </row>
    <row r="929">
      <c r="A929" s="248" t="n">
        <v>8</v>
      </c>
      <c r="B929" s="370" t="n">
        <v>921</v>
      </c>
      <c r="C929" s="254" t="inlineStr">
        <is>
          <t>2009W</t>
        </is>
      </c>
      <c r="D929" s="245" t="inlineStr">
        <is>
          <t>05211-03-005-000</t>
        </is>
      </c>
      <c r="E929" s="249" t="inlineStr">
        <is>
          <t>Actual</t>
        </is>
      </c>
      <c r="F929" s="245" t="inlineStr">
        <is>
          <t>1001 W. Arizona Ave.</t>
        </is>
      </c>
      <c r="G929" s="672" t="n">
        <v>44.2</v>
      </c>
      <c r="H929" s="245" t="n">
        <v>9506</v>
      </c>
      <c r="I929" s="249" t="n">
        <v>0</v>
      </c>
      <c r="J929" s="250" t="n">
        <v>6919</v>
      </c>
      <c r="K929" s="685" t="n">
        <v>6.2</v>
      </c>
      <c r="L929" s="365" t="n">
        <v>0</v>
      </c>
      <c r="M929" s="365" t="n">
        <v>0.07000000000000001</v>
      </c>
      <c r="N929" s="245" t="n">
        <v>1961</v>
      </c>
      <c r="O929" s="678" t="n">
        <v>1014</v>
      </c>
      <c r="P929" s="678" t="n">
        <v>0</v>
      </c>
      <c r="Q929" s="245" t="n">
        <v>14</v>
      </c>
      <c r="R929" s="245" t="n">
        <v>1</v>
      </c>
      <c r="S929" s="245" t="n">
        <v>1</v>
      </c>
      <c r="T929" s="249" t="inlineStr">
        <is>
          <t>I2</t>
        </is>
      </c>
      <c r="U929" s="249" t="n">
        <v>398</v>
      </c>
      <c r="V929" s="678" t="n">
        <v>19113</v>
      </c>
      <c r="W929" s="678" t="n">
        <v>20000</v>
      </c>
      <c r="X929" s="253" t="inlineStr">
        <is>
          <t>2.9:1</t>
        </is>
      </c>
      <c r="Y929" s="678" t="n">
        <v>7000</v>
      </c>
      <c r="Z929" s="249" t="inlineStr">
        <is>
          <t>C</t>
        </is>
      </c>
      <c r="AA929" s="245" t="n">
        <v>3</v>
      </c>
      <c r="AB929" s="245" t="n">
        <v>3</v>
      </c>
      <c r="AC929" s="245" t="n">
        <v>33</v>
      </c>
      <c r="AE929" s="667" t="n">
        <v>6.2</v>
      </c>
      <c r="AF929" s="686" t="n">
        <v>6.2</v>
      </c>
      <c r="AG929" s="686" t="n">
        <v>5.75</v>
      </c>
      <c r="AH929" s="686" t="n">
        <v>0.44</v>
      </c>
      <c r="AI929" s="686" t="n">
        <v>0</v>
      </c>
      <c r="AJ929" s="667" t="n">
        <v>0</v>
      </c>
      <c r="AN929" s="680" t="n"/>
      <c r="AO929" s="680" t="n"/>
    </row>
    <row r="930">
      <c r="A930" s="248" t="n">
        <v>8</v>
      </c>
      <c r="B930" s="370" t="n">
        <v>922</v>
      </c>
      <c r="C930" s="254" t="inlineStr">
        <is>
          <t>2009Q</t>
        </is>
      </c>
      <c r="D930" s="245" t="inlineStr">
        <is>
          <t xml:space="preserve">05211-03-020-000 </t>
        </is>
      </c>
      <c r="E930" s="258" t="inlineStr">
        <is>
          <t>Actual</t>
        </is>
      </c>
      <c r="F930" s="259" t="inlineStr">
        <is>
          <t>1124 S KALAMATH             ST</t>
        </is>
      </c>
      <c r="G930" s="672" t="n">
        <v>44.2</v>
      </c>
      <c r="H930" s="253" t="n">
        <v>9506</v>
      </c>
      <c r="I930" s="255" t="n">
        <v>0</v>
      </c>
      <c r="J930" s="678" t="n">
        <v>5906</v>
      </c>
      <c r="K930" s="679" t="n">
        <v>8.635286149678294</v>
      </c>
      <c r="L930" s="260" t="n">
        <v>0</v>
      </c>
      <c r="M930" s="262" t="n">
        <v>0</v>
      </c>
      <c r="N930" s="253" t="n">
        <v>1964</v>
      </c>
      <c r="O930" s="250" t="n">
        <v>1414</v>
      </c>
      <c r="Q930" s="245" t="n">
        <v>13</v>
      </c>
      <c r="R930" s="245" t="n">
        <v>4</v>
      </c>
      <c r="S930" s="245" t="n">
        <v>1</v>
      </c>
      <c r="T930" s="249" t="inlineStr">
        <is>
          <t xml:space="preserve">I2   </t>
        </is>
      </c>
      <c r="U930" s="249" t="n">
        <v>398</v>
      </c>
      <c r="V930" s="678" t="n">
        <v>9652</v>
      </c>
      <c r="W930" s="678" t="n">
        <v>10000</v>
      </c>
      <c r="X930" s="356" t="inlineStr">
        <is>
          <t>1.6:1</t>
        </is>
      </c>
      <c r="Y930" s="678">
        <f>ROUND(J930,-3)</f>
        <v/>
      </c>
      <c r="Z930" s="249" t="inlineStr">
        <is>
          <t xml:space="preserve">C </t>
        </is>
      </c>
      <c r="AA930" s="245" t="n">
        <v>3</v>
      </c>
      <c r="AB930" s="245" t="n">
        <v>3</v>
      </c>
      <c r="AC930" s="253" t="inlineStr">
        <is>
          <t>33</t>
        </is>
      </c>
      <c r="AD930" s="247" t="inlineStr">
        <is>
          <t xml:space="preserve">S-W DILLEY GRAPHICS </t>
        </is>
      </c>
      <c r="AE930" s="680" t="n"/>
      <c r="AF930" s="680" t="n"/>
      <c r="AG930" s="680" t="n"/>
      <c r="AH930" s="680" t="n"/>
      <c r="AI930" s="680" t="n"/>
      <c r="AJ930" s="680" t="n"/>
      <c r="AK930" s="680" t="inlineStr">
        <is>
          <t xml:space="preserve">S-T WHSE; 2004 LEASE.                                             </t>
        </is>
      </c>
    </row>
    <row r="931">
      <c r="A931" s="248" t="n">
        <v>8</v>
      </c>
      <c r="B931" s="370" t="n">
        <v>923</v>
      </c>
      <c r="C931" s="254" t="inlineStr">
        <is>
          <t>2009W</t>
        </is>
      </c>
      <c r="D931" s="245" t="inlineStr">
        <is>
          <t>05211-03-033-000</t>
        </is>
      </c>
      <c r="E931" s="249" t="inlineStr">
        <is>
          <t>Actual</t>
        </is>
      </c>
      <c r="F931" s="245" t="inlineStr">
        <is>
          <t>1178-80 S. Kalamath St.</t>
        </is>
      </c>
      <c r="G931" s="672" t="n">
        <v>44.2</v>
      </c>
      <c r="H931" s="245" t="n">
        <v>9506</v>
      </c>
      <c r="I931" s="249" t="n">
        <v>0</v>
      </c>
      <c r="J931" s="250" t="n">
        <v>8000</v>
      </c>
      <c r="K931" s="685" t="n">
        <v>5</v>
      </c>
      <c r="L931" s="365" t="n">
        <v>0</v>
      </c>
      <c r="M931" s="365" t="n">
        <v>0.04</v>
      </c>
      <c r="N931" s="245" t="n">
        <v>1975</v>
      </c>
      <c r="O931" s="678" t="n">
        <v>1000</v>
      </c>
      <c r="P931" s="678" t="n">
        <v>2000</v>
      </c>
      <c r="Q931" s="245" t="n">
        <v>13</v>
      </c>
      <c r="R931" s="245" t="n">
        <v>1</v>
      </c>
      <c r="S931" s="245" t="n">
        <v>1</v>
      </c>
      <c r="T931" s="249" t="inlineStr">
        <is>
          <t>I2</t>
        </is>
      </c>
      <c r="U931" s="249" t="n">
        <v>398</v>
      </c>
      <c r="V931" s="678" t="n">
        <v>6477</v>
      </c>
      <c r="W931" s="250" t="n">
        <v>6500</v>
      </c>
      <c r="X931" s="253" t="inlineStr">
        <is>
          <t>0.8:1</t>
        </is>
      </c>
      <c r="Y931" s="250" t="n">
        <v>8000</v>
      </c>
      <c r="Z931" s="249" t="inlineStr">
        <is>
          <t>C</t>
        </is>
      </c>
      <c r="AA931" s="245" t="n">
        <v>2</v>
      </c>
      <c r="AB931" s="245" t="n">
        <v>2</v>
      </c>
      <c r="AC931" s="245" t="n">
        <v>22</v>
      </c>
      <c r="AE931" s="667" t="n">
        <v>5</v>
      </c>
      <c r="AF931" s="686" t="n">
        <v>5</v>
      </c>
      <c r="AG931" s="686" t="n">
        <v>4.4</v>
      </c>
      <c r="AH931" s="686" t="n">
        <v>0.21</v>
      </c>
      <c r="AI931" s="686" t="n">
        <v>0.86</v>
      </c>
      <c r="AJ931" s="667" t="inlineStr">
        <is>
          <t>-</t>
        </is>
      </c>
      <c r="AN931" s="680" t="n"/>
      <c r="AO931" s="680" t="n"/>
      <c r="AP931" s="680" t="n"/>
    </row>
    <row r="932">
      <c r="A932" s="248" t="n">
        <v>8</v>
      </c>
      <c r="B932" s="370" t="n">
        <v>924</v>
      </c>
      <c r="C932" s="254" t="inlineStr">
        <is>
          <t>2009Q</t>
        </is>
      </c>
      <c r="D932" s="245" t="inlineStr">
        <is>
          <t xml:space="preserve">05211-12-031-000 </t>
        </is>
      </c>
      <c r="E932" s="258" t="inlineStr">
        <is>
          <t>Actual</t>
        </is>
      </c>
      <c r="F932" s="259" t="inlineStr">
        <is>
          <t>1219 S LIPAN                ST</t>
        </is>
      </c>
      <c r="G932" s="672" t="n">
        <v>44.2</v>
      </c>
      <c r="H932" s="253" t="n">
        <v>9506</v>
      </c>
      <c r="I932" s="255" t="n">
        <v>0</v>
      </c>
      <c r="J932" s="678" t="n">
        <v>7329</v>
      </c>
      <c r="K932" s="679" t="n">
        <v>7.654523127302497</v>
      </c>
      <c r="L932" s="260" t="n">
        <v>0</v>
      </c>
      <c r="M932" s="262" t="n">
        <v>0.1244206773618538</v>
      </c>
      <c r="N932" s="253" t="n">
        <v>1986</v>
      </c>
      <c r="O932" s="250" t="n">
        <v>2167</v>
      </c>
      <c r="Q932" s="245" t="n">
        <v>14</v>
      </c>
      <c r="R932" s="245" t="n">
        <v>3</v>
      </c>
      <c r="S932" s="245" t="n">
        <v>5</v>
      </c>
      <c r="T932" s="249" t="inlineStr">
        <is>
          <t xml:space="preserve">I0   </t>
        </is>
      </c>
      <c r="U932" s="249" t="n">
        <v>398</v>
      </c>
      <c r="V932" s="678" t="n">
        <v>15625</v>
      </c>
      <c r="W932" s="678" t="n">
        <v>16000</v>
      </c>
      <c r="X932" s="356" t="inlineStr">
        <is>
          <t>2.1:1</t>
        </is>
      </c>
      <c r="Y932" s="678">
        <f>ROUND(J932,-3)</f>
        <v/>
      </c>
      <c r="Z932" s="249" t="inlineStr">
        <is>
          <t xml:space="preserve">C </t>
        </is>
      </c>
      <c r="AA932" s="245" t="n">
        <v>3</v>
      </c>
      <c r="AB932" s="245" t="n">
        <v>3</v>
      </c>
      <c r="AC932" s="253" t="inlineStr">
        <is>
          <t>33</t>
        </is>
      </c>
      <c r="AD932" s="247" t="inlineStr">
        <is>
          <t xml:space="preserve">WAREHOUSE           </t>
        </is>
      </c>
      <c r="AE932" s="680" t="n"/>
      <c r="AF932" s="680" t="n"/>
      <c r="AG932" s="680" t="n"/>
      <c r="AH932" s="680" t="n"/>
      <c r="AI932" s="680" t="n"/>
      <c r="AJ932" s="680" t="n"/>
      <c r="AK932" s="680" t="inlineStr">
        <is>
          <t xml:space="preserve">M-T WHSE.; AT LEAST 4 TENANTS; MO-TO-MO LEASES.                   </t>
        </is>
      </c>
    </row>
    <row r="933">
      <c r="A933" s="248" t="n">
        <v>8</v>
      </c>
      <c r="B933" s="370" t="n">
        <v>925</v>
      </c>
      <c r="C933" s="254" t="inlineStr">
        <is>
          <t>2009Q</t>
        </is>
      </c>
      <c r="D933" s="245" t="inlineStr">
        <is>
          <t xml:space="preserve">05211-14-002-000 </t>
        </is>
      </c>
      <c r="E933" s="258" t="inlineStr">
        <is>
          <t>Actual</t>
        </is>
      </c>
      <c r="F933" s="259" t="inlineStr">
        <is>
          <t>1225 S JASON                ST</t>
        </is>
      </c>
      <c r="G933" s="672" t="n">
        <v>44.2</v>
      </c>
      <c r="H933" s="253" t="n">
        <v>9506</v>
      </c>
      <c r="I933" s="255" t="n">
        <v>0</v>
      </c>
      <c r="J933" s="678" t="n">
        <v>1345</v>
      </c>
      <c r="K933" s="679" t="n">
        <v>10.70631970260223</v>
      </c>
      <c r="L933" s="260" t="n">
        <v>0</v>
      </c>
      <c r="M933" s="262" t="n">
        <v>0.1276388888888889</v>
      </c>
      <c r="N933" s="253" t="n">
        <v>1959</v>
      </c>
      <c r="Q933" s="245" t="n">
        <v>14</v>
      </c>
      <c r="R933" s="245" t="n">
        <v>8</v>
      </c>
      <c r="S933" s="245" t="n">
        <v>1</v>
      </c>
      <c r="T933" s="249" t="inlineStr">
        <is>
          <t xml:space="preserve">I0   </t>
        </is>
      </c>
      <c r="U933" s="249" t="n">
        <v>398</v>
      </c>
      <c r="V933" s="678" t="n">
        <v>12700</v>
      </c>
      <c r="W933" s="678" t="n">
        <v>13000</v>
      </c>
      <c r="X933" s="356" t="inlineStr">
        <is>
          <t>9.4:1</t>
        </is>
      </c>
      <c r="Y933" s="678">
        <f>ROUND(J933,-2)</f>
        <v/>
      </c>
      <c r="Z933" s="249" t="inlineStr">
        <is>
          <t xml:space="preserve">C </t>
        </is>
      </c>
      <c r="AA933" s="245" t="n">
        <v>3</v>
      </c>
      <c r="AB933" s="245" t="n">
        <v>3</v>
      </c>
      <c r="AC933" s="253" t="inlineStr">
        <is>
          <t>33</t>
        </is>
      </c>
      <c r="AD933" s="247" t="inlineStr">
        <is>
          <t xml:space="preserve">S-W BOUNDARY FENCE  </t>
        </is>
      </c>
      <c r="AE933" s="680" t="n"/>
      <c r="AF933" s="680" t="n"/>
      <c r="AG933" s="680" t="n"/>
      <c r="AH933" s="680" t="n"/>
      <c r="AI933" s="680" t="n"/>
      <c r="AJ933" s="680" t="n"/>
      <c r="AK933" s="680" t="inlineStr">
        <is>
          <t xml:space="preserve">S-T WHSE; AGE OF LEASE UNKNOWN.                                   </t>
        </is>
      </c>
    </row>
    <row r="934">
      <c r="A934" s="248" t="n">
        <v>8</v>
      </c>
      <c r="B934" s="370" t="n">
        <v>926</v>
      </c>
      <c r="C934" s="254" t="inlineStr">
        <is>
          <t>2009Q</t>
        </is>
      </c>
      <c r="D934" s="245" t="inlineStr">
        <is>
          <t xml:space="preserve">05211-14-018-000 </t>
        </is>
      </c>
      <c r="E934" s="258" t="inlineStr">
        <is>
          <t>Actual</t>
        </is>
      </c>
      <c r="F934" s="259" t="inlineStr">
        <is>
          <t>1201 S JASON                ST</t>
        </is>
      </c>
      <c r="G934" s="672" t="n">
        <v>44.2</v>
      </c>
      <c r="H934" s="253" t="n">
        <v>9506</v>
      </c>
      <c r="I934" s="255" t="n">
        <v>0</v>
      </c>
      <c r="J934" s="678" t="n">
        <v>2404</v>
      </c>
      <c r="K934" s="679" t="n">
        <v>5.990016638935108</v>
      </c>
      <c r="L934" s="260" t="n">
        <v>0</v>
      </c>
      <c r="M934" s="262" t="n">
        <v>0.06506944444444444</v>
      </c>
      <c r="N934" s="253" t="n">
        <v>1942</v>
      </c>
      <c r="O934" s="250" t="n">
        <v>904</v>
      </c>
      <c r="Q934" s="245" t="n">
        <v>8</v>
      </c>
      <c r="R934" s="245" t="n">
        <v>1</v>
      </c>
      <c r="S934" s="245" t="n">
        <v>1</v>
      </c>
      <c r="T934" s="249" t="inlineStr">
        <is>
          <t xml:space="preserve">I0   </t>
        </is>
      </c>
      <c r="U934" s="249" t="n">
        <v>398</v>
      </c>
      <c r="V934" s="678" t="n">
        <v>12700</v>
      </c>
      <c r="W934" s="678" t="n">
        <v>13000</v>
      </c>
      <c r="X934" s="356" t="inlineStr">
        <is>
          <t>5.3:1</t>
        </is>
      </c>
      <c r="Y934" s="678">
        <f>ROUND(J934,-3)</f>
        <v/>
      </c>
      <c r="Z934" s="249" t="inlineStr">
        <is>
          <t xml:space="preserve">C </t>
        </is>
      </c>
      <c r="AA934" s="245" t="n">
        <v>2</v>
      </c>
      <c r="AB934" s="245" t="n">
        <v>3</v>
      </c>
      <c r="AC934" s="253" t="inlineStr">
        <is>
          <t>23</t>
        </is>
      </c>
      <c r="AD934" s="247" t="inlineStr">
        <is>
          <t xml:space="preserve">S-W                 </t>
        </is>
      </c>
      <c r="AE934" s="680" t="n"/>
      <c r="AF934" s="680" t="n"/>
      <c r="AG934" s="680" t="n"/>
      <c r="AH934" s="680" t="n"/>
      <c r="AI934" s="680" t="n"/>
      <c r="AJ934" s="680" t="n"/>
      <c r="AK934" s="680" t="inlineStr">
        <is>
          <t xml:space="preserve">S-T WHSE; AGE OF LEASE UNKNOWN.                                   </t>
        </is>
      </c>
    </row>
    <row r="935">
      <c r="A935" s="248" t="n">
        <v>8</v>
      </c>
      <c r="B935" s="370" t="n">
        <v>927</v>
      </c>
      <c r="C935" s="254" t="inlineStr">
        <is>
          <t>2009Q</t>
        </is>
      </c>
      <c r="D935" s="245" t="inlineStr">
        <is>
          <t xml:space="preserve">05211-14-025-000 </t>
        </is>
      </c>
      <c r="E935" s="258" t="inlineStr">
        <is>
          <t>Actual</t>
        </is>
      </c>
      <c r="F935" s="259" t="inlineStr">
        <is>
          <t>1265 S JASON                ST</t>
        </is>
      </c>
      <c r="G935" s="672" t="n">
        <v>47.2</v>
      </c>
      <c r="H935" s="253" t="n">
        <v>9506</v>
      </c>
      <c r="I935" s="255" t="n">
        <v>0</v>
      </c>
      <c r="J935" s="678" t="n">
        <v>4900</v>
      </c>
      <c r="K935" s="679" t="n">
        <v>7.346938775510204</v>
      </c>
      <c r="L935" s="260" t="n">
        <v>0</v>
      </c>
      <c r="M935" s="262" t="n">
        <v>0.02536111111111111</v>
      </c>
      <c r="N935" s="253" t="n">
        <v>1960</v>
      </c>
      <c r="O935" s="250" t="n">
        <v>850</v>
      </c>
      <c r="Q935" s="245" t="n">
        <v>8</v>
      </c>
      <c r="R935" s="245" t="n">
        <v>1</v>
      </c>
      <c r="S935" s="245" t="n">
        <v>1</v>
      </c>
      <c r="T935" s="249" t="inlineStr">
        <is>
          <t xml:space="preserve">I0   </t>
        </is>
      </c>
      <c r="U935" s="249" t="n">
        <v>401</v>
      </c>
      <c r="V935" s="678" t="n">
        <v>15875</v>
      </c>
      <c r="W935" s="678" t="n">
        <v>16000</v>
      </c>
      <c r="X935" s="356" t="inlineStr">
        <is>
          <t>3.2:1</t>
        </is>
      </c>
      <c r="Y935" s="678">
        <f>ROUND(J935,-3)</f>
        <v/>
      </c>
      <c r="Z935" s="249" t="inlineStr">
        <is>
          <t xml:space="preserve">C </t>
        </is>
      </c>
      <c r="AA935" s="245" t="n">
        <v>2</v>
      </c>
      <c r="AB935" s="245" t="n">
        <v>2</v>
      </c>
      <c r="AC935" s="253" t="inlineStr">
        <is>
          <t>22</t>
        </is>
      </c>
      <c r="AD935" s="247" t="inlineStr">
        <is>
          <t xml:space="preserve">S-F COLO. MARBLE    </t>
        </is>
      </c>
      <c r="AE935" s="680" t="n"/>
      <c r="AF935" s="680" t="n"/>
      <c r="AG935" s="680" t="n"/>
      <c r="AH935" s="680" t="n"/>
      <c r="AI935" s="680" t="n"/>
      <c r="AJ935" s="680" t="n"/>
      <c r="AK935" s="680" t="inlineStr">
        <is>
          <t xml:space="preserve">S-T WHSE.; AGE OF LEASE UNKNOWN.                                  </t>
        </is>
      </c>
    </row>
    <row r="936">
      <c r="A936" s="248" t="n">
        <v>8</v>
      </c>
      <c r="B936" s="370" t="n">
        <v>928</v>
      </c>
      <c r="C936" s="254" t="inlineStr">
        <is>
          <t>2009Q</t>
        </is>
      </c>
      <c r="D936" s="245" t="inlineStr">
        <is>
          <t xml:space="preserve">05211-15-031-000 </t>
        </is>
      </c>
      <c r="E936" s="258" t="inlineStr">
        <is>
          <t>Actual</t>
        </is>
      </c>
      <c r="F936" s="259" t="inlineStr">
        <is>
          <t>1236 S JASON                ST</t>
        </is>
      </c>
      <c r="G936" s="672" t="inlineStr">
        <is>
          <t>44.M</t>
        </is>
      </c>
      <c r="H936" s="253" t="n">
        <v>9506</v>
      </c>
      <c r="I936" s="255" t="n">
        <v>0</v>
      </c>
      <c r="J936" s="678" t="n">
        <v>1426</v>
      </c>
      <c r="K936" s="679" t="n">
        <v>4.628330995792426</v>
      </c>
      <c r="L936" s="260" t="n">
        <v>0</v>
      </c>
      <c r="M936" s="262" t="n">
        <v>0.2424242424242424</v>
      </c>
      <c r="N936" s="253" t="n">
        <v>1963</v>
      </c>
      <c r="Q936" s="245" t="n">
        <v>11</v>
      </c>
      <c r="R936" s="245" t="n">
        <v>1</v>
      </c>
      <c r="S936" s="245" t="n">
        <v>1</v>
      </c>
      <c r="T936" s="249" t="inlineStr">
        <is>
          <t xml:space="preserve">I1   </t>
        </is>
      </c>
      <c r="U936" s="249" t="n">
        <v>398</v>
      </c>
      <c r="V936" s="678" t="n">
        <v>12700</v>
      </c>
      <c r="W936" s="678" t="n">
        <v>13000</v>
      </c>
      <c r="X936" s="356" t="inlineStr">
        <is>
          <t>8.9:1</t>
        </is>
      </c>
      <c r="Y936" s="678">
        <f>ROUND(J936,-2)</f>
        <v/>
      </c>
      <c r="Z936" s="249" t="inlineStr">
        <is>
          <t xml:space="preserve">C </t>
        </is>
      </c>
      <c r="AA936" s="245" t="n">
        <v>3</v>
      </c>
      <c r="AB936" s="245" t="n">
        <v>3</v>
      </c>
      <c r="AC936" s="253" t="inlineStr">
        <is>
          <t>33</t>
        </is>
      </c>
      <c r="AD936" s="247" t="inlineStr">
        <is>
          <t xml:space="preserve">S-W                 </t>
        </is>
      </c>
      <c r="AE936" s="680" t="n"/>
      <c r="AF936" s="680" t="n"/>
      <c r="AG936" s="680" t="n"/>
      <c r="AH936" s="680" t="n"/>
      <c r="AI936" s="680" t="n"/>
      <c r="AJ936" s="680" t="n"/>
      <c r="AK936" s="680" t="inlineStr">
        <is>
          <t xml:space="preserve">S-T WHSE.; AGE OF LEASE UNKNOWN.                                  </t>
        </is>
      </c>
    </row>
    <row r="937">
      <c r="A937" s="248" t="n">
        <v>8</v>
      </c>
      <c r="B937" s="370" t="n">
        <v>929</v>
      </c>
      <c r="C937" s="254" t="inlineStr">
        <is>
          <t>2009Q</t>
        </is>
      </c>
      <c r="D937" s="245" t="inlineStr">
        <is>
          <t xml:space="preserve">05211-16-017-000 </t>
        </is>
      </c>
      <c r="E937" s="258" t="inlineStr">
        <is>
          <t>Actual</t>
        </is>
      </c>
      <c r="F937" s="259" t="inlineStr">
        <is>
          <t>1230 S INCA                 ST</t>
        </is>
      </c>
      <c r="G937" s="672" t="n">
        <v>44.2</v>
      </c>
      <c r="H937" s="253" t="n">
        <v>9506</v>
      </c>
      <c r="I937" s="255" t="n">
        <v>0</v>
      </c>
      <c r="J937" s="678" t="n">
        <v>4350</v>
      </c>
      <c r="K937" s="679" t="n">
        <v>15.19931034482759</v>
      </c>
      <c r="L937" s="260" t="n">
        <v>0</v>
      </c>
      <c r="M937" s="262" t="n">
        <v>0.04324152638504469</v>
      </c>
      <c r="N937" s="253" t="n">
        <v>1968</v>
      </c>
      <c r="O937" s="250" t="n">
        <v>2300</v>
      </c>
      <c r="Q937" s="245" t="n">
        <v>12</v>
      </c>
      <c r="R937" s="245" t="n">
        <v>3</v>
      </c>
      <c r="S937" s="245" t="n">
        <v>1</v>
      </c>
      <c r="T937" s="249" t="inlineStr">
        <is>
          <t xml:space="preserve">I1   </t>
        </is>
      </c>
      <c r="U937" s="249" t="n">
        <v>398</v>
      </c>
      <c r="V937" s="678" t="n">
        <v>9525</v>
      </c>
      <c r="W937" s="678" t="n">
        <v>10000</v>
      </c>
      <c r="X937" s="356" t="inlineStr">
        <is>
          <t>2.2:1</t>
        </is>
      </c>
      <c r="Y937" s="678">
        <f>ROUND(J937,-3)</f>
        <v/>
      </c>
      <c r="Z937" s="249" t="inlineStr">
        <is>
          <t xml:space="preserve">C </t>
        </is>
      </c>
      <c r="AA937" s="245" t="n">
        <v>3</v>
      </c>
      <c r="AB937" s="245" t="n">
        <v>3</v>
      </c>
      <c r="AC937" s="253" t="inlineStr">
        <is>
          <t>33</t>
        </is>
      </c>
      <c r="AD937" s="247" t="inlineStr">
        <is>
          <t xml:space="preserve">S-W HYDRO PHYSICS   </t>
        </is>
      </c>
      <c r="AE937" s="680" t="n"/>
      <c r="AF937" s="680" t="n"/>
      <c r="AG937" s="680" t="n"/>
      <c r="AH937" s="680" t="n"/>
      <c r="AI937" s="680" t="n"/>
      <c r="AJ937" s="680" t="n"/>
      <c r="AK937" s="680" t="inlineStr">
        <is>
          <t xml:space="preserve">S-T WHSE.; 2006 LEASE.                                            </t>
        </is>
      </c>
    </row>
    <row r="938">
      <c r="A938" s="248" t="n">
        <v>8</v>
      </c>
      <c r="B938" s="370" t="n">
        <v>930</v>
      </c>
      <c r="C938" s="254" t="inlineStr">
        <is>
          <t>2009Q</t>
        </is>
      </c>
      <c r="D938" s="245" t="inlineStr">
        <is>
          <t xml:space="preserve">05211-17-021-000 </t>
        </is>
      </c>
      <c r="E938" s="258" t="inlineStr">
        <is>
          <t>Actual</t>
        </is>
      </c>
      <c r="F938" s="259" t="inlineStr">
        <is>
          <t>1300 S INCA                 ST</t>
        </is>
      </c>
      <c r="G938" s="672" t="n">
        <v>44.2</v>
      </c>
      <c r="H938" s="253" t="n">
        <v>9506</v>
      </c>
      <c r="I938" s="255" t="n">
        <v>0</v>
      </c>
      <c r="J938" s="678" t="n">
        <v>4867</v>
      </c>
      <c r="K938" s="679" t="n">
        <v>7.396753647010478</v>
      </c>
      <c r="L938" s="260" t="n">
        <v>1</v>
      </c>
      <c r="M938" s="262" t="n">
        <v>0</v>
      </c>
      <c r="N938" s="253" t="n">
        <v>1977</v>
      </c>
      <c r="O938" s="250" t="n">
        <v>240</v>
      </c>
      <c r="P938" s="250" t="n">
        <v>2400</v>
      </c>
      <c r="Q938" s="245" t="n">
        <v>16</v>
      </c>
      <c r="R938" s="245" t="n">
        <v>8</v>
      </c>
      <c r="S938" s="245" t="n">
        <v>1</v>
      </c>
      <c r="T938" s="249" t="inlineStr">
        <is>
          <t xml:space="preserve">I1   </t>
        </is>
      </c>
      <c r="U938" s="249" t="n">
        <v>398</v>
      </c>
      <c r="V938" s="678" t="n">
        <v>13500</v>
      </c>
      <c r="W938" s="678" t="n">
        <v>14000</v>
      </c>
      <c r="X938" s="356" t="inlineStr">
        <is>
          <t>2.8:1</t>
        </is>
      </c>
      <c r="Y938" s="678">
        <f>ROUND(J938,-3)</f>
        <v/>
      </c>
      <c r="Z938" s="249" t="inlineStr">
        <is>
          <t xml:space="preserve">C </t>
        </is>
      </c>
      <c r="AA938" s="245" t="n">
        <v>3</v>
      </c>
      <c r="AB938" s="245" t="n">
        <v>3</v>
      </c>
      <c r="AC938" s="253" t="inlineStr">
        <is>
          <t>33</t>
        </is>
      </c>
      <c r="AD938" s="247" t="inlineStr">
        <is>
          <t xml:space="preserve">S-W GEI ELECTRIC    </t>
        </is>
      </c>
      <c r="AE938" s="680" t="n"/>
      <c r="AF938" s="680" t="n"/>
      <c r="AG938" s="680" t="n"/>
      <c r="AH938" s="680" t="n"/>
      <c r="AI938" s="680" t="n"/>
      <c r="AJ938" s="680" t="n"/>
      <c r="AK938" s="680" t="inlineStr">
        <is>
          <t xml:space="preserve">S-T WHSE                                                          </t>
        </is>
      </c>
    </row>
    <row r="939">
      <c r="A939" s="248" t="n">
        <v>8</v>
      </c>
      <c r="B939" s="370" t="n">
        <v>931</v>
      </c>
      <c r="C939" s="254" t="inlineStr">
        <is>
          <t>2009Q</t>
        </is>
      </c>
      <c r="D939" s="245" t="inlineStr">
        <is>
          <t xml:space="preserve">05211-17-023-000 </t>
        </is>
      </c>
      <c r="E939" s="258" t="inlineStr">
        <is>
          <t>Actual</t>
        </is>
      </c>
      <c r="F939" s="259" t="inlineStr">
        <is>
          <t>1355 S HURON                ST</t>
        </is>
      </c>
      <c r="G939" s="672" t="n">
        <v>44.2</v>
      </c>
      <c r="H939" s="253" t="n">
        <v>9506</v>
      </c>
      <c r="I939" s="255" t="n">
        <v>0</v>
      </c>
      <c r="J939" s="678" t="n">
        <v>12495</v>
      </c>
      <c r="K939" s="679" t="n">
        <v>4.321728691476591</v>
      </c>
      <c r="L939" s="260" t="n">
        <v>0</v>
      </c>
      <c r="M939" s="262" t="n">
        <v>0.1579074074074074</v>
      </c>
      <c r="N939" s="253" t="n">
        <v>1984</v>
      </c>
      <c r="O939" s="250">
        <f>109+1550</f>
        <v/>
      </c>
      <c r="Q939" s="245" t="n">
        <v>23</v>
      </c>
      <c r="R939" s="245" t="n">
        <v>7</v>
      </c>
      <c r="S939" s="245" t="n">
        <v>1</v>
      </c>
      <c r="T939" s="249" t="inlineStr">
        <is>
          <t xml:space="preserve">I1   </t>
        </is>
      </c>
      <c r="U939" s="249" t="n">
        <v>398</v>
      </c>
      <c r="V939" s="678" t="n">
        <v>20250</v>
      </c>
      <c r="W939" s="678" t="n">
        <v>20000</v>
      </c>
      <c r="X939" s="356" t="inlineStr">
        <is>
          <t>1.6:1</t>
        </is>
      </c>
      <c r="Y939" s="678">
        <f>ROUND(J939,-3)</f>
        <v/>
      </c>
      <c r="Z939" s="249" t="inlineStr">
        <is>
          <t xml:space="preserve">C </t>
        </is>
      </c>
      <c r="AA939" s="245" t="n">
        <v>3</v>
      </c>
      <c r="AB939" s="245" t="n">
        <v>3</v>
      </c>
      <c r="AC939" s="253" t="inlineStr">
        <is>
          <t>33</t>
        </is>
      </c>
      <c r="AD939" s="247" t="inlineStr">
        <is>
          <t xml:space="preserve">WAREHOUSE/OFFICE    </t>
        </is>
      </c>
      <c r="AE939" s="680" t="n"/>
      <c r="AF939" s="680" t="n"/>
      <c r="AG939" s="680" t="n"/>
      <c r="AH939" s="680" t="n"/>
      <c r="AI939" s="680" t="n"/>
      <c r="AJ939" s="680" t="n"/>
      <c r="AK939" s="680" t="inlineStr">
        <is>
          <t xml:space="preserve">S-T WHSE.                                                         </t>
        </is>
      </c>
    </row>
    <row r="940">
      <c r="A940" s="248" t="n">
        <v>8</v>
      </c>
      <c r="B940" s="370" t="n">
        <v>932</v>
      </c>
      <c r="C940" s="254" t="inlineStr">
        <is>
          <t>2009Q</t>
        </is>
      </c>
      <c r="D940" s="245" t="inlineStr">
        <is>
          <t xml:space="preserve">05211-18-003-000 </t>
        </is>
      </c>
      <c r="E940" s="258" t="inlineStr">
        <is>
          <t>Actual</t>
        </is>
      </c>
      <c r="F940" s="259" t="inlineStr">
        <is>
          <t>1351 S INCA                 ST</t>
        </is>
      </c>
      <c r="G940" s="672" t="n">
        <v>44.1</v>
      </c>
      <c r="H940" s="253" t="n">
        <v>9506</v>
      </c>
      <c r="I940" s="255" t="n">
        <v>0</v>
      </c>
      <c r="J940" s="678" t="n">
        <v>4000</v>
      </c>
      <c r="K940" s="679" t="n">
        <v>4.95</v>
      </c>
      <c r="L940" s="260" t="n">
        <v>0</v>
      </c>
      <c r="M940" s="262" t="n">
        <v>0.1166666666666667</v>
      </c>
      <c r="N940" s="253" t="n">
        <v>1965</v>
      </c>
      <c r="O940" s="250" t="n">
        <v>1100</v>
      </c>
      <c r="Q940" s="245" t="n">
        <v>13</v>
      </c>
      <c r="R940" s="245" t="n">
        <v>11</v>
      </c>
      <c r="S940" s="245" t="n">
        <v>1</v>
      </c>
      <c r="T940" s="249" t="inlineStr">
        <is>
          <t xml:space="preserve">I1   </t>
        </is>
      </c>
      <c r="U940" s="249" t="n">
        <v>397</v>
      </c>
      <c r="V940" s="678" t="n">
        <v>12700</v>
      </c>
      <c r="W940" s="678" t="n">
        <v>13000</v>
      </c>
      <c r="X940" s="356" t="inlineStr">
        <is>
          <t>2.0:1</t>
        </is>
      </c>
      <c r="Y940" s="678">
        <f>ROUND(J940,-3)</f>
        <v/>
      </c>
      <c r="Z940" s="249" t="inlineStr">
        <is>
          <t xml:space="preserve">C </t>
        </is>
      </c>
      <c r="AA940" s="245" t="n">
        <v>3</v>
      </c>
      <c r="AB940" s="245" t="n">
        <v>3</v>
      </c>
      <c r="AC940" s="253" t="inlineStr">
        <is>
          <t>33</t>
        </is>
      </c>
      <c r="AD940" s="247" t="inlineStr">
        <is>
          <t xml:space="preserve">M-W SEAT CO         </t>
        </is>
      </c>
      <c r="AE940" s="680" t="n"/>
      <c r="AF940" s="680" t="n"/>
      <c r="AG940" s="680" t="n"/>
      <c r="AH940" s="680" t="n"/>
      <c r="AI940" s="680" t="n"/>
      <c r="AJ940" s="680" t="n"/>
      <c r="AK940" s="680" t="inlineStr">
        <is>
          <t xml:space="preserve">M-T WHSE; AT LEAST 2 UNITS; DATE OF LEASE UNKNOWN.                </t>
        </is>
      </c>
    </row>
    <row r="941">
      <c r="A941" s="248" t="n">
        <v>8</v>
      </c>
      <c r="B941" s="370" t="n">
        <v>933</v>
      </c>
      <c r="C941" s="254" t="inlineStr">
        <is>
          <t>2009Q</t>
        </is>
      </c>
      <c r="D941" s="245" t="inlineStr">
        <is>
          <t xml:space="preserve">05211-18-020-000 </t>
        </is>
      </c>
      <c r="E941" s="258" t="inlineStr">
        <is>
          <t>Actual</t>
        </is>
      </c>
      <c r="F941" s="259" t="inlineStr">
        <is>
          <t>1346 S JASON                ST</t>
        </is>
      </c>
      <c r="G941" s="672" t="n">
        <v>44.2</v>
      </c>
      <c r="H941" s="253" t="n">
        <v>9506</v>
      </c>
      <c r="I941" s="255" t="n">
        <v>0</v>
      </c>
      <c r="J941" s="678" t="n">
        <v>6000</v>
      </c>
      <c r="K941" s="679" t="n">
        <v>3.01</v>
      </c>
      <c r="L941" s="260" t="n">
        <v>0</v>
      </c>
      <c r="M941" s="262" t="n">
        <v>0.08095238095238096</v>
      </c>
      <c r="N941" s="253" t="n">
        <v>1968</v>
      </c>
      <c r="O941" s="250" t="n">
        <v>375</v>
      </c>
      <c r="Q941" s="245" t="n">
        <v>12</v>
      </c>
      <c r="R941" s="245" t="n">
        <v>3</v>
      </c>
      <c r="S941" s="245" t="n">
        <v>1</v>
      </c>
      <c r="T941" s="249" t="inlineStr">
        <is>
          <t xml:space="preserve">I1   </t>
        </is>
      </c>
      <c r="U941" s="249" t="n">
        <v>397</v>
      </c>
      <c r="V941" s="678" t="n">
        <v>9525</v>
      </c>
      <c r="W941" s="678" t="n">
        <v>10000</v>
      </c>
      <c r="X941" s="356" t="inlineStr">
        <is>
          <t>1.2:1</t>
        </is>
      </c>
      <c r="Y941" s="678">
        <f>ROUND(J941,-3)</f>
        <v/>
      </c>
      <c r="Z941" s="249" t="inlineStr">
        <is>
          <t xml:space="preserve">C </t>
        </is>
      </c>
      <c r="AA941" s="245" t="n">
        <v>3</v>
      </c>
      <c r="AB941" s="245" t="n">
        <v>3</v>
      </c>
      <c r="AC941" s="253" t="inlineStr">
        <is>
          <t>33</t>
        </is>
      </c>
      <c r="AD941" s="247" t="inlineStr">
        <is>
          <t>                    </t>
        </is>
      </c>
      <c r="AE941" s="680" t="n"/>
      <c r="AF941" s="680" t="n"/>
      <c r="AG941" s="680" t="n"/>
      <c r="AH941" s="680" t="n"/>
      <c r="AI941" s="680" t="n"/>
      <c r="AJ941" s="680" t="n"/>
      <c r="AK941" s="680" t="inlineStr">
        <is>
          <t xml:space="preserve">M-T WHSE.; 2 TENANTS                                              </t>
        </is>
      </c>
    </row>
    <row r="942">
      <c r="A942" s="248" t="n">
        <v>8</v>
      </c>
      <c r="B942" s="370" t="n">
        <v>934</v>
      </c>
      <c r="C942" s="254" t="inlineStr">
        <is>
          <t>2009Q</t>
        </is>
      </c>
      <c r="D942" s="245" t="inlineStr">
        <is>
          <t xml:space="preserve">05211-18-029-000 </t>
        </is>
      </c>
      <c r="E942" s="258" t="inlineStr">
        <is>
          <t>Actual</t>
        </is>
      </c>
      <c r="F942" s="259" t="inlineStr">
        <is>
          <t>1328 S JASON                ST</t>
        </is>
      </c>
      <c r="G942" s="672" t="n">
        <v>44.2</v>
      </c>
      <c r="H942" s="253" t="n">
        <v>9506</v>
      </c>
      <c r="I942" s="255" t="n">
        <v>0</v>
      </c>
      <c r="J942" s="678" t="n">
        <v>10500</v>
      </c>
      <c r="K942" s="679" t="n">
        <v>5.714285714285714</v>
      </c>
      <c r="L942" s="260" t="n">
        <v>0</v>
      </c>
      <c r="M942" s="262" t="n">
        <v>0.01175</v>
      </c>
      <c r="N942" s="253" t="n">
        <v>1983</v>
      </c>
      <c r="O942" s="250" t="n">
        <v>2300</v>
      </c>
      <c r="Q942" s="245" t="n">
        <v>14</v>
      </c>
      <c r="R942" s="245" t="n">
        <v>3</v>
      </c>
      <c r="S942" s="245" t="n">
        <v>1</v>
      </c>
      <c r="T942" s="249" t="inlineStr">
        <is>
          <t xml:space="preserve">I1   </t>
        </is>
      </c>
      <c r="U942" s="249" t="n">
        <v>398</v>
      </c>
      <c r="V942" s="678" t="n">
        <v>14224</v>
      </c>
      <c r="W942" s="678" t="n">
        <v>14000</v>
      </c>
      <c r="X942" s="356" t="inlineStr">
        <is>
          <t>1.4:1</t>
        </is>
      </c>
      <c r="Y942" s="678">
        <f>ROUND(J942,-3)</f>
        <v/>
      </c>
      <c r="Z942" s="249" t="inlineStr">
        <is>
          <t xml:space="preserve">C </t>
        </is>
      </c>
      <c r="AA942" s="245" t="n">
        <v>3</v>
      </c>
      <c r="AB942" s="245" t="n">
        <v>3</v>
      </c>
      <c r="AC942" s="253" t="inlineStr">
        <is>
          <t>33</t>
        </is>
      </c>
      <c r="AD942" s="247" t="inlineStr">
        <is>
          <t xml:space="preserve">AMERICAN TARGET     </t>
        </is>
      </c>
      <c r="AE942" s="680" t="n"/>
      <c r="AF942" s="680" t="n"/>
      <c r="AG942" s="680" t="n"/>
      <c r="AH942" s="680" t="n"/>
      <c r="AI942" s="680" t="n"/>
      <c r="AJ942" s="680" t="n"/>
      <c r="AK942" s="680" t="inlineStr">
        <is>
          <t xml:space="preserve">S-T WHSE; DATE OF LEASE COMMENCEMENT UNKNOWN.                     </t>
        </is>
      </c>
    </row>
    <row r="943">
      <c r="A943" s="248" t="n">
        <v>8</v>
      </c>
      <c r="B943" s="370" t="n">
        <v>935</v>
      </c>
      <c r="C943" s="254" t="inlineStr">
        <is>
          <t>2009Q</t>
        </is>
      </c>
      <c r="D943" s="245" t="inlineStr">
        <is>
          <t xml:space="preserve">05211-18-030-000 </t>
        </is>
      </c>
      <c r="E943" s="258" t="inlineStr">
        <is>
          <t>Actual</t>
        </is>
      </c>
      <c r="F943" s="259" t="inlineStr">
        <is>
          <t>1308 S JASON                ST</t>
        </is>
      </c>
      <c r="G943" s="672" t="n">
        <v>44.2</v>
      </c>
      <c r="H943" s="253" t="n">
        <v>9506</v>
      </c>
      <c r="I943" s="255" t="n">
        <v>0</v>
      </c>
      <c r="J943" s="678" t="n">
        <v>6801</v>
      </c>
      <c r="K943" s="679" t="n">
        <v>7.003970004411116</v>
      </c>
      <c r="L943" s="260" t="n">
        <v>0</v>
      </c>
      <c r="M943" s="262" t="n">
        <v>0.02004870470672209</v>
      </c>
      <c r="N943" s="253" t="n">
        <v>1997</v>
      </c>
      <c r="O943" s="250" t="n">
        <v>2664</v>
      </c>
      <c r="Q943" s="245" t="n">
        <v>16</v>
      </c>
      <c r="R943" s="245" t="n">
        <v>3</v>
      </c>
      <c r="S943" s="245" t="n">
        <v>1</v>
      </c>
      <c r="T943" s="249" t="inlineStr">
        <is>
          <t xml:space="preserve">I1   </t>
        </is>
      </c>
      <c r="U943" s="249" t="n">
        <v>398</v>
      </c>
      <c r="V943" s="678" t="n">
        <v>11176</v>
      </c>
      <c r="W943" s="678" t="n">
        <v>11000</v>
      </c>
      <c r="X943" s="356" t="inlineStr">
        <is>
          <t>1.6:1</t>
        </is>
      </c>
      <c r="Y943" s="678">
        <f>ROUND(J943,-3)</f>
        <v/>
      </c>
      <c r="Z943" s="249" t="inlineStr">
        <is>
          <t xml:space="preserve">C </t>
        </is>
      </c>
      <c r="AA943" s="245" t="n">
        <v>3</v>
      </c>
      <c r="AB943" s="245" t="n">
        <v>3</v>
      </c>
      <c r="AC943" s="253" t="inlineStr">
        <is>
          <t>33</t>
        </is>
      </c>
      <c r="AD943" s="247" t="inlineStr">
        <is>
          <t xml:space="preserve">DIST WHSE           </t>
        </is>
      </c>
      <c r="AE943" s="680" t="n"/>
      <c r="AF943" s="680" t="n"/>
      <c r="AG943" s="680" t="n"/>
      <c r="AH943" s="680" t="n"/>
      <c r="AI943" s="680" t="n"/>
      <c r="AJ943" s="680" t="n"/>
      <c r="AK943" s="680" t="inlineStr">
        <is>
          <t xml:space="preserve">S-T WHSE.                                                         </t>
        </is>
      </c>
    </row>
    <row r="944">
      <c r="A944" s="248" t="n">
        <v>8</v>
      </c>
      <c r="B944" s="370" t="n">
        <v>936</v>
      </c>
      <c r="C944" s="254" t="inlineStr">
        <is>
          <t>2009Q</t>
        </is>
      </c>
      <c r="D944" s="245" t="inlineStr">
        <is>
          <t xml:space="preserve">05211-19-011-000 </t>
        </is>
      </c>
      <c r="E944" s="258" t="inlineStr">
        <is>
          <t>Actual</t>
        </is>
      </c>
      <c r="F944" s="259" t="inlineStr">
        <is>
          <t>1301 S JASON                ST</t>
        </is>
      </c>
      <c r="G944" s="672" t="n">
        <v>44.2</v>
      </c>
      <c r="H944" s="253" t="n">
        <v>9506</v>
      </c>
      <c r="I944" s="255" t="n">
        <v>0</v>
      </c>
      <c r="J944" s="678" t="n">
        <v>9464</v>
      </c>
      <c r="K944" s="679" t="n">
        <v>5.806635672020287</v>
      </c>
      <c r="L944" s="260" t="n">
        <v>0</v>
      </c>
      <c r="M944" s="262" t="n">
        <v>0.236761655202533</v>
      </c>
      <c r="N944" s="253" t="n">
        <v>1997</v>
      </c>
      <c r="O944" s="250" t="n">
        <v>8666</v>
      </c>
      <c r="Q944" s="245" t="n">
        <v>26</v>
      </c>
      <c r="R944" s="245" t="n">
        <v>14</v>
      </c>
      <c r="S944" s="245" t="n">
        <v>4</v>
      </c>
      <c r="T944" s="249" t="inlineStr">
        <is>
          <t xml:space="preserve">I0   </t>
        </is>
      </c>
      <c r="U944" s="249" t="n">
        <v>398</v>
      </c>
      <c r="V944" s="678" t="n">
        <v>99255</v>
      </c>
      <c r="W944" s="678" t="n">
        <v>100000</v>
      </c>
      <c r="X944" s="356" t="inlineStr">
        <is>
          <t>2.0:1</t>
        </is>
      </c>
      <c r="Y944" s="678">
        <f>ROUND(J944,-3)</f>
        <v/>
      </c>
      <c r="Z944" s="249" t="inlineStr">
        <is>
          <t xml:space="preserve">C </t>
        </is>
      </c>
      <c r="AA944" s="245" t="n">
        <v>3</v>
      </c>
      <c r="AB944" s="245" t="n">
        <v>3</v>
      </c>
      <c r="AC944" s="253" t="inlineStr">
        <is>
          <t>33</t>
        </is>
      </c>
      <c r="AD944" s="247" t="inlineStr">
        <is>
          <t xml:space="preserve">M-W DISTRIBUTION    </t>
        </is>
      </c>
      <c r="AE944" s="680" t="n"/>
      <c r="AF944" s="680" t="n"/>
      <c r="AG944" s="680" t="n"/>
      <c r="AH944" s="680" t="n"/>
      <c r="AI944" s="680" t="n"/>
      <c r="AJ944" s="680" t="n"/>
      <c r="AK944" s="680" t="inlineStr">
        <is>
          <t xml:space="preserve">M-T WHSE; 5 TENANTS; ONLY 2007 LEASE INFO. ENCODED.               </t>
        </is>
      </c>
    </row>
    <row r="945">
      <c r="A945" s="248" t="n">
        <v>8</v>
      </c>
      <c r="B945" s="370" t="n">
        <v>937</v>
      </c>
      <c r="C945" s="254" t="inlineStr">
        <is>
          <t>2009Q</t>
        </is>
      </c>
      <c r="D945" s="245" t="inlineStr">
        <is>
          <t xml:space="preserve">05211-30-013-000 </t>
        </is>
      </c>
      <c r="E945" s="258" t="inlineStr">
        <is>
          <t>Actual</t>
        </is>
      </c>
      <c r="F945" s="259" t="inlineStr">
        <is>
          <t>1455 S PLATTE RIVER         DR</t>
        </is>
      </c>
      <c r="G945" s="672" t="n">
        <v>44.2</v>
      </c>
      <c r="H945" s="253" t="n">
        <v>9506</v>
      </c>
      <c r="I945" s="255" t="n">
        <v>0</v>
      </c>
      <c r="J945" s="678" t="n">
        <v>25780</v>
      </c>
      <c r="K945" s="679" t="n">
        <v>7.951900698215671</v>
      </c>
      <c r="L945" s="260" t="n">
        <v>0</v>
      </c>
      <c r="M945" s="262" t="n">
        <v>0</v>
      </c>
      <c r="N945" s="253" t="n">
        <v>1973</v>
      </c>
      <c r="O945" s="250">
        <f>4991*2</f>
        <v/>
      </c>
      <c r="Q945" s="245" t="n">
        <v>27</v>
      </c>
      <c r="R945" s="245" t="n">
        <v>3</v>
      </c>
      <c r="S945" s="245" t="n">
        <v>1</v>
      </c>
      <c r="T945" s="249" t="inlineStr">
        <is>
          <t xml:space="preserve">I0   </t>
        </is>
      </c>
      <c r="U945" s="249" t="n">
        <v>397</v>
      </c>
      <c r="V945" s="678" t="n">
        <v>66660</v>
      </c>
      <c r="W945" s="678" t="n">
        <v>70000</v>
      </c>
      <c r="X945" s="356" t="inlineStr">
        <is>
          <t>2.6:1</t>
        </is>
      </c>
      <c r="Y945" s="678">
        <f>ROUND(J945,-3)</f>
        <v/>
      </c>
      <c r="Z945" s="249" t="inlineStr">
        <is>
          <t xml:space="preserve">C </t>
        </is>
      </c>
      <c r="AA945" s="245" t="n">
        <v>3</v>
      </c>
      <c r="AB945" s="245" t="n">
        <v>3</v>
      </c>
      <c r="AC945" s="253" t="inlineStr">
        <is>
          <t>33</t>
        </is>
      </c>
      <c r="AD945" s="247" t="inlineStr">
        <is>
          <t xml:space="preserve">POWERS BLG SOLUT'NS </t>
        </is>
      </c>
      <c r="AE945" s="680" t="n"/>
      <c r="AF945" s="680" t="n"/>
      <c r="AG945" s="680" t="n"/>
      <c r="AH945" s="680" t="n"/>
      <c r="AI945" s="680" t="n"/>
      <c r="AJ945" s="680" t="n"/>
      <c r="AK945" s="680" t="inlineStr">
        <is>
          <t xml:space="preserve">S-T WHSE.; 2006 LEASE.                                            </t>
        </is>
      </c>
    </row>
    <row r="946">
      <c r="A946" s="248" t="n">
        <v>8</v>
      </c>
      <c r="B946" s="370" t="n">
        <v>938</v>
      </c>
      <c r="C946" s="254" t="inlineStr">
        <is>
          <t>2009Q</t>
        </is>
      </c>
      <c r="D946" s="245" t="inlineStr">
        <is>
          <t xml:space="preserve">05211-30-014-000 </t>
        </is>
      </c>
      <c r="E946" s="258" t="inlineStr">
        <is>
          <t>Actual</t>
        </is>
      </c>
      <c r="F946" s="259" t="inlineStr">
        <is>
          <t>1495 S PLATTE RIVER         DR</t>
        </is>
      </c>
      <c r="G946" s="672" t="n">
        <v>44.1</v>
      </c>
      <c r="H946" s="253" t="n">
        <v>9506</v>
      </c>
      <c r="I946" s="255" t="n">
        <v>0</v>
      </c>
      <c r="J946" s="678" t="n">
        <v>10120</v>
      </c>
      <c r="K946" s="679" t="n">
        <v>12.27164031620553</v>
      </c>
      <c r="L946" s="260" t="n">
        <v>0</v>
      </c>
      <c r="M946" s="262" t="n">
        <v>0.02926185088856501</v>
      </c>
      <c r="N946" s="253" t="n">
        <v>1985</v>
      </c>
      <c r="O946" s="250" t="n">
        <v>2300</v>
      </c>
      <c r="Q946" s="245" t="n">
        <v>16</v>
      </c>
      <c r="R946" s="245" t="n">
        <v>3</v>
      </c>
      <c r="S946" s="245" t="n">
        <v>1</v>
      </c>
      <c r="T946" s="249" t="inlineStr">
        <is>
          <t xml:space="preserve">I0   </t>
        </is>
      </c>
      <c r="U946" s="249" t="n">
        <v>397</v>
      </c>
      <c r="V946" s="678" t="n">
        <v>22600</v>
      </c>
      <c r="W946" s="678" t="n">
        <v>23000</v>
      </c>
      <c r="X946" s="356" t="inlineStr">
        <is>
          <t>2.2:1</t>
        </is>
      </c>
      <c r="Y946" s="678">
        <f>ROUND(J946,-3)</f>
        <v/>
      </c>
      <c r="Z946" s="249" t="inlineStr">
        <is>
          <t xml:space="preserve">C </t>
        </is>
      </c>
      <c r="AA946" s="245" t="n">
        <v>3</v>
      </c>
      <c r="AB946" s="245" t="n">
        <v>3</v>
      </c>
      <c r="AC946" s="253" t="inlineStr">
        <is>
          <t>33</t>
        </is>
      </c>
      <c r="AD946" s="247" t="inlineStr">
        <is>
          <t>                    </t>
        </is>
      </c>
      <c r="AE946" s="680" t="n"/>
      <c r="AF946" s="680" t="n"/>
      <c r="AG946" s="680" t="n"/>
      <c r="AH946" s="680" t="n"/>
      <c r="AI946" s="680" t="n"/>
      <c r="AJ946" s="680" t="n"/>
      <c r="AK946" s="680" t="inlineStr">
        <is>
          <t xml:space="preserve">S-T WHSE.; AGE OF LEASE UNKNOWN.                                  </t>
        </is>
      </c>
    </row>
    <row r="947">
      <c r="A947" s="248" t="n">
        <v>8</v>
      </c>
      <c r="B947" s="370" t="n">
        <v>939</v>
      </c>
      <c r="C947" s="254" t="inlineStr">
        <is>
          <t>2009Q</t>
        </is>
      </c>
      <c r="D947" s="245" t="inlineStr">
        <is>
          <t xml:space="preserve">05221-14-033-000 </t>
        </is>
      </c>
      <c r="E947" s="258" t="inlineStr">
        <is>
          <t>Actual</t>
        </is>
      </c>
      <c r="F947" s="259" t="inlineStr">
        <is>
          <t>1215 S PEARL                ST</t>
        </is>
      </c>
      <c r="G947" s="672" t="n">
        <v>44.1</v>
      </c>
      <c r="H947" s="253" t="n">
        <v>9509</v>
      </c>
      <c r="I947" s="255" t="n">
        <v>0</v>
      </c>
      <c r="J947" s="678" t="n">
        <v>5974</v>
      </c>
      <c r="K947" s="679" t="n">
        <v>5.155674589889522</v>
      </c>
      <c r="L947" s="260" t="n">
        <v>0</v>
      </c>
      <c r="M947" s="262" t="n">
        <v>0.1867857142857143</v>
      </c>
      <c r="N947" s="253" t="n">
        <v>1919</v>
      </c>
      <c r="O947" s="250" t="n">
        <v>1720</v>
      </c>
      <c r="Q947" s="245" t="n">
        <v>13</v>
      </c>
      <c r="R947" s="245" t="n">
        <v>1</v>
      </c>
      <c r="S947" s="245" t="n">
        <v>1</v>
      </c>
      <c r="T947" s="249" t="inlineStr">
        <is>
          <t xml:space="preserve">B4   </t>
        </is>
      </c>
      <c r="U947" s="249" t="n">
        <v>398</v>
      </c>
      <c r="V947" s="678" t="n">
        <v>10300</v>
      </c>
      <c r="W947" s="678" t="n">
        <v>10000</v>
      </c>
      <c r="X947" s="356" t="inlineStr">
        <is>
          <t>1.7:1</t>
        </is>
      </c>
      <c r="Y947" s="678">
        <f>ROUND(J947,-3)</f>
        <v/>
      </c>
      <c r="Z947" s="249" t="inlineStr">
        <is>
          <t xml:space="preserve">C </t>
        </is>
      </c>
      <c r="AA947" s="245" t="n">
        <v>3</v>
      </c>
      <c r="AB947" s="245" t="n">
        <v>3</v>
      </c>
      <c r="AC947" s="253" t="inlineStr">
        <is>
          <t>33</t>
        </is>
      </c>
      <c r="AD947" s="247" t="inlineStr">
        <is>
          <t>SYNERGY COMMUNICATIN</t>
        </is>
      </c>
      <c r="AE947" s="680" t="n"/>
      <c r="AF947" s="680" t="n"/>
      <c r="AG947" s="680" t="n"/>
      <c r="AH947" s="680" t="n"/>
      <c r="AI947" s="680" t="n"/>
      <c r="AJ947" s="680" t="n"/>
      <c r="AK947" s="680" t="inlineStr">
        <is>
          <t xml:space="preserve">M-T WHSE; 4 TENANTS; LEASES 2005 &amp; 2006.                          </t>
        </is>
      </c>
    </row>
    <row r="948">
      <c r="A948" s="248" t="n">
        <v>8</v>
      </c>
      <c r="B948" s="370" t="n">
        <v>940</v>
      </c>
      <c r="C948" s="254" t="inlineStr">
        <is>
          <t>2009Q</t>
        </is>
      </c>
      <c r="D948" s="245" t="inlineStr">
        <is>
          <t xml:space="preserve">05221-15-013-000 </t>
        </is>
      </c>
      <c r="E948" s="258" t="inlineStr">
        <is>
          <t>Actual</t>
        </is>
      </c>
      <c r="F948" s="259" t="inlineStr">
        <is>
          <t>666   BUCHTEL              BV</t>
        </is>
      </c>
      <c r="G948" s="672" t="n">
        <v>44.2</v>
      </c>
      <c r="H948" s="253" t="n">
        <v>9509</v>
      </c>
      <c r="I948" s="255" t="n">
        <v>0</v>
      </c>
      <c r="J948" s="678" t="n">
        <v>8845</v>
      </c>
      <c r="K948" s="679" t="n">
        <v>6.783493499152064</v>
      </c>
      <c r="L948" s="260" t="n">
        <v>0</v>
      </c>
      <c r="M948" s="262" t="n">
        <v>0.06953333333333334</v>
      </c>
      <c r="N948" s="253" t="n">
        <v>1957</v>
      </c>
      <c r="O948" s="250" t="n">
        <v>576</v>
      </c>
      <c r="Q948" s="245" t="n">
        <v>20</v>
      </c>
      <c r="R948" s="245" t="n">
        <v>3</v>
      </c>
      <c r="S948" s="245" t="n">
        <v>1</v>
      </c>
      <c r="T948" s="249" t="inlineStr">
        <is>
          <t xml:space="preserve">B4   </t>
        </is>
      </c>
      <c r="U948" s="249" t="n">
        <v>398</v>
      </c>
      <c r="V948" s="678" t="n">
        <v>14300</v>
      </c>
      <c r="W948" s="678" t="n">
        <v>14000</v>
      </c>
      <c r="X948" s="356" t="inlineStr">
        <is>
          <t>1.6:1</t>
        </is>
      </c>
      <c r="Y948" s="678">
        <f>ROUND(J948,-3)</f>
        <v/>
      </c>
      <c r="Z948" s="249" t="inlineStr">
        <is>
          <t xml:space="preserve">C </t>
        </is>
      </c>
      <c r="AA948" s="245" t="n">
        <v>3</v>
      </c>
      <c r="AB948" s="245" t="n">
        <v>3</v>
      </c>
      <c r="AC948" s="253" t="inlineStr">
        <is>
          <t>33</t>
        </is>
      </c>
      <c r="AD948" s="247" t="inlineStr">
        <is>
          <t>ARTISANS STAIN GLASS</t>
        </is>
      </c>
      <c r="AE948" s="680" t="n"/>
      <c r="AF948" s="680" t="n"/>
      <c r="AG948" s="680" t="n"/>
      <c r="AH948" s="680" t="n"/>
      <c r="AI948" s="680" t="n"/>
      <c r="AJ948" s="680" t="n"/>
      <c r="AK948" s="680" t="inlineStr">
        <is>
          <t xml:space="preserve">S-T WHSE.                                                         </t>
        </is>
      </c>
    </row>
    <row r="949">
      <c r="A949" s="248" t="n">
        <v>8</v>
      </c>
      <c r="B949" s="370" t="n">
        <v>941</v>
      </c>
      <c r="C949" s="254" t="inlineStr">
        <is>
          <t>2009Q</t>
        </is>
      </c>
      <c r="D949" s="245" t="inlineStr">
        <is>
          <t xml:space="preserve">05222-03-006-000 </t>
        </is>
      </c>
      <c r="E949" s="258" t="inlineStr">
        <is>
          <t>Actual</t>
        </is>
      </c>
      <c r="F949" s="259" t="inlineStr">
        <is>
          <t>1265 S BROADWAY             ST</t>
        </is>
      </c>
      <c r="G949" s="672" t="n">
        <v>47.1</v>
      </c>
      <c r="H949" s="253" t="n">
        <v>9506</v>
      </c>
      <c r="I949" s="255" t="n">
        <v>2</v>
      </c>
      <c r="J949" s="678" t="n">
        <v>43525</v>
      </c>
      <c r="K949" s="679" t="n">
        <v>3.914072372199885</v>
      </c>
      <c r="L949" s="260" t="n">
        <v>0</v>
      </c>
      <c r="M949" s="262" t="n">
        <v>0</v>
      </c>
      <c r="N949" s="253" t="n">
        <v>1975</v>
      </c>
      <c r="O949" s="250" t="inlineStr">
        <is>
          <t> </t>
        </is>
      </c>
      <c r="P949" s="250" t="n">
        <v>8745</v>
      </c>
      <c r="Q949" s="245" t="n">
        <v>20</v>
      </c>
      <c r="R949" s="245" t="n">
        <v>10</v>
      </c>
      <c r="S949" s="245" t="n">
        <v>1</v>
      </c>
      <c r="T949" s="249" t="inlineStr">
        <is>
          <t xml:space="preserve">I1   </t>
        </is>
      </c>
      <c r="U949" s="249" t="n">
        <v>401</v>
      </c>
      <c r="V949" s="678" t="n">
        <v>90659</v>
      </c>
      <c r="W949" s="678" t="n">
        <v>90000</v>
      </c>
      <c r="X949" s="356" t="inlineStr">
        <is>
          <t>2.1:1</t>
        </is>
      </c>
      <c r="Y949" s="678">
        <f>ROUND(J949,-3)</f>
        <v/>
      </c>
      <c r="Z949" s="249" t="inlineStr">
        <is>
          <t xml:space="preserve">C </t>
        </is>
      </c>
      <c r="AA949" s="245" t="n">
        <v>3</v>
      </c>
      <c r="AB949" s="245" t="n">
        <v>3</v>
      </c>
      <c r="AC949" s="253" t="inlineStr">
        <is>
          <t>33</t>
        </is>
      </c>
      <c r="AD949" s="247" t="inlineStr">
        <is>
          <t>                    </t>
        </is>
      </c>
      <c r="AE949" s="680" t="n"/>
      <c r="AF949" s="680" t="n"/>
      <c r="AG949" s="680" t="n"/>
      <c r="AH949" s="680" t="n"/>
      <c r="AI949" s="680" t="n"/>
      <c r="AJ949" s="680" t="n"/>
      <c r="AK949" s="680" t="inlineStr">
        <is>
          <t xml:space="preserve">S-T WHSE.                                                         </t>
        </is>
      </c>
    </row>
    <row r="950">
      <c r="A950" s="248" t="n">
        <v>8</v>
      </c>
      <c r="B950" s="370" t="n">
        <v>942</v>
      </c>
      <c r="C950" s="254" t="inlineStr">
        <is>
          <t>2009W</t>
        </is>
      </c>
      <c r="D950" s="245" t="inlineStr">
        <is>
          <t>05223-02-039-000</t>
        </is>
      </c>
      <c r="E950" s="249" t="inlineStr">
        <is>
          <t>Actual</t>
        </is>
      </c>
      <c r="F950" s="245" t="inlineStr">
        <is>
          <t>1191-97 S. Bannock St.</t>
        </is>
      </c>
      <c r="G950" s="672" t="n">
        <v>44.2</v>
      </c>
      <c r="H950" s="245" t="n">
        <v>9506</v>
      </c>
      <c r="I950" s="249" t="n">
        <v>0</v>
      </c>
      <c r="J950" s="678" t="n">
        <v>7826</v>
      </c>
      <c r="K950" s="679" t="n">
        <v>6.51</v>
      </c>
      <c r="L950" s="365" t="n">
        <v>0</v>
      </c>
      <c r="M950" s="365" t="n">
        <v>0.06</v>
      </c>
      <c r="N950" s="245" t="n">
        <v>1979</v>
      </c>
      <c r="O950" s="678" t="n">
        <v>812</v>
      </c>
      <c r="P950" s="678" t="n">
        <v>0</v>
      </c>
      <c r="Q950" s="245" t="n">
        <v>15</v>
      </c>
      <c r="R950" s="245" t="n">
        <v>3</v>
      </c>
      <c r="S950" s="245" t="n">
        <v>4</v>
      </c>
      <c r="T950" s="249" t="inlineStr">
        <is>
          <t>I1</t>
        </is>
      </c>
      <c r="U950" s="249" t="n">
        <v>398</v>
      </c>
      <c r="V950" s="678" t="n">
        <v>12500</v>
      </c>
      <c r="W950" s="678" t="n">
        <v>12000</v>
      </c>
      <c r="X950" s="356">
        <f>FIXED(ROUND(W950/Y950,1),1,TRUE)&amp;":1"</f>
        <v/>
      </c>
      <c r="Y950" s="678" t="n">
        <v>8000</v>
      </c>
      <c r="Z950" s="249" t="inlineStr">
        <is>
          <t>C</t>
        </is>
      </c>
      <c r="AA950" s="245" t="n">
        <v>3</v>
      </c>
      <c r="AB950" s="245" t="n">
        <v>3</v>
      </c>
      <c r="AC950" s="245" t="n">
        <v>33</v>
      </c>
      <c r="AE950" s="667" t="n">
        <v>6.51</v>
      </c>
      <c r="AF950" s="686" t="n">
        <v>6.51</v>
      </c>
      <c r="AG950" s="686" t="n">
        <v>6.14</v>
      </c>
      <c r="AH950" s="686" t="n">
        <v>0.37</v>
      </c>
      <c r="AI950" s="686" t="n">
        <v>0</v>
      </c>
      <c r="AJ950" s="667" t="inlineStr">
        <is>
          <t>$                 -</t>
        </is>
      </c>
      <c r="AK950" s="245" t="inlineStr">
        <is>
          <t>4 Tenant Warehouse.</t>
        </is>
      </c>
      <c r="AN950" s="680" t="n"/>
      <c r="AO950" s="680" t="n"/>
      <c r="AP950" s="680" t="n"/>
    </row>
    <row r="951">
      <c r="A951" s="248" t="n">
        <v>8</v>
      </c>
      <c r="B951" s="370" t="n">
        <v>943</v>
      </c>
      <c r="C951" s="254" t="inlineStr">
        <is>
          <t>2009Q</t>
        </is>
      </c>
      <c r="D951" s="245" t="inlineStr">
        <is>
          <t xml:space="preserve">05223-02-040-000 </t>
        </is>
      </c>
      <c r="E951" s="258" t="inlineStr">
        <is>
          <t>Actual</t>
        </is>
      </c>
      <c r="F951" s="259" t="inlineStr">
        <is>
          <t>1157 S BANNOCK              ST</t>
        </is>
      </c>
      <c r="G951" s="672" t="n">
        <v>44.2</v>
      </c>
      <c r="H951" s="253" t="n">
        <v>9506</v>
      </c>
      <c r="I951" s="255" t="n">
        <v>0</v>
      </c>
      <c r="J951" s="678" t="n">
        <v>5105</v>
      </c>
      <c r="K951" s="679" t="n">
        <v>31.7335945151812</v>
      </c>
      <c r="L951" s="260" t="n">
        <v>0</v>
      </c>
      <c r="M951" s="262" t="n">
        <v>0</v>
      </c>
      <c r="N951" s="253" t="n">
        <v>1980</v>
      </c>
      <c r="O951" s="250" t="n">
        <v>1674</v>
      </c>
      <c r="Q951" s="245" t="n">
        <v>14</v>
      </c>
      <c r="R951" s="245" t="n">
        <v>1</v>
      </c>
      <c r="S951" s="245" t="n">
        <v>1</v>
      </c>
      <c r="T951" s="249" t="inlineStr">
        <is>
          <t xml:space="preserve">I1   </t>
        </is>
      </c>
      <c r="U951" s="249" t="n">
        <v>398</v>
      </c>
      <c r="V951" s="678" t="n">
        <v>15627</v>
      </c>
      <c r="W951" s="678" t="n">
        <v>16000</v>
      </c>
      <c r="X951" s="356" t="inlineStr">
        <is>
          <t>3.1:1</t>
        </is>
      </c>
      <c r="Y951" s="678">
        <f>ROUND(J951,-3)</f>
        <v/>
      </c>
      <c r="Z951" s="249" t="inlineStr">
        <is>
          <t xml:space="preserve">C </t>
        </is>
      </c>
      <c r="AA951" s="245" t="n">
        <v>3</v>
      </c>
      <c r="AB951" s="245" t="n">
        <v>3</v>
      </c>
      <c r="AC951" s="253" t="inlineStr">
        <is>
          <t>33</t>
        </is>
      </c>
      <c r="AD951" s="247" t="inlineStr">
        <is>
          <t xml:space="preserve">DIAMOND DRILLING    </t>
        </is>
      </c>
      <c r="AE951" s="680" t="n"/>
      <c r="AF951" s="680" t="n"/>
      <c r="AG951" s="680" t="n"/>
      <c r="AH951" s="680" t="n"/>
      <c r="AI951" s="680" t="n"/>
      <c r="AJ951" s="680" t="n"/>
      <c r="AK951" s="680" t="inlineStr">
        <is>
          <t xml:space="preserve">S-T WHSE.                                                         </t>
        </is>
      </c>
    </row>
    <row r="952">
      <c r="A952" s="248" t="n">
        <v>8</v>
      </c>
      <c r="B952" s="370" t="n">
        <v>944</v>
      </c>
      <c r="C952" s="254" t="inlineStr">
        <is>
          <t>2009Q</t>
        </is>
      </c>
      <c r="D952" s="245" t="inlineStr">
        <is>
          <t xml:space="preserve">05223-03-004-000 </t>
        </is>
      </c>
      <c r="E952" s="258" t="inlineStr">
        <is>
          <t>Actual</t>
        </is>
      </c>
      <c r="F952" s="259" t="inlineStr">
        <is>
          <t>1185 S CHEROKEE             ST</t>
        </is>
      </c>
      <c r="G952" s="672" t="n">
        <v>44.1</v>
      </c>
      <c r="H952" s="253" t="n">
        <v>9506</v>
      </c>
      <c r="I952" s="255" t="n">
        <v>0</v>
      </c>
      <c r="J952" s="678" t="n">
        <v>6162</v>
      </c>
      <c r="K952" s="679" t="n">
        <v>6.037000973709834</v>
      </c>
      <c r="L952" s="260" t="n">
        <v>0</v>
      </c>
      <c r="M952" s="262" t="n">
        <v>0</v>
      </c>
      <c r="N952" s="253" t="n">
        <v>1959</v>
      </c>
      <c r="O952" s="678" t="n">
        <v>792</v>
      </c>
      <c r="P952" s="678" t="n"/>
      <c r="Q952" s="245" t="n">
        <v>13</v>
      </c>
      <c r="R952" s="245" t="n">
        <v>3</v>
      </c>
      <c r="S952" s="245" t="n">
        <v>1</v>
      </c>
      <c r="T952" s="249" t="inlineStr">
        <is>
          <t xml:space="preserve">I1   </t>
        </is>
      </c>
      <c r="U952" s="249" t="n">
        <v>332</v>
      </c>
      <c r="V952" s="678" t="n">
        <v>9370</v>
      </c>
      <c r="W952" s="678" t="n">
        <v>9000</v>
      </c>
      <c r="X952" s="356" t="inlineStr">
        <is>
          <t>1.5:1</t>
        </is>
      </c>
      <c r="Y952" s="678">
        <f>ROUND(J952,-3)</f>
        <v/>
      </c>
      <c r="Z952" s="249" t="inlineStr">
        <is>
          <t xml:space="preserve">C </t>
        </is>
      </c>
      <c r="AA952" s="245" t="n">
        <v>3</v>
      </c>
      <c r="AB952" s="245" t="n">
        <v>3</v>
      </c>
      <c r="AC952" s="253" t="n">
        <v>33</v>
      </c>
      <c r="AD952" s="247" t="inlineStr">
        <is>
          <t>                    </t>
        </is>
      </c>
      <c r="AE952" s="680" t="n"/>
      <c r="AF952" s="680" t="n"/>
      <c r="AG952" s="680" t="n"/>
      <c r="AH952" s="680" t="n"/>
      <c r="AI952" s="680" t="n"/>
      <c r="AJ952" s="680" t="n"/>
      <c r="AK952" s="680" t="inlineStr">
        <is>
          <t xml:space="preserve">TENANT PAYS $9,300 IN TOTAL EXPENSES                              </t>
        </is>
      </c>
    </row>
    <row r="953">
      <c r="A953" s="248" t="n">
        <v>8</v>
      </c>
      <c r="B953" s="370" t="n">
        <v>945</v>
      </c>
      <c r="C953" s="254" t="inlineStr">
        <is>
          <t>2009Q</t>
        </is>
      </c>
      <c r="D953" s="245" t="inlineStr">
        <is>
          <t xml:space="preserve">05223-06-007-000 </t>
        </is>
      </c>
      <c r="E953" s="258" t="inlineStr">
        <is>
          <t>Actual</t>
        </is>
      </c>
      <c r="F953" s="259" t="inlineStr">
        <is>
          <t>1257 S BANNOCK              ST</t>
        </is>
      </c>
      <c r="G953" s="672" t="n">
        <v>44.2</v>
      </c>
      <c r="H953" s="253" t="n">
        <v>9506</v>
      </c>
      <c r="I953" s="255" t="n">
        <v>0</v>
      </c>
      <c r="J953" s="678" t="n">
        <v>2156</v>
      </c>
      <c r="K953" s="679" t="n">
        <v>9.183673469387756</v>
      </c>
      <c r="L953" s="260" t="n">
        <v>0</v>
      </c>
      <c r="M953" s="262" t="n">
        <v>0.06702020202020202</v>
      </c>
      <c r="N953" s="253" t="n">
        <v>1957</v>
      </c>
      <c r="Q953" s="245" t="n">
        <v>12</v>
      </c>
      <c r="R953" s="245" t="n">
        <v>3</v>
      </c>
      <c r="S953" s="245" t="n">
        <v>1</v>
      </c>
      <c r="T953" s="249" t="inlineStr">
        <is>
          <t xml:space="preserve">I1   </t>
        </is>
      </c>
      <c r="U953" s="249" t="n">
        <v>398</v>
      </c>
      <c r="V953" s="678" t="n">
        <v>9370</v>
      </c>
      <c r="W953" s="678" t="n">
        <v>9000</v>
      </c>
      <c r="X953" s="356" t="inlineStr">
        <is>
          <t>4.3:1</t>
        </is>
      </c>
      <c r="Y953" s="678">
        <f>ROUND(J953,-3)</f>
        <v/>
      </c>
      <c r="Z953" s="249" t="inlineStr">
        <is>
          <t xml:space="preserve">C </t>
        </is>
      </c>
      <c r="AA953" s="245" t="n">
        <v>3</v>
      </c>
      <c r="AB953" s="245" t="n">
        <v>3</v>
      </c>
      <c r="AC953" s="253" t="inlineStr">
        <is>
          <t>33</t>
        </is>
      </c>
      <c r="AD953" s="247" t="inlineStr">
        <is>
          <t>                    </t>
        </is>
      </c>
      <c r="AE953" s="680" t="n"/>
      <c r="AF953" s="680" t="n"/>
      <c r="AG953" s="680" t="n"/>
      <c r="AH953" s="680" t="n"/>
      <c r="AI953" s="680" t="n"/>
      <c r="AJ953" s="680" t="n"/>
      <c r="AK953" s="680" t="inlineStr">
        <is>
          <t xml:space="preserve">S-T WHSE                                                          </t>
        </is>
      </c>
    </row>
    <row r="954">
      <c r="A954" s="248" t="n">
        <v>8</v>
      </c>
      <c r="B954" s="370" t="n">
        <v>946</v>
      </c>
      <c r="C954" s="254" t="inlineStr">
        <is>
          <t>2009Q</t>
        </is>
      </c>
      <c r="D954" s="245" t="inlineStr">
        <is>
          <t xml:space="preserve">05223-07-017-000 </t>
        </is>
      </c>
      <c r="E954" s="258" t="inlineStr">
        <is>
          <t>Actual</t>
        </is>
      </c>
      <c r="F954" s="259" t="inlineStr">
        <is>
          <t>1220 S BANNOCK              ST</t>
        </is>
      </c>
      <c r="G954" s="672" t="n">
        <v>47.1</v>
      </c>
      <c r="H954" s="253" t="n">
        <v>9506</v>
      </c>
      <c r="I954" s="255" t="n">
        <v>0</v>
      </c>
      <c r="J954" s="678" t="n">
        <v>6800</v>
      </c>
      <c r="K954" s="679" t="n">
        <v>6</v>
      </c>
      <c r="L954" s="260" t="n">
        <v>0</v>
      </c>
      <c r="M954" s="262" t="n">
        <v>0.09105392156862745</v>
      </c>
      <c r="N954" s="253" t="n">
        <v>1967</v>
      </c>
      <c r="O954" s="250" t="n">
        <v>2000</v>
      </c>
      <c r="Q954" s="245" t="n">
        <v>16</v>
      </c>
      <c r="R954" s="245" t="n">
        <v>1</v>
      </c>
      <c r="S954" s="245" t="n">
        <v>1</v>
      </c>
      <c r="T954" s="249" t="inlineStr">
        <is>
          <t xml:space="preserve">I1   </t>
        </is>
      </c>
      <c r="U954" s="249" t="n">
        <v>401</v>
      </c>
      <c r="V954" s="678" t="n">
        <v>11800</v>
      </c>
      <c r="W954" s="678" t="n">
        <v>12000</v>
      </c>
      <c r="X954" s="356" t="inlineStr">
        <is>
          <t>1.4:1</t>
        </is>
      </c>
      <c r="Y954" s="678">
        <f>ROUND(J954,-3)</f>
        <v/>
      </c>
      <c r="Z954" s="249" t="inlineStr">
        <is>
          <t xml:space="preserve">C </t>
        </is>
      </c>
      <c r="AA954" s="245" t="n">
        <v>3</v>
      </c>
      <c r="AB954" s="245" t="n">
        <v>3</v>
      </c>
      <c r="AC954" s="253" t="inlineStr">
        <is>
          <t>33</t>
        </is>
      </c>
      <c r="AD954" s="247" t="inlineStr">
        <is>
          <t>                    </t>
        </is>
      </c>
      <c r="AE954" s="680" t="n"/>
      <c r="AF954" s="680" t="n"/>
      <c r="AG954" s="680" t="n"/>
      <c r="AH954" s="680" t="n"/>
      <c r="AI954" s="680" t="n"/>
      <c r="AJ954" s="680" t="n"/>
      <c r="AK954" s="680" t="inlineStr">
        <is>
          <t xml:space="preserve">M-T WHSE.; 4 TENANTS                                              </t>
        </is>
      </c>
    </row>
    <row r="955">
      <c r="A955" s="248" t="n">
        <v>8</v>
      </c>
      <c r="B955" s="370" t="n">
        <v>947</v>
      </c>
      <c r="C955" s="254" t="inlineStr">
        <is>
          <t>2009Q</t>
        </is>
      </c>
      <c r="D955" s="245" t="inlineStr">
        <is>
          <t xml:space="preserve">05223-07-018-000 </t>
        </is>
      </c>
      <c r="E955" s="258" t="inlineStr">
        <is>
          <t>Actual</t>
        </is>
      </c>
      <c r="F955" s="259" t="inlineStr">
        <is>
          <t>1240 S BANNOCK              ST</t>
        </is>
      </c>
      <c r="G955" s="672" t="n">
        <v>47.2</v>
      </c>
      <c r="H955" s="253" t="n">
        <v>9506</v>
      </c>
      <c r="I955" s="255" t="n">
        <v>0</v>
      </c>
      <c r="J955" s="678" t="n">
        <v>7720</v>
      </c>
      <c r="K955" s="679" t="n">
        <v>3.329533678756477</v>
      </c>
      <c r="L955" s="260" t="n">
        <v>0</v>
      </c>
      <c r="M955" s="262" t="n">
        <v>0.1270230314347962</v>
      </c>
      <c r="N955" s="253" t="n">
        <v>1967</v>
      </c>
      <c r="O955" s="250" t="n">
        <v>1068</v>
      </c>
      <c r="P955" s="250" t="n">
        <v>1005</v>
      </c>
      <c r="Q955" s="245" t="n">
        <v>13</v>
      </c>
      <c r="R955" s="245" t="n">
        <v>1</v>
      </c>
      <c r="S955" s="245" t="n">
        <v>1</v>
      </c>
      <c r="T955" s="249" t="inlineStr">
        <is>
          <t xml:space="preserve">I1   </t>
        </is>
      </c>
      <c r="U955" s="249" t="n">
        <v>401</v>
      </c>
      <c r="V955" s="678" t="n">
        <v>12063</v>
      </c>
      <c r="W955" s="678" t="n">
        <v>12000</v>
      </c>
      <c r="X955" s="356" t="inlineStr">
        <is>
          <t>1.6:1</t>
        </is>
      </c>
      <c r="Y955" s="678">
        <f>ROUND(J955,-3)</f>
        <v/>
      </c>
      <c r="Z955" s="249" t="inlineStr">
        <is>
          <t xml:space="preserve">C </t>
        </is>
      </c>
      <c r="AA955" s="245" t="n">
        <v>3</v>
      </c>
      <c r="AB955" s="245" t="n">
        <v>3</v>
      </c>
      <c r="AC955" s="253" t="inlineStr">
        <is>
          <t>33</t>
        </is>
      </c>
      <c r="AD955" s="247" t="inlineStr">
        <is>
          <t>                    </t>
        </is>
      </c>
      <c r="AE955" s="680" t="n"/>
      <c r="AF955" s="680" t="n"/>
      <c r="AG955" s="680" t="n"/>
      <c r="AH955" s="680" t="n"/>
      <c r="AI955" s="680" t="n"/>
      <c r="AJ955" s="680" t="n"/>
      <c r="AK955" s="680" t="inlineStr">
        <is>
          <t xml:space="preserve">S-T INDUSTRIAL BLDG.; 2006 LEASE.                                 </t>
        </is>
      </c>
    </row>
    <row r="956">
      <c r="A956" s="248" t="n">
        <v>8</v>
      </c>
      <c r="B956" s="370" t="n">
        <v>948</v>
      </c>
      <c r="C956" s="254" t="inlineStr">
        <is>
          <t>2009Q</t>
        </is>
      </c>
      <c r="D956" s="245" t="inlineStr">
        <is>
          <t xml:space="preserve">05223-10-015-000 </t>
        </is>
      </c>
      <c r="E956" s="258" t="inlineStr">
        <is>
          <t>Actual</t>
        </is>
      </c>
      <c r="F956" s="259" t="inlineStr">
        <is>
          <t>1439 S BANNOCK              ST</t>
        </is>
      </c>
      <c r="G956" s="672" t="n">
        <v>44.2</v>
      </c>
      <c r="H956" s="253" t="n">
        <v>9506</v>
      </c>
      <c r="I956" s="255" t="n">
        <v>0</v>
      </c>
      <c r="J956" s="678" t="n">
        <v>5048</v>
      </c>
      <c r="K956" s="679" t="n">
        <v>2.852614896988907</v>
      </c>
      <c r="L956" s="260" t="n">
        <v>0</v>
      </c>
      <c r="M956" s="262" t="n">
        <v>0.06083333333333334</v>
      </c>
      <c r="N956" s="253" t="n">
        <v>1945</v>
      </c>
      <c r="O956" s="250" t="n">
        <v>293</v>
      </c>
      <c r="Q956" s="245" t="n">
        <v>13</v>
      </c>
      <c r="R956" s="245" t="n">
        <v>3</v>
      </c>
      <c r="S956" s="245" t="n">
        <v>1</v>
      </c>
      <c r="T956" s="249" t="inlineStr">
        <is>
          <t xml:space="preserve">I1   </t>
        </is>
      </c>
      <c r="U956" s="249" t="n">
        <v>398</v>
      </c>
      <c r="V956" s="678" t="n">
        <v>7620</v>
      </c>
      <c r="W956" s="678" t="n">
        <v>8000</v>
      </c>
      <c r="X956" s="356" t="inlineStr">
        <is>
          <t>1.5:1</t>
        </is>
      </c>
      <c r="Y956" s="678">
        <f>ROUND(J956,-3)</f>
        <v/>
      </c>
      <c r="Z956" s="249" t="inlineStr">
        <is>
          <t xml:space="preserve">C </t>
        </is>
      </c>
      <c r="AA956" s="245" t="n">
        <v>2</v>
      </c>
      <c r="AB956" s="245" t="n">
        <v>1</v>
      </c>
      <c r="AC956" s="253" t="inlineStr">
        <is>
          <t>21</t>
        </is>
      </c>
      <c r="AD956" s="247" t="inlineStr">
        <is>
          <t>                    </t>
        </is>
      </c>
      <c r="AE956" s="680" t="n"/>
      <c r="AF956" s="680" t="n"/>
      <c r="AG956" s="680" t="n"/>
      <c r="AH956" s="680" t="n"/>
      <c r="AI956" s="680" t="n"/>
      <c r="AJ956" s="680" t="n"/>
      <c r="AK956" s="680" t="inlineStr">
        <is>
          <t xml:space="preserve">S-T WHSE.; MO-TO-MO LEASES                                        </t>
        </is>
      </c>
    </row>
    <row r="957">
      <c r="A957" s="248" t="n">
        <v>8</v>
      </c>
      <c r="B957" s="370" t="n">
        <v>949</v>
      </c>
      <c r="C957" s="254" t="inlineStr">
        <is>
          <t>2009Q</t>
        </is>
      </c>
      <c r="D957" s="245" t="inlineStr">
        <is>
          <t xml:space="preserve">05223-10-030-000 </t>
        </is>
      </c>
      <c r="E957" s="258" t="inlineStr">
        <is>
          <t>Actual</t>
        </is>
      </c>
      <c r="F957" s="259" t="inlineStr">
        <is>
          <t>200 W LOUISIANA            AV</t>
        </is>
      </c>
      <c r="G957" s="672" t="n">
        <v>44.2</v>
      </c>
      <c r="H957" s="253" t="n">
        <v>9506</v>
      </c>
      <c r="I957" s="255" t="n">
        <v>0</v>
      </c>
      <c r="J957" s="678" t="n">
        <v>9984</v>
      </c>
      <c r="K957" s="679" t="n">
        <v>7.211538461538462</v>
      </c>
      <c r="L957" s="260" t="n">
        <v>0</v>
      </c>
      <c r="M957" s="262" t="n">
        <v>0.01388888888888889</v>
      </c>
      <c r="N957" s="253" t="n">
        <v>1995</v>
      </c>
      <c r="O957" s="250">
        <f>1650+1398</f>
        <v/>
      </c>
      <c r="Q957" s="245" t="n">
        <v>20</v>
      </c>
      <c r="R957" s="245" t="n">
        <v>3</v>
      </c>
      <c r="S957" s="245" t="n">
        <v>1</v>
      </c>
      <c r="T957" s="249" t="inlineStr">
        <is>
          <t xml:space="preserve">I2   </t>
        </is>
      </c>
      <c r="U957" s="249" t="n">
        <v>398</v>
      </c>
      <c r="V957" s="678" t="n">
        <v>16886</v>
      </c>
      <c r="W957" s="678" t="n">
        <v>17000</v>
      </c>
      <c r="X957" s="356" t="inlineStr">
        <is>
          <t>1.7:1</t>
        </is>
      </c>
      <c r="Y957" s="678">
        <f>ROUND(J957,-3)</f>
        <v/>
      </c>
      <c r="Z957" s="249" t="inlineStr">
        <is>
          <t xml:space="preserve">C </t>
        </is>
      </c>
      <c r="AA957" s="245" t="n">
        <v>3</v>
      </c>
      <c r="AB957" s="245" t="n">
        <v>3</v>
      </c>
      <c r="AC957" s="253" t="inlineStr">
        <is>
          <t>33</t>
        </is>
      </c>
      <c r="AD957" s="247" t="inlineStr">
        <is>
          <t xml:space="preserve">DIST WAREHOUSE      </t>
        </is>
      </c>
      <c r="AE957" s="680" t="n"/>
      <c r="AF957" s="680" t="n"/>
      <c r="AG957" s="680" t="n"/>
      <c r="AH957" s="680" t="n"/>
      <c r="AI957" s="680" t="n"/>
      <c r="AJ957" s="680" t="n"/>
      <c r="AK957" s="680" t="inlineStr">
        <is>
          <t xml:space="preserve">S-T WHSE.; 2005 LEASE.                                            </t>
        </is>
      </c>
    </row>
    <row r="958">
      <c r="A958" s="248" t="n">
        <v>8</v>
      </c>
      <c r="B958" s="370" t="n">
        <v>950</v>
      </c>
      <c r="C958" s="254" t="inlineStr">
        <is>
          <t>2009Q</t>
        </is>
      </c>
      <c r="D958" s="245" t="inlineStr">
        <is>
          <t xml:space="preserve">05223-10-032-000 </t>
        </is>
      </c>
      <c r="E958" s="258" t="inlineStr">
        <is>
          <t>Actual</t>
        </is>
      </c>
      <c r="F958" s="259" t="inlineStr">
        <is>
          <t>1438 S CHEROKEE             ST</t>
        </is>
      </c>
      <c r="G958" s="672" t="n">
        <v>44.1</v>
      </c>
      <c r="H958" s="253" t="n">
        <v>9506</v>
      </c>
      <c r="I958" s="255" t="n">
        <v>0</v>
      </c>
      <c r="J958" s="678" t="n">
        <v>11667</v>
      </c>
      <c r="K958" s="679" t="n">
        <v>5.999828576326391</v>
      </c>
      <c r="L958" s="260" t="n">
        <v>0</v>
      </c>
      <c r="M958" s="262" t="n">
        <v>0</v>
      </c>
      <c r="N958" s="253" t="n">
        <v>1954</v>
      </c>
      <c r="O958" s="250" t="n">
        <v>1351</v>
      </c>
      <c r="Q958" s="245" t="n">
        <v>14</v>
      </c>
      <c r="R958" s="245" t="n">
        <v>3</v>
      </c>
      <c r="S958" s="245" t="n">
        <v>1</v>
      </c>
      <c r="T958" s="249" t="inlineStr">
        <is>
          <t xml:space="preserve">I1   </t>
        </is>
      </c>
      <c r="U958" s="249" t="n">
        <v>398</v>
      </c>
      <c r="V958" s="678" t="n">
        <v>13750</v>
      </c>
      <c r="W958" s="678" t="n">
        <v>14000</v>
      </c>
      <c r="X958" s="356" t="inlineStr">
        <is>
          <t>2.1:1</t>
        </is>
      </c>
      <c r="Y958" s="678">
        <f>ROUND(J958,-3)</f>
        <v/>
      </c>
      <c r="Z958" s="249" t="inlineStr">
        <is>
          <t xml:space="preserve">C </t>
        </is>
      </c>
      <c r="AA958" s="245" t="n">
        <v>3</v>
      </c>
      <c r="AB958" s="245" t="n">
        <v>3</v>
      </c>
      <c r="AC958" s="253" t="inlineStr">
        <is>
          <t>33</t>
        </is>
      </c>
      <c r="AD958" s="247" t="inlineStr">
        <is>
          <t xml:space="preserve">CYCLO               </t>
        </is>
      </c>
      <c r="AE958" s="680" t="n"/>
      <c r="AF958" s="680" t="n"/>
      <c r="AG958" s="680" t="n"/>
      <c r="AH958" s="680" t="n"/>
      <c r="AI958" s="680" t="n"/>
      <c r="AJ958" s="680" t="n"/>
      <c r="AK958" s="680" t="inlineStr">
        <is>
          <t xml:space="preserve">S-T WHSE.; 2006 LEASE?;MUST BE 2ND BLDG INVOLVED TO TOTAL 12230SF </t>
        </is>
      </c>
    </row>
    <row r="959">
      <c r="A959" s="248" t="n">
        <v>8</v>
      </c>
      <c r="B959" s="370" t="n">
        <v>951</v>
      </c>
      <c r="C959" s="254" t="inlineStr">
        <is>
          <t>2009Q</t>
        </is>
      </c>
      <c r="D959" s="245" t="inlineStr">
        <is>
          <t xml:space="preserve">05223-10-033-000 </t>
        </is>
      </c>
      <c r="E959" s="258" t="inlineStr">
        <is>
          <t>Actual</t>
        </is>
      </c>
      <c r="F959" s="259" t="inlineStr">
        <is>
          <t>1468 S CHEROKEE             ST</t>
        </is>
      </c>
      <c r="G959" s="672" t="n">
        <v>44.2</v>
      </c>
      <c r="H959" s="253" t="n">
        <v>9506</v>
      </c>
      <c r="I959" s="255" t="n">
        <v>0</v>
      </c>
      <c r="J959" s="678" t="n">
        <v>3400</v>
      </c>
      <c r="K959" s="679" t="n">
        <v>7.058823529411764</v>
      </c>
      <c r="L959" s="260" t="n">
        <v>0</v>
      </c>
      <c r="M959" s="262" t="n">
        <v>0.07666666666666666</v>
      </c>
      <c r="N959" s="253" t="n">
        <v>1998</v>
      </c>
      <c r="O959" s="250">
        <f>207+450</f>
        <v/>
      </c>
      <c r="Q959" s="245" t="n">
        <v>15</v>
      </c>
      <c r="R959" s="245" t="n">
        <v>7</v>
      </c>
      <c r="S959" s="245" t="n">
        <v>3</v>
      </c>
      <c r="T959" s="249" t="inlineStr">
        <is>
          <t xml:space="preserve">I1   </t>
        </is>
      </c>
      <c r="U959" s="249" t="n">
        <v>398</v>
      </c>
      <c r="V959" s="678" t="n">
        <v>10950</v>
      </c>
      <c r="W959" s="678" t="n">
        <v>11000</v>
      </c>
      <c r="X959" s="356" t="inlineStr">
        <is>
          <t>2.4:1</t>
        </is>
      </c>
      <c r="Y959" s="678">
        <f>ROUND(J959,-3)</f>
        <v/>
      </c>
      <c r="Z959" s="249" t="inlineStr">
        <is>
          <t xml:space="preserve">C </t>
        </is>
      </c>
      <c r="AA959" s="245" t="n">
        <v>3</v>
      </c>
      <c r="AB959" s="245" t="n">
        <v>3</v>
      </c>
      <c r="AC959" s="253" t="inlineStr">
        <is>
          <t>33</t>
        </is>
      </c>
      <c r="AD959" s="247" t="inlineStr">
        <is>
          <t xml:space="preserve">M-WHSE              </t>
        </is>
      </c>
      <c r="AE959" s="680" t="n"/>
      <c r="AF959" s="680" t="n"/>
      <c r="AG959" s="680" t="n"/>
      <c r="AH959" s="680" t="n"/>
      <c r="AI959" s="680" t="n"/>
      <c r="AJ959" s="680" t="n"/>
      <c r="AK959" s="680" t="inlineStr">
        <is>
          <t xml:space="preserve">M-T WHSE; 2 TENANTS; ONLY FIGURES FOR RENTED AREA SHOWN           </t>
        </is>
      </c>
    </row>
    <row r="960">
      <c r="A960" s="248" t="n">
        <v>8</v>
      </c>
      <c r="B960" s="370" t="n">
        <v>952</v>
      </c>
      <c r="C960" s="254" t="inlineStr">
        <is>
          <t>2009Q</t>
        </is>
      </c>
      <c r="D960" s="245" t="inlineStr">
        <is>
          <t xml:space="preserve">05226-01-002-000 </t>
        </is>
      </c>
      <c r="E960" s="258" t="inlineStr">
        <is>
          <t>Actual</t>
        </is>
      </c>
      <c r="F960" s="259" t="inlineStr">
        <is>
          <t>1510 S ACOMA                ST</t>
        </is>
      </c>
      <c r="G960" s="672" t="n">
        <v>44.2</v>
      </c>
      <c r="H960" s="253" t="n">
        <v>9506</v>
      </c>
      <c r="I960" s="255" t="n">
        <v>0</v>
      </c>
      <c r="J960" s="678" t="n">
        <v>3486</v>
      </c>
      <c r="K960" s="679" t="n">
        <v>6.411359724612737</v>
      </c>
      <c r="L960" s="260" t="n">
        <v>0</v>
      </c>
      <c r="M960" s="262" t="n">
        <v>0.06997762863534676</v>
      </c>
      <c r="N960" s="253" t="n">
        <v>1963</v>
      </c>
      <c r="O960" s="250" t="n">
        <v>775</v>
      </c>
      <c r="Q960" s="245" t="n">
        <v>13</v>
      </c>
      <c r="R960" s="245" t="n">
        <v>1</v>
      </c>
      <c r="S960" s="245" t="n">
        <v>2</v>
      </c>
      <c r="T960" s="249" t="inlineStr">
        <is>
          <t xml:space="preserve">I1   </t>
        </is>
      </c>
      <c r="U960" s="249" t="n">
        <v>398</v>
      </c>
      <c r="V960" s="678" t="n">
        <v>6248</v>
      </c>
      <c r="W960" s="678" t="n">
        <v>6000</v>
      </c>
      <c r="X960" s="356" t="inlineStr">
        <is>
          <t>1.8:1</t>
        </is>
      </c>
      <c r="Y960" s="678">
        <f>ROUND(J960,-3)</f>
        <v/>
      </c>
      <c r="Z960" s="249" t="inlineStr">
        <is>
          <t xml:space="preserve">C </t>
        </is>
      </c>
      <c r="AA960" s="245" t="n">
        <v>3</v>
      </c>
      <c r="AB960" s="245" t="n">
        <v>3</v>
      </c>
      <c r="AC960" s="253" t="inlineStr">
        <is>
          <t>33</t>
        </is>
      </c>
      <c r="AD960" s="247" t="inlineStr">
        <is>
          <t>S-W AQUA CORP. /TERR</t>
        </is>
      </c>
      <c r="AE960" s="680" t="n"/>
      <c r="AF960" s="680" t="n"/>
      <c r="AG960" s="680" t="n"/>
      <c r="AH960" s="680" t="n"/>
      <c r="AI960" s="680" t="n"/>
      <c r="AJ960" s="680" t="n"/>
      <c r="AK960" s="680" t="inlineStr">
        <is>
          <t xml:space="preserve">M-T WHSE.; 2 TENANTS; YR-TO-YR LEASE.                             </t>
        </is>
      </c>
    </row>
    <row r="961">
      <c r="A961" s="248" t="n">
        <v>8</v>
      </c>
      <c r="B961" s="370" t="n">
        <v>953</v>
      </c>
      <c r="C961" s="254" t="inlineStr">
        <is>
          <t>2009Q</t>
        </is>
      </c>
      <c r="D961" s="245" t="inlineStr">
        <is>
          <t xml:space="preserve">05226-01-028-000 </t>
        </is>
      </c>
      <c r="E961" s="258" t="inlineStr">
        <is>
          <t>Actual</t>
        </is>
      </c>
      <c r="F961" s="259" t="inlineStr">
        <is>
          <t>1586 S ACOMA                ST</t>
        </is>
      </c>
      <c r="G961" s="672" t="n">
        <v>44.2</v>
      </c>
      <c r="H961" s="253" t="n">
        <v>9506</v>
      </c>
      <c r="I961" s="255" t="n">
        <v>0</v>
      </c>
      <c r="J961" s="678" t="n">
        <v>7000</v>
      </c>
      <c r="K961" s="679" t="n">
        <v>6.857142857142857</v>
      </c>
      <c r="L961" s="260" t="n">
        <v>0.25</v>
      </c>
      <c r="M961" s="262" t="n">
        <v>0</v>
      </c>
      <c r="N961" s="253" t="n">
        <v>1967</v>
      </c>
      <c r="O961" s="250" t="n">
        <v>2500</v>
      </c>
      <c r="Q961" s="245" t="n">
        <v>14</v>
      </c>
      <c r="R961" s="245" t="n">
        <v>1</v>
      </c>
      <c r="S961" s="245" t="n">
        <v>1</v>
      </c>
      <c r="T961" s="249" t="inlineStr">
        <is>
          <t xml:space="preserve">I1   </t>
        </is>
      </c>
      <c r="U961" s="249" t="n">
        <v>398</v>
      </c>
      <c r="V961" s="678" t="n">
        <v>12500</v>
      </c>
      <c r="W961" s="678" t="n">
        <v>13000</v>
      </c>
      <c r="X961" s="356" t="inlineStr">
        <is>
          <t>1.8:1</t>
        </is>
      </c>
      <c r="Y961" s="678">
        <f>ROUND(J961,-3)</f>
        <v/>
      </c>
      <c r="Z961" s="249" t="inlineStr">
        <is>
          <t xml:space="preserve">C </t>
        </is>
      </c>
      <c r="AA961" s="245" t="n">
        <v>3</v>
      </c>
      <c r="AB961" s="245" t="n">
        <v>3</v>
      </c>
      <c r="AC961" s="253" t="inlineStr">
        <is>
          <t>33</t>
        </is>
      </c>
      <c r="AD961" s="247" t="inlineStr">
        <is>
          <t>                    </t>
        </is>
      </c>
      <c r="AE961" s="680" t="n"/>
      <c r="AF961" s="680" t="n"/>
      <c r="AG961" s="680" t="n"/>
      <c r="AH961" s="680" t="n"/>
      <c r="AI961" s="680" t="n"/>
      <c r="AJ961" s="680" t="n"/>
      <c r="AK961" s="680" t="inlineStr">
        <is>
          <t xml:space="preserve">M-T WHSE.; 4 TENANTS; YR-TO-YR LEASES.                            </t>
        </is>
      </c>
    </row>
    <row r="962">
      <c r="A962" s="248" t="n">
        <v>8</v>
      </c>
      <c r="B962" s="370" t="n">
        <v>954</v>
      </c>
      <c r="C962" s="254" t="inlineStr">
        <is>
          <t>2009Q</t>
        </is>
      </c>
      <c r="D962" s="245" t="inlineStr">
        <is>
          <t xml:space="preserve">05226-10-028-000 </t>
        </is>
      </c>
      <c r="E962" s="258" t="inlineStr">
        <is>
          <t>Actual</t>
        </is>
      </c>
      <c r="F962" s="259" t="inlineStr">
        <is>
          <t>1701 S BROADWAY             ST</t>
        </is>
      </c>
      <c r="G962" s="672" t="n">
        <v>44.2</v>
      </c>
      <c r="H962" s="253" t="n">
        <v>9506</v>
      </c>
      <c r="I962" s="255" t="n">
        <v>2</v>
      </c>
      <c r="J962" s="678" t="n">
        <v>12500</v>
      </c>
      <c r="K962" s="679" t="n">
        <v>6.98592</v>
      </c>
      <c r="L962" s="260" t="n">
        <v>0</v>
      </c>
      <c r="M962" s="262" t="n">
        <v>0</v>
      </c>
      <c r="N962" s="253" t="n">
        <v>1932</v>
      </c>
      <c r="O962" s="250" t="n">
        <v>1800</v>
      </c>
      <c r="Q962" s="245" t="n">
        <v>16</v>
      </c>
      <c r="R962" s="245" t="n">
        <v>1</v>
      </c>
      <c r="S962" s="245" t="n">
        <v>1</v>
      </c>
      <c r="T962" s="249" t="inlineStr">
        <is>
          <t xml:space="preserve">B4   </t>
        </is>
      </c>
      <c r="U962" s="249" t="n">
        <v>398</v>
      </c>
      <c r="V962" s="678" t="n">
        <v>15624</v>
      </c>
      <c r="W962" s="678" t="n">
        <v>16000</v>
      </c>
      <c r="X962" s="356" t="inlineStr">
        <is>
          <t>1.0:1</t>
        </is>
      </c>
      <c r="Y962" s="678">
        <f>ROUND(J962,-3)</f>
        <v/>
      </c>
      <c r="Z962" s="249" t="inlineStr">
        <is>
          <t xml:space="preserve">C </t>
        </is>
      </c>
      <c r="AA962" s="245" t="n">
        <v>3</v>
      </c>
      <c r="AB962" s="245" t="n">
        <v>3</v>
      </c>
      <c r="AC962" s="253" t="inlineStr">
        <is>
          <t>33</t>
        </is>
      </c>
      <c r="AD962" s="247" t="inlineStr">
        <is>
          <t>                    </t>
        </is>
      </c>
      <c r="AE962" s="680" t="n"/>
      <c r="AF962" s="680" t="n"/>
      <c r="AG962" s="680" t="n"/>
      <c r="AH962" s="680" t="n"/>
      <c r="AI962" s="680" t="n"/>
      <c r="AJ962" s="680" t="n"/>
      <c r="AK962" s="680" t="inlineStr">
        <is>
          <t xml:space="preserve">S-T WHSE; 07/08 LEASE CONSIDERED NEGOTIATED IN BASE PERIOD.       </t>
        </is>
      </c>
    </row>
    <row r="963">
      <c r="A963" s="248" t="n">
        <v>8</v>
      </c>
      <c r="B963" s="370" t="n">
        <v>955</v>
      </c>
      <c r="C963" s="254" t="inlineStr">
        <is>
          <t>2009Q</t>
        </is>
      </c>
      <c r="D963" s="245" t="inlineStr">
        <is>
          <t xml:space="preserve">05226-16-031-000 </t>
        </is>
      </c>
      <c r="E963" s="258" t="inlineStr">
        <is>
          <t>Actual</t>
        </is>
      </c>
      <c r="F963" s="259" t="inlineStr">
        <is>
          <t>1865 S ACOMA                ST</t>
        </is>
      </c>
      <c r="G963" s="672" t="n">
        <v>44.2</v>
      </c>
      <c r="H963" s="253" t="n">
        <v>9506</v>
      </c>
      <c r="I963" s="255" t="n">
        <v>0</v>
      </c>
      <c r="J963" s="678" t="n">
        <v>5920</v>
      </c>
      <c r="K963" s="679" t="n">
        <v>6.993243243243243</v>
      </c>
      <c r="L963" s="260" t="n">
        <v>0</v>
      </c>
      <c r="M963" s="262" t="n">
        <v>0.124975845410628</v>
      </c>
      <c r="N963" s="253" t="n">
        <v>1972</v>
      </c>
      <c r="O963" s="250" t="n">
        <v>1406</v>
      </c>
      <c r="Q963" s="245" t="n">
        <v>13</v>
      </c>
      <c r="R963" s="245" t="n">
        <v>3</v>
      </c>
      <c r="S963" s="245" t="n">
        <v>4</v>
      </c>
      <c r="T963" s="249" t="inlineStr">
        <is>
          <t xml:space="preserve">I1   </t>
        </is>
      </c>
      <c r="U963" s="249" t="n">
        <v>398</v>
      </c>
      <c r="V963" s="678" t="n">
        <v>9430</v>
      </c>
      <c r="W963" s="678" t="n">
        <v>9000</v>
      </c>
      <c r="X963" s="356" t="inlineStr">
        <is>
          <t>1.6:1</t>
        </is>
      </c>
      <c r="Y963" s="678">
        <f>ROUND(J963,-3)</f>
        <v/>
      </c>
      <c r="Z963" s="249" t="inlineStr">
        <is>
          <t xml:space="preserve">C </t>
        </is>
      </c>
      <c r="AA963" s="245" t="n">
        <v>3</v>
      </c>
      <c r="AB963" s="245" t="n">
        <v>3</v>
      </c>
      <c r="AC963" s="253" t="inlineStr">
        <is>
          <t>33</t>
        </is>
      </c>
      <c r="AD963" s="247" t="inlineStr">
        <is>
          <t>                    </t>
        </is>
      </c>
      <c r="AE963" s="680" t="n"/>
      <c r="AF963" s="680" t="n"/>
      <c r="AG963" s="680" t="n"/>
      <c r="AH963" s="680" t="n"/>
      <c r="AI963" s="680" t="n"/>
      <c r="AJ963" s="680" t="n"/>
      <c r="AK963" s="680" t="inlineStr">
        <is>
          <t xml:space="preserve">M-T WHSE.; 3 TENANTS; AGE OF LEASES UNKNOWN.                      </t>
        </is>
      </c>
    </row>
    <row r="964">
      <c r="A964" s="248" t="n">
        <v>8</v>
      </c>
      <c r="B964" s="370" t="n">
        <v>956</v>
      </c>
      <c r="C964" s="254" t="inlineStr">
        <is>
          <t>2009Q</t>
        </is>
      </c>
      <c r="D964" s="245" t="inlineStr">
        <is>
          <t xml:space="preserve">05226-16-033-000 </t>
        </is>
      </c>
      <c r="E964" s="258" t="inlineStr">
        <is>
          <t>Actual</t>
        </is>
      </c>
      <c r="F964" s="259" t="inlineStr">
        <is>
          <t>1879 S ACOMA                ST</t>
        </is>
      </c>
      <c r="G964" s="672" t="n">
        <v>44.2</v>
      </c>
      <c r="H964" s="253" t="n">
        <v>9506</v>
      </c>
      <c r="I964" s="255" t="n">
        <v>0</v>
      </c>
      <c r="J964" s="678" t="n">
        <v>4312</v>
      </c>
      <c r="K964" s="679" t="n">
        <v>6.957328385899815</v>
      </c>
      <c r="L964" s="260" t="n">
        <v>0</v>
      </c>
      <c r="M964" s="262" t="n">
        <v>0</v>
      </c>
      <c r="N964" s="253" t="n">
        <v>1973</v>
      </c>
      <c r="O964" s="250" t="n">
        <v>390</v>
      </c>
      <c r="Q964" s="245" t="n">
        <v>18</v>
      </c>
      <c r="R964" s="245" t="n">
        <v>9</v>
      </c>
      <c r="S964" s="245" t="n">
        <v>1</v>
      </c>
      <c r="T964" s="249" t="inlineStr">
        <is>
          <t xml:space="preserve">I1   </t>
        </is>
      </c>
      <c r="U964" s="249" t="n">
        <v>398</v>
      </c>
      <c r="V964" s="678" t="n">
        <v>6327</v>
      </c>
      <c r="W964" s="678" t="n">
        <v>6000</v>
      </c>
      <c r="X964" s="356" t="inlineStr">
        <is>
          <t>1.5:1</t>
        </is>
      </c>
      <c r="Y964" s="678">
        <f>ROUND(J964,-3)</f>
        <v/>
      </c>
      <c r="Z964" s="249" t="inlineStr">
        <is>
          <t xml:space="preserve">C </t>
        </is>
      </c>
      <c r="AA964" s="245" t="n">
        <v>3</v>
      </c>
      <c r="AB964" s="245" t="n">
        <v>3</v>
      </c>
      <c r="AC964" s="253" t="inlineStr">
        <is>
          <t>33</t>
        </is>
      </c>
      <c r="AD964" s="247" t="inlineStr">
        <is>
          <t xml:space="preserve">S-W THE PRESSROOM   </t>
        </is>
      </c>
      <c r="AE964" s="680" t="n"/>
      <c r="AF964" s="680" t="n"/>
      <c r="AG964" s="680" t="n"/>
      <c r="AH964" s="680" t="n"/>
      <c r="AI964" s="680" t="n"/>
      <c r="AJ964" s="680" t="n"/>
      <c r="AK964" s="680" t="inlineStr">
        <is>
          <t xml:space="preserve">S-T WHSE.; 2004 LEASE.                                            </t>
        </is>
      </c>
    </row>
    <row r="965">
      <c r="A965" s="248" t="n">
        <v>8</v>
      </c>
      <c r="B965" s="370" t="n">
        <v>957</v>
      </c>
      <c r="C965" s="254" t="inlineStr">
        <is>
          <t>2009Q</t>
        </is>
      </c>
      <c r="D965" s="245" t="inlineStr">
        <is>
          <t xml:space="preserve">05226-16-040-000 </t>
        </is>
      </c>
      <c r="E965" s="258" t="inlineStr">
        <is>
          <t>Actual</t>
        </is>
      </c>
      <c r="F965" s="259" t="inlineStr">
        <is>
          <t>1853 S ACOMA                ST</t>
        </is>
      </c>
      <c r="G965" s="672" t="n">
        <v>44.2</v>
      </c>
      <c r="H965" s="253" t="n">
        <v>9506</v>
      </c>
      <c r="I965" s="255" t="n">
        <v>0</v>
      </c>
      <c r="J965" s="678" t="n">
        <v>4991</v>
      </c>
      <c r="K965" s="679" t="n">
        <v>5.40973752754959</v>
      </c>
      <c r="L965" s="260" t="n">
        <v>0</v>
      </c>
      <c r="M965" s="262" t="n">
        <v>0.08922222222222222</v>
      </c>
      <c r="N965" s="253" t="n">
        <v>1970</v>
      </c>
      <c r="O965" s="250" t="n">
        <v>744</v>
      </c>
      <c r="Q965" s="245" t="n">
        <v>14</v>
      </c>
      <c r="R965" s="245" t="n">
        <v>3</v>
      </c>
      <c r="S965" s="245" t="n">
        <v>1</v>
      </c>
      <c r="T965" s="249" t="inlineStr">
        <is>
          <t xml:space="preserve">I1   </t>
        </is>
      </c>
      <c r="U965" s="249" t="n">
        <v>398</v>
      </c>
      <c r="V965" s="678" t="n">
        <v>7751</v>
      </c>
      <c r="W965" s="678" t="n">
        <v>8000</v>
      </c>
      <c r="X965" s="356" t="inlineStr">
        <is>
          <t>1.6:1</t>
        </is>
      </c>
      <c r="Y965" s="678">
        <f>ROUND(J965,-3)</f>
        <v/>
      </c>
      <c r="Z965" s="249" t="inlineStr">
        <is>
          <t xml:space="preserve">C </t>
        </is>
      </c>
      <c r="AA965" s="245" t="n">
        <v>3</v>
      </c>
      <c r="AB965" s="245" t="n">
        <v>3</v>
      </c>
      <c r="AC965" s="253" t="inlineStr">
        <is>
          <t>33</t>
        </is>
      </c>
      <c r="AD965" s="247" t="inlineStr">
        <is>
          <t xml:space="preserve">S-W HAMMILL WEST    </t>
        </is>
      </c>
      <c r="AE965" s="680" t="n"/>
      <c r="AF965" s="680" t="n"/>
      <c r="AG965" s="680" t="n"/>
      <c r="AH965" s="680" t="n"/>
      <c r="AI965" s="680" t="n"/>
      <c r="AJ965" s="680" t="n"/>
      <c r="AK965" s="680" t="inlineStr">
        <is>
          <t xml:space="preserve">S-T WHSE.; YR-TO-YR LEASE.                                        </t>
        </is>
      </c>
    </row>
    <row r="966">
      <c r="A966" s="248" t="n">
        <v>8</v>
      </c>
      <c r="B966" s="370" t="n">
        <v>958</v>
      </c>
      <c r="C966" s="254" t="inlineStr">
        <is>
          <t>2009Q</t>
        </is>
      </c>
      <c r="D966" s="245" t="inlineStr">
        <is>
          <t xml:space="preserve">05226-17-017-000 </t>
        </is>
      </c>
      <c r="E966" s="258" t="inlineStr">
        <is>
          <t>Actual</t>
        </is>
      </c>
      <c r="F966" s="259" t="inlineStr">
        <is>
          <t>1860 S ACOMA                ST</t>
        </is>
      </c>
      <c r="G966" s="672" t="n">
        <v>44.2</v>
      </c>
      <c r="H966" s="253" t="n">
        <v>9506</v>
      </c>
      <c r="I966" s="255" t="n">
        <v>0</v>
      </c>
      <c r="J966" s="678" t="n">
        <v>4704</v>
      </c>
      <c r="K966" s="679" t="n">
        <v>4.039115646258503</v>
      </c>
      <c r="L966" s="260" t="n">
        <v>0</v>
      </c>
      <c r="M966" s="262" t="n">
        <v>0</v>
      </c>
      <c r="N966" s="253" t="n">
        <v>1958</v>
      </c>
      <c r="P966" s="250" t="n">
        <v>1208</v>
      </c>
      <c r="Q966" s="245" t="n">
        <v>10</v>
      </c>
      <c r="R966" s="245" t="n">
        <v>1</v>
      </c>
      <c r="S966" s="245" t="n">
        <v>1</v>
      </c>
      <c r="T966" s="249" t="inlineStr">
        <is>
          <t xml:space="preserve">I1   </t>
        </is>
      </c>
      <c r="U966" s="249" t="n">
        <v>398</v>
      </c>
      <c r="V966" s="678" t="n">
        <v>6250</v>
      </c>
      <c r="W966" s="678" t="n">
        <v>6000</v>
      </c>
      <c r="X966" s="356" t="inlineStr">
        <is>
          <t>1.3:1</t>
        </is>
      </c>
      <c r="Y966" s="678">
        <f>ROUND(J966,-3)</f>
        <v/>
      </c>
      <c r="Z966" s="249" t="inlineStr">
        <is>
          <t xml:space="preserve">C </t>
        </is>
      </c>
      <c r="AA966" s="245" t="n">
        <v>3</v>
      </c>
      <c r="AB966" s="245" t="n">
        <v>3</v>
      </c>
      <c r="AC966" s="253" t="inlineStr">
        <is>
          <t>33</t>
        </is>
      </c>
      <c r="AD966" s="247" t="inlineStr">
        <is>
          <t xml:space="preserve">S-W ELECTRIC SUPPLY </t>
        </is>
      </c>
      <c r="AE966" s="680" t="n"/>
      <c r="AF966" s="680" t="n"/>
      <c r="AG966" s="680" t="n"/>
      <c r="AH966" s="680" t="n"/>
      <c r="AI966" s="680" t="n"/>
      <c r="AJ966" s="680" t="n"/>
      <c r="AK966" s="680" t="inlineStr">
        <is>
          <t xml:space="preserve">S-T WHSE.; MO-TO-MO LEASE.                                        </t>
        </is>
      </c>
    </row>
    <row r="967">
      <c r="A967" s="248" t="n">
        <v>8</v>
      </c>
      <c r="B967" s="370" t="n">
        <v>959</v>
      </c>
      <c r="C967" s="254" t="inlineStr">
        <is>
          <t>2009Q</t>
        </is>
      </c>
      <c r="D967" s="245" t="inlineStr">
        <is>
          <t xml:space="preserve">05271-23-002-000 </t>
        </is>
      </c>
      <c r="E967" s="258" t="inlineStr">
        <is>
          <t>Actual</t>
        </is>
      </c>
      <c r="F967" s="259" t="inlineStr">
        <is>
          <t>2112 S WASHINGTON           ST</t>
        </is>
      </c>
      <c r="G967" s="672" t="n">
        <v>44.1</v>
      </c>
      <c r="H967" s="253" t="n">
        <v>9509</v>
      </c>
      <c r="I967" s="255" t="n">
        <v>0</v>
      </c>
      <c r="J967" s="678" t="n">
        <v>798</v>
      </c>
      <c r="K967" s="679" t="n">
        <v>11.2781954887218</v>
      </c>
      <c r="L967" s="260" t="n">
        <v>0</v>
      </c>
      <c r="M967" s="262" t="n">
        <v>0</v>
      </c>
      <c r="N967" s="253" t="n">
        <v>1956</v>
      </c>
      <c r="O967" s="250" t="n">
        <v>200</v>
      </c>
      <c r="Q967" s="245" t="n">
        <v>14</v>
      </c>
      <c r="R967" s="245" t="n">
        <v>3</v>
      </c>
      <c r="S967" s="245" t="n">
        <v>1</v>
      </c>
      <c r="T967" s="249" t="inlineStr">
        <is>
          <t xml:space="preserve">R2   </t>
        </is>
      </c>
      <c r="U967" s="249" t="n">
        <v>398</v>
      </c>
      <c r="V967" s="678" t="n">
        <v>4700</v>
      </c>
      <c r="W967" s="678" t="n">
        <v>5000</v>
      </c>
      <c r="X967" s="356" t="inlineStr">
        <is>
          <t>5.9:1</t>
        </is>
      </c>
      <c r="Y967" s="678">
        <f>ROUND(J967,-2)</f>
        <v/>
      </c>
      <c r="Z967" s="249" t="inlineStr">
        <is>
          <t xml:space="preserve">C </t>
        </is>
      </c>
      <c r="AA967" s="245" t="n">
        <v>3</v>
      </c>
      <c r="AB967" s="245" t="n">
        <v>3</v>
      </c>
      <c r="AC967" s="253" t="inlineStr">
        <is>
          <t>33</t>
        </is>
      </c>
      <c r="AD967" s="247" t="inlineStr">
        <is>
          <t xml:space="preserve">S-W D.C. PLUMBING   </t>
        </is>
      </c>
      <c r="AE967" s="680" t="n"/>
      <c r="AF967" s="680" t="n"/>
      <c r="AG967" s="680" t="n"/>
      <c r="AH967" s="680" t="n"/>
      <c r="AI967" s="680" t="n"/>
      <c r="AJ967" s="680" t="n"/>
      <c r="AK967" s="680" t="inlineStr">
        <is>
          <t xml:space="preserve">S-T WHSE.; NO LEASE.                                              </t>
        </is>
      </c>
    </row>
    <row r="968">
      <c r="A968" s="248" t="n">
        <v>8</v>
      </c>
      <c r="B968" s="370" t="n">
        <v>960</v>
      </c>
      <c r="C968" s="254" t="inlineStr">
        <is>
          <t>2009Q</t>
        </is>
      </c>
      <c r="D968" s="245" t="inlineStr">
        <is>
          <t xml:space="preserve">05272-03-007-000 </t>
        </is>
      </c>
      <c r="E968" s="258" t="inlineStr">
        <is>
          <t>Actual</t>
        </is>
      </c>
      <c r="F968" s="259" t="inlineStr">
        <is>
          <t>1950 S CHEROKEE             ST</t>
        </is>
      </c>
      <c r="G968" s="672" t="n">
        <v>44.2</v>
      </c>
      <c r="H968" s="253" t="n">
        <v>9506</v>
      </c>
      <c r="I968" s="255" t="n">
        <v>0</v>
      </c>
      <c r="J968" s="678" t="n">
        <v>3594</v>
      </c>
      <c r="K968" s="679" t="n">
        <v>4.006677796327212</v>
      </c>
      <c r="L968" s="260" t="n">
        <v>0</v>
      </c>
      <c r="M968" s="262" t="n">
        <v>0</v>
      </c>
      <c r="N968" s="253" t="n">
        <v>1953</v>
      </c>
      <c r="Q968" s="245" t="n">
        <v>14</v>
      </c>
      <c r="R968" s="245" t="n">
        <v>3</v>
      </c>
      <c r="S968" s="245" t="n">
        <v>1</v>
      </c>
      <c r="T968" s="249" t="inlineStr">
        <is>
          <t xml:space="preserve">I1   </t>
        </is>
      </c>
      <c r="U968" s="249" t="n">
        <v>398</v>
      </c>
      <c r="V968" s="678" t="n">
        <v>12500</v>
      </c>
      <c r="W968" s="678" t="n">
        <v>13000</v>
      </c>
      <c r="X968" s="356" t="inlineStr">
        <is>
          <t>3.5:1</t>
        </is>
      </c>
      <c r="Y968" s="678">
        <f>ROUND(J968,-3)</f>
        <v/>
      </c>
      <c r="Z968" s="249" t="inlineStr">
        <is>
          <t xml:space="preserve">C </t>
        </is>
      </c>
      <c r="AA968" s="245" t="n">
        <v>3</v>
      </c>
      <c r="AB968" s="245" t="n">
        <v>3</v>
      </c>
      <c r="AC968" s="253" t="inlineStr">
        <is>
          <t>33</t>
        </is>
      </c>
      <c r="AD968" s="247" t="inlineStr">
        <is>
          <t>S-W PASTERKAMPS HEAT</t>
        </is>
      </c>
      <c r="AE968" s="680" t="n"/>
      <c r="AF968" s="680" t="n"/>
      <c r="AG968" s="680" t="n"/>
      <c r="AH968" s="680" t="n"/>
      <c r="AI968" s="680" t="n"/>
      <c r="AJ968" s="680" t="n"/>
      <c r="AK968" s="680" t="inlineStr">
        <is>
          <t xml:space="preserve">S-T WHSE.                                                         </t>
        </is>
      </c>
    </row>
    <row r="969">
      <c r="A969" s="248" t="n">
        <v>8</v>
      </c>
      <c r="B969" s="370" t="n">
        <v>961</v>
      </c>
      <c r="C969" s="254" t="inlineStr">
        <is>
          <t>2009Q</t>
        </is>
      </c>
      <c r="D969" s="245" t="inlineStr">
        <is>
          <t xml:space="preserve">05272-03-029-000 </t>
        </is>
      </c>
      <c r="E969" s="258" t="inlineStr">
        <is>
          <t>Actual</t>
        </is>
      </c>
      <c r="F969" s="259" t="inlineStr">
        <is>
          <t>1930 S CHEROKEE             ST</t>
        </is>
      </c>
      <c r="G969" s="672" t="n">
        <v>44.2</v>
      </c>
      <c r="H969" s="253" t="n">
        <v>9506</v>
      </c>
      <c r="I969" s="255" t="n">
        <v>0</v>
      </c>
      <c r="J969" s="678" t="n">
        <v>11266</v>
      </c>
      <c r="K969" s="679" t="n">
        <v>5.81404225102077</v>
      </c>
      <c r="L969" s="260" t="n">
        <v>0</v>
      </c>
      <c r="M969" s="262" t="n">
        <v>0</v>
      </c>
      <c r="N969" s="253" t="n">
        <v>1968</v>
      </c>
      <c r="O969" s="250" t="n">
        <v>612</v>
      </c>
      <c r="Q969" s="245" t="n">
        <v>13</v>
      </c>
      <c r="R969" s="245" t="n">
        <v>1</v>
      </c>
      <c r="S969" s="245" t="n">
        <v>1</v>
      </c>
      <c r="T969" s="249" t="inlineStr">
        <is>
          <t xml:space="preserve">I1   </t>
        </is>
      </c>
      <c r="U969" s="249" t="n">
        <v>398</v>
      </c>
      <c r="V969" s="678" t="n">
        <v>15625</v>
      </c>
      <c r="W969" s="678" t="n">
        <v>16000</v>
      </c>
      <c r="X969" s="356" t="inlineStr">
        <is>
          <t>1.4:1</t>
        </is>
      </c>
      <c r="Y969" s="678">
        <f>ROUND(J969,-3)</f>
        <v/>
      </c>
      <c r="Z969" s="249" t="inlineStr">
        <is>
          <t xml:space="preserve">C </t>
        </is>
      </c>
      <c r="AA969" s="245" t="n">
        <v>3</v>
      </c>
      <c r="AB969" s="245" t="n">
        <v>3</v>
      </c>
      <c r="AC969" s="253" t="inlineStr">
        <is>
          <t>33</t>
        </is>
      </c>
      <c r="AD969" s="247" t="inlineStr">
        <is>
          <t>S-W PASTERKAMP PLUMB</t>
        </is>
      </c>
      <c r="AE969" s="680" t="n"/>
      <c r="AF969" s="680" t="n"/>
      <c r="AG969" s="680" t="n"/>
      <c r="AH969" s="680" t="n"/>
      <c r="AI969" s="680" t="n"/>
      <c r="AJ969" s="680" t="n"/>
      <c r="AK969" s="680" t="inlineStr">
        <is>
          <t xml:space="preserve">S-T WHSE.                                                         </t>
        </is>
      </c>
    </row>
    <row r="970">
      <c r="A970" s="248" t="n">
        <v>8</v>
      </c>
      <c r="B970" s="370" t="n">
        <v>962</v>
      </c>
      <c r="C970" s="254" t="inlineStr">
        <is>
          <t>2009Q</t>
        </is>
      </c>
      <c r="D970" s="245" t="inlineStr">
        <is>
          <t xml:space="preserve">05272-06-018-000 </t>
        </is>
      </c>
      <c r="E970" s="258" t="inlineStr">
        <is>
          <t>Actual</t>
        </is>
      </c>
      <c r="F970" s="259" t="inlineStr">
        <is>
          <t>2000 S CHEROKEE             ST</t>
        </is>
      </c>
      <c r="G970" s="672" t="n">
        <v>44.2</v>
      </c>
      <c r="H970" s="253" t="n">
        <v>9506</v>
      </c>
      <c r="I970" s="255" t="n">
        <v>0</v>
      </c>
      <c r="J970" s="678" t="n">
        <v>9529</v>
      </c>
      <c r="K970" s="679" t="n">
        <v>6.29656837023822</v>
      </c>
      <c r="L970" s="260" t="n">
        <v>0</v>
      </c>
      <c r="M970" s="262" t="n">
        <v>0</v>
      </c>
      <c r="N970" s="253" t="n">
        <v>1958</v>
      </c>
      <c r="O970" s="250" t="n">
        <v>480</v>
      </c>
      <c r="Q970" s="245" t="n">
        <v>16</v>
      </c>
      <c r="R970" s="245" t="n">
        <v>3</v>
      </c>
      <c r="S970" s="245" t="n">
        <v>1</v>
      </c>
      <c r="T970" s="249" t="inlineStr">
        <is>
          <t xml:space="preserve">I1   </t>
        </is>
      </c>
      <c r="U970" s="249" t="n">
        <v>398</v>
      </c>
      <c r="V970" s="678" t="n">
        <v>12500</v>
      </c>
      <c r="W970" s="678" t="n">
        <v>13000</v>
      </c>
      <c r="X970" s="356" t="inlineStr">
        <is>
          <t>1.3:1</t>
        </is>
      </c>
      <c r="Y970" s="678">
        <f>ROUND(J970,-3)</f>
        <v/>
      </c>
      <c r="Z970" s="249" t="inlineStr">
        <is>
          <t xml:space="preserve">C </t>
        </is>
      </c>
      <c r="AA970" s="245" t="n">
        <v>3</v>
      </c>
      <c r="AB970" s="245" t="n">
        <v>3</v>
      </c>
      <c r="AC970" s="253" t="inlineStr">
        <is>
          <t>33</t>
        </is>
      </c>
      <c r="AD970" s="247" t="inlineStr">
        <is>
          <t xml:space="preserve">MULTILIFT           </t>
        </is>
      </c>
      <c r="AE970" s="680" t="n"/>
      <c r="AF970" s="680" t="n"/>
      <c r="AG970" s="680" t="n"/>
      <c r="AH970" s="680" t="n"/>
      <c r="AI970" s="680" t="n"/>
      <c r="AJ970" s="680" t="n"/>
      <c r="AK970" s="680" t="inlineStr">
        <is>
          <t xml:space="preserve">S-T WHSE.; 2008 LEASE USED.                                       </t>
        </is>
      </c>
    </row>
    <row r="971">
      <c r="A971" s="248" t="n">
        <v>8</v>
      </c>
      <c r="B971" s="370" t="n">
        <v>963</v>
      </c>
      <c r="C971" s="254" t="inlineStr">
        <is>
          <t>2009Q</t>
        </is>
      </c>
      <c r="D971" s="245" t="inlineStr">
        <is>
          <t xml:space="preserve">05272-06-022-000 </t>
        </is>
      </c>
      <c r="E971" s="258" t="inlineStr">
        <is>
          <t>Actual</t>
        </is>
      </c>
      <c r="F971" s="259" t="inlineStr">
        <is>
          <t>2018 S CHEROKEE             ST</t>
        </is>
      </c>
      <c r="G971" s="672" t="n">
        <v>44.2</v>
      </c>
      <c r="H971" s="253" t="n">
        <v>9506</v>
      </c>
      <c r="I971" s="255" t="n">
        <v>0</v>
      </c>
      <c r="J971" s="678" t="n">
        <v>3158</v>
      </c>
      <c r="K971" s="679" t="n">
        <v>6.421785940468651</v>
      </c>
      <c r="L971" s="260" t="n">
        <v>0</v>
      </c>
      <c r="M971" s="262" t="n">
        <v>0</v>
      </c>
      <c r="N971" s="253" t="n">
        <v>1959</v>
      </c>
      <c r="Q971" s="245" t="n">
        <v>12</v>
      </c>
      <c r="R971" s="245" t="n">
        <v>1</v>
      </c>
      <c r="S971" s="245" t="n">
        <v>1</v>
      </c>
      <c r="T971" s="249" t="inlineStr">
        <is>
          <t xml:space="preserve">I1   </t>
        </is>
      </c>
      <c r="U971" s="249" t="n">
        <v>398</v>
      </c>
      <c r="V971" s="678" t="n">
        <v>6250</v>
      </c>
      <c r="W971" s="678" t="n">
        <v>6000</v>
      </c>
      <c r="X971" s="356" t="inlineStr">
        <is>
          <t>2.0:1</t>
        </is>
      </c>
      <c r="Y971" s="678">
        <f>ROUND(J971,-3)</f>
        <v/>
      </c>
      <c r="Z971" s="249" t="inlineStr">
        <is>
          <t xml:space="preserve">C </t>
        </is>
      </c>
      <c r="AA971" s="245" t="n">
        <v>3</v>
      </c>
      <c r="AB971" s="245" t="n">
        <v>3</v>
      </c>
      <c r="AC971" s="253" t="inlineStr">
        <is>
          <t>33</t>
        </is>
      </c>
      <c r="AD971" s="247" t="inlineStr">
        <is>
          <t xml:space="preserve">T &amp; D'S AUTO        </t>
        </is>
      </c>
      <c r="AE971" s="680" t="n"/>
      <c r="AF971" s="680" t="n"/>
      <c r="AG971" s="680" t="n"/>
      <c r="AH971" s="680" t="n"/>
      <c r="AI971" s="680" t="n"/>
      <c r="AJ971" s="680" t="n"/>
      <c r="AK971" s="680" t="inlineStr">
        <is>
          <t xml:space="preserve">S-T WHSE.                                                         </t>
        </is>
      </c>
    </row>
    <row r="972">
      <c r="A972" s="248" t="n">
        <v>8</v>
      </c>
      <c r="B972" s="370" t="n">
        <v>964</v>
      </c>
      <c r="C972" s="254" t="inlineStr">
        <is>
          <t>2009Q</t>
        </is>
      </c>
      <c r="D972" s="245" t="inlineStr">
        <is>
          <t xml:space="preserve">05272-07-037-000 </t>
        </is>
      </c>
      <c r="E972" s="258" t="inlineStr">
        <is>
          <t>Actual</t>
        </is>
      </c>
      <c r="F972" s="259" t="inlineStr">
        <is>
          <t>2026 S BANNOCK              ST</t>
        </is>
      </c>
      <c r="G972" s="672" t="inlineStr">
        <is>
          <t>44.M</t>
        </is>
      </c>
      <c r="H972" s="253" t="n">
        <v>9506</v>
      </c>
      <c r="I972" s="255" t="n">
        <v>0</v>
      </c>
      <c r="J972" s="678" t="n">
        <v>1815</v>
      </c>
      <c r="K972" s="679" t="n">
        <v>5.057851239669422</v>
      </c>
      <c r="L972" s="260" t="n">
        <v>0</v>
      </c>
      <c r="M972" s="262" t="n">
        <v>0.1047930283224401</v>
      </c>
      <c r="N972" s="253" t="n">
        <v>1986</v>
      </c>
      <c r="Q972" s="245" t="n">
        <v>10</v>
      </c>
      <c r="R972" s="245" t="n">
        <v>2</v>
      </c>
      <c r="S972" s="245" t="n">
        <v>1</v>
      </c>
      <c r="T972" s="249" t="inlineStr">
        <is>
          <t xml:space="preserve">I1   </t>
        </is>
      </c>
      <c r="U972" s="249" t="n">
        <v>398</v>
      </c>
      <c r="V972" s="678" t="n">
        <v>6250</v>
      </c>
      <c r="W972" s="678" t="n">
        <v>6000</v>
      </c>
      <c r="X972" s="356" t="inlineStr">
        <is>
          <t>3.4:1</t>
        </is>
      </c>
      <c r="Y972" s="678">
        <f>ROUND(J972,-2)</f>
        <v/>
      </c>
      <c r="Z972" s="249" t="inlineStr">
        <is>
          <t xml:space="preserve">C </t>
        </is>
      </c>
      <c r="AA972" s="245" t="n">
        <v>3</v>
      </c>
      <c r="AB972" s="245" t="n">
        <v>1</v>
      </c>
      <c r="AC972" s="253" t="inlineStr">
        <is>
          <t>31</t>
        </is>
      </c>
      <c r="AD972" s="247" t="inlineStr">
        <is>
          <t>                    </t>
        </is>
      </c>
      <c r="AE972" s="680" t="n"/>
      <c r="AF972" s="680" t="n"/>
      <c r="AG972" s="680" t="n"/>
      <c r="AH972" s="680" t="n"/>
      <c r="AI972" s="680" t="n"/>
      <c r="AJ972" s="680" t="n"/>
      <c r="AK972" s="680" t="inlineStr">
        <is>
          <t xml:space="preserve">S-T BARN - MORE OF A SHED THAN TRUE WHSE.; LEASE DETAIL UNKNOWN.  </t>
        </is>
      </c>
    </row>
    <row r="973">
      <c r="A973" s="248" t="n">
        <v>8</v>
      </c>
      <c r="B973" s="370" t="n">
        <v>965</v>
      </c>
      <c r="C973" s="254" t="inlineStr">
        <is>
          <t>2009Q</t>
        </is>
      </c>
      <c r="D973" s="245" t="inlineStr">
        <is>
          <t xml:space="preserve">05272-18-001-000 </t>
        </is>
      </c>
      <c r="E973" s="258" t="inlineStr">
        <is>
          <t>Actual</t>
        </is>
      </c>
      <c r="F973" s="259" t="inlineStr">
        <is>
          <t>2201 S DELAWARE             ST</t>
        </is>
      </c>
      <c r="G973" s="672" t="n">
        <v>44.2</v>
      </c>
      <c r="H973" s="253" t="n">
        <v>9506</v>
      </c>
      <c r="I973" s="255" t="n">
        <v>0</v>
      </c>
      <c r="J973" s="678" t="n">
        <v>15906</v>
      </c>
      <c r="K973" s="679" t="n">
        <v>2.715956242927197</v>
      </c>
      <c r="L973" s="260" t="n">
        <v>0</v>
      </c>
      <c r="M973" s="262" t="n">
        <v>0</v>
      </c>
      <c r="N973" s="253" t="n">
        <v>1915</v>
      </c>
      <c r="Q973" s="245" t="n">
        <v>16</v>
      </c>
      <c r="R973" s="245" t="n">
        <v>1</v>
      </c>
      <c r="S973" s="245" t="n">
        <v>1</v>
      </c>
      <c r="T973" s="249" t="inlineStr">
        <is>
          <t xml:space="preserve">I1   </t>
        </is>
      </c>
      <c r="U973" s="249" t="n">
        <v>398</v>
      </c>
      <c r="V973" s="678" t="n">
        <v>35250</v>
      </c>
      <c r="W973" s="678" t="n">
        <v>35000</v>
      </c>
      <c r="X973" s="356" t="inlineStr">
        <is>
          <t>2.2:1</t>
        </is>
      </c>
      <c r="Y973" s="678">
        <f>ROUND(J973,-3)</f>
        <v/>
      </c>
      <c r="Z973" s="249" t="inlineStr">
        <is>
          <t xml:space="preserve">C </t>
        </is>
      </c>
      <c r="AA973" s="245" t="n">
        <v>3</v>
      </c>
      <c r="AB973" s="245" t="n">
        <v>3</v>
      </c>
      <c r="AC973" s="253" t="inlineStr">
        <is>
          <t>33</t>
        </is>
      </c>
      <c r="AD973" s="247" t="inlineStr">
        <is>
          <t>                    </t>
        </is>
      </c>
      <c r="AE973" s="680" t="n"/>
      <c r="AF973" s="680" t="n"/>
      <c r="AG973" s="680" t="n"/>
      <c r="AH973" s="680" t="n"/>
      <c r="AI973" s="680" t="n"/>
      <c r="AJ973" s="680" t="n"/>
      <c r="AK973" s="680" t="inlineStr">
        <is>
          <t xml:space="preserve">S-T WHSE.                                                         </t>
        </is>
      </c>
    </row>
    <row r="974">
      <c r="A974" s="248" t="n">
        <v>8</v>
      </c>
      <c r="B974" s="370" t="n">
        <v>966</v>
      </c>
      <c r="C974" s="254" t="inlineStr">
        <is>
          <t>2009W</t>
        </is>
      </c>
      <c r="D974" s="245" t="inlineStr">
        <is>
          <t>05272-23-030-000</t>
        </is>
      </c>
      <c r="E974" s="249" t="inlineStr">
        <is>
          <t>Actual</t>
        </is>
      </c>
      <c r="F974" s="245" t="inlineStr">
        <is>
          <t>2240 S. Broadway</t>
        </is>
      </c>
      <c r="G974" s="672" t="n">
        <v>44.1</v>
      </c>
      <c r="H974" s="245" t="n">
        <v>9509</v>
      </c>
      <c r="I974" s="249" t="n">
        <v>0</v>
      </c>
      <c r="J974" s="250" t="n">
        <v>7934</v>
      </c>
      <c r="K974" s="679" t="n">
        <v>6.81</v>
      </c>
      <c r="L974" s="365" t="n">
        <v>0</v>
      </c>
      <c r="M974" s="365" t="n">
        <v>0</v>
      </c>
      <c r="N974" s="245" t="n">
        <v>1974</v>
      </c>
      <c r="O974" s="678" t="n">
        <v>0</v>
      </c>
      <c r="P974" s="678" t="n">
        <v>2556</v>
      </c>
      <c r="Q974" s="245" t="n">
        <v>13</v>
      </c>
      <c r="R974" s="245" t="n">
        <v>3</v>
      </c>
      <c r="S974" s="245" t="n">
        <v>1</v>
      </c>
      <c r="T974" s="249" t="inlineStr">
        <is>
          <t>B4</t>
        </is>
      </c>
      <c r="U974" s="249" t="n">
        <v>398</v>
      </c>
      <c r="V974" s="678" t="n">
        <v>7812</v>
      </c>
      <c r="W974" s="678" t="n">
        <v>8000</v>
      </c>
      <c r="X974" s="253" t="inlineStr">
        <is>
          <t>1.0:1</t>
        </is>
      </c>
      <c r="Y974" s="678" t="n">
        <v>8000</v>
      </c>
      <c r="Z974" s="249" t="inlineStr">
        <is>
          <t>C</t>
        </is>
      </c>
      <c r="AA974" s="245" t="n">
        <v>3</v>
      </c>
      <c r="AB974" s="245" t="n">
        <v>3</v>
      </c>
      <c r="AC974" s="245" t="n">
        <v>33</v>
      </c>
      <c r="AE974" s="667" t="n">
        <v>6.81</v>
      </c>
      <c r="AF974" s="686" t="n">
        <v>6.81</v>
      </c>
      <c r="AG974" s="686" t="n">
        <v>6.81</v>
      </c>
      <c r="AH974" s="686" t="n">
        <v>0</v>
      </c>
      <c r="AI974" s="686" t="inlineStr">
        <is>
          <t>-</t>
        </is>
      </c>
      <c r="AJ974" s="667" t="inlineStr">
        <is>
          <t>-</t>
        </is>
      </c>
      <c r="AN974" s="680" t="n"/>
      <c r="AO974" s="680" t="n"/>
      <c r="AP974" s="680" t="n"/>
    </row>
    <row r="975">
      <c r="A975" s="248" t="n">
        <v>8</v>
      </c>
      <c r="B975" s="370" t="n">
        <v>967</v>
      </c>
      <c r="C975" s="254" t="inlineStr">
        <is>
          <t>2009Q</t>
        </is>
      </c>
      <c r="D975" s="245" t="inlineStr">
        <is>
          <t xml:space="preserve">05273-12-011-000 </t>
        </is>
      </c>
      <c r="E975" s="258" t="inlineStr">
        <is>
          <t>Actual</t>
        </is>
      </c>
      <c r="F975" s="259" t="inlineStr">
        <is>
          <t>2120 S PLATTE RIVER         DR</t>
        </is>
      </c>
      <c r="G975" s="672" t="n">
        <v>44.1</v>
      </c>
      <c r="H975" s="253" t="n">
        <v>9506</v>
      </c>
      <c r="I975" s="255" t="n">
        <v>0</v>
      </c>
      <c r="J975" s="678" t="n">
        <v>2500</v>
      </c>
      <c r="K975" s="679" t="n">
        <v>9.119999999999999</v>
      </c>
      <c r="L975" s="260" t="n">
        <v>0.33</v>
      </c>
      <c r="M975" s="262" t="n">
        <v>0.0887280701754386</v>
      </c>
      <c r="N975" s="253" t="n">
        <v>1959</v>
      </c>
      <c r="O975" s="250" t="n">
        <v>625</v>
      </c>
      <c r="Q975" s="245" t="n">
        <v>10</v>
      </c>
      <c r="R975" s="245" t="n">
        <v>1</v>
      </c>
      <c r="S975" s="245" t="n">
        <v>1</v>
      </c>
      <c r="T975" s="249" t="inlineStr">
        <is>
          <t xml:space="preserve">I0   </t>
        </is>
      </c>
      <c r="U975" s="249" t="n">
        <v>398</v>
      </c>
      <c r="V975" s="678" t="n">
        <v>7753</v>
      </c>
      <c r="W975" s="678" t="n">
        <v>8000</v>
      </c>
      <c r="X975" s="356" t="inlineStr">
        <is>
          <t>3.1:1</t>
        </is>
      </c>
      <c r="Y975" s="678">
        <f>ROUND(J975,-3)</f>
        <v/>
      </c>
      <c r="Z975" s="249" t="inlineStr">
        <is>
          <t xml:space="preserve">C </t>
        </is>
      </c>
      <c r="AA975" s="245" t="n">
        <v>3</v>
      </c>
      <c r="AB975" s="245" t="n">
        <v>3</v>
      </c>
      <c r="AC975" s="253" t="inlineStr">
        <is>
          <t>33</t>
        </is>
      </c>
      <c r="AD975" s="247" t="inlineStr">
        <is>
          <t>S-W CENTENNIAL MACH.</t>
        </is>
      </c>
      <c r="AE975" s="680" t="n"/>
      <c r="AF975" s="680" t="n"/>
      <c r="AG975" s="680" t="n"/>
      <c r="AH975" s="680" t="n"/>
      <c r="AI975" s="680" t="n"/>
      <c r="AJ975" s="680" t="n"/>
      <c r="AK975" s="680" t="inlineStr">
        <is>
          <t xml:space="preserve">S-T WHSE.                                                         </t>
        </is>
      </c>
    </row>
    <row r="976">
      <c r="A976" s="248" t="n">
        <v>8</v>
      </c>
      <c r="B976" s="370" t="n">
        <v>968</v>
      </c>
      <c r="C976" s="254" t="inlineStr">
        <is>
          <t>2009Q</t>
        </is>
      </c>
      <c r="D976" s="245" t="inlineStr">
        <is>
          <t xml:space="preserve">05273-15-021-000 </t>
        </is>
      </c>
      <c r="E976" s="258" t="inlineStr">
        <is>
          <t>Actual</t>
        </is>
      </c>
      <c r="F976" s="259" t="inlineStr">
        <is>
          <t>2200 S FOX                  ST</t>
        </is>
      </c>
      <c r="G976" s="672" t="n">
        <v>44.1</v>
      </c>
      <c r="H976" s="253" t="n">
        <v>9506</v>
      </c>
      <c r="I976" s="255" t="n">
        <v>0</v>
      </c>
      <c r="J976" s="678" t="n">
        <v>3136</v>
      </c>
      <c r="K976" s="679" t="n">
        <v>6.696428571428571</v>
      </c>
      <c r="L976" s="260" t="n">
        <v>0</v>
      </c>
      <c r="M976" s="262" t="n">
        <v>0</v>
      </c>
      <c r="N976" s="253" t="n">
        <v>1981</v>
      </c>
      <c r="O976" s="250" t="inlineStr">
        <is>
          <t> </t>
        </is>
      </c>
      <c r="P976" s="250" t="n">
        <v>729</v>
      </c>
      <c r="Q976" s="245" t="n">
        <v>14</v>
      </c>
      <c r="R976" s="245" t="n">
        <v>8</v>
      </c>
      <c r="S976" s="245" t="n">
        <v>1</v>
      </c>
      <c r="T976" s="249" t="inlineStr">
        <is>
          <t xml:space="preserve">B4   </t>
        </is>
      </c>
      <c r="U976" s="249" t="n">
        <v>398</v>
      </c>
      <c r="V976" s="678" t="n">
        <v>14258</v>
      </c>
      <c r="W976" s="678" t="n">
        <v>14000</v>
      </c>
      <c r="X976" s="356" t="inlineStr">
        <is>
          <t>4.5:1</t>
        </is>
      </c>
      <c r="Y976" s="678">
        <f>ROUND(J976,-3)</f>
        <v/>
      </c>
      <c r="Z976" s="249" t="inlineStr">
        <is>
          <t xml:space="preserve">C </t>
        </is>
      </c>
      <c r="AA976" s="245" t="n">
        <v>3</v>
      </c>
      <c r="AB976" s="245" t="n">
        <v>2</v>
      </c>
      <c r="AC976" s="253" t="inlineStr">
        <is>
          <t>32</t>
        </is>
      </c>
      <c r="AD976" s="247" t="inlineStr">
        <is>
          <t xml:space="preserve">S-W WALTERS AUTO    </t>
        </is>
      </c>
      <c r="AE976" s="680" t="n"/>
      <c r="AF976" s="680" t="n"/>
      <c r="AG976" s="680" t="n"/>
      <c r="AH976" s="680" t="n"/>
      <c r="AI976" s="680" t="n"/>
      <c r="AJ976" s="680" t="n"/>
      <c r="AK976" s="680" t="inlineStr">
        <is>
          <t xml:space="preserve">S-T WHSE.; 2005 LEASE.                                            </t>
        </is>
      </c>
    </row>
    <row r="977">
      <c r="A977" s="248" t="n">
        <v>8</v>
      </c>
      <c r="B977" s="370" t="n">
        <v>969</v>
      </c>
      <c r="C977" s="254" t="inlineStr">
        <is>
          <t>2009Q</t>
        </is>
      </c>
      <c r="D977" s="245" t="inlineStr">
        <is>
          <t xml:space="preserve">05274-03-008-000 </t>
        </is>
      </c>
      <c r="E977" s="258" t="inlineStr">
        <is>
          <t>Actual</t>
        </is>
      </c>
      <c r="F977" s="259" t="inlineStr">
        <is>
          <t>2385 S DELAWARE             ST</t>
        </is>
      </c>
      <c r="G977" s="672" t="n">
        <v>44.2</v>
      </c>
      <c r="H977" s="253" t="n">
        <v>9506</v>
      </c>
      <c r="I977" s="255" t="n">
        <v>0</v>
      </c>
      <c r="J977" s="678" t="n">
        <v>14970</v>
      </c>
      <c r="K977" s="679" t="n">
        <v>4.008016032064128</v>
      </c>
      <c r="L977" s="260" t="n">
        <v>0</v>
      </c>
      <c r="M977" s="262" t="n">
        <v>0</v>
      </c>
      <c r="N977" s="253" t="n">
        <v>1960</v>
      </c>
      <c r="O977" s="250" t="n">
        <v>1407</v>
      </c>
      <c r="Q977" s="245" t="n">
        <v>13</v>
      </c>
      <c r="R977" s="245" t="n">
        <v>3</v>
      </c>
      <c r="S977" s="245" t="n">
        <v>1</v>
      </c>
      <c r="T977" s="249" t="inlineStr">
        <is>
          <t xml:space="preserve">I1   </t>
        </is>
      </c>
      <c r="U977" s="249" t="n">
        <v>398</v>
      </c>
      <c r="V977" s="678" t="n">
        <v>17968</v>
      </c>
      <c r="W977" s="678" t="n">
        <v>18000</v>
      </c>
      <c r="X977" s="356" t="inlineStr">
        <is>
          <t>1.2:1</t>
        </is>
      </c>
      <c r="Y977" s="678">
        <f>ROUND(J977,-3)</f>
        <v/>
      </c>
      <c r="Z977" s="249" t="inlineStr">
        <is>
          <t xml:space="preserve">C </t>
        </is>
      </c>
      <c r="AA977" s="245" t="n">
        <v>3</v>
      </c>
      <c r="AB977" s="245" t="n">
        <v>1</v>
      </c>
      <c r="AC977" s="253" t="inlineStr">
        <is>
          <t>31</t>
        </is>
      </c>
      <c r="AD977" s="247" t="inlineStr">
        <is>
          <t>                    </t>
        </is>
      </c>
      <c r="AE977" s="680" t="n"/>
      <c r="AF977" s="680" t="n"/>
      <c r="AG977" s="680" t="n"/>
      <c r="AH977" s="680" t="n"/>
      <c r="AI977" s="680" t="n"/>
      <c r="AJ977" s="680" t="n"/>
      <c r="AK977" s="680" t="inlineStr">
        <is>
          <t xml:space="preserve">S-T WHSE.; 2006 LEASE.                                            </t>
        </is>
      </c>
    </row>
    <row r="978">
      <c r="A978" s="248" t="n">
        <v>8</v>
      </c>
      <c r="B978" s="370" t="n">
        <v>970</v>
      </c>
      <c r="C978" s="254" t="inlineStr">
        <is>
          <t>2009Q</t>
        </is>
      </c>
      <c r="D978" s="245" t="inlineStr">
        <is>
          <t xml:space="preserve">05274-03-009-000 </t>
        </is>
      </c>
      <c r="E978" s="258" t="inlineStr">
        <is>
          <t>Actual</t>
        </is>
      </c>
      <c r="F978" s="259" t="inlineStr">
        <is>
          <t>2345 S DELAWARE             ST</t>
        </is>
      </c>
      <c r="G978" s="672" t="n">
        <v>47.2</v>
      </c>
      <c r="H978" s="253" t="n">
        <v>9506</v>
      </c>
      <c r="I978" s="255" t="n">
        <v>0</v>
      </c>
      <c r="J978" s="678" t="n">
        <v>28581</v>
      </c>
      <c r="K978" s="679" t="n">
        <v>3.988663797627795</v>
      </c>
      <c r="L978" s="260" t="n">
        <v>0</v>
      </c>
      <c r="M978" s="262" t="n">
        <v>0</v>
      </c>
      <c r="N978" s="253" t="n">
        <v>1961</v>
      </c>
      <c r="O978" s="250" t="n">
        <v>6364</v>
      </c>
      <c r="Q978" s="245" t="n">
        <v>13</v>
      </c>
      <c r="R978" s="245" t="n">
        <v>3</v>
      </c>
      <c r="S978" s="245" t="n">
        <v>1</v>
      </c>
      <c r="T978" s="249" t="inlineStr">
        <is>
          <t xml:space="preserve">I1   </t>
        </is>
      </c>
      <c r="U978" s="249" t="n">
        <v>401</v>
      </c>
      <c r="V978" s="678" t="n">
        <v>38282</v>
      </c>
      <c r="W978" s="678" t="n">
        <v>38000</v>
      </c>
      <c r="X978" s="356" t="inlineStr">
        <is>
          <t>1.3:1</t>
        </is>
      </c>
      <c r="Y978" s="678">
        <f>ROUND(J978,-3)</f>
        <v/>
      </c>
      <c r="Z978" s="249" t="inlineStr">
        <is>
          <t xml:space="preserve">C </t>
        </is>
      </c>
      <c r="AA978" s="245" t="n">
        <v>3</v>
      </c>
      <c r="AB978" s="245" t="n">
        <v>2</v>
      </c>
      <c r="AC978" s="253" t="inlineStr">
        <is>
          <t>32</t>
        </is>
      </c>
      <c r="AD978" s="247" t="inlineStr">
        <is>
          <t xml:space="preserve">S-F GOLESH INC.     </t>
        </is>
      </c>
      <c r="AE978" s="680" t="n"/>
      <c r="AF978" s="680" t="n"/>
      <c r="AG978" s="680" t="n"/>
      <c r="AH978" s="680" t="n"/>
      <c r="AI978" s="680" t="n"/>
      <c r="AJ978" s="680" t="n"/>
      <c r="AK978" s="680" t="inlineStr">
        <is>
          <t xml:space="preserve">S-T WHSE.; 2006 LEASE.                                            </t>
        </is>
      </c>
    </row>
    <row r="979">
      <c r="A979" s="248" t="n">
        <v>8</v>
      </c>
      <c r="B979" s="370" t="n">
        <v>971</v>
      </c>
      <c r="C979" s="254" t="inlineStr">
        <is>
          <t>2009Q</t>
        </is>
      </c>
      <c r="D979" s="245" t="inlineStr">
        <is>
          <t xml:space="preserve">05274-11-008-000 </t>
        </is>
      </c>
      <c r="E979" s="258" t="inlineStr">
        <is>
          <t>Actual</t>
        </is>
      </c>
      <c r="F979" s="259" t="inlineStr">
        <is>
          <t>2525 S DELAWARE             ST</t>
        </is>
      </c>
      <c r="G979" s="672" t="n">
        <v>47.1</v>
      </c>
      <c r="H979" s="253" t="n">
        <v>9506</v>
      </c>
      <c r="I979" s="255" t="n">
        <v>0</v>
      </c>
      <c r="J979" s="678" t="n">
        <v>63727</v>
      </c>
      <c r="K979" s="679" t="n">
        <v>3.124264440504025</v>
      </c>
      <c r="L979" s="260" t="n">
        <v>0</v>
      </c>
      <c r="M979" s="262" t="n">
        <v>0</v>
      </c>
      <c r="N979" s="253" t="n">
        <v>1964</v>
      </c>
      <c r="O979" s="250" t="n">
        <v>3520</v>
      </c>
      <c r="Q979" s="245" t="n">
        <v>19</v>
      </c>
      <c r="R979" s="245" t="n">
        <v>10</v>
      </c>
      <c r="S979" s="245" t="n">
        <v>1</v>
      </c>
      <c r="T979" s="249" t="inlineStr">
        <is>
          <t xml:space="preserve">I1   </t>
        </is>
      </c>
      <c r="U979" s="249" t="n">
        <v>401</v>
      </c>
      <c r="V979" s="678" t="n">
        <v>192233</v>
      </c>
      <c r="W979" s="678" t="n">
        <v>190000</v>
      </c>
      <c r="X979" s="356" t="inlineStr">
        <is>
          <t>3.0:1</t>
        </is>
      </c>
      <c r="Y979" s="678">
        <f>ROUND(J979,-4)</f>
        <v/>
      </c>
      <c r="Z979" s="249" t="inlineStr">
        <is>
          <t xml:space="preserve">C </t>
        </is>
      </c>
      <c r="AA979" s="245" t="n">
        <v>1</v>
      </c>
      <c r="AB979" s="245" t="n">
        <v>3</v>
      </c>
      <c r="AC979" s="253" t="inlineStr">
        <is>
          <t>13</t>
        </is>
      </c>
      <c r="AD979" s="247" t="inlineStr">
        <is>
          <t>                    </t>
        </is>
      </c>
      <c r="AE979" s="680" t="n"/>
      <c r="AF979" s="680" t="n"/>
      <c r="AG979" s="680" t="n"/>
      <c r="AH979" s="680" t="n"/>
      <c r="AI979" s="680" t="n"/>
      <c r="AJ979" s="680" t="n"/>
      <c r="AK979" s="680" t="inlineStr">
        <is>
          <t xml:space="preserve">S-T INDUSTRIAL BLDG.                                              </t>
        </is>
      </c>
    </row>
    <row r="980">
      <c r="A980" s="248" t="n">
        <v>8</v>
      </c>
      <c r="B980" s="370" t="n">
        <v>972</v>
      </c>
      <c r="C980" s="254" t="inlineStr">
        <is>
          <t>2009Q</t>
        </is>
      </c>
      <c r="D980" s="245" t="inlineStr">
        <is>
          <t xml:space="preserve">05274-12-031-000 </t>
        </is>
      </c>
      <c r="E980" s="258" t="inlineStr">
        <is>
          <t>Actual</t>
        </is>
      </c>
      <c r="F980" s="259" t="inlineStr">
        <is>
          <t>2484 S DELAWARE             ST</t>
        </is>
      </c>
      <c r="G980" s="672" t="n">
        <v>44.2</v>
      </c>
      <c r="H980" s="253" t="n">
        <v>9506</v>
      </c>
      <c r="I980" s="255" t="n">
        <v>0</v>
      </c>
      <c r="J980" s="678" t="n">
        <v>5640</v>
      </c>
      <c r="K980" s="679" t="n">
        <v>3.872340425531915</v>
      </c>
      <c r="L980" s="260" t="n">
        <v>1</v>
      </c>
      <c r="M980" s="262" t="n">
        <v>0.05622710622710623</v>
      </c>
      <c r="N980" s="253" t="n">
        <v>1999</v>
      </c>
      <c r="O980" s="250" t="n">
        <v>734</v>
      </c>
      <c r="Q980" s="245" t="n">
        <v>18</v>
      </c>
      <c r="R980" s="245" t="n">
        <v>3</v>
      </c>
      <c r="S980" s="245" t="n">
        <v>1</v>
      </c>
      <c r="T980" s="249" t="inlineStr">
        <is>
          <t xml:space="preserve">I0   </t>
        </is>
      </c>
      <c r="U980" s="249" t="n">
        <v>398</v>
      </c>
      <c r="V980" s="678" t="n">
        <v>12500</v>
      </c>
      <c r="W980" s="678" t="n">
        <v>13000</v>
      </c>
      <c r="X980" s="356" t="inlineStr">
        <is>
          <t>2.2:1</t>
        </is>
      </c>
      <c r="Y980" s="678">
        <f>ROUND(J980,-3)</f>
        <v/>
      </c>
      <c r="Z980" s="249" t="inlineStr">
        <is>
          <t xml:space="preserve">C </t>
        </is>
      </c>
      <c r="AA980" s="245" t="n">
        <v>3</v>
      </c>
      <c r="AB980" s="245" t="n">
        <v>3</v>
      </c>
      <c r="AC980" s="253" t="inlineStr">
        <is>
          <t>33</t>
        </is>
      </c>
      <c r="AD980" s="247" t="inlineStr">
        <is>
          <t>                    </t>
        </is>
      </c>
      <c r="AE980" s="680" t="n"/>
      <c r="AF980" s="680" t="n"/>
      <c r="AG980" s="680" t="n"/>
      <c r="AH980" s="680" t="n"/>
      <c r="AI980" s="680" t="n"/>
      <c r="AJ980" s="680" t="n"/>
      <c r="AK980" s="680" t="inlineStr">
        <is>
          <t xml:space="preserve">S-T WHSE.; NO LEASE.                                              </t>
        </is>
      </c>
    </row>
    <row r="981">
      <c r="A981" s="248" t="n">
        <v>8</v>
      </c>
      <c r="B981" s="370" t="n">
        <v>973</v>
      </c>
      <c r="C981" s="254" t="inlineStr">
        <is>
          <t>2009Q</t>
        </is>
      </c>
      <c r="D981" s="245" t="inlineStr">
        <is>
          <t xml:space="preserve">05274-15-029-000 </t>
        </is>
      </c>
      <c r="E981" s="258" t="inlineStr">
        <is>
          <t>Actual</t>
        </is>
      </c>
      <c r="F981" s="259" t="inlineStr">
        <is>
          <t>2536 S DELAWARE             ST</t>
        </is>
      </c>
      <c r="G981" s="672" t="n">
        <v>47.1</v>
      </c>
      <c r="H981" s="253" t="n">
        <v>9506</v>
      </c>
      <c r="I981" s="255" t="n">
        <v>0</v>
      </c>
      <c r="J981" s="678" t="n">
        <v>2487</v>
      </c>
      <c r="K981" s="679" t="n">
        <v>9.650180940892641</v>
      </c>
      <c r="L981" s="260" t="n">
        <v>0</v>
      </c>
      <c r="M981" s="262" t="n">
        <v>0.140125</v>
      </c>
      <c r="N981" s="253" t="n">
        <v>1954</v>
      </c>
      <c r="P981" s="250" t="n">
        <v>1188</v>
      </c>
      <c r="Q981" s="245" t="n">
        <v>16</v>
      </c>
      <c r="R981" s="245" t="n">
        <v>3</v>
      </c>
      <c r="S981" s="245" t="n">
        <v>1</v>
      </c>
      <c r="T981" s="249" t="inlineStr">
        <is>
          <t xml:space="preserve">I0   </t>
        </is>
      </c>
      <c r="U981" s="249" t="n">
        <v>401</v>
      </c>
      <c r="V981" s="678" t="n">
        <v>12500</v>
      </c>
      <c r="W981" s="678" t="n">
        <v>13000</v>
      </c>
      <c r="X981" s="356" t="inlineStr">
        <is>
          <t>5.0:1</t>
        </is>
      </c>
      <c r="Y981" s="678">
        <f>ROUND(J981,-3)</f>
        <v/>
      </c>
      <c r="Z981" s="249" t="inlineStr">
        <is>
          <t xml:space="preserve">C </t>
        </is>
      </c>
      <c r="AA981" s="245" t="n">
        <v>3</v>
      </c>
      <c r="AB981" s="245" t="n">
        <v>3</v>
      </c>
      <c r="AC981" s="253" t="inlineStr">
        <is>
          <t>33</t>
        </is>
      </c>
      <c r="AD981" s="247" t="inlineStr">
        <is>
          <t xml:space="preserve">S-W CS GROUP        </t>
        </is>
      </c>
      <c r="AE981" s="680" t="n"/>
      <c r="AF981" s="680" t="n"/>
      <c r="AG981" s="680" t="n"/>
      <c r="AH981" s="680" t="n"/>
      <c r="AI981" s="680" t="n"/>
      <c r="AJ981" s="680" t="n"/>
      <c r="AK981" s="680" t="inlineStr">
        <is>
          <t xml:space="preserve">S-T WHSE.; MO-TO-MO LEASE.                                        </t>
        </is>
      </c>
    </row>
    <row r="982">
      <c r="A982" s="248" t="n">
        <v>8</v>
      </c>
      <c r="B982" s="370" t="n">
        <v>974</v>
      </c>
      <c r="C982" s="254" t="inlineStr">
        <is>
          <t>2009Q</t>
        </is>
      </c>
      <c r="D982" s="245" t="inlineStr">
        <is>
          <t xml:space="preserve">05275-02-011-000 </t>
        </is>
      </c>
      <c r="E982" s="258" t="inlineStr">
        <is>
          <t>Actual</t>
        </is>
      </c>
      <c r="F982" s="259" t="inlineStr">
        <is>
          <t>2376 S BROADWAY             ST</t>
        </is>
      </c>
      <c r="G982" s="672" t="n">
        <v>44.1</v>
      </c>
      <c r="H982" s="253" t="n">
        <v>9509</v>
      </c>
      <c r="I982" s="255" t="n">
        <v>2</v>
      </c>
      <c r="J982" s="678" t="n">
        <v>2535</v>
      </c>
      <c r="K982" s="679" t="n">
        <v>5.680473372781065</v>
      </c>
      <c r="L982" s="260" t="n">
        <v>0</v>
      </c>
      <c r="M982" s="262" t="n">
        <v>0.03895833333333333</v>
      </c>
      <c r="N982" s="253" t="n">
        <v>1951</v>
      </c>
      <c r="P982" s="250" t="n">
        <v>1217</v>
      </c>
      <c r="Q982" s="245" t="n">
        <v>9</v>
      </c>
      <c r="R982" s="245" t="n">
        <v>1</v>
      </c>
      <c r="S982" s="245" t="n">
        <v>1</v>
      </c>
      <c r="T982" s="249" t="inlineStr">
        <is>
          <t xml:space="preserve">B4   </t>
        </is>
      </c>
      <c r="U982" s="249" t="n">
        <v>398</v>
      </c>
      <c r="V982" s="678" t="n">
        <v>4687</v>
      </c>
      <c r="W982" s="678" t="n">
        <v>5000</v>
      </c>
      <c r="X982" s="356" t="inlineStr">
        <is>
          <t>1.8:1</t>
        </is>
      </c>
      <c r="Y982" s="678">
        <f>ROUND(J982,-3)</f>
        <v/>
      </c>
      <c r="Z982" s="249" t="inlineStr">
        <is>
          <t xml:space="preserve">C </t>
        </is>
      </c>
      <c r="AA982" s="245" t="n">
        <v>3</v>
      </c>
      <c r="AB982" s="245" t="n">
        <v>3</v>
      </c>
      <c r="AC982" s="253" t="inlineStr">
        <is>
          <t>33</t>
        </is>
      </c>
      <c r="AD982" s="247" t="inlineStr">
        <is>
          <t xml:space="preserve">#1 AUTO SALES       </t>
        </is>
      </c>
      <c r="AE982" s="680" t="n"/>
      <c r="AF982" s="680" t="n"/>
      <c r="AG982" s="680" t="n"/>
      <c r="AH982" s="680" t="n"/>
      <c r="AI982" s="680" t="n"/>
      <c r="AJ982" s="680" t="n"/>
      <c r="AK982" s="680" t="inlineStr">
        <is>
          <t xml:space="preserve">S-T WHSE.; 2005 LEASE.                                            </t>
        </is>
      </c>
    </row>
    <row r="983">
      <c r="A983" s="248" t="n">
        <v>8</v>
      </c>
      <c r="B983" s="370" t="n">
        <v>975</v>
      </c>
      <c r="C983" s="254" t="inlineStr">
        <is>
          <t>2009Q</t>
        </is>
      </c>
      <c r="D983" s="245" t="inlineStr">
        <is>
          <t xml:space="preserve">05281-01-014-000 </t>
        </is>
      </c>
      <c r="E983" s="258" t="inlineStr">
        <is>
          <t>Actual</t>
        </is>
      </c>
      <c r="F983" s="259" t="inlineStr">
        <is>
          <t>1310 W JEWELL               AV</t>
        </is>
      </c>
      <c r="G983" s="672" t="n">
        <v>44.1</v>
      </c>
      <c r="H983" s="253" t="n">
        <v>9506</v>
      </c>
      <c r="I983" s="255" t="n">
        <v>0</v>
      </c>
      <c r="J983" s="678" t="n">
        <v>6181</v>
      </c>
      <c r="K983" s="679" t="n">
        <v>12.61931726257887</v>
      </c>
      <c r="L983" s="260" t="n">
        <v>0</v>
      </c>
      <c r="M983" s="262" t="n">
        <v>0.05128205128205128</v>
      </c>
      <c r="N983" s="253" t="n">
        <v>1969</v>
      </c>
      <c r="P983" s="250" t="n">
        <v>2605</v>
      </c>
      <c r="Q983" s="245" t="n">
        <v>15</v>
      </c>
      <c r="R983" s="245" t="n">
        <v>3</v>
      </c>
      <c r="S983" s="245" t="n">
        <v>1</v>
      </c>
      <c r="T983" s="249" t="inlineStr">
        <is>
          <t xml:space="preserve">I0   </t>
        </is>
      </c>
      <c r="U983" s="249" t="n">
        <v>398</v>
      </c>
      <c r="V983" s="678" t="n">
        <v>37500</v>
      </c>
      <c r="W983" s="678" t="n">
        <v>38000</v>
      </c>
      <c r="X983" s="356" t="inlineStr">
        <is>
          <t>6.1:1</t>
        </is>
      </c>
      <c r="Y983" s="678">
        <f>ROUND(J983,-3)</f>
        <v/>
      </c>
      <c r="Z983" s="249" t="inlineStr">
        <is>
          <t xml:space="preserve">C </t>
        </is>
      </c>
      <c r="AA983" s="245" t="n">
        <v>3</v>
      </c>
      <c r="AB983" s="245" t="n">
        <v>3</v>
      </c>
      <c r="AC983" s="253" t="inlineStr">
        <is>
          <t>33</t>
        </is>
      </c>
      <c r="AD983" s="247" t="inlineStr">
        <is>
          <t xml:space="preserve">COLO STATE PAINTING </t>
        </is>
      </c>
      <c r="AE983" s="680" t="n"/>
      <c r="AF983" s="680" t="n"/>
      <c r="AG983" s="680" t="n"/>
      <c r="AH983" s="680" t="n"/>
      <c r="AI983" s="680" t="n"/>
      <c r="AJ983" s="680" t="n"/>
      <c r="AK983" s="680" t="inlineStr">
        <is>
          <t xml:space="preserve">S-T WHSE.; SITE CONTAINS EXCESS LAND.                             </t>
        </is>
      </c>
    </row>
    <row r="984">
      <c r="A984" s="248" t="n">
        <v>8</v>
      </c>
      <c r="B984" s="370" t="n">
        <v>976</v>
      </c>
      <c r="C984" s="254" t="inlineStr">
        <is>
          <t>2009Q</t>
        </is>
      </c>
      <c r="D984" s="245" t="inlineStr">
        <is>
          <t xml:space="preserve">05281-05-022-000 </t>
        </is>
      </c>
      <c r="E984" s="258" t="inlineStr">
        <is>
          <t>Actual</t>
        </is>
      </c>
      <c r="F984" s="259" t="inlineStr">
        <is>
          <t>2059 S NAVAJO               ST</t>
        </is>
      </c>
      <c r="G984" s="672" t="n">
        <v>44.5</v>
      </c>
      <c r="H984" s="253" t="n">
        <v>9506</v>
      </c>
      <c r="I984" s="255" t="n">
        <v>0</v>
      </c>
      <c r="J984" s="678" t="n">
        <v>29799</v>
      </c>
      <c r="K984" s="679" t="n">
        <v>8.121077888519748</v>
      </c>
      <c r="L984" s="260" t="n">
        <v>0</v>
      </c>
      <c r="M984" s="262" t="n">
        <v>0.2597107438016529</v>
      </c>
      <c r="N984" s="253" t="n">
        <v>2000</v>
      </c>
      <c r="O984" s="250" t="n">
        <v>379</v>
      </c>
      <c r="P984" s="250" t="n">
        <v>825</v>
      </c>
      <c r="Q984" s="245" t="n">
        <v>10</v>
      </c>
      <c r="R984" s="245" t="n">
        <v>1</v>
      </c>
      <c r="S984" s="245" t="n">
        <v>255</v>
      </c>
      <c r="T984" s="249" t="inlineStr">
        <is>
          <t xml:space="preserve">I2   </t>
        </is>
      </c>
      <c r="U984" s="249" t="n">
        <v>396</v>
      </c>
      <c r="V984" s="678" t="n">
        <v>33300</v>
      </c>
      <c r="W984" s="678" t="n">
        <v>33000</v>
      </c>
      <c r="X984" s="356" t="inlineStr">
        <is>
          <t>1.1:1</t>
        </is>
      </c>
      <c r="Y984" s="678">
        <f>ROUND(J984,-3)</f>
        <v/>
      </c>
      <c r="Z984" s="249" t="inlineStr">
        <is>
          <t xml:space="preserve">C </t>
        </is>
      </c>
      <c r="AA984" s="245" t="n">
        <v>3</v>
      </c>
      <c r="AB984" s="245" t="n">
        <v>3</v>
      </c>
      <c r="AC984" s="253" t="inlineStr">
        <is>
          <t>33</t>
        </is>
      </c>
      <c r="AD984" s="247" t="inlineStr">
        <is>
          <t>ACCSS ANYTME SLFSTGE</t>
        </is>
      </c>
      <c r="AE984" s="680" t="n"/>
      <c r="AF984" s="680" t="n"/>
      <c r="AG984" s="680" t="n"/>
      <c r="AH984" s="680" t="n"/>
      <c r="AI984" s="680" t="n"/>
      <c r="AJ984" s="680" t="n"/>
      <c r="AK984" s="680" t="inlineStr">
        <is>
          <t>                                                                  </t>
        </is>
      </c>
    </row>
    <row r="985">
      <c r="A985" s="248" t="n">
        <v>8</v>
      </c>
      <c r="B985" s="370" t="n">
        <v>977</v>
      </c>
      <c r="C985" s="254" t="inlineStr">
        <is>
          <t>2009Q</t>
        </is>
      </c>
      <c r="D985" s="245" t="inlineStr">
        <is>
          <t xml:space="preserve">05281-06-010-000 </t>
        </is>
      </c>
      <c r="E985" s="258" t="inlineStr">
        <is>
          <t>Actual</t>
        </is>
      </c>
      <c r="F985" s="259" t="inlineStr">
        <is>
          <t>2068 S NAVAJO               ST</t>
        </is>
      </c>
      <c r="G985" s="672" t="n">
        <v>44.1</v>
      </c>
      <c r="H985" s="253" t="n">
        <v>9506</v>
      </c>
      <c r="I985" s="255" t="n">
        <v>0</v>
      </c>
      <c r="J985" s="678" t="n">
        <v>3850</v>
      </c>
      <c r="K985" s="679" t="n">
        <v>7.792207792207792</v>
      </c>
      <c r="L985" s="260" t="n">
        <v>0</v>
      </c>
      <c r="M985" s="262" t="n">
        <v>0.145</v>
      </c>
      <c r="N985" s="253" t="n">
        <v>1962</v>
      </c>
      <c r="Q985" s="245" t="n">
        <v>13</v>
      </c>
      <c r="R985" s="245" t="n">
        <v>3</v>
      </c>
      <c r="S985" s="245" t="n">
        <v>1</v>
      </c>
      <c r="T985" s="249" t="inlineStr">
        <is>
          <t xml:space="preserve">I2   </t>
        </is>
      </c>
      <c r="U985" s="249" t="n">
        <v>398</v>
      </c>
      <c r="V985" s="678" t="n">
        <v>5988</v>
      </c>
      <c r="W985" s="678" t="n">
        <v>6000</v>
      </c>
      <c r="X985" s="356" t="inlineStr">
        <is>
          <t>1.6:1</t>
        </is>
      </c>
      <c r="Y985" s="678">
        <f>ROUND(J985,-3)</f>
        <v/>
      </c>
      <c r="Z985" s="249" t="inlineStr">
        <is>
          <t xml:space="preserve">C </t>
        </is>
      </c>
      <c r="AA985" s="245" t="n">
        <v>1</v>
      </c>
      <c r="AB985" s="245" t="n">
        <v>3</v>
      </c>
      <c r="AC985" s="253" t="inlineStr">
        <is>
          <t>13</t>
        </is>
      </c>
      <c r="AD985" s="247" t="inlineStr">
        <is>
          <t>                    </t>
        </is>
      </c>
      <c r="AE985" s="680" t="n"/>
      <c r="AF985" s="680" t="n"/>
      <c r="AG985" s="680" t="n"/>
      <c r="AH985" s="680" t="n"/>
      <c r="AI985" s="680" t="n"/>
      <c r="AJ985" s="680" t="n"/>
      <c r="AK985" s="680" t="inlineStr">
        <is>
          <t xml:space="preserve">S-T WHSE.                                                         </t>
        </is>
      </c>
    </row>
    <row r="986">
      <c r="A986" s="248" t="n">
        <v>8</v>
      </c>
      <c r="B986" s="370" t="n">
        <v>978</v>
      </c>
      <c r="C986" s="254" t="inlineStr">
        <is>
          <t>2009Q</t>
        </is>
      </c>
      <c r="D986" s="245" t="inlineStr">
        <is>
          <t xml:space="preserve">05281-13-019-000 </t>
        </is>
      </c>
      <c r="E986" s="258" t="inlineStr">
        <is>
          <t>Actual</t>
        </is>
      </c>
      <c r="F986" s="259" t="inlineStr">
        <is>
          <t>950 W EVANS                AV</t>
        </is>
      </c>
      <c r="G986" s="672" t="n">
        <v>44.1</v>
      </c>
      <c r="H986" s="253" t="n">
        <v>9506</v>
      </c>
      <c r="I986" s="255" t="n">
        <v>0</v>
      </c>
      <c r="J986" s="678" t="n">
        <v>7065</v>
      </c>
      <c r="K986" s="679" t="n">
        <v>6.794055201698514</v>
      </c>
      <c r="L986" s="260" t="n">
        <v>0</v>
      </c>
      <c r="M986" s="262" t="n">
        <v>0</v>
      </c>
      <c r="N986" s="253" t="n">
        <v>1977</v>
      </c>
      <c r="O986" s="250">
        <f>1174+1259</f>
        <v/>
      </c>
      <c r="P986" s="250" t="inlineStr">
        <is>
          <t>  </t>
        </is>
      </c>
      <c r="Q986" s="245" t="n">
        <v>12</v>
      </c>
      <c r="R986" s="245" t="n">
        <v>1</v>
      </c>
      <c r="S986" s="245" t="n">
        <v>1</v>
      </c>
      <c r="T986" s="249" t="inlineStr">
        <is>
          <t xml:space="preserve">I1   </t>
        </is>
      </c>
      <c r="U986" s="249" t="n">
        <v>398</v>
      </c>
      <c r="V986" s="678" t="n">
        <v>21875</v>
      </c>
      <c r="W986" s="678" t="n">
        <v>22000</v>
      </c>
      <c r="X986" s="356" t="inlineStr">
        <is>
          <t>3.1:1</t>
        </is>
      </c>
      <c r="Y986" s="678">
        <f>ROUND(J986,-3)</f>
        <v/>
      </c>
      <c r="Z986" s="249" t="inlineStr">
        <is>
          <t xml:space="preserve">C </t>
        </is>
      </c>
      <c r="AA986" s="245" t="n">
        <v>3</v>
      </c>
      <c r="AB986" s="245" t="n">
        <v>3</v>
      </c>
      <c r="AC986" s="253" t="inlineStr">
        <is>
          <t>33</t>
        </is>
      </c>
      <c r="AD986" s="247" t="inlineStr">
        <is>
          <t>DIST/SHWRM/SINGLE TE</t>
        </is>
      </c>
      <c r="AE986" s="680" t="n"/>
      <c r="AF986" s="680" t="n"/>
      <c r="AG986" s="680" t="n"/>
      <c r="AH986" s="680" t="n"/>
      <c r="AI986" s="680" t="n"/>
      <c r="AJ986" s="680" t="n"/>
      <c r="AK986" s="680" t="inlineStr">
        <is>
          <t xml:space="preserve">S-T WHSE.; AGE OF LEASE UNKNOWN.                                  </t>
        </is>
      </c>
    </row>
    <row r="987">
      <c r="A987" s="248" t="n">
        <v>8</v>
      </c>
      <c r="B987" s="370" t="n">
        <v>979</v>
      </c>
      <c r="C987" s="254" t="inlineStr">
        <is>
          <t>2009Q</t>
        </is>
      </c>
      <c r="D987" s="245" t="inlineStr">
        <is>
          <t xml:space="preserve">05281-14-016-000 </t>
        </is>
      </c>
      <c r="E987" s="258" t="inlineStr">
        <is>
          <t>Actual</t>
        </is>
      </c>
      <c r="F987" s="259" t="inlineStr">
        <is>
          <t>2126 S KALAMATH             ST</t>
        </is>
      </c>
      <c r="G987" s="672" t="n">
        <v>44.2</v>
      </c>
      <c r="H987" s="253" t="n">
        <v>9506</v>
      </c>
      <c r="I987" s="255" t="n">
        <v>0</v>
      </c>
      <c r="J987" s="678" t="n">
        <v>4000</v>
      </c>
      <c r="K987" s="679" t="n">
        <v>6.2</v>
      </c>
      <c r="L987" s="260" t="n">
        <v>0</v>
      </c>
      <c r="M987" s="262" t="n">
        <v>0.1096774193548387</v>
      </c>
      <c r="N987" s="253" t="n">
        <v>1957</v>
      </c>
      <c r="O987" s="250" t="n">
        <v>369</v>
      </c>
      <c r="Q987" s="245" t="n">
        <v>12</v>
      </c>
      <c r="R987" s="245" t="n">
        <v>1</v>
      </c>
      <c r="S987" s="245" t="n">
        <v>2</v>
      </c>
      <c r="T987" s="249" t="inlineStr">
        <is>
          <t xml:space="preserve">I1   </t>
        </is>
      </c>
      <c r="U987" s="249" t="n">
        <v>398</v>
      </c>
      <c r="V987" s="678" t="n">
        <v>9375</v>
      </c>
      <c r="W987" s="678" t="n">
        <v>9000</v>
      </c>
      <c r="X987" s="356" t="inlineStr">
        <is>
          <t>2.3:1</t>
        </is>
      </c>
      <c r="Y987" s="678">
        <f>ROUND(J987,-3)</f>
        <v/>
      </c>
      <c r="Z987" s="249" t="inlineStr">
        <is>
          <t xml:space="preserve">C </t>
        </is>
      </c>
      <c r="AA987" s="245" t="n">
        <v>3</v>
      </c>
      <c r="AB987" s="245" t="n">
        <v>3</v>
      </c>
      <c r="AC987" s="253" t="inlineStr">
        <is>
          <t>33</t>
        </is>
      </c>
      <c r="AD987" s="247" t="inlineStr">
        <is>
          <t>M-W NEW HERITAGE CRT</t>
        </is>
      </c>
      <c r="AE987" s="680" t="n"/>
      <c r="AF987" s="680" t="n"/>
      <c r="AG987" s="680" t="n"/>
      <c r="AH987" s="680" t="n"/>
      <c r="AI987" s="680" t="n"/>
      <c r="AJ987" s="680" t="n"/>
      <c r="AK987" s="680" t="inlineStr">
        <is>
          <t xml:space="preserve">M-T RETAIL; LEASES 2006 &amp; 2007.; 2 TENANTS.                       </t>
        </is>
      </c>
    </row>
    <row r="988">
      <c r="A988" s="248" t="n">
        <v>8</v>
      </c>
      <c r="B988" s="370" t="n">
        <v>980</v>
      </c>
      <c r="C988" s="254" t="inlineStr">
        <is>
          <t>2009Q</t>
        </is>
      </c>
      <c r="D988" s="245" t="inlineStr">
        <is>
          <t xml:space="preserve">05281-14-017-000 </t>
        </is>
      </c>
      <c r="E988" s="258" t="inlineStr">
        <is>
          <t>Actual</t>
        </is>
      </c>
      <c r="F988" s="259" t="inlineStr">
        <is>
          <t>2140 S KALAMATH             ST</t>
        </is>
      </c>
      <c r="G988" s="672" t="n">
        <v>44.1</v>
      </c>
      <c r="H988" s="253" t="n">
        <v>9506</v>
      </c>
      <c r="I988" s="255" t="n">
        <v>0</v>
      </c>
      <c r="J988" s="678" t="n">
        <v>3987</v>
      </c>
      <c r="K988" s="679" t="n">
        <v>5.472786556308001</v>
      </c>
      <c r="L988" s="260" t="n">
        <v>0</v>
      </c>
      <c r="M988" s="262" t="n">
        <v>0.09926672777268561</v>
      </c>
      <c r="N988" s="253" t="n">
        <v>1960</v>
      </c>
      <c r="Q988" s="245" t="n">
        <v>12</v>
      </c>
      <c r="R988" s="245" t="n">
        <v>1</v>
      </c>
      <c r="S988" s="245" t="n">
        <v>2</v>
      </c>
      <c r="T988" s="249" t="inlineStr">
        <is>
          <t xml:space="preserve">I1   </t>
        </is>
      </c>
      <c r="U988" s="249" t="n">
        <v>398</v>
      </c>
      <c r="V988" s="678" t="n">
        <v>9375</v>
      </c>
      <c r="W988" s="678" t="n">
        <v>9000</v>
      </c>
      <c r="X988" s="356" t="inlineStr">
        <is>
          <t>2.4:1</t>
        </is>
      </c>
      <c r="Y988" s="678">
        <f>ROUND(J988,-3)</f>
        <v/>
      </c>
      <c r="Z988" s="249" t="inlineStr">
        <is>
          <t xml:space="preserve">C </t>
        </is>
      </c>
      <c r="AA988" s="245" t="n">
        <v>3</v>
      </c>
      <c r="AB988" s="245" t="n">
        <v>3</v>
      </c>
      <c r="AC988" s="253" t="inlineStr">
        <is>
          <t>33</t>
        </is>
      </c>
      <c r="AD988" s="247" t="inlineStr">
        <is>
          <t>M-W GUS SHEKER STUDI</t>
        </is>
      </c>
      <c r="AE988" s="680" t="n"/>
      <c r="AF988" s="680" t="n"/>
      <c r="AG988" s="680" t="n"/>
      <c r="AH988" s="680" t="n"/>
      <c r="AI988" s="680" t="n"/>
      <c r="AJ988" s="680" t="n"/>
      <c r="AK988" s="680" t="inlineStr">
        <is>
          <t xml:space="preserve">M-T WHSE.; 2 TENANTS; 2006 LEASES.                                </t>
        </is>
      </c>
    </row>
    <row r="989">
      <c r="A989" s="248" t="n">
        <v>8</v>
      </c>
      <c r="B989" s="370" t="n">
        <v>981</v>
      </c>
      <c r="C989" s="254" t="inlineStr">
        <is>
          <t>2009Q</t>
        </is>
      </c>
      <c r="D989" s="245" t="inlineStr">
        <is>
          <t xml:space="preserve">05281-14-018-000 </t>
        </is>
      </c>
      <c r="E989" s="258" t="inlineStr">
        <is>
          <t>Actual</t>
        </is>
      </c>
      <c r="F989" s="259" t="inlineStr">
        <is>
          <t>2150 S KALAMATH             ST</t>
        </is>
      </c>
      <c r="G989" s="672" t="n">
        <v>44.1</v>
      </c>
      <c r="H989" s="253" t="n">
        <v>9506</v>
      </c>
      <c r="I989" s="255" t="n">
        <v>0</v>
      </c>
      <c r="J989" s="678" t="n">
        <v>4000</v>
      </c>
      <c r="K989" s="679" t="n">
        <v>5.665</v>
      </c>
      <c r="L989" s="260" t="n">
        <v>0</v>
      </c>
      <c r="M989" s="262" t="n">
        <v>0.09726390114739629</v>
      </c>
      <c r="N989" s="253" t="n">
        <v>1962</v>
      </c>
      <c r="Q989" s="245" t="n">
        <v>12</v>
      </c>
      <c r="R989" s="245" t="n">
        <v>1</v>
      </c>
      <c r="S989" s="245" t="n">
        <v>1</v>
      </c>
      <c r="T989" s="249" t="inlineStr">
        <is>
          <t xml:space="preserve">I1   </t>
        </is>
      </c>
      <c r="U989" s="249" t="n">
        <v>398</v>
      </c>
      <c r="V989" s="678" t="n">
        <v>9375</v>
      </c>
      <c r="W989" s="678" t="n">
        <v>9000</v>
      </c>
      <c r="X989" s="356" t="inlineStr">
        <is>
          <t>2.3:1</t>
        </is>
      </c>
      <c r="Y989" s="678">
        <f>ROUND(J989,-3)</f>
        <v/>
      </c>
      <c r="Z989" s="249" t="inlineStr">
        <is>
          <t xml:space="preserve">C </t>
        </is>
      </c>
      <c r="AA989" s="245" t="n">
        <v>3</v>
      </c>
      <c r="AB989" s="245" t="n">
        <v>3</v>
      </c>
      <c r="AC989" s="253" t="inlineStr">
        <is>
          <t>33</t>
        </is>
      </c>
      <c r="AD989" s="247" t="inlineStr">
        <is>
          <t xml:space="preserve">S-W ABLE SIGN       </t>
        </is>
      </c>
      <c r="AE989" s="680" t="n"/>
      <c r="AF989" s="680" t="n"/>
      <c r="AG989" s="680" t="n"/>
      <c r="AH989" s="680" t="n"/>
      <c r="AI989" s="680" t="n"/>
      <c r="AJ989" s="680" t="n"/>
      <c r="AK989" s="680" t="inlineStr">
        <is>
          <t xml:space="preserve">M-T WHSE.; 2 TENANTS; 2006 LEASES.                                </t>
        </is>
      </c>
    </row>
    <row r="990">
      <c r="A990" s="248" t="n">
        <v>8</v>
      </c>
      <c r="B990" s="370" t="n">
        <v>982</v>
      </c>
      <c r="C990" s="254" t="inlineStr">
        <is>
          <t>2009Q</t>
        </is>
      </c>
      <c r="D990" s="245" t="inlineStr">
        <is>
          <t xml:space="preserve">05281-14-019-000 </t>
        </is>
      </c>
      <c r="E990" s="258" t="inlineStr">
        <is>
          <t>Actual</t>
        </is>
      </c>
      <c r="F990" s="259" t="inlineStr">
        <is>
          <t>2168 S KALAMATH             ST</t>
        </is>
      </c>
      <c r="G990" s="672" t="n">
        <v>47.2</v>
      </c>
      <c r="H990" s="253" t="n">
        <v>9506</v>
      </c>
      <c r="I990" s="255" t="n">
        <v>0</v>
      </c>
      <c r="J990" s="678" t="n">
        <v>4000</v>
      </c>
      <c r="K990" s="679" t="n">
        <v>5.657</v>
      </c>
      <c r="L990" s="260" t="n">
        <v>0</v>
      </c>
      <c r="M990" s="262" t="n">
        <v>0.2673678628248188</v>
      </c>
      <c r="N990" s="253" t="n">
        <v>1956</v>
      </c>
      <c r="O990" s="250" t="n">
        <v>200</v>
      </c>
      <c r="Q990" s="245" t="n">
        <v>14</v>
      </c>
      <c r="R990" s="245" t="n">
        <v>1</v>
      </c>
      <c r="S990" s="245" t="n">
        <v>1</v>
      </c>
      <c r="T990" s="249" t="inlineStr">
        <is>
          <t xml:space="preserve">I1   </t>
        </is>
      </c>
      <c r="U990" s="249" t="n">
        <v>401</v>
      </c>
      <c r="V990" s="678" t="n">
        <v>12500</v>
      </c>
      <c r="W990" s="678" t="n">
        <v>13000</v>
      </c>
      <c r="X990" s="356" t="inlineStr">
        <is>
          <t>3.1:1</t>
        </is>
      </c>
      <c r="Y990" s="678">
        <f>ROUND(J990,-3)</f>
        <v/>
      </c>
      <c r="Z990" s="249" t="inlineStr">
        <is>
          <t xml:space="preserve">C </t>
        </is>
      </c>
      <c r="AA990" s="245" t="n">
        <v>3</v>
      </c>
      <c r="AB990" s="245" t="n">
        <v>3</v>
      </c>
      <c r="AC990" s="253" t="inlineStr">
        <is>
          <t>33</t>
        </is>
      </c>
      <c r="AD990" s="247" t="inlineStr">
        <is>
          <t xml:space="preserve">S-F ELEMER'S MANUF. </t>
        </is>
      </c>
      <c r="AE990" s="680" t="n"/>
      <c r="AF990" s="680" t="n"/>
      <c r="AG990" s="680" t="n"/>
      <c r="AH990" s="680" t="n"/>
      <c r="AI990" s="680" t="n"/>
      <c r="AJ990" s="680" t="n"/>
      <c r="AK990" s="680" t="inlineStr">
        <is>
          <t xml:space="preserve">S-T WHSE.; 2 TENANTS; 2006 &amp; 2007 LEASES.                         </t>
        </is>
      </c>
    </row>
    <row r="991">
      <c r="A991" s="248" t="n">
        <v>8</v>
      </c>
      <c r="B991" s="370" t="n">
        <v>983</v>
      </c>
      <c r="C991" s="254" t="inlineStr">
        <is>
          <t>2009Q</t>
        </is>
      </c>
      <c r="D991" s="245" t="inlineStr">
        <is>
          <t xml:space="preserve">05281-15-007-000 </t>
        </is>
      </c>
      <c r="E991" s="258" t="inlineStr">
        <is>
          <t>Actual</t>
        </is>
      </c>
      <c r="F991" s="259" t="inlineStr">
        <is>
          <t>2130 S LIPAN                ST</t>
        </is>
      </c>
      <c r="G991" s="672" t="n">
        <v>44.2</v>
      </c>
      <c r="H991" s="253" t="n">
        <v>9506</v>
      </c>
      <c r="I991" s="255" t="n">
        <v>0</v>
      </c>
      <c r="J991" s="678" t="n">
        <v>11532</v>
      </c>
      <c r="K991" s="679" t="n">
        <v>5.723204994797086</v>
      </c>
      <c r="L991" s="260" t="n">
        <v>0</v>
      </c>
      <c r="M991" s="262" t="n">
        <v>0.09362121212121212</v>
      </c>
      <c r="N991" s="253" t="n">
        <v>1960</v>
      </c>
      <c r="O991" s="250" t="n">
        <v>909</v>
      </c>
      <c r="Q991" s="245" t="n">
        <v>12</v>
      </c>
      <c r="R991" s="245" t="n">
        <v>3</v>
      </c>
      <c r="S991" s="245" t="n">
        <v>1</v>
      </c>
      <c r="T991" s="249" t="inlineStr">
        <is>
          <t xml:space="preserve">I1   </t>
        </is>
      </c>
      <c r="U991" s="249" t="n">
        <v>397</v>
      </c>
      <c r="V991" s="678" t="n">
        <v>18750</v>
      </c>
      <c r="W991" s="678" t="n">
        <v>19000</v>
      </c>
      <c r="X991" s="356" t="inlineStr">
        <is>
          <t>1.6:1</t>
        </is>
      </c>
      <c r="Y991" s="678">
        <f>ROUND(J991,-3)</f>
        <v/>
      </c>
      <c r="Z991" s="249" t="inlineStr">
        <is>
          <t xml:space="preserve">C </t>
        </is>
      </c>
      <c r="AA991" s="245" t="n">
        <v>3</v>
      </c>
      <c r="AB991" s="245" t="n">
        <v>3</v>
      </c>
      <c r="AC991" s="253" t="inlineStr">
        <is>
          <t>33</t>
        </is>
      </c>
      <c r="AD991" s="247" t="inlineStr">
        <is>
          <t>CHIPS WHSLS &amp; PYMSTR</t>
        </is>
      </c>
      <c r="AE991" s="680" t="n"/>
      <c r="AF991" s="680" t="n"/>
      <c r="AG991" s="680" t="n"/>
      <c r="AH991" s="680" t="n"/>
      <c r="AI991" s="680" t="n"/>
      <c r="AJ991" s="680" t="n"/>
      <c r="AK991" s="680" t="inlineStr">
        <is>
          <t xml:space="preserve">TENANCY &amp; LEASE TERMS UNKNOWN.                                    </t>
        </is>
      </c>
    </row>
    <row r="992">
      <c r="A992" s="248" t="n">
        <v>8</v>
      </c>
      <c r="B992" s="370" t="n">
        <v>984</v>
      </c>
      <c r="C992" s="254" t="inlineStr">
        <is>
          <t>2009Q</t>
        </is>
      </c>
      <c r="D992" s="245" t="inlineStr">
        <is>
          <t xml:space="preserve">05281-15-013-000 </t>
        </is>
      </c>
      <c r="E992" s="258" t="inlineStr">
        <is>
          <t>Actual</t>
        </is>
      </c>
      <c r="F992" s="259" t="inlineStr">
        <is>
          <t>1130 W EVANS                AV</t>
        </is>
      </c>
      <c r="G992" s="672" t="n">
        <v>44.2</v>
      </c>
      <c r="H992" s="253" t="n">
        <v>9506</v>
      </c>
      <c r="I992" s="255" t="n">
        <v>0</v>
      </c>
      <c r="J992" s="678" t="n">
        <v>10010</v>
      </c>
      <c r="K992" s="679" t="n">
        <v>6.607192807192807</v>
      </c>
      <c r="L992" s="260" t="n">
        <v>0</v>
      </c>
      <c r="M992" s="262" t="n">
        <v>0.01549789833378693</v>
      </c>
      <c r="N992" s="253" t="n">
        <v>1961</v>
      </c>
      <c r="O992" s="250" t="n">
        <v>1135</v>
      </c>
      <c r="Q992" s="245" t="n">
        <v>14</v>
      </c>
      <c r="R992" s="245" t="n">
        <v>1</v>
      </c>
      <c r="S992" s="245" t="n">
        <v>1</v>
      </c>
      <c r="T992" s="249" t="inlineStr">
        <is>
          <t xml:space="preserve">I1   </t>
        </is>
      </c>
      <c r="U992" s="249" t="n">
        <v>397</v>
      </c>
      <c r="V992" s="678" t="n">
        <v>15625</v>
      </c>
      <c r="W992" s="678" t="n">
        <v>16000</v>
      </c>
      <c r="X992" s="356" t="inlineStr">
        <is>
          <t>1.6:1</t>
        </is>
      </c>
      <c r="Y992" s="678">
        <f>ROUND(J992,-3)</f>
        <v/>
      </c>
      <c r="Z992" s="249" t="inlineStr">
        <is>
          <t xml:space="preserve">C </t>
        </is>
      </c>
      <c r="AA992" s="245" t="n">
        <v>3</v>
      </c>
      <c r="AB992" s="245" t="n">
        <v>3</v>
      </c>
      <c r="AC992" s="253" t="inlineStr">
        <is>
          <t>33</t>
        </is>
      </c>
      <c r="AD992" s="247" t="inlineStr">
        <is>
          <t>                    </t>
        </is>
      </c>
      <c r="AE992" s="680" t="n"/>
      <c r="AF992" s="680" t="n"/>
      <c r="AG992" s="680" t="n"/>
      <c r="AH992" s="680" t="n"/>
      <c r="AI992" s="680" t="n"/>
      <c r="AJ992" s="680" t="n"/>
      <c r="AK992" s="680" t="inlineStr">
        <is>
          <t xml:space="preserve">S-T WHSE.; OLDER LEASE - 2007 RENEWAL.                            </t>
        </is>
      </c>
    </row>
    <row r="993">
      <c r="A993" s="248" t="n">
        <v>8</v>
      </c>
      <c r="B993" s="370" t="n">
        <v>985</v>
      </c>
      <c r="C993" s="254" t="inlineStr">
        <is>
          <t>2009Q</t>
        </is>
      </c>
      <c r="D993" s="245" t="inlineStr">
        <is>
          <t xml:space="preserve">05281-15-014-000 </t>
        </is>
      </c>
      <c r="E993" s="258" t="inlineStr">
        <is>
          <t>Actual</t>
        </is>
      </c>
      <c r="F993" s="259" t="inlineStr">
        <is>
          <t>2170 S LIPAN                ST</t>
        </is>
      </c>
      <c r="G993" s="672" t="n">
        <v>44.2</v>
      </c>
      <c r="H993" s="253" t="n">
        <v>9506</v>
      </c>
      <c r="I993" s="255" t="n">
        <v>0</v>
      </c>
      <c r="J993" s="678" t="n">
        <v>5169</v>
      </c>
      <c r="K993" s="679" t="n">
        <v>12.14935190559102</v>
      </c>
      <c r="L993" s="260" t="n">
        <v>0</v>
      </c>
      <c r="M993" s="262" t="n">
        <v>0.2493789808917198</v>
      </c>
      <c r="N993" s="253" t="n">
        <v>1977</v>
      </c>
      <c r="O993" s="250">
        <f>1017+495</f>
        <v/>
      </c>
      <c r="Q993" s="245" t="n">
        <v>14</v>
      </c>
      <c r="R993" s="245" t="n">
        <v>3</v>
      </c>
      <c r="S993" s="245" t="n">
        <v>1</v>
      </c>
      <c r="T993" s="249" t="inlineStr">
        <is>
          <t xml:space="preserve">I1   </t>
        </is>
      </c>
      <c r="U993" s="249" t="n">
        <v>398</v>
      </c>
      <c r="V993" s="678" t="n">
        <v>15625</v>
      </c>
      <c r="W993" s="678" t="n">
        <v>16000</v>
      </c>
      <c r="X993" s="356" t="inlineStr">
        <is>
          <t>3.0:1</t>
        </is>
      </c>
      <c r="Y993" s="678">
        <f>ROUND(J993,-3)</f>
        <v/>
      </c>
      <c r="Z993" s="249" t="inlineStr">
        <is>
          <t xml:space="preserve">C </t>
        </is>
      </c>
      <c r="AA993" s="245" t="n">
        <v>3</v>
      </c>
      <c r="AB993" s="245" t="n">
        <v>3</v>
      </c>
      <c r="AC993" s="253" t="inlineStr">
        <is>
          <t>33</t>
        </is>
      </c>
      <c r="AD993" s="247" t="inlineStr">
        <is>
          <t>P'NTRS&amp;DRYWLL UN'N79</t>
        </is>
      </c>
      <c r="AE993" s="680" t="n"/>
      <c r="AF993" s="680" t="n"/>
      <c r="AG993" s="680" t="n"/>
      <c r="AH993" s="680" t="n"/>
      <c r="AI993" s="680" t="n"/>
      <c r="AJ993" s="680" t="n"/>
      <c r="AK993" s="680" t="inlineStr">
        <is>
          <t xml:space="preserve">S-T WHSE.                                                         </t>
        </is>
      </c>
    </row>
    <row r="994">
      <c r="A994" s="248" t="n">
        <v>8</v>
      </c>
      <c r="B994" s="370" t="n">
        <v>986</v>
      </c>
      <c r="C994" s="254" t="inlineStr">
        <is>
          <t>2009Q</t>
        </is>
      </c>
      <c r="D994" s="245" t="inlineStr">
        <is>
          <t xml:space="preserve">05281-15-020-000 </t>
        </is>
      </c>
      <c r="E994" s="258" t="inlineStr">
        <is>
          <t>Actual</t>
        </is>
      </c>
      <c r="F994" s="259" t="inlineStr">
        <is>
          <t>2160 S LIPAN                ST</t>
        </is>
      </c>
      <c r="G994" s="672" t="n">
        <v>44.2</v>
      </c>
      <c r="H994" s="253" t="n">
        <v>9506</v>
      </c>
      <c r="I994" s="255" t="n">
        <v>0</v>
      </c>
      <c r="J994" s="678" t="n">
        <v>4993</v>
      </c>
      <c r="K994" s="679" t="n">
        <v>3.922291207690767</v>
      </c>
      <c r="L994" s="260" t="n">
        <v>0</v>
      </c>
      <c r="M994" s="262" t="n">
        <v>0</v>
      </c>
      <c r="N994" s="253" t="n">
        <v>1959</v>
      </c>
      <c r="O994" s="250" t="n">
        <v>1668</v>
      </c>
      <c r="Q994" s="245" t="n">
        <v>12</v>
      </c>
      <c r="R994" s="245" t="n">
        <v>1</v>
      </c>
      <c r="S994" s="245" t="n">
        <v>1</v>
      </c>
      <c r="T994" s="249" t="inlineStr">
        <is>
          <t xml:space="preserve">I1   </t>
        </is>
      </c>
      <c r="U994" s="249" t="n">
        <v>397</v>
      </c>
      <c r="V994" s="678" t="n">
        <v>9375</v>
      </c>
      <c r="W994" s="678" t="n">
        <v>9000</v>
      </c>
      <c r="X994" s="356" t="inlineStr">
        <is>
          <t>1.9:1</t>
        </is>
      </c>
      <c r="Y994" s="678">
        <f>ROUND(J994,-3)</f>
        <v/>
      </c>
      <c r="Z994" s="249" t="inlineStr">
        <is>
          <t xml:space="preserve">C </t>
        </is>
      </c>
      <c r="AA994" s="245" t="n">
        <v>3</v>
      </c>
      <c r="AB994" s="245" t="n">
        <v>3</v>
      </c>
      <c r="AC994" s="253" t="inlineStr">
        <is>
          <t>33</t>
        </is>
      </c>
      <c r="AD994" s="247" t="inlineStr">
        <is>
          <t>                    </t>
        </is>
      </c>
      <c r="AE994" s="680" t="n"/>
      <c r="AF994" s="680" t="n"/>
      <c r="AG994" s="680" t="n"/>
      <c r="AH994" s="680" t="n"/>
      <c r="AI994" s="680" t="n"/>
      <c r="AJ994" s="680" t="n"/>
      <c r="AK994" s="680" t="inlineStr">
        <is>
          <t xml:space="preserve">S-T WHSE.                                                         </t>
        </is>
      </c>
    </row>
    <row r="995">
      <c r="A995" s="248" t="n">
        <v>8</v>
      </c>
      <c r="B995" s="370" t="n">
        <v>987</v>
      </c>
      <c r="C995" s="254" t="inlineStr">
        <is>
          <t>2009Q</t>
        </is>
      </c>
      <c r="D995" s="245" t="inlineStr">
        <is>
          <t xml:space="preserve">05281-16-001-000 </t>
        </is>
      </c>
      <c r="E995" s="258" t="inlineStr">
        <is>
          <t>Actual</t>
        </is>
      </c>
      <c r="F995" s="259" t="inlineStr">
        <is>
          <t>2201 S KALAMATH             ST</t>
        </is>
      </c>
      <c r="G995" s="672" t="n">
        <v>44.1</v>
      </c>
      <c r="H995" s="253" t="n">
        <v>9506</v>
      </c>
      <c r="I995" s="255" t="n">
        <v>0</v>
      </c>
      <c r="J995" s="678" t="n">
        <v>5000</v>
      </c>
      <c r="K995" s="679" t="n">
        <v>6</v>
      </c>
      <c r="L995" s="260" t="n">
        <v>0</v>
      </c>
      <c r="M995" s="262" t="n">
        <v>0.1857</v>
      </c>
      <c r="N995" s="253" t="n">
        <v>1966</v>
      </c>
      <c r="O995" s="250" t="n">
        <v>521</v>
      </c>
      <c r="Q995" s="245" t="n">
        <v>14</v>
      </c>
      <c r="R995" s="245" t="n">
        <v>3</v>
      </c>
      <c r="S995" s="245" t="n">
        <v>1</v>
      </c>
      <c r="T995" s="249" t="inlineStr">
        <is>
          <t xml:space="preserve">I1   </t>
        </is>
      </c>
      <c r="U995" s="249" t="n">
        <v>397</v>
      </c>
      <c r="V995" s="678" t="n">
        <v>6250</v>
      </c>
      <c r="W995" s="678" t="n">
        <v>6000</v>
      </c>
      <c r="X995" s="356" t="inlineStr">
        <is>
          <t>1.3:1</t>
        </is>
      </c>
      <c r="Y995" s="678">
        <f>ROUND(J995,-3)</f>
        <v/>
      </c>
      <c r="Z995" s="249" t="inlineStr">
        <is>
          <t xml:space="preserve">C </t>
        </is>
      </c>
      <c r="AA995" s="245" t="n">
        <v>3</v>
      </c>
      <c r="AB995" s="245" t="n">
        <v>3</v>
      </c>
      <c r="AC995" s="253" t="inlineStr">
        <is>
          <t>33</t>
        </is>
      </c>
      <c r="AD995" s="247" t="inlineStr">
        <is>
          <t xml:space="preserve">S-W EUROPEAN MARBLE </t>
        </is>
      </c>
      <c r="AE995" s="680" t="n"/>
      <c r="AF995" s="680" t="n"/>
      <c r="AG995" s="680" t="n"/>
      <c r="AH995" s="680" t="n"/>
      <c r="AI995" s="680" t="n"/>
      <c r="AJ995" s="680" t="n"/>
      <c r="AK995" s="680" t="inlineStr">
        <is>
          <t xml:space="preserve">S-T WHSE.                                                         </t>
        </is>
      </c>
    </row>
    <row r="996">
      <c r="A996" s="248" t="n">
        <v>8</v>
      </c>
      <c r="B996" s="370" t="n">
        <v>988</v>
      </c>
      <c r="C996" s="254" t="inlineStr">
        <is>
          <t>2009Q</t>
        </is>
      </c>
      <c r="D996" s="245" t="inlineStr">
        <is>
          <t xml:space="preserve">05281-16-004-000 </t>
        </is>
      </c>
      <c r="E996" s="258" t="inlineStr">
        <is>
          <t>Actual</t>
        </is>
      </c>
      <c r="F996" s="259" t="inlineStr">
        <is>
          <t>2235 S KALAMATH             ST</t>
        </is>
      </c>
      <c r="G996" s="672" t="n">
        <v>44.1</v>
      </c>
      <c r="H996" s="253" t="n">
        <v>9506</v>
      </c>
      <c r="I996" s="255" t="n">
        <v>0</v>
      </c>
      <c r="J996" s="678" t="n">
        <v>5425</v>
      </c>
      <c r="K996" s="679" t="n">
        <v>8.110599078341014</v>
      </c>
      <c r="L996" s="260" t="n">
        <v>0</v>
      </c>
      <c r="M996" s="262" t="n">
        <v>0.08529545454545455</v>
      </c>
      <c r="N996" s="253" t="n">
        <v>1974</v>
      </c>
      <c r="O996" s="250" t="n">
        <v>336</v>
      </c>
      <c r="Q996" s="245" t="n">
        <v>13</v>
      </c>
      <c r="R996" s="245" t="n">
        <v>8</v>
      </c>
      <c r="S996" s="245" t="n">
        <v>1</v>
      </c>
      <c r="T996" s="249" t="inlineStr">
        <is>
          <t xml:space="preserve">I1   </t>
        </is>
      </c>
      <c r="U996" s="249" t="n">
        <v>397</v>
      </c>
      <c r="V996" s="678" t="n">
        <v>12500</v>
      </c>
      <c r="W996" s="678" t="n">
        <v>13000</v>
      </c>
      <c r="X996" s="356" t="inlineStr">
        <is>
          <t>2.3:1</t>
        </is>
      </c>
      <c r="Y996" s="678">
        <f>ROUND(J996,-3)</f>
        <v/>
      </c>
      <c r="Z996" s="249" t="inlineStr">
        <is>
          <t xml:space="preserve">C </t>
        </is>
      </c>
      <c r="AA996" s="245" t="n">
        <v>3</v>
      </c>
      <c r="AB996" s="245" t="n">
        <v>3</v>
      </c>
      <c r="AC996" s="253" t="inlineStr">
        <is>
          <t>33</t>
        </is>
      </c>
      <c r="AD996" s="247" t="inlineStr">
        <is>
          <t xml:space="preserve">SEAL MAXX           </t>
        </is>
      </c>
      <c r="AE996" s="680" t="n"/>
      <c r="AF996" s="680" t="n"/>
      <c r="AG996" s="680" t="n"/>
      <c r="AH996" s="680" t="n"/>
      <c r="AI996" s="680" t="n"/>
      <c r="AJ996" s="680" t="n"/>
      <c r="AK996" s="680" t="inlineStr">
        <is>
          <t xml:space="preserve">S-T WHSE.                                                         </t>
        </is>
      </c>
    </row>
    <row r="997">
      <c r="A997" s="248" t="n">
        <v>8</v>
      </c>
      <c r="B997" s="370" t="n">
        <v>989</v>
      </c>
      <c r="C997" s="254" t="inlineStr">
        <is>
          <t>2009Q</t>
        </is>
      </c>
      <c r="D997" s="245" t="inlineStr">
        <is>
          <t xml:space="preserve">05281-16-008-000 </t>
        </is>
      </c>
      <c r="E997" s="258" t="inlineStr">
        <is>
          <t>Actual</t>
        </is>
      </c>
      <c r="F997" s="259" t="inlineStr">
        <is>
          <t>2250 S LIPAN                ST</t>
        </is>
      </c>
      <c r="G997" s="672" t="n">
        <v>44.2</v>
      </c>
      <c r="H997" s="253" t="n">
        <v>9506</v>
      </c>
      <c r="I997" s="255" t="n">
        <v>0</v>
      </c>
      <c r="J997" s="678" t="n">
        <v>9943</v>
      </c>
      <c r="K997" s="679" t="n">
        <v>7.146937544000805</v>
      </c>
      <c r="L997" s="260" t="n">
        <v>0</v>
      </c>
      <c r="M997" s="262" t="n">
        <v>0</v>
      </c>
      <c r="N997" s="253" t="n">
        <v>1959</v>
      </c>
      <c r="O997" s="250" t="n">
        <v>1920</v>
      </c>
      <c r="Q997" s="245" t="n">
        <v>12</v>
      </c>
      <c r="R997" s="245" t="n">
        <v>1</v>
      </c>
      <c r="S997" s="245" t="n">
        <v>1</v>
      </c>
      <c r="T997" s="249" t="inlineStr">
        <is>
          <t xml:space="preserve">I1   </t>
        </is>
      </c>
      <c r="U997" s="249" t="n">
        <v>398</v>
      </c>
      <c r="V997" s="678" t="n">
        <v>21875</v>
      </c>
      <c r="W997" s="678" t="n">
        <v>22000</v>
      </c>
      <c r="X997" s="356" t="inlineStr">
        <is>
          <t>2.2:1</t>
        </is>
      </c>
      <c r="Y997" s="678">
        <f>ROUND(J997,-3)</f>
        <v/>
      </c>
      <c r="Z997" s="249" t="inlineStr">
        <is>
          <t xml:space="preserve">C </t>
        </is>
      </c>
      <c r="AA997" s="245" t="n">
        <v>3</v>
      </c>
      <c r="AB997" s="245" t="n">
        <v>3</v>
      </c>
      <c r="AC997" s="253" t="inlineStr">
        <is>
          <t>33</t>
        </is>
      </c>
      <c r="AD997" s="247" t="inlineStr">
        <is>
          <t xml:space="preserve">WHSE / LIGHT MANUF  </t>
        </is>
      </c>
      <c r="AE997" s="680" t="n"/>
      <c r="AF997" s="680" t="n"/>
      <c r="AG997" s="680" t="n"/>
      <c r="AH997" s="680" t="n"/>
      <c r="AI997" s="680" t="n"/>
      <c r="AJ997" s="680" t="n"/>
      <c r="AK997" s="680" t="inlineStr">
        <is>
          <t xml:space="preserve">TENANCY AND LEASE TERMS UNKNOWN.                                  </t>
        </is>
      </c>
    </row>
    <row r="998">
      <c r="A998" s="248" t="n">
        <v>8</v>
      </c>
      <c r="B998" s="370" t="n">
        <v>990</v>
      </c>
      <c r="C998" s="254" t="inlineStr">
        <is>
          <t>2009Q</t>
        </is>
      </c>
      <c r="D998" s="245" t="inlineStr">
        <is>
          <t xml:space="preserve">05281-16-012-000 </t>
        </is>
      </c>
      <c r="E998" s="258" t="inlineStr">
        <is>
          <t>Actual</t>
        </is>
      </c>
      <c r="F998" s="259" t="inlineStr">
        <is>
          <t>2280 S LIPAN                ST</t>
        </is>
      </c>
      <c r="G998" s="672" t="n">
        <v>44.1</v>
      </c>
      <c r="H998" s="253" t="n">
        <v>9506</v>
      </c>
      <c r="I998" s="255" t="n">
        <v>0</v>
      </c>
      <c r="J998" s="678" t="n">
        <v>5013</v>
      </c>
      <c r="K998" s="679" t="n">
        <v>11.01137043686415</v>
      </c>
      <c r="L998" s="260" t="n">
        <v>0</v>
      </c>
      <c r="M998" s="262" t="n">
        <v>0.1309601449275362</v>
      </c>
      <c r="N998" s="253" t="n">
        <v>1961</v>
      </c>
      <c r="O998" s="250" t="n">
        <v>2346</v>
      </c>
      <c r="Q998" s="245" t="n">
        <v>13</v>
      </c>
      <c r="R998" s="245" t="n">
        <v>4</v>
      </c>
      <c r="S998" s="245" t="n">
        <v>1</v>
      </c>
      <c r="T998" s="249" t="inlineStr">
        <is>
          <t xml:space="preserve">I1   </t>
        </is>
      </c>
      <c r="U998" s="249" t="n">
        <v>398</v>
      </c>
      <c r="V998" s="678" t="n">
        <v>9375</v>
      </c>
      <c r="W998" s="678" t="n">
        <v>9000</v>
      </c>
      <c r="X998" s="356" t="inlineStr">
        <is>
          <t>1.9:1</t>
        </is>
      </c>
      <c r="Y998" s="678">
        <f>ROUND(J998,-3)</f>
        <v/>
      </c>
      <c r="Z998" s="249" t="inlineStr">
        <is>
          <t xml:space="preserve">C </t>
        </is>
      </c>
      <c r="AA998" s="245" t="n">
        <v>3</v>
      </c>
      <c r="AB998" s="245" t="n">
        <v>3</v>
      </c>
      <c r="AC998" s="253" t="inlineStr">
        <is>
          <t>33</t>
        </is>
      </c>
      <c r="AD998" s="247" t="inlineStr">
        <is>
          <t xml:space="preserve">WHSE / OFFICE       </t>
        </is>
      </c>
      <c r="AE998" s="680" t="n"/>
      <c r="AF998" s="680" t="n"/>
      <c r="AG998" s="680" t="n"/>
      <c r="AH998" s="680" t="n"/>
      <c r="AI998" s="680" t="n"/>
      <c r="AJ998" s="680" t="n"/>
      <c r="AK998" s="680" t="inlineStr">
        <is>
          <t xml:space="preserve">M-T WHSE.; 2 TENANTS; YR-TO-YR LEASES.                            </t>
        </is>
      </c>
    </row>
    <row r="999">
      <c r="A999" s="248" t="n">
        <v>8</v>
      </c>
      <c r="B999" s="370" t="n">
        <v>991</v>
      </c>
      <c r="C999" s="254" t="inlineStr">
        <is>
          <t>2009Q</t>
        </is>
      </c>
      <c r="D999" s="245" t="inlineStr">
        <is>
          <t xml:space="preserve">05281-17-020-000 </t>
        </is>
      </c>
      <c r="E999" s="258" t="inlineStr">
        <is>
          <t>Actual</t>
        </is>
      </c>
      <c r="F999" s="259" t="inlineStr">
        <is>
          <t>2218 S KALAMATH             ST</t>
        </is>
      </c>
      <c r="G999" s="672" t="n">
        <v>43.1</v>
      </c>
      <c r="H999" s="253" t="n">
        <v>9506</v>
      </c>
      <c r="I999" s="255" t="n">
        <v>0</v>
      </c>
      <c r="J999" s="678" t="n">
        <v>16423</v>
      </c>
      <c r="K999" s="679" t="n">
        <v>3.653412896547525</v>
      </c>
      <c r="L999" s="260" t="n">
        <v>0</v>
      </c>
      <c r="M999" s="262" t="n">
        <v>0</v>
      </c>
      <c r="N999" s="253" t="n">
        <v>1972</v>
      </c>
      <c r="O999" s="250" t="n">
        <v>2155</v>
      </c>
      <c r="Q999" s="245" t="n">
        <v>17</v>
      </c>
      <c r="R999" s="245" t="n">
        <v>7</v>
      </c>
      <c r="S999" s="245" t="n">
        <v>1</v>
      </c>
      <c r="T999" s="249" t="inlineStr">
        <is>
          <t xml:space="preserve">I1   </t>
        </is>
      </c>
      <c r="U999" s="249" t="n">
        <v>401</v>
      </c>
      <c r="V999" s="678" t="n">
        <v>25000</v>
      </c>
      <c r="W999" s="678" t="n">
        <v>25000</v>
      </c>
      <c r="X999" s="356" t="inlineStr">
        <is>
          <t>1.5:1</t>
        </is>
      </c>
      <c r="Y999" s="678">
        <f>ROUND(J999,-3)</f>
        <v/>
      </c>
      <c r="Z999" s="249" t="inlineStr">
        <is>
          <t xml:space="preserve">C </t>
        </is>
      </c>
      <c r="AA999" s="245" t="n">
        <v>3</v>
      </c>
      <c r="AB999" s="245" t="n">
        <v>3</v>
      </c>
      <c r="AC999" s="253" t="inlineStr">
        <is>
          <t>33</t>
        </is>
      </c>
      <c r="AD999" s="247" t="inlineStr">
        <is>
          <t xml:space="preserve">S-F UNITED RENTAL   </t>
        </is>
      </c>
      <c r="AE999" s="680" t="n"/>
      <c r="AF999" s="680" t="n"/>
      <c r="AG999" s="680" t="n"/>
      <c r="AH999" s="680" t="n"/>
      <c r="AI999" s="680" t="n"/>
      <c r="AJ999" s="680" t="n"/>
      <c r="AK999" s="680" t="inlineStr">
        <is>
          <t xml:space="preserve">S-T INDUSTRIAL BLDG.; 2006 LEASE.                                 </t>
        </is>
      </c>
    </row>
    <row r="1000">
      <c r="A1000" s="248" t="n">
        <v>8</v>
      </c>
      <c r="B1000" s="370" t="n">
        <v>992</v>
      </c>
      <c r="C1000" s="254" t="inlineStr">
        <is>
          <t>2009Q</t>
        </is>
      </c>
      <c r="D1000" s="245" t="inlineStr">
        <is>
          <t xml:space="preserve">05281-17-024-000 </t>
        </is>
      </c>
      <c r="E1000" s="258" t="inlineStr">
        <is>
          <t>Actual</t>
        </is>
      </c>
      <c r="F1000" s="259" t="inlineStr">
        <is>
          <t>2240 S KALAMATH             ST</t>
        </is>
      </c>
      <c r="G1000" s="672" t="n">
        <v>44.2</v>
      </c>
      <c r="H1000" s="253" t="n">
        <v>9506</v>
      </c>
      <c r="I1000" s="255" t="n">
        <v>0</v>
      </c>
      <c r="J1000" s="678" t="n">
        <v>2000</v>
      </c>
      <c r="K1000" s="679" t="n">
        <v>6.571</v>
      </c>
      <c r="L1000" s="260" t="n">
        <v>0</v>
      </c>
      <c r="M1000" s="262" t="n">
        <v>0.07807030893319129</v>
      </c>
      <c r="N1000" s="253" t="n">
        <v>1962</v>
      </c>
      <c r="Q1000" s="245" t="n">
        <v>12</v>
      </c>
      <c r="R1000" s="245" t="n">
        <v>3</v>
      </c>
      <c r="S1000" s="245" t="n">
        <v>1</v>
      </c>
      <c r="T1000" s="249" t="inlineStr">
        <is>
          <t xml:space="preserve">I1   </t>
        </is>
      </c>
      <c r="U1000" s="249" t="n">
        <v>398</v>
      </c>
      <c r="V1000" s="678" t="n">
        <v>12500</v>
      </c>
      <c r="W1000" s="678" t="n">
        <v>13000</v>
      </c>
      <c r="X1000" s="356" t="inlineStr">
        <is>
          <t>6.3:1</t>
        </is>
      </c>
      <c r="Y1000" s="678">
        <f>ROUND(J1000,-3)</f>
        <v/>
      </c>
      <c r="Z1000" s="249" t="inlineStr">
        <is>
          <t xml:space="preserve">C </t>
        </is>
      </c>
      <c r="AA1000" s="245" t="n">
        <v>3</v>
      </c>
      <c r="AB1000" s="245" t="n">
        <v>3</v>
      </c>
      <c r="AC1000" s="253" t="inlineStr">
        <is>
          <t>33</t>
        </is>
      </c>
      <c r="AD1000" s="247" t="inlineStr">
        <is>
          <t xml:space="preserve">S-W JT'S UPHOLSTERY </t>
        </is>
      </c>
      <c r="AE1000" s="680" t="n"/>
      <c r="AF1000" s="680" t="n"/>
      <c r="AG1000" s="680" t="n"/>
      <c r="AH1000" s="680" t="n"/>
      <c r="AI1000" s="680" t="n"/>
      <c r="AJ1000" s="680" t="n"/>
      <c r="AK1000" s="680" t="inlineStr">
        <is>
          <t xml:space="preserve">S-T WHSE.; 2006 LEASE.                                            </t>
        </is>
      </c>
    </row>
    <row r="1001">
      <c r="A1001" s="248" t="n">
        <v>8</v>
      </c>
      <c r="B1001" s="370" t="n">
        <v>993</v>
      </c>
      <c r="C1001" s="254" t="inlineStr">
        <is>
          <t>2009Q</t>
        </is>
      </c>
      <c r="D1001" s="245" t="inlineStr">
        <is>
          <t xml:space="preserve">05281-17-034-000 </t>
        </is>
      </c>
      <c r="E1001" s="258" t="inlineStr">
        <is>
          <t>Actual</t>
        </is>
      </c>
      <c r="F1001" s="259" t="inlineStr">
        <is>
          <t>2278 S KALAMATH             ST</t>
        </is>
      </c>
      <c r="G1001" s="672" t="n">
        <v>44.2</v>
      </c>
      <c r="H1001" s="253" t="n">
        <v>9506</v>
      </c>
      <c r="I1001" s="255" t="n">
        <v>0</v>
      </c>
      <c r="J1001" s="678" t="n">
        <v>4460</v>
      </c>
      <c r="K1001" s="679" t="n">
        <v>7.533632286995516</v>
      </c>
      <c r="L1001" s="260" t="n">
        <v>0</v>
      </c>
      <c r="M1001" s="262" t="n">
        <v>0.04401785714285714</v>
      </c>
      <c r="N1001" s="253" t="n">
        <v>2000</v>
      </c>
      <c r="O1001" s="250">
        <f>322+288</f>
        <v/>
      </c>
      <c r="Q1001" s="245" t="n">
        <v>18</v>
      </c>
      <c r="R1001" s="245" t="n">
        <v>1</v>
      </c>
      <c r="S1001" s="245" t="n">
        <v>1</v>
      </c>
      <c r="T1001" s="249" t="inlineStr">
        <is>
          <t xml:space="preserve">I1   </t>
        </is>
      </c>
      <c r="U1001" s="249" t="n">
        <v>398</v>
      </c>
      <c r="V1001" s="678" t="n">
        <v>6250</v>
      </c>
      <c r="W1001" s="678" t="n">
        <v>6000</v>
      </c>
      <c r="X1001" s="356" t="inlineStr">
        <is>
          <t>1.4:1</t>
        </is>
      </c>
      <c r="Y1001" s="678">
        <f>ROUND(J1001,-3)</f>
        <v/>
      </c>
      <c r="Z1001" s="249" t="inlineStr">
        <is>
          <t xml:space="preserve">C </t>
        </is>
      </c>
      <c r="AA1001" s="245" t="n">
        <v>3</v>
      </c>
      <c r="AB1001" s="245" t="n">
        <v>3</v>
      </c>
      <c r="AC1001" s="253" t="inlineStr">
        <is>
          <t>33</t>
        </is>
      </c>
      <c r="AD1001" s="247" t="inlineStr">
        <is>
          <t xml:space="preserve">HORST DYNAMICS      </t>
        </is>
      </c>
      <c r="AE1001" s="680" t="n"/>
      <c r="AF1001" s="680" t="n"/>
      <c r="AG1001" s="680" t="n"/>
      <c r="AH1001" s="680" t="n"/>
      <c r="AI1001" s="680" t="n"/>
      <c r="AJ1001" s="680" t="n"/>
      <c r="AK1001" s="680" t="inlineStr">
        <is>
          <t xml:space="preserve">S-T WHSE.; MO-TO-MO LEASE.                                        </t>
        </is>
      </c>
    </row>
    <row r="1002">
      <c r="A1002" s="248" t="n">
        <v>8</v>
      </c>
      <c r="B1002" s="370" t="n">
        <v>994</v>
      </c>
      <c r="C1002" s="254" t="inlineStr">
        <is>
          <t>2009Q</t>
        </is>
      </c>
      <c r="D1002" s="245" t="inlineStr">
        <is>
          <t xml:space="preserve">05282-00-004-000 </t>
        </is>
      </c>
      <c r="E1002" s="258" t="inlineStr">
        <is>
          <t>Actual</t>
        </is>
      </c>
      <c r="F1002" s="259" t="inlineStr">
        <is>
          <t>2190 S RARITAN              ST</t>
        </is>
      </c>
      <c r="G1002" s="672" t="n">
        <v>44.2</v>
      </c>
      <c r="H1002" s="253" t="n">
        <v>9506</v>
      </c>
      <c r="I1002" s="255" t="n">
        <v>0</v>
      </c>
      <c r="J1002" s="678" t="n">
        <v>2400</v>
      </c>
      <c r="K1002" s="679" t="n">
        <v>20</v>
      </c>
      <c r="L1002" s="260" t="n">
        <v>0</v>
      </c>
      <c r="M1002" s="262" t="n">
        <v>0</v>
      </c>
      <c r="N1002" s="253" t="n">
        <v>1964</v>
      </c>
      <c r="O1002" s="678" t="n">
        <v>560</v>
      </c>
      <c r="P1002" s="678" t="n"/>
      <c r="Q1002" s="245" t="n">
        <v>10</v>
      </c>
      <c r="R1002" s="245" t="n">
        <v>7</v>
      </c>
      <c r="S1002" s="245" t="n">
        <v>2</v>
      </c>
      <c r="T1002" s="249" t="inlineStr">
        <is>
          <t xml:space="preserve">I1   </t>
        </is>
      </c>
      <c r="U1002" s="249" t="n">
        <v>332</v>
      </c>
      <c r="V1002" s="678" t="n">
        <v>26000</v>
      </c>
      <c r="W1002" s="678" t="n">
        <v>26000</v>
      </c>
      <c r="X1002" s="356" t="inlineStr">
        <is>
          <t>10.8:1</t>
        </is>
      </c>
      <c r="Y1002" s="678">
        <f>ROUND(J1002,-3)</f>
        <v/>
      </c>
      <c r="Z1002" s="249" t="inlineStr">
        <is>
          <t xml:space="preserve">C </t>
        </is>
      </c>
      <c r="AA1002" s="245" t="n">
        <v>3</v>
      </c>
      <c r="AB1002" s="245" t="n">
        <v>3</v>
      </c>
      <c r="AC1002" s="253" t="n">
        <v>33</v>
      </c>
      <c r="AD1002" s="247" t="inlineStr">
        <is>
          <t xml:space="preserve">CENTENNIAL AUTO 4X4 </t>
        </is>
      </c>
      <c r="AE1002" s="680" t="n"/>
      <c r="AF1002" s="680" t="n"/>
      <c r="AG1002" s="680" t="n"/>
      <c r="AH1002" s="680" t="n"/>
      <c r="AI1002" s="680" t="n"/>
      <c r="AJ1002" s="680" t="n"/>
      <c r="AK1002" s="680" t="inlineStr">
        <is>
          <t xml:space="preserve">BLG RENTED PARTIALLY IN 2007.                                     </t>
        </is>
      </c>
    </row>
    <row r="1003">
      <c r="A1003" s="248" t="n">
        <v>8</v>
      </c>
      <c r="B1003" s="370" t="n">
        <v>995</v>
      </c>
      <c r="C1003" s="254" t="inlineStr">
        <is>
          <t>2009Q</t>
        </is>
      </c>
      <c r="D1003" s="245" t="inlineStr">
        <is>
          <t xml:space="preserve">05282-00-006-000 </t>
        </is>
      </c>
      <c r="E1003" s="258" t="inlineStr">
        <is>
          <t>Actual</t>
        </is>
      </c>
      <c r="F1003" s="259" t="inlineStr">
        <is>
          <t>1696 W EVANS                AV</t>
        </is>
      </c>
      <c r="G1003" s="672" t="n">
        <v>44.1</v>
      </c>
      <c r="H1003" s="253" t="n">
        <v>9506</v>
      </c>
      <c r="I1003" s="255" t="n">
        <v>0</v>
      </c>
      <c r="J1003" s="678" t="n">
        <v>14990</v>
      </c>
      <c r="K1003" s="679" t="n">
        <v>5.662241494329553</v>
      </c>
      <c r="L1003" s="260" t="n">
        <v>0</v>
      </c>
      <c r="M1003" s="262" t="n">
        <v>0.01528093594259929</v>
      </c>
      <c r="N1003" s="253" t="n">
        <v>1980</v>
      </c>
      <c r="O1003" s="250" t="n">
        <v>795</v>
      </c>
      <c r="Q1003" s="245" t="n">
        <v>15</v>
      </c>
      <c r="R1003" s="245" t="n">
        <v>1</v>
      </c>
      <c r="S1003" s="245" t="n">
        <v>1</v>
      </c>
      <c r="T1003" s="249" t="inlineStr">
        <is>
          <t xml:space="preserve">I1   </t>
        </is>
      </c>
      <c r="U1003" s="249" t="n">
        <v>398</v>
      </c>
      <c r="V1003" s="678" t="n">
        <v>18750</v>
      </c>
      <c r="W1003" s="678" t="n">
        <v>19000</v>
      </c>
      <c r="X1003" s="356" t="inlineStr">
        <is>
          <t>1.3:1</t>
        </is>
      </c>
      <c r="Y1003" s="678">
        <f>ROUND(J1003,-3)</f>
        <v/>
      </c>
      <c r="Z1003" s="249" t="inlineStr">
        <is>
          <t xml:space="preserve">C </t>
        </is>
      </c>
      <c r="AA1003" s="245" t="n">
        <v>3</v>
      </c>
      <c r="AB1003" s="245" t="n">
        <v>3</v>
      </c>
      <c r="AC1003" s="253" t="inlineStr">
        <is>
          <t>33</t>
        </is>
      </c>
      <c r="AD1003" s="247" t="inlineStr">
        <is>
          <t>WHSE/OFC FURN  SALES</t>
        </is>
      </c>
      <c r="AE1003" s="680" t="n"/>
      <c r="AF1003" s="680" t="n"/>
      <c r="AG1003" s="680" t="n"/>
      <c r="AH1003" s="680" t="n"/>
      <c r="AI1003" s="680" t="n"/>
      <c r="AJ1003" s="680" t="n"/>
      <c r="AK1003" s="680" t="inlineStr">
        <is>
          <t xml:space="preserve">S-T WHSE.                                                         </t>
        </is>
      </c>
    </row>
    <row r="1004">
      <c r="A1004" s="248" t="n">
        <v>8</v>
      </c>
      <c r="B1004" s="370" t="n">
        <v>996</v>
      </c>
      <c r="C1004" s="254" t="inlineStr">
        <is>
          <t>2009Q</t>
        </is>
      </c>
      <c r="D1004" s="245" t="inlineStr">
        <is>
          <t xml:space="preserve">05282-11-010-000 </t>
        </is>
      </c>
      <c r="E1004" s="258" t="inlineStr">
        <is>
          <t>Actual</t>
        </is>
      </c>
      <c r="F1004" s="259" t="inlineStr">
        <is>
          <t>1801 W EVANS                AV</t>
        </is>
      </c>
      <c r="G1004" s="672" t="n">
        <v>44.2</v>
      </c>
      <c r="H1004" s="253" t="n">
        <v>9506</v>
      </c>
      <c r="I1004" s="255" t="n">
        <v>0</v>
      </c>
      <c r="J1004" s="678" t="n">
        <v>1800</v>
      </c>
      <c r="K1004" s="679" t="n">
        <v>9</v>
      </c>
      <c r="L1004" s="260" t="n">
        <v>0</v>
      </c>
      <c r="M1004" s="262" t="n">
        <v>0.4258641975308642</v>
      </c>
      <c r="N1004" s="253" t="n">
        <v>1980</v>
      </c>
      <c r="O1004" s="250">
        <f>735+1470</f>
        <v/>
      </c>
      <c r="Q1004" s="245" t="n">
        <v>19</v>
      </c>
      <c r="R1004" s="245" t="n">
        <v>3</v>
      </c>
      <c r="S1004" s="245" t="n">
        <v>1</v>
      </c>
      <c r="T1004" s="249" t="inlineStr">
        <is>
          <t xml:space="preserve">PUD  </t>
        </is>
      </c>
      <c r="U1004" s="249" t="n">
        <v>398</v>
      </c>
      <c r="V1004" s="678" t="n">
        <v>15960</v>
      </c>
      <c r="W1004" s="678" t="n">
        <v>16000</v>
      </c>
      <c r="X1004" s="356" t="inlineStr">
        <is>
          <t>2.2:1</t>
        </is>
      </c>
      <c r="Y1004" s="678">
        <f>ROUND(J1004,-2)</f>
        <v/>
      </c>
      <c r="Z1004" s="249" t="inlineStr">
        <is>
          <t xml:space="preserve">C </t>
        </is>
      </c>
      <c r="AA1004" s="245" t="n">
        <v>3</v>
      </c>
      <c r="AB1004" s="245" t="n">
        <v>3</v>
      </c>
      <c r="AC1004" s="253" t="inlineStr">
        <is>
          <t>33</t>
        </is>
      </c>
      <c r="AD1004" s="247" t="inlineStr">
        <is>
          <t>VOLVO PARTS &amp; SERVCE</t>
        </is>
      </c>
      <c r="AE1004" s="680" t="n"/>
      <c r="AF1004" s="680" t="n"/>
      <c r="AG1004" s="680" t="n"/>
      <c r="AH1004" s="680" t="n"/>
      <c r="AI1004" s="680" t="n"/>
      <c r="AJ1004" s="680" t="n"/>
      <c r="AK1004" s="680" t="inlineStr">
        <is>
          <t xml:space="preserve">M-T WHSE.; 2 TENANTS - ONE IS OWNER.                              </t>
        </is>
      </c>
    </row>
    <row r="1005">
      <c r="A1005" s="248" t="n">
        <v>8</v>
      </c>
      <c r="B1005" s="370" t="n">
        <v>997</v>
      </c>
      <c r="C1005" s="254" t="inlineStr">
        <is>
          <t>2009Q</t>
        </is>
      </c>
      <c r="D1005" s="245" t="inlineStr">
        <is>
          <t xml:space="preserve">05284-02-010-000 </t>
        </is>
      </c>
      <c r="E1005" s="258" t="inlineStr">
        <is>
          <t>Actual</t>
        </is>
      </c>
      <c r="F1005" s="259" t="inlineStr">
        <is>
          <t>2301 S INCA                 ST</t>
        </is>
      </c>
      <c r="G1005" s="672" t="n">
        <v>44.1</v>
      </c>
      <c r="H1005" s="253" t="n">
        <v>9506</v>
      </c>
      <c r="I1005" s="255" t="n">
        <v>0</v>
      </c>
      <c r="J1005" s="678" t="n">
        <v>10005</v>
      </c>
      <c r="K1005" s="679" t="n">
        <v>5.397301349325337</v>
      </c>
      <c r="L1005" s="260" t="n">
        <v>0</v>
      </c>
      <c r="M1005" s="262" t="n">
        <v>0.04259259259259259</v>
      </c>
      <c r="N1005" s="253" t="n">
        <v>1965</v>
      </c>
      <c r="O1005" s="250" t="n">
        <v>2142</v>
      </c>
      <c r="P1005" s="250">
        <f>1188</f>
        <v/>
      </c>
      <c r="Q1005" s="245" t="n">
        <v>13</v>
      </c>
      <c r="R1005" s="245" t="n">
        <v>1</v>
      </c>
      <c r="S1005" s="245" t="n">
        <v>1</v>
      </c>
      <c r="T1005" s="249" t="inlineStr">
        <is>
          <t xml:space="preserve">I1   </t>
        </is>
      </c>
      <c r="U1005" s="249" t="n">
        <v>398</v>
      </c>
      <c r="V1005" s="678" t="n">
        <v>12500</v>
      </c>
      <c r="W1005" s="678" t="n">
        <v>13000</v>
      </c>
      <c r="X1005" s="356" t="inlineStr">
        <is>
          <t>1.2:1</t>
        </is>
      </c>
      <c r="Y1005" s="678">
        <f>ROUND(J1005,-3)</f>
        <v/>
      </c>
      <c r="Z1005" s="249" t="inlineStr">
        <is>
          <t xml:space="preserve">C </t>
        </is>
      </c>
      <c r="AA1005" s="245" t="n">
        <v>3</v>
      </c>
      <c r="AB1005" s="245" t="n">
        <v>3</v>
      </c>
      <c r="AC1005" s="253" t="inlineStr">
        <is>
          <t>33</t>
        </is>
      </c>
      <c r="AD1005" s="247" t="inlineStr">
        <is>
          <t xml:space="preserve">S-D STRUBLE         </t>
        </is>
      </c>
      <c r="AE1005" s="680" t="n"/>
      <c r="AF1005" s="680" t="n"/>
      <c r="AG1005" s="680" t="n"/>
      <c r="AH1005" s="680" t="n"/>
      <c r="AI1005" s="680" t="n"/>
      <c r="AJ1005" s="680" t="n"/>
      <c r="AK1005" s="680" t="inlineStr">
        <is>
          <t xml:space="preserve">S-T WHSE.                                                         </t>
        </is>
      </c>
    </row>
    <row r="1006">
      <c r="A1006" s="248" t="n">
        <v>8</v>
      </c>
      <c r="B1006" s="370" t="n">
        <v>998</v>
      </c>
      <c r="C1006" s="254" t="inlineStr">
        <is>
          <t>2009Q</t>
        </is>
      </c>
      <c r="D1006" s="245" t="inlineStr">
        <is>
          <t xml:space="preserve">05284-03-018-000 </t>
        </is>
      </c>
      <c r="E1006" s="258" t="inlineStr">
        <is>
          <t>Actual</t>
        </is>
      </c>
      <c r="F1006" s="259" t="inlineStr">
        <is>
          <t>2390 S KALAMATH             ST</t>
        </is>
      </c>
      <c r="G1006" s="672" t="n">
        <v>44.2</v>
      </c>
      <c r="H1006" s="253" t="n">
        <v>9506</v>
      </c>
      <c r="I1006" s="255" t="n">
        <v>0</v>
      </c>
      <c r="J1006" s="678" t="n">
        <v>6000</v>
      </c>
      <c r="K1006" s="679" t="n">
        <v>5.4</v>
      </c>
      <c r="L1006" s="260" t="n">
        <v>0</v>
      </c>
      <c r="M1006" s="262" t="n">
        <v>0.08808641975308643</v>
      </c>
      <c r="N1006" s="253" t="n">
        <v>1973</v>
      </c>
      <c r="O1006" s="250" t="n">
        <v>1440</v>
      </c>
      <c r="Q1006" s="245" t="n">
        <v>14</v>
      </c>
      <c r="R1006" s="245" t="n">
        <v>1</v>
      </c>
      <c r="S1006" s="245" t="n">
        <v>1</v>
      </c>
      <c r="T1006" s="249" t="inlineStr">
        <is>
          <t xml:space="preserve">I1   </t>
        </is>
      </c>
      <c r="U1006" s="249" t="n">
        <v>398</v>
      </c>
      <c r="V1006" s="678" t="n">
        <v>18750</v>
      </c>
      <c r="W1006" s="678" t="n">
        <v>19000</v>
      </c>
      <c r="X1006" s="356" t="inlineStr">
        <is>
          <t>1.6:1</t>
        </is>
      </c>
      <c r="Y1006" s="678">
        <f>ROUND(J1006,-3)</f>
        <v/>
      </c>
      <c r="Z1006" s="249" t="inlineStr">
        <is>
          <t xml:space="preserve">C </t>
        </is>
      </c>
      <c r="AA1006" s="245" t="n">
        <v>3</v>
      </c>
      <c r="AB1006" s="245" t="n">
        <v>3</v>
      </c>
      <c r="AC1006" s="253" t="inlineStr">
        <is>
          <t>33</t>
        </is>
      </c>
      <c r="AD1006" s="247" t="inlineStr">
        <is>
          <t>                    </t>
        </is>
      </c>
      <c r="AE1006" s="680" t="n"/>
      <c r="AF1006" s="680" t="n"/>
      <c r="AG1006" s="680" t="n"/>
      <c r="AH1006" s="680" t="n"/>
      <c r="AI1006" s="680" t="n"/>
      <c r="AJ1006" s="680" t="n"/>
      <c r="AK1006" s="680" t="inlineStr">
        <is>
          <t xml:space="preserve">M-T WHSE.; 3 TENANTS; MO-TO-MO LEASES.                            </t>
        </is>
      </c>
    </row>
    <row r="1007">
      <c r="A1007" s="248" t="n">
        <v>8</v>
      </c>
      <c r="B1007" s="370" t="n">
        <v>999</v>
      </c>
      <c r="C1007" s="254" t="inlineStr">
        <is>
          <t>2009Q</t>
        </is>
      </c>
      <c r="D1007" s="245" t="inlineStr">
        <is>
          <t xml:space="preserve">05284-04-005-000 </t>
        </is>
      </c>
      <c r="E1007" s="258" t="inlineStr">
        <is>
          <t>Actual</t>
        </is>
      </c>
      <c r="F1007" s="259" t="inlineStr">
        <is>
          <t>2390 S LIPAN                ST</t>
        </is>
      </c>
      <c r="G1007" s="672" t="n">
        <v>44.2</v>
      </c>
      <c r="H1007" s="253" t="n">
        <v>9506</v>
      </c>
      <c r="I1007" s="255" t="n">
        <v>0</v>
      </c>
      <c r="J1007" s="678" t="n">
        <v>11090</v>
      </c>
      <c r="K1007" s="679" t="n">
        <v>10.44183949504058</v>
      </c>
      <c r="L1007" s="260" t="n">
        <v>0.3606853020739405</v>
      </c>
      <c r="M1007" s="262" t="n">
        <v>0</v>
      </c>
      <c r="N1007" s="253" t="n">
        <v>1995</v>
      </c>
      <c r="O1007" s="250" t="n">
        <v>1671</v>
      </c>
      <c r="P1007" s="250" t="n">
        <v>3922</v>
      </c>
      <c r="Q1007" s="245" t="n">
        <v>15</v>
      </c>
      <c r="R1007" s="245" t="n">
        <v>3</v>
      </c>
      <c r="S1007" s="245" t="n">
        <v>1</v>
      </c>
      <c r="T1007" s="249" t="inlineStr">
        <is>
          <t xml:space="preserve">I1   </t>
        </is>
      </c>
      <c r="U1007" s="249" t="n">
        <v>398</v>
      </c>
      <c r="V1007" s="678" t="n">
        <v>40625</v>
      </c>
      <c r="W1007" s="678" t="n">
        <v>41000</v>
      </c>
      <c r="X1007" s="356" t="inlineStr">
        <is>
          <t>3.7:1</t>
        </is>
      </c>
      <c r="Y1007" s="678">
        <f>ROUND(J1007,-3)</f>
        <v/>
      </c>
      <c r="Z1007" s="249" t="inlineStr">
        <is>
          <t xml:space="preserve">C </t>
        </is>
      </c>
      <c r="AA1007" s="245" t="n">
        <v>3</v>
      </c>
      <c r="AB1007" s="245" t="n">
        <v>3</v>
      </c>
      <c r="AC1007" s="253" t="inlineStr">
        <is>
          <t>33</t>
        </is>
      </c>
      <c r="AD1007" s="247" t="inlineStr">
        <is>
          <t xml:space="preserve">DIST/LAB/SINGLE TN  </t>
        </is>
      </c>
      <c r="AE1007" s="680" t="n"/>
      <c r="AF1007" s="680" t="n"/>
      <c r="AG1007" s="680" t="n"/>
      <c r="AH1007" s="680" t="n"/>
      <c r="AI1007" s="680" t="n"/>
      <c r="AJ1007" s="680" t="n"/>
      <c r="AK1007" s="680" t="inlineStr">
        <is>
          <t xml:space="preserve">S-T WHSE.; LEASE TERMS UNKNOWN.                                   </t>
        </is>
      </c>
    </row>
    <row r="1008">
      <c r="A1008" s="248" t="n">
        <v>8</v>
      </c>
      <c r="B1008" s="370" t="n">
        <v>1000</v>
      </c>
      <c r="C1008" s="254" t="inlineStr">
        <is>
          <t>2009Q</t>
        </is>
      </c>
      <c r="D1008" s="245" t="inlineStr">
        <is>
          <t xml:space="preserve">05284-05-005-000 </t>
        </is>
      </c>
      <c r="E1008" s="258" t="inlineStr">
        <is>
          <t>Actual</t>
        </is>
      </c>
      <c r="F1008" s="259" t="inlineStr">
        <is>
          <t>2323 S LIPAN                ST</t>
        </is>
      </c>
      <c r="G1008" s="672" t="n">
        <v>47.2</v>
      </c>
      <c r="H1008" s="253" t="n">
        <v>9506</v>
      </c>
      <c r="I1008" s="255" t="n">
        <v>0</v>
      </c>
      <c r="J1008" s="678" t="n">
        <v>49245</v>
      </c>
      <c r="K1008" s="679" t="n">
        <v>4.04629911666159</v>
      </c>
      <c r="L1008" s="260" t="n">
        <v>0</v>
      </c>
      <c r="M1008" s="262" t="n">
        <v>0.05610759811301817</v>
      </c>
      <c r="N1008" s="253" t="n">
        <v>1965</v>
      </c>
      <c r="O1008" s="250" t="n">
        <v>5002</v>
      </c>
      <c r="Q1008" s="245" t="n">
        <v>14</v>
      </c>
      <c r="R1008" s="245" t="n">
        <v>1</v>
      </c>
      <c r="S1008" s="245" t="n">
        <v>1</v>
      </c>
      <c r="T1008" s="249" t="inlineStr">
        <is>
          <t xml:space="preserve">I2   </t>
        </is>
      </c>
      <c r="U1008" s="249" t="n">
        <v>401</v>
      </c>
      <c r="V1008" s="678" t="n">
        <v>66500</v>
      </c>
      <c r="W1008" s="678" t="n">
        <v>70000</v>
      </c>
      <c r="X1008" s="356" t="inlineStr">
        <is>
          <t>1.4:1</t>
        </is>
      </c>
      <c r="Y1008" s="678">
        <f>ROUND(J1008,-3)</f>
        <v/>
      </c>
      <c r="Z1008" s="249" t="inlineStr">
        <is>
          <t xml:space="preserve">C </t>
        </is>
      </c>
      <c r="AA1008" s="245" t="n">
        <v>3</v>
      </c>
      <c r="AB1008" s="245" t="n">
        <v>2</v>
      </c>
      <c r="AC1008" s="253" t="inlineStr">
        <is>
          <t>32</t>
        </is>
      </c>
      <c r="AD1008" s="247" t="inlineStr">
        <is>
          <t>                    </t>
        </is>
      </c>
      <c r="AE1008" s="680" t="n"/>
      <c r="AF1008" s="680" t="n"/>
      <c r="AG1008" s="680" t="n"/>
      <c r="AH1008" s="680" t="n"/>
      <c r="AI1008" s="680" t="n"/>
      <c r="AJ1008" s="680" t="n"/>
      <c r="AK1008" s="680" t="inlineStr">
        <is>
          <t xml:space="preserve">S-T INDUSTRIAL BLDG.                                              </t>
        </is>
      </c>
    </row>
    <row r="1009">
      <c r="A1009" s="248" t="n">
        <v>8</v>
      </c>
      <c r="B1009" s="370" t="n">
        <v>1001</v>
      </c>
      <c r="C1009" s="254" t="inlineStr">
        <is>
          <t>2009Q</t>
        </is>
      </c>
      <c r="D1009" s="245" t="inlineStr">
        <is>
          <t xml:space="preserve">06282-02-007-000 </t>
        </is>
      </c>
      <c r="E1009" s="258" t="inlineStr">
        <is>
          <t>Actual</t>
        </is>
      </c>
      <c r="F1009" s="259" t="inlineStr">
        <is>
          <t>1980 S QUEBEC               ST</t>
        </is>
      </c>
      <c r="G1009" s="672" t="n">
        <v>44.2</v>
      </c>
      <c r="H1009" s="253" t="n">
        <v>9603</v>
      </c>
      <c r="I1009" s="255" t="n">
        <v>0</v>
      </c>
      <c r="J1009" s="678" t="n">
        <v>39152</v>
      </c>
      <c r="K1009" s="679" t="n">
        <v>5.946056395586433</v>
      </c>
      <c r="L1009" s="260" t="n">
        <v>0.05</v>
      </c>
      <c r="M1009" s="262" t="n">
        <v>0.4424183848797251</v>
      </c>
      <c r="N1009" s="253" t="n">
        <v>1974</v>
      </c>
      <c r="O1009" s="250">
        <f>12488+5868</f>
        <v/>
      </c>
      <c r="Q1009" s="245" t="n">
        <v>22</v>
      </c>
      <c r="R1009" s="245" t="n">
        <v>10</v>
      </c>
      <c r="S1009" s="245" t="n">
        <v>12</v>
      </c>
      <c r="T1009" s="249" t="inlineStr">
        <is>
          <t xml:space="preserve">I1   </t>
        </is>
      </c>
      <c r="U1009" s="249" t="n">
        <v>397</v>
      </c>
      <c r="V1009" s="678" t="n">
        <v>94290</v>
      </c>
      <c r="W1009" s="678" t="n">
        <v>90000</v>
      </c>
      <c r="X1009" s="356" t="inlineStr">
        <is>
          <t>2.4:1</t>
        </is>
      </c>
      <c r="Y1009" s="678">
        <f>ROUND(J1009,-3)</f>
        <v/>
      </c>
      <c r="Z1009" s="249" t="inlineStr">
        <is>
          <t xml:space="preserve">C </t>
        </is>
      </c>
      <c r="AA1009" s="245" t="n">
        <v>3</v>
      </c>
      <c r="AB1009" s="245" t="n">
        <v>3</v>
      </c>
      <c r="AC1009" s="253" t="inlineStr">
        <is>
          <t>33</t>
        </is>
      </c>
      <c r="AD1009" s="247" t="inlineStr">
        <is>
          <t xml:space="preserve">WAREHOUSE           </t>
        </is>
      </c>
      <c r="AE1009" s="680" t="n"/>
      <c r="AF1009" s="680" t="n"/>
      <c r="AG1009" s="680" t="n"/>
      <c r="AH1009" s="680" t="n"/>
      <c r="AI1009" s="680" t="n"/>
      <c r="AJ1009" s="680" t="n"/>
      <c r="AK1009" s="680" t="inlineStr">
        <is>
          <t xml:space="preserve">M-T OFC/WHS; 21 TENANTS; AGE OF LEASES UNKNOWN.                   </t>
        </is>
      </c>
    </row>
    <row r="1010">
      <c r="A1010" s="248" t="n">
        <v>8</v>
      </c>
      <c r="B1010" s="370" t="n">
        <v>1002</v>
      </c>
      <c r="C1010" s="254" t="inlineStr">
        <is>
          <t>2009Q</t>
        </is>
      </c>
      <c r="D1010" s="245" t="inlineStr">
        <is>
          <t xml:space="preserve">06282-02-013-000 </t>
        </is>
      </c>
      <c r="E1010" s="258" t="inlineStr">
        <is>
          <t>Actual</t>
        </is>
      </c>
      <c r="F1010" s="259" t="inlineStr">
        <is>
          <t>1910 S QUEBEC               ST</t>
        </is>
      </c>
      <c r="G1010" s="672" t="n">
        <v>44.1</v>
      </c>
      <c r="H1010" s="253" t="n">
        <v>9603</v>
      </c>
      <c r="I1010" s="255" t="n">
        <v>0</v>
      </c>
      <c r="J1010" s="678" t="n">
        <v>11360</v>
      </c>
      <c r="K1010" s="679" t="n">
        <v>6.648591549295775</v>
      </c>
      <c r="L1010" s="260" t="n">
        <v>0</v>
      </c>
      <c r="M1010" s="262" t="n">
        <v>0.02648024573668043</v>
      </c>
      <c r="N1010" s="253" t="n">
        <v>1976</v>
      </c>
      <c r="O1010" s="250" t="n">
        <v>370</v>
      </c>
      <c r="P1010" s="250" t="n">
        <v>1210</v>
      </c>
      <c r="Q1010" s="245" t="n">
        <v>17</v>
      </c>
      <c r="R1010" s="245" t="n">
        <v>7</v>
      </c>
      <c r="S1010" s="245" t="n">
        <v>1</v>
      </c>
      <c r="T1010" s="249" t="inlineStr">
        <is>
          <t xml:space="preserve">I1   </t>
        </is>
      </c>
      <c r="U1010" s="249" t="n">
        <v>398</v>
      </c>
      <c r="V1010" s="678" t="n">
        <v>22110</v>
      </c>
      <c r="W1010" s="678" t="n">
        <v>22000</v>
      </c>
      <c r="X1010" s="356" t="inlineStr">
        <is>
          <t>1.9:1</t>
        </is>
      </c>
      <c r="Y1010" s="678">
        <f>ROUND(J1010,-3)</f>
        <v/>
      </c>
      <c r="Z1010" s="249" t="inlineStr">
        <is>
          <t xml:space="preserve">C </t>
        </is>
      </c>
      <c r="AA1010" s="245" t="n">
        <v>3</v>
      </c>
      <c r="AB1010" s="245" t="n">
        <v>3</v>
      </c>
      <c r="AC1010" s="253" t="inlineStr">
        <is>
          <t>33</t>
        </is>
      </c>
      <c r="AD1010" s="247" t="inlineStr">
        <is>
          <t xml:space="preserve">GEORGE SANDERS WHSE </t>
        </is>
      </c>
      <c r="AE1010" s="680" t="n"/>
      <c r="AF1010" s="680" t="n"/>
      <c r="AG1010" s="680" t="n"/>
      <c r="AH1010" s="680" t="n"/>
      <c r="AI1010" s="680" t="n"/>
      <c r="AJ1010" s="680" t="n"/>
      <c r="AK1010" s="680" t="inlineStr">
        <is>
          <t xml:space="preserve">S-T WHSE; 2006 LEASE.                                             </t>
        </is>
      </c>
    </row>
    <row r="1011">
      <c r="A1011" s="248" t="n">
        <v>8</v>
      </c>
      <c r="B1011" s="370" t="n">
        <v>1003</v>
      </c>
      <c r="C1011" s="254" t="inlineStr">
        <is>
          <t>2009Q</t>
        </is>
      </c>
      <c r="D1011" s="245" t="inlineStr">
        <is>
          <t xml:space="preserve">06292-00-009-000 </t>
        </is>
      </c>
      <c r="E1011" s="258" t="inlineStr">
        <is>
          <t>Actual</t>
        </is>
      </c>
      <c r="F1011" s="259" t="inlineStr">
        <is>
          <t>6359 E EVANS                AV</t>
        </is>
      </c>
      <c r="G1011" s="672" t="n">
        <v>43.1</v>
      </c>
      <c r="H1011" s="253" t="n">
        <v>9603</v>
      </c>
      <c r="I1011" s="255" t="n">
        <v>7</v>
      </c>
      <c r="J1011" s="678" t="n">
        <v>2700</v>
      </c>
      <c r="K1011" s="679" t="n">
        <v>8.888888888888889</v>
      </c>
      <c r="L1011" s="260" t="n">
        <v>0</v>
      </c>
      <c r="M1011" s="262" t="n">
        <v>0.375</v>
      </c>
      <c r="N1011" s="253" t="n">
        <v>1960</v>
      </c>
      <c r="O1011" s="250" t="n">
        <v>3332</v>
      </c>
      <c r="Q1011" s="245" t="n">
        <v>14</v>
      </c>
      <c r="R1011" s="245" t="n">
        <v>1</v>
      </c>
      <c r="S1011" s="245" t="n">
        <v>1</v>
      </c>
      <c r="T1011" s="249" t="inlineStr">
        <is>
          <t xml:space="preserve">I0   </t>
        </is>
      </c>
      <c r="U1011" s="249" t="n">
        <v>401</v>
      </c>
      <c r="V1011" s="678" t="n">
        <v>24500</v>
      </c>
      <c r="W1011" s="678" t="n">
        <v>25000</v>
      </c>
      <c r="X1011" s="356" t="inlineStr">
        <is>
          <t>4.2:1</t>
        </is>
      </c>
      <c r="Y1011" s="678">
        <f>ROUND(J1011,-3)</f>
        <v/>
      </c>
      <c r="Z1011" s="249" t="inlineStr">
        <is>
          <t xml:space="preserve">C </t>
        </is>
      </c>
      <c r="AA1011" s="245" t="n">
        <v>3</v>
      </c>
      <c r="AB1011" s="245" t="n">
        <v>3</v>
      </c>
      <c r="AC1011" s="253" t="inlineStr">
        <is>
          <t>33</t>
        </is>
      </c>
      <c r="AD1011" s="247" t="inlineStr">
        <is>
          <t>                    </t>
        </is>
      </c>
      <c r="AE1011" s="680" t="n"/>
      <c r="AF1011" s="680" t="n"/>
      <c r="AG1011" s="680" t="n"/>
      <c r="AH1011" s="680" t="n"/>
      <c r="AI1011" s="680" t="n"/>
      <c r="AJ1011" s="680" t="n"/>
      <c r="AK1011" s="680" t="inlineStr">
        <is>
          <t xml:space="preserve">M-T WHSE; AT LEAST 2 UNITS; 2006 LEASE.                           </t>
        </is>
      </c>
    </row>
    <row r="1012">
      <c r="A1012" s="248" t="n">
        <v>8</v>
      </c>
      <c r="B1012" s="370" t="n">
        <v>1004</v>
      </c>
      <c r="C1012" s="254" t="inlineStr">
        <is>
          <t>2009Q</t>
        </is>
      </c>
      <c r="D1012" s="245" t="inlineStr">
        <is>
          <t xml:space="preserve">06292-00-082-000 </t>
        </is>
      </c>
      <c r="E1012" s="258" t="inlineStr">
        <is>
          <t>Actual</t>
        </is>
      </c>
      <c r="F1012" s="259" t="inlineStr">
        <is>
          <t>2117 S JASMINE              ST</t>
        </is>
      </c>
      <c r="G1012" s="672" t="n">
        <v>44.1</v>
      </c>
      <c r="H1012" s="253" t="n">
        <v>9603</v>
      </c>
      <c r="I1012" s="255" t="n">
        <v>0</v>
      </c>
      <c r="J1012" s="678" t="n">
        <v>8684</v>
      </c>
      <c r="K1012" s="679" t="n">
        <v>4.145555043758637</v>
      </c>
      <c r="L1012" s="260" t="n">
        <v>0</v>
      </c>
      <c r="M1012" s="262" t="n">
        <v>0.05</v>
      </c>
      <c r="N1012" s="253" t="n">
        <v>1971</v>
      </c>
      <c r="O1012" s="250" t="n">
        <v>937</v>
      </c>
      <c r="Q1012" s="245" t="n">
        <v>15</v>
      </c>
      <c r="R1012" s="245" t="n">
        <v>3</v>
      </c>
      <c r="S1012" s="245" t="n">
        <v>1</v>
      </c>
      <c r="T1012" s="249" t="inlineStr">
        <is>
          <t xml:space="preserve">I0   </t>
        </is>
      </c>
      <c r="U1012" s="249" t="n">
        <v>398</v>
      </c>
      <c r="V1012" s="678" t="n">
        <v>24969</v>
      </c>
      <c r="W1012" s="678" t="n">
        <v>25000</v>
      </c>
      <c r="X1012" s="356" t="inlineStr">
        <is>
          <t>2.9:1</t>
        </is>
      </c>
      <c r="Y1012" s="678">
        <f>ROUND(J1012,-3)</f>
        <v/>
      </c>
      <c r="Z1012" s="249" t="inlineStr">
        <is>
          <t xml:space="preserve">C </t>
        </is>
      </c>
      <c r="AA1012" s="245" t="n">
        <v>3</v>
      </c>
      <c r="AB1012" s="245" t="n">
        <v>3</v>
      </c>
      <c r="AC1012" s="253" t="inlineStr">
        <is>
          <t>33</t>
        </is>
      </c>
      <c r="AD1012" s="247" t="inlineStr">
        <is>
          <t xml:space="preserve">CAMP BOW WOW        </t>
        </is>
      </c>
      <c r="AE1012" s="680" t="n"/>
      <c r="AF1012" s="680" t="n"/>
      <c r="AG1012" s="680" t="n"/>
      <c r="AH1012" s="680" t="n"/>
      <c r="AI1012" s="680" t="n"/>
      <c r="AJ1012" s="680" t="n"/>
      <c r="AK1012" s="680" t="inlineStr">
        <is>
          <t xml:space="preserve">S-T WHSE; AGE OF LEASE UNKNOWN.                                   </t>
        </is>
      </c>
    </row>
    <row r="1013">
      <c r="A1013" s="248" t="n">
        <v>8</v>
      </c>
      <c r="B1013" s="370" t="n">
        <v>1005</v>
      </c>
      <c r="C1013" s="254" t="inlineStr">
        <is>
          <t>2009Q</t>
        </is>
      </c>
      <c r="D1013" s="245" t="inlineStr">
        <is>
          <t xml:space="preserve">06292-05-006-000 </t>
        </is>
      </c>
      <c r="E1013" s="258" t="inlineStr">
        <is>
          <t>Actual</t>
        </is>
      </c>
      <c r="F1013" s="259" t="inlineStr">
        <is>
          <t>2211 S LEYDEN               ST</t>
        </is>
      </c>
      <c r="G1013" s="672" t="n">
        <v>44.1</v>
      </c>
      <c r="H1013" s="253" t="n">
        <v>9603</v>
      </c>
      <c r="I1013" s="255" t="n">
        <v>0</v>
      </c>
      <c r="J1013" s="678" t="n">
        <v>7241</v>
      </c>
      <c r="K1013" s="679" t="n">
        <v>6.628918657643972</v>
      </c>
      <c r="L1013" s="260" t="n">
        <v>0</v>
      </c>
      <c r="M1013" s="262" t="n">
        <v>0</v>
      </c>
      <c r="N1013" s="253" t="n">
        <v>1973</v>
      </c>
      <c r="P1013" s="250" t="n">
        <v>2537</v>
      </c>
      <c r="Q1013" s="245" t="n">
        <v>19</v>
      </c>
      <c r="R1013" s="245" t="n">
        <v>4</v>
      </c>
      <c r="S1013" s="245" t="n">
        <v>1</v>
      </c>
      <c r="T1013" s="249" t="inlineStr">
        <is>
          <t xml:space="preserve">I0   </t>
        </is>
      </c>
      <c r="U1013" s="249" t="n">
        <v>398</v>
      </c>
      <c r="V1013" s="678" t="n">
        <v>20149</v>
      </c>
      <c r="W1013" s="678" t="n">
        <v>20000</v>
      </c>
      <c r="X1013" s="356" t="inlineStr">
        <is>
          <t>2.8:1</t>
        </is>
      </c>
      <c r="Y1013" s="678">
        <f>ROUND(J1013,-3)</f>
        <v/>
      </c>
      <c r="Z1013" s="249" t="inlineStr">
        <is>
          <t xml:space="preserve">C </t>
        </is>
      </c>
      <c r="AA1013" s="245" t="n">
        <v>3</v>
      </c>
      <c r="AB1013" s="245" t="n">
        <v>3</v>
      </c>
      <c r="AC1013" s="253" t="inlineStr">
        <is>
          <t>33</t>
        </is>
      </c>
      <c r="AD1013" s="247" t="inlineStr">
        <is>
          <t>                    </t>
        </is>
      </c>
      <c r="AE1013" s="680" t="n"/>
      <c r="AF1013" s="680" t="n"/>
      <c r="AG1013" s="680" t="n"/>
      <c r="AH1013" s="680" t="n"/>
      <c r="AI1013" s="680" t="n"/>
      <c r="AJ1013" s="680" t="n"/>
      <c r="AK1013" s="680" t="inlineStr">
        <is>
          <t xml:space="preserve">S-T WHSE; AGE ON LEASE UNKNOWN; TENANT = MONARCH POOLS            </t>
        </is>
      </c>
    </row>
    <row r="1014">
      <c r="A1014" s="248" t="n">
        <v>8</v>
      </c>
      <c r="B1014" s="370" t="n">
        <v>1006</v>
      </c>
      <c r="C1014" s="254" t="inlineStr">
        <is>
          <t>2009Q</t>
        </is>
      </c>
      <c r="D1014" s="245" t="inlineStr">
        <is>
          <t xml:space="preserve">06292-10-004-000 </t>
        </is>
      </c>
      <c r="E1014" s="258" t="inlineStr">
        <is>
          <t>Actual</t>
        </is>
      </c>
      <c r="F1014" s="259" t="inlineStr">
        <is>
          <t>5885 E EVANS                AV</t>
        </is>
      </c>
      <c r="G1014" s="672" t="n">
        <v>44.1</v>
      </c>
      <c r="H1014" s="253" t="n">
        <v>9603</v>
      </c>
      <c r="I1014" s="255" t="n">
        <v>0</v>
      </c>
      <c r="J1014" s="678" t="n">
        <v>12244</v>
      </c>
      <c r="K1014" s="679" t="n">
        <v>8.191767396275727</v>
      </c>
      <c r="L1014" s="260" t="n">
        <v>1</v>
      </c>
      <c r="M1014" s="262" t="n">
        <v>0.02991026919242273</v>
      </c>
      <c r="N1014" s="253" t="n">
        <v>1970</v>
      </c>
      <c r="O1014" s="250" t="n">
        <v>5891</v>
      </c>
      <c r="Q1014" s="245" t="n">
        <v>13</v>
      </c>
      <c r="R1014" s="245" t="n">
        <v>3</v>
      </c>
      <c r="S1014" s="245" t="n">
        <v>1</v>
      </c>
      <c r="T1014" s="249" t="inlineStr">
        <is>
          <t xml:space="preserve">I0   </t>
        </is>
      </c>
      <c r="U1014" s="249" t="n">
        <v>398</v>
      </c>
      <c r="V1014" s="678" t="n">
        <v>43775</v>
      </c>
      <c r="W1014" s="678" t="n">
        <v>44000</v>
      </c>
      <c r="X1014" s="356" t="inlineStr">
        <is>
          <t>3.6:1</t>
        </is>
      </c>
      <c r="Y1014" s="678">
        <f>ROUND(J1014,-3)</f>
        <v/>
      </c>
      <c r="Z1014" s="249" t="inlineStr">
        <is>
          <t xml:space="preserve">C </t>
        </is>
      </c>
      <c r="AA1014" s="245" t="n">
        <v>3</v>
      </c>
      <c r="AB1014" s="245" t="n">
        <v>3</v>
      </c>
      <c r="AC1014" s="253" t="inlineStr">
        <is>
          <t>33</t>
        </is>
      </c>
      <c r="AD1014" s="247" t="inlineStr">
        <is>
          <t xml:space="preserve">PRINTSHOP PLUS      </t>
        </is>
      </c>
      <c r="AE1014" s="680" t="n"/>
      <c r="AF1014" s="680" t="n"/>
      <c r="AG1014" s="680" t="n"/>
      <c r="AH1014" s="680" t="n"/>
      <c r="AI1014" s="680" t="n"/>
      <c r="AJ1014" s="680" t="n"/>
      <c r="AK1014" s="680" t="inlineStr">
        <is>
          <t xml:space="preserve">S-T WHSE.; LEASE DATES FROM 2003.                                 </t>
        </is>
      </c>
    </row>
    <row r="1015">
      <c r="A1015" s="248" t="n">
        <v>8</v>
      </c>
      <c r="B1015" s="370" t="n">
        <v>1007</v>
      </c>
      <c r="C1015" s="254" t="inlineStr">
        <is>
          <t>2009Q</t>
        </is>
      </c>
      <c r="D1015" s="245" t="inlineStr">
        <is>
          <t xml:space="preserve">06292-12-013-000 </t>
        </is>
      </c>
      <c r="E1015" s="258" t="inlineStr">
        <is>
          <t>Actual</t>
        </is>
      </c>
      <c r="F1015" s="259" t="inlineStr">
        <is>
          <t>2180 S IVANHOE              ST</t>
        </is>
      </c>
      <c r="G1015" s="672" t="n">
        <v>44.1</v>
      </c>
      <c r="H1015" s="253" t="n">
        <v>9603</v>
      </c>
      <c r="I1015" s="255" t="n">
        <v>0</v>
      </c>
      <c r="J1015" s="678" t="n">
        <v>18069</v>
      </c>
      <c r="K1015" s="679" t="n">
        <v>6.301953622225912</v>
      </c>
      <c r="L1015" s="260" t="n">
        <v>0</v>
      </c>
      <c r="M1015" s="262" t="n">
        <v>0.01420918591376131</v>
      </c>
      <c r="N1015" s="253" t="n">
        <v>1978</v>
      </c>
      <c r="O1015" s="250" t="n">
        <v>1466</v>
      </c>
      <c r="P1015" s="250">
        <f>1523+3537+3651</f>
        <v/>
      </c>
      <c r="Q1015" s="245" t="n">
        <v>15</v>
      </c>
      <c r="R1015" s="245" t="n">
        <v>10</v>
      </c>
      <c r="S1015" s="245" t="n">
        <v>1</v>
      </c>
      <c r="T1015" s="249" t="inlineStr">
        <is>
          <t xml:space="preserve">I0   </t>
        </is>
      </c>
      <c r="U1015" s="249" t="n">
        <v>398</v>
      </c>
      <c r="V1015" s="678" t="n">
        <v>36834</v>
      </c>
      <c r="W1015" s="678" t="n">
        <v>37000</v>
      </c>
      <c r="X1015" s="356" t="inlineStr">
        <is>
          <t>2.0:1</t>
        </is>
      </c>
      <c r="Y1015" s="678">
        <f>ROUND(J1015,-3)</f>
        <v/>
      </c>
      <c r="Z1015" s="249" t="inlineStr">
        <is>
          <t xml:space="preserve">C </t>
        </is>
      </c>
      <c r="AA1015" s="245" t="n">
        <v>3</v>
      </c>
      <c r="AB1015" s="245" t="n">
        <v>3</v>
      </c>
      <c r="AC1015" s="253" t="inlineStr">
        <is>
          <t>33</t>
        </is>
      </c>
      <c r="AD1015" s="247" t="inlineStr">
        <is>
          <t xml:space="preserve">A.G. WASSENAAR INC. </t>
        </is>
      </c>
      <c r="AE1015" s="680" t="n"/>
      <c r="AF1015" s="680" t="n"/>
      <c r="AG1015" s="680" t="n"/>
      <c r="AH1015" s="680" t="n"/>
      <c r="AI1015" s="680" t="n"/>
      <c r="AJ1015" s="680" t="n"/>
      <c r="AK1015" s="680" t="inlineStr">
        <is>
          <t xml:space="preserve">S-T WHSE.; LEASE DATES FROM 2004.                                 </t>
        </is>
      </c>
    </row>
    <row r="1016">
      <c r="A1016" s="248" t="n">
        <v>8</v>
      </c>
      <c r="B1016" s="370" t="n">
        <v>1008</v>
      </c>
      <c r="C1016" s="254" t="inlineStr">
        <is>
          <t>2009Q</t>
        </is>
      </c>
      <c r="D1016" s="245" t="inlineStr">
        <is>
          <t xml:space="preserve">06292-14-004-000 </t>
        </is>
      </c>
      <c r="E1016" s="258" t="inlineStr">
        <is>
          <t>Actual</t>
        </is>
      </c>
      <c r="F1016" s="259" t="inlineStr">
        <is>
          <t>6300 E EVANS                AV</t>
        </is>
      </c>
      <c r="G1016" s="672" t="n">
        <v>44.1</v>
      </c>
      <c r="H1016" s="253" t="n">
        <v>9603</v>
      </c>
      <c r="I1016" s="255" t="n">
        <v>7</v>
      </c>
      <c r="J1016" s="678" t="n">
        <v>40296</v>
      </c>
      <c r="K1016" s="679" t="n">
        <v>4.522682152074648</v>
      </c>
      <c r="L1016" s="260" t="n">
        <v>0</v>
      </c>
      <c r="M1016" s="262" t="n">
        <v>0.005388321280028094</v>
      </c>
      <c r="N1016" s="253" t="n">
        <v>1963</v>
      </c>
      <c r="O1016" s="250" t="n">
        <v>11042</v>
      </c>
      <c r="P1016" s="250" t="n">
        <v>5161</v>
      </c>
      <c r="Q1016" s="245" t="n">
        <v>15</v>
      </c>
      <c r="R1016" s="245" t="n">
        <v>1</v>
      </c>
      <c r="S1016" s="245" t="n">
        <v>1</v>
      </c>
      <c r="T1016" s="249" t="inlineStr">
        <is>
          <t xml:space="preserve">I0   </t>
        </is>
      </c>
      <c r="U1016" s="249" t="n">
        <v>398</v>
      </c>
      <c r="V1016" s="678" t="n">
        <v>66517</v>
      </c>
      <c r="W1016" s="678" t="n">
        <v>70000</v>
      </c>
      <c r="X1016" s="356" t="inlineStr">
        <is>
          <t>1.7:1</t>
        </is>
      </c>
      <c r="Y1016" s="678">
        <f>ROUND(J1016,-3)</f>
        <v/>
      </c>
      <c r="Z1016" s="249" t="inlineStr">
        <is>
          <t xml:space="preserve">C </t>
        </is>
      </c>
      <c r="AA1016" s="245" t="n">
        <v>3</v>
      </c>
      <c r="AB1016" s="245" t="n">
        <v>3</v>
      </c>
      <c r="AC1016" s="253" t="inlineStr">
        <is>
          <t>33</t>
        </is>
      </c>
      <c r="AD1016" s="247" t="inlineStr">
        <is>
          <t xml:space="preserve">S-W LEWAN SALES     </t>
        </is>
      </c>
      <c r="AE1016" s="680" t="n"/>
      <c r="AF1016" s="680" t="n"/>
      <c r="AG1016" s="680" t="n"/>
      <c r="AH1016" s="680" t="n"/>
      <c r="AI1016" s="680" t="n"/>
      <c r="AJ1016" s="680" t="n"/>
      <c r="AK1016" s="680" t="inlineStr">
        <is>
          <t xml:space="preserve">S-T WHSE; LEASE DATES FROM 2004.                                  </t>
        </is>
      </c>
    </row>
    <row r="1017">
      <c r="A1017" s="248" t="n">
        <v>8</v>
      </c>
      <c r="B1017" s="370" t="n">
        <v>1009</v>
      </c>
      <c r="C1017" s="254" t="inlineStr">
        <is>
          <t>2009Q</t>
        </is>
      </c>
      <c r="D1017" s="245" t="inlineStr">
        <is>
          <t xml:space="preserve">06301-12-009-000 </t>
        </is>
      </c>
      <c r="E1017" s="258" t="inlineStr">
        <is>
          <t>Actual</t>
        </is>
      </c>
      <c r="F1017" s="259" t="inlineStr">
        <is>
          <t>4990 E ASBURY               AV</t>
        </is>
      </c>
      <c r="G1017" s="672" t="n">
        <v>44.2</v>
      </c>
      <c r="H1017" s="253" t="n">
        <v>9603</v>
      </c>
      <c r="I1017" s="255" t="n">
        <v>0</v>
      </c>
      <c r="J1017" s="678" t="n">
        <v>1800</v>
      </c>
      <c r="K1017" s="679" t="n">
        <v>7.936666666666667</v>
      </c>
      <c r="L1017" s="260" t="n">
        <v>0</v>
      </c>
      <c r="M1017" s="262" t="n">
        <v>0.1596668066638667</v>
      </c>
      <c r="N1017" s="253" t="n">
        <v>1957</v>
      </c>
      <c r="O1017" s="250" t="n">
        <v>1537</v>
      </c>
      <c r="Q1017" s="245" t="n">
        <v>10</v>
      </c>
      <c r="R1017" s="245" t="n">
        <v>1</v>
      </c>
      <c r="S1017" s="245" t="n">
        <v>1</v>
      </c>
      <c r="T1017" s="249" t="inlineStr">
        <is>
          <t xml:space="preserve">I0   </t>
        </is>
      </c>
      <c r="U1017" s="249" t="n">
        <v>398</v>
      </c>
      <c r="V1017" s="678" t="n">
        <v>16345</v>
      </c>
      <c r="W1017" s="678" t="n">
        <v>16000</v>
      </c>
      <c r="X1017" s="356" t="inlineStr">
        <is>
          <t>3.4:1</t>
        </is>
      </c>
      <c r="Y1017" s="678">
        <f>ROUND(J1017,-2)</f>
        <v/>
      </c>
      <c r="Z1017" s="249" t="inlineStr">
        <is>
          <t xml:space="preserve">C </t>
        </is>
      </c>
      <c r="AA1017" s="245" t="n">
        <v>3</v>
      </c>
      <c r="AB1017" s="245" t="n">
        <v>3</v>
      </c>
      <c r="AC1017" s="253" t="inlineStr">
        <is>
          <t>33</t>
        </is>
      </c>
      <c r="AD1017" s="247" t="inlineStr">
        <is>
          <t xml:space="preserve">USED FOR DEAD STGE  </t>
        </is>
      </c>
      <c r="AE1017" s="680" t="n"/>
      <c r="AF1017" s="680" t="n"/>
      <c r="AG1017" s="680" t="n"/>
      <c r="AH1017" s="680" t="n"/>
      <c r="AI1017" s="680" t="n"/>
      <c r="AJ1017" s="680" t="n"/>
      <c r="AK1017" s="680" t="inlineStr">
        <is>
          <t xml:space="preserve">M-T WHSE; 2 TENANTS.                                              </t>
        </is>
      </c>
    </row>
    <row r="1018">
      <c r="A1018" s="248" t="n">
        <v>8</v>
      </c>
      <c r="B1018" s="370" t="n">
        <v>1010</v>
      </c>
      <c r="C1018" s="254" t="inlineStr">
        <is>
          <t>2009Q</t>
        </is>
      </c>
      <c r="D1018" s="245" t="inlineStr">
        <is>
          <t xml:space="preserve">06301-13-015-000 </t>
        </is>
      </c>
      <c r="E1018" s="258" t="inlineStr">
        <is>
          <t>Actual</t>
        </is>
      </c>
      <c r="F1018" s="259" t="inlineStr">
        <is>
          <t>2000 S DAHLIA               ST</t>
        </is>
      </c>
      <c r="G1018" s="672" t="n">
        <v>44.1</v>
      </c>
      <c r="H1018" s="253" t="n">
        <v>9603</v>
      </c>
      <c r="I1018" s="255" t="n">
        <v>0</v>
      </c>
      <c r="J1018" s="678" t="n">
        <v>7684</v>
      </c>
      <c r="K1018" s="679" t="n">
        <v>7.143545028630921</v>
      </c>
      <c r="L1018" s="260" t="n">
        <v>0</v>
      </c>
      <c r="M1018" s="262" t="n">
        <v>0.1649268550399883</v>
      </c>
      <c r="N1018" s="253" t="n">
        <v>1970</v>
      </c>
      <c r="O1018" s="250" t="n">
        <v>1211</v>
      </c>
      <c r="P1018" s="250">
        <f>971+1529+484</f>
        <v/>
      </c>
      <c r="Q1018" s="245" t="n">
        <v>14</v>
      </c>
      <c r="R1018" s="245" t="n">
        <v>1</v>
      </c>
      <c r="S1018" s="245" t="n">
        <v>2</v>
      </c>
      <c r="T1018" s="249" t="inlineStr">
        <is>
          <t xml:space="preserve">I0   </t>
        </is>
      </c>
      <c r="U1018" s="249" t="n">
        <v>398</v>
      </c>
      <c r="V1018" s="678" t="n">
        <v>39818</v>
      </c>
      <c r="W1018" s="678" t="n">
        <v>40000</v>
      </c>
      <c r="X1018" s="356" t="inlineStr">
        <is>
          <t>2.0:1</t>
        </is>
      </c>
      <c r="Y1018" s="678">
        <f>ROUND(J1018,-3)</f>
        <v/>
      </c>
      <c r="Z1018" s="249" t="inlineStr">
        <is>
          <t xml:space="preserve">C </t>
        </is>
      </c>
      <c r="AA1018" s="245" t="n">
        <v>3</v>
      </c>
      <c r="AB1018" s="245" t="n">
        <v>3</v>
      </c>
      <c r="AC1018" s="253" t="inlineStr">
        <is>
          <t>33</t>
        </is>
      </c>
      <c r="AD1018" s="247" t="inlineStr">
        <is>
          <t xml:space="preserve">PASTORE'S ITALIAN   </t>
        </is>
      </c>
      <c r="AE1018" s="680" t="n"/>
      <c r="AF1018" s="680" t="n"/>
      <c r="AG1018" s="680" t="n"/>
      <c r="AH1018" s="680" t="n"/>
      <c r="AI1018" s="680" t="n"/>
      <c r="AJ1018" s="680" t="n"/>
      <c r="AK1018" s="680" t="inlineStr">
        <is>
          <t xml:space="preserve">M-T WHSE.; 2 TENANTS; 2005 LEASE.                                 </t>
        </is>
      </c>
    </row>
    <row r="1019">
      <c r="A1019" s="248" t="n">
        <v>8</v>
      </c>
      <c r="B1019" s="370" t="n">
        <v>1011</v>
      </c>
      <c r="C1019" s="254" t="inlineStr">
        <is>
          <t>2009Q</t>
        </is>
      </c>
      <c r="D1019" s="245" t="inlineStr">
        <is>
          <t xml:space="preserve">06301-21-007-000 </t>
        </is>
      </c>
      <c r="E1019" s="258" t="inlineStr">
        <is>
          <t>Actual</t>
        </is>
      </c>
      <c r="F1019" s="259" t="inlineStr">
        <is>
          <t>2170 S GRAPE                ST</t>
        </is>
      </c>
      <c r="G1019" s="672" t="n">
        <v>44.2</v>
      </c>
      <c r="H1019" s="253" t="n">
        <v>9603</v>
      </c>
      <c r="I1019" s="255" t="n">
        <v>0</v>
      </c>
      <c r="J1019" s="678" t="n">
        <v>11091</v>
      </c>
      <c r="K1019" s="679" t="n">
        <v>7.663150302046705</v>
      </c>
      <c r="L1019" s="260" t="n">
        <v>0</v>
      </c>
      <c r="M1019" s="262" t="n">
        <v>0</v>
      </c>
      <c r="N1019" s="253" t="n">
        <v>1960</v>
      </c>
      <c r="O1019" s="250" t="n">
        <v>6067</v>
      </c>
      <c r="Q1019" s="245" t="n">
        <v>12</v>
      </c>
      <c r="R1019" s="245" t="n">
        <v>1</v>
      </c>
      <c r="S1019" s="245" t="n">
        <v>1</v>
      </c>
      <c r="T1019" s="249" t="inlineStr">
        <is>
          <t xml:space="preserve">I0   </t>
        </is>
      </c>
      <c r="U1019" s="249" t="n">
        <v>398</v>
      </c>
      <c r="V1019" s="678" t="n">
        <v>26900</v>
      </c>
      <c r="W1019" s="678" t="n">
        <v>27000</v>
      </c>
      <c r="X1019" s="356" t="inlineStr">
        <is>
          <t>2.4:1</t>
        </is>
      </c>
      <c r="Y1019" s="678">
        <f>ROUND(J1019,-3)</f>
        <v/>
      </c>
      <c r="Z1019" s="249" t="inlineStr">
        <is>
          <t xml:space="preserve">C </t>
        </is>
      </c>
      <c r="AA1019" s="245" t="n">
        <v>3</v>
      </c>
      <c r="AB1019" s="245" t="n">
        <v>3</v>
      </c>
      <c r="AC1019" s="253" t="inlineStr">
        <is>
          <t>33</t>
        </is>
      </c>
      <c r="AD1019" s="247" t="inlineStr">
        <is>
          <t xml:space="preserve">S-W VISUAL ELECTRON </t>
        </is>
      </c>
      <c r="AE1019" s="680" t="n"/>
      <c r="AF1019" s="680" t="n"/>
      <c r="AG1019" s="680" t="n"/>
      <c r="AH1019" s="680" t="n"/>
      <c r="AI1019" s="680" t="n"/>
      <c r="AJ1019" s="680" t="n"/>
      <c r="AK1019" s="680" t="inlineStr">
        <is>
          <t xml:space="preserve">S-T WHSE.                                                         </t>
        </is>
      </c>
    </row>
  </sheetData>
  <autoFilter ref="A1:AK1019"/>
  <conditionalFormatting sqref="A2:AK1019">
    <cfRule type="expression" priority="1" dxfId="1">
      <formula>MOD(ROW(),2)=0</formula>
    </cfRule>
  </conditionalFormatting>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2.xml><?xml version="1.0" encoding="utf-8"?>
<worksheet xmlns="http://schemas.openxmlformats.org/spreadsheetml/2006/main">
  <sheetPr codeName="Sheet4">
    <tabColor rgb="007030A0"/>
    <outlinePr summaryBelow="1" summaryRight="1"/>
    <pageSetUpPr/>
  </sheetPr>
  <dimension ref="A1:M158"/>
  <sheetViews>
    <sheetView workbookViewId="0">
      <pane ySplit="1" topLeftCell="A2" activePane="bottomLeft" state="frozen"/>
      <selection pane="bottomLeft" activeCell="B63" sqref="B63"/>
    </sheetView>
  </sheetViews>
  <sheetFormatPr baseColWidth="8" defaultRowHeight="10.5"/>
  <cols>
    <col width="22.6640625" customWidth="1" style="487" min="1" max="1"/>
    <col width="5.5" customWidth="1" min="2" max="2"/>
    <col width="11.5" customWidth="1" min="3" max="3"/>
    <col width="7" bestFit="1" customWidth="1" min="4" max="4"/>
    <col width="29.33203125" bestFit="1" customWidth="1" min="5" max="5"/>
    <col width="5.33203125" customWidth="1" min="6" max="6"/>
    <col width="13.5" customWidth="1" min="7" max="7"/>
    <col width="20.1640625" bestFit="1" customWidth="1" min="8" max="8"/>
    <col width="5.33203125" customWidth="1" min="9" max="9"/>
    <col width="19.5" bestFit="1" customWidth="1" min="10" max="10"/>
    <col width="16.83203125" bestFit="1" customWidth="1" min="11" max="11"/>
  </cols>
  <sheetData>
    <row r="1" ht="12.75" customHeight="1">
      <c r="A1" s="487" t="n">
        <v>0</v>
      </c>
      <c r="B1" s="89" t="inlineStr">
        <is>
          <t>None</t>
        </is>
      </c>
      <c r="C1" s="108" t="n"/>
      <c r="F1" s="6" t="n"/>
      <c r="G1" s="113" t="inlineStr">
        <is>
          <t>Arvada</t>
        </is>
      </c>
      <c r="H1" s="113" t="inlineStr">
        <is>
          <t>Arvada</t>
        </is>
      </c>
      <c r="J1" s="129" t="n"/>
      <c r="K1" s="129" t="n"/>
      <c r="L1" t="b">
        <v>0</v>
      </c>
      <c r="M1" s="124" t="n"/>
    </row>
    <row r="2" ht="12.75" customHeight="1">
      <c r="A2" s="487" t="n">
        <v>1</v>
      </c>
      <c r="B2" s="89" t="inlineStr">
        <is>
          <t>Poor</t>
        </is>
      </c>
      <c r="C2" s="687" t="n"/>
      <c r="F2" s="112" t="n"/>
      <c r="G2" s="113" t="inlineStr">
        <is>
          <t>Aurora</t>
        </is>
      </c>
      <c r="H2" s="113" t="inlineStr">
        <is>
          <t>Aurora</t>
        </is>
      </c>
      <c r="J2" s="120" t="n"/>
      <c r="K2" s="117" t="n"/>
      <c r="L2" t="b">
        <v>0</v>
      </c>
    </row>
    <row r="3" ht="12.75" customHeight="1">
      <c r="A3" s="487" t="n">
        <v>2</v>
      </c>
      <c r="B3" s="89" t="inlineStr">
        <is>
          <t>Fair</t>
        </is>
      </c>
      <c r="C3" s="687" t="n"/>
      <c r="F3" s="6" t="n"/>
      <c r="G3" s="113" t="inlineStr">
        <is>
          <t>Bennett</t>
        </is>
      </c>
      <c r="H3" s="113" t="inlineStr">
        <is>
          <t>Bennett</t>
        </is>
      </c>
      <c r="J3" s="129" t="n"/>
      <c r="K3" s="129" t="n"/>
      <c r="L3" t="b">
        <v>0</v>
      </c>
    </row>
    <row r="4" ht="12.75" customHeight="1">
      <c r="A4" s="487" t="n">
        <v>3</v>
      </c>
      <c r="B4" s="89" t="inlineStr">
        <is>
          <t>Typical</t>
        </is>
      </c>
      <c r="C4" s="106" t="n"/>
      <c r="F4" s="112" t="n"/>
      <c r="G4" s="113" t="inlineStr">
        <is>
          <t>Brighton</t>
        </is>
      </c>
      <c r="H4" s="113" t="inlineStr">
        <is>
          <t>Brighton</t>
        </is>
      </c>
      <c r="J4" s="120" t="n"/>
      <c r="K4" s="117" t="n"/>
      <c r="L4" t="b">
        <v>0</v>
      </c>
    </row>
    <row r="5" ht="12.75" customHeight="1">
      <c r="A5" s="487" t="n">
        <v>4</v>
      </c>
      <c r="B5" s="89" t="inlineStr">
        <is>
          <t>Good</t>
        </is>
      </c>
      <c r="C5" s="106" t="n"/>
      <c r="D5" s="89" t="n"/>
      <c r="E5" s="112" t="n"/>
      <c r="F5" s="112" t="n"/>
      <c r="G5" s="113" t="inlineStr">
        <is>
          <t>Commerce City</t>
        </is>
      </c>
      <c r="H5" s="113" t="inlineStr">
        <is>
          <t>Commerce City</t>
        </is>
      </c>
      <c r="J5" s="129" t="n"/>
      <c r="K5" s="129" t="n"/>
      <c r="L5" t="b">
        <v>0</v>
      </c>
    </row>
    <row r="6" ht="12.75" customHeight="1">
      <c r="C6" s="106" t="n"/>
      <c r="D6" s="89" t="n"/>
      <c r="E6" s="6" t="n"/>
      <c r="F6" s="6" t="n"/>
      <c r="G6" s="113" t="inlineStr">
        <is>
          <t>Federal Heights</t>
        </is>
      </c>
      <c r="H6" s="113" t="inlineStr">
        <is>
          <t>Federal Heights</t>
        </is>
      </c>
      <c r="J6" s="120" t="n"/>
      <c r="K6" s="117" t="n"/>
      <c r="L6" t="b">
        <v>0</v>
      </c>
    </row>
    <row r="7" ht="12.75" customHeight="1">
      <c r="C7" s="106" t="n"/>
      <c r="D7" s="89" t="n"/>
      <c r="E7" s="123" t="n"/>
      <c r="F7" s="6" t="n"/>
      <c r="G7" s="113" t="inlineStr">
        <is>
          <t>Northglenn</t>
        </is>
      </c>
      <c r="H7" s="113" t="inlineStr">
        <is>
          <t>Northglenn</t>
        </is>
      </c>
      <c r="J7" s="120" t="n"/>
      <c r="K7" s="117" t="n"/>
      <c r="L7" t="b">
        <v>0</v>
      </c>
    </row>
    <row r="8" ht="12.75" customHeight="1">
      <c r="C8" s="106" t="n"/>
      <c r="D8" s="89" t="n"/>
      <c r="E8" s="123" t="n"/>
      <c r="F8" s="6" t="n"/>
      <c r="G8" s="113" t="inlineStr">
        <is>
          <t>Highlands Ranch</t>
        </is>
      </c>
      <c r="H8" s="113" t="inlineStr">
        <is>
          <t>Highlands Ranch</t>
        </is>
      </c>
      <c r="J8" s="120" t="n"/>
      <c r="K8" s="117" t="n"/>
      <c r="L8" t="b">
        <v>0</v>
      </c>
    </row>
    <row r="9" ht="12.75" customHeight="1">
      <c r="C9" s="106" t="n"/>
      <c r="D9" s="194" t="n">
        <v>10</v>
      </c>
      <c r="E9" s="194" t="inlineStr">
        <is>
          <t>None</t>
        </is>
      </c>
      <c r="F9" s="6" t="n"/>
      <c r="G9" s="113" t="inlineStr">
        <is>
          <t>Northwest</t>
        </is>
      </c>
      <c r="H9" s="113" t="inlineStr">
        <is>
          <t>Northwest</t>
        </is>
      </c>
      <c r="J9" s="120" t="n"/>
      <c r="K9" s="117" t="n"/>
      <c r="L9" t="b">
        <v>0</v>
      </c>
    </row>
    <row r="10" ht="12.75" customHeight="1">
      <c r="C10" s="2" t="n"/>
      <c r="D10" s="117" t="n">
        <v>11</v>
      </c>
      <c r="E10" s="117" t="inlineStr">
        <is>
          <t>Very Poor</t>
        </is>
      </c>
      <c r="F10" s="6" t="n"/>
      <c r="G10" s="113" t="inlineStr">
        <is>
          <t>Thornton</t>
        </is>
      </c>
      <c r="H10" s="113" t="inlineStr">
        <is>
          <t>Thornton</t>
        </is>
      </c>
      <c r="J10" s="120" t="n"/>
      <c r="K10" s="117" t="n"/>
      <c r="L10" t="b">
        <v>0</v>
      </c>
    </row>
    <row r="11" ht="12.75" customHeight="1">
      <c r="B11" s="3" t="n"/>
      <c r="D11" s="117" t="n">
        <v>12</v>
      </c>
      <c r="E11" s="117" t="inlineStr">
        <is>
          <t>Very Poor</t>
        </is>
      </c>
      <c r="F11" s="112" t="n"/>
      <c r="G11" s="113" t="inlineStr">
        <is>
          <t>Westminster</t>
        </is>
      </c>
      <c r="H11" s="113" t="inlineStr">
        <is>
          <t>Westminster</t>
        </is>
      </c>
      <c r="J11" s="120" t="n"/>
      <c r="K11" s="117" t="n"/>
      <c r="L11" t="b">
        <v>0</v>
      </c>
    </row>
    <row r="12" ht="12.75" customHeight="1">
      <c r="A12" s="487" t="n">
        <v>1</v>
      </c>
      <c r="B12" s="89" t="inlineStr">
        <is>
          <t>Poor</t>
        </is>
      </c>
      <c r="D12" s="117" t="n">
        <v>13</v>
      </c>
      <c r="E12" s="117" t="inlineStr">
        <is>
          <t>Poor</t>
        </is>
      </c>
      <c r="F12" s="112" t="n"/>
      <c r="G12" s="113" t="inlineStr">
        <is>
          <t>Unincorporated</t>
        </is>
      </c>
      <c r="H12" s="113" t="inlineStr">
        <is>
          <t>Unincorporated</t>
        </is>
      </c>
      <c r="J12" s="120" t="n"/>
      <c r="K12" s="117" t="n"/>
      <c r="L12" t="b">
        <v>0</v>
      </c>
    </row>
    <row r="13" ht="12.75" customHeight="1">
      <c r="A13" s="487" t="n">
        <v>2</v>
      </c>
      <c r="B13" s="89" t="inlineStr">
        <is>
          <t>Fair</t>
        </is>
      </c>
      <c r="D13" s="117" t="n">
        <v>14</v>
      </c>
      <c r="E13" s="120" t="inlineStr">
        <is>
          <t>Poor</t>
        </is>
      </c>
      <c r="F13" s="112" t="n"/>
      <c r="G13" s="113" t="inlineStr">
        <is>
          <t>Southwest</t>
        </is>
      </c>
      <c r="H13" s="113" t="inlineStr">
        <is>
          <t>Southwest</t>
        </is>
      </c>
      <c r="J13" s="120" t="n"/>
      <c r="K13" s="117" t="n"/>
      <c r="L13" t="b">
        <v>0</v>
      </c>
    </row>
    <row r="14" ht="12.75" customHeight="1">
      <c r="A14" s="487" t="n">
        <v>3</v>
      </c>
      <c r="B14" s="89" t="inlineStr">
        <is>
          <t>Typical</t>
        </is>
      </c>
      <c r="D14" s="117" t="n">
        <v>20</v>
      </c>
      <c r="E14" s="117" t="inlineStr">
        <is>
          <t>Poor</t>
        </is>
      </c>
      <c r="F14" s="112" t="n"/>
      <c r="G14" s="113" t="inlineStr">
        <is>
          <t>West</t>
        </is>
      </c>
      <c r="H14" s="113" t="inlineStr">
        <is>
          <t>West</t>
        </is>
      </c>
      <c r="J14" s="129" t="n"/>
      <c r="K14" s="129" t="n"/>
      <c r="L14" t="b">
        <v>0</v>
      </c>
    </row>
    <row r="15" ht="12.75" customHeight="1">
      <c r="A15" s="487" t="n">
        <v>4</v>
      </c>
      <c r="B15" s="89" t="inlineStr">
        <is>
          <t>Good</t>
        </is>
      </c>
      <c r="C15" s="2" t="n"/>
      <c r="D15" s="117" t="n">
        <v>21</v>
      </c>
      <c r="E15" s="117" t="inlineStr">
        <is>
          <t>Poor</t>
        </is>
      </c>
      <c r="F15" s="112" t="n"/>
      <c r="G15" s="113" t="n"/>
      <c r="H15" s="113" t="n"/>
      <c r="J15" s="120" t="n"/>
      <c r="K15" s="117" t="n"/>
      <c r="L15" t="b">
        <v>0</v>
      </c>
    </row>
    <row r="16" ht="12.75" customHeight="1">
      <c r="A16" s="487" t="n">
        <v>5</v>
      </c>
      <c r="B16" s="89" t="inlineStr">
        <is>
          <t>Rehabilitated</t>
        </is>
      </c>
      <c r="C16" s="2" t="n"/>
      <c r="D16" s="117" t="n">
        <v>22</v>
      </c>
      <c r="E16" s="120" t="inlineStr">
        <is>
          <t>Fair</t>
        </is>
      </c>
      <c r="F16" s="112" t="n"/>
      <c r="G16" s="113" t="n"/>
      <c r="H16" s="113" t="n"/>
      <c r="J16" s="120" t="n"/>
      <c r="K16" s="117" t="n"/>
      <c r="L16" t="b">
        <v>0</v>
      </c>
    </row>
    <row r="17" ht="12.75" customHeight="1">
      <c r="C17" s="2" t="n"/>
      <c r="D17" s="117" t="n">
        <v>23</v>
      </c>
      <c r="E17" s="117" t="inlineStr">
        <is>
          <t>Fair/Average</t>
        </is>
      </c>
      <c r="F17" s="112" t="n"/>
      <c r="G17" s="113" t="n"/>
      <c r="H17" s="113" t="n"/>
      <c r="J17" s="120" t="n"/>
      <c r="K17" s="117" t="n"/>
      <c r="L17" t="b">
        <v>0</v>
      </c>
    </row>
    <row r="18" ht="12.75" customHeight="1">
      <c r="C18" s="2" t="n"/>
      <c r="D18" s="194" t="n">
        <v>24</v>
      </c>
      <c r="E18" s="117" t="inlineStr">
        <is>
          <t>Fair/Average</t>
        </is>
      </c>
      <c r="F18" s="112" t="n"/>
      <c r="G18" s="113" t="n"/>
      <c r="H18" s="113" t="n"/>
      <c r="J18" s="116" t="n"/>
      <c r="K18" s="116" t="n"/>
      <c r="L18" t="b">
        <v>0</v>
      </c>
    </row>
    <row r="19" ht="12.75" customHeight="1">
      <c r="A19" s="263" t="n">
        <v>1</v>
      </c>
      <c r="B19" s="239" t="inlineStr">
        <is>
          <t>Retail Store</t>
        </is>
      </c>
      <c r="C19" s="2" t="n"/>
      <c r="D19" s="194" t="n">
        <v>30</v>
      </c>
      <c r="E19" s="194" t="inlineStr">
        <is>
          <t>Poor</t>
        </is>
      </c>
      <c r="F19" s="112" t="n"/>
      <c r="G19" s="113" t="n"/>
      <c r="H19" s="113" t="n"/>
      <c r="J19" s="108" t="n"/>
      <c r="K19" s="108" t="n"/>
      <c r="L19" t="b">
        <v>0</v>
      </c>
    </row>
    <row r="20" ht="12" customHeight="1">
      <c r="A20" s="263" t="n">
        <v>99</v>
      </c>
      <c r="B20" s="239" t="inlineStr">
        <is>
          <t>Service Garage</t>
        </is>
      </c>
      <c r="C20" s="2" t="n"/>
      <c r="D20" s="194" t="n">
        <v>31</v>
      </c>
      <c r="E20" s="194" t="inlineStr">
        <is>
          <t>Fair</t>
        </is>
      </c>
      <c r="F20" s="39" t="n"/>
      <c r="G20" s="113" t="n"/>
      <c r="H20" s="113" t="n"/>
      <c r="J20" s="120" t="n"/>
      <c r="K20" s="117" t="n"/>
      <c r="L20" t="b">
        <v>0</v>
      </c>
    </row>
    <row r="21" ht="12" customHeight="1">
      <c r="A21" s="263" t="n">
        <v>100</v>
      </c>
      <c r="B21" s="239" t="inlineStr">
        <is>
          <t>Conversion</t>
        </is>
      </c>
      <c r="C21" s="2" t="n"/>
      <c r="D21" s="194" t="n">
        <v>32</v>
      </c>
      <c r="E21" s="194" t="inlineStr">
        <is>
          <t>Average/Fair</t>
        </is>
      </c>
      <c r="F21" s="39" t="n"/>
      <c r="G21" s="113" t="n"/>
      <c r="H21" s="113" t="n"/>
      <c r="J21" s="120" t="n"/>
      <c r="K21" s="117" t="n"/>
      <c r="L21" t="b">
        <v>0</v>
      </c>
    </row>
    <row r="22" ht="12" customHeight="1">
      <c r="A22" s="263" t="n">
        <v>118</v>
      </c>
      <c r="B22" s="239" t="inlineStr">
        <is>
          <t>Motel</t>
        </is>
      </c>
      <c r="C22" s="2" t="n"/>
      <c r="D22" s="194" t="n">
        <v>33</v>
      </c>
      <c r="E22" s="194" t="inlineStr">
        <is>
          <t>Average</t>
        </is>
      </c>
      <c r="F22" s="39" t="n"/>
      <c r="G22" s="113" t="n"/>
      <c r="H22" s="113" t="n"/>
      <c r="J22" s="118" t="n"/>
      <c r="K22" s="118" t="n"/>
      <c r="L22" t="b">
        <v>0</v>
      </c>
    </row>
    <row r="23" ht="12" customHeight="1">
      <c r="A23" s="263" t="n">
        <v>140</v>
      </c>
      <c r="B23" s="239" t="inlineStr">
        <is>
          <t>Modular Office</t>
        </is>
      </c>
      <c r="C23" s="2" t="n"/>
      <c r="D23" s="194" t="n">
        <v>34</v>
      </c>
      <c r="E23" s="194" t="inlineStr">
        <is>
          <t>Average</t>
        </is>
      </c>
      <c r="G23" s="113" t="n"/>
      <c r="H23" s="113" t="n"/>
      <c r="J23" s="120" t="n"/>
      <c r="K23" s="117" t="n"/>
      <c r="L23" t="b">
        <v>0</v>
      </c>
    </row>
    <row r="24" ht="12" customHeight="1">
      <c r="A24" s="263" t="n">
        <v>186</v>
      </c>
      <c r="B24" s="239" t="inlineStr">
        <is>
          <t>Manufacturing</t>
        </is>
      </c>
      <c r="C24" s="2" t="n"/>
      <c r="D24" s="194" t="n">
        <v>40</v>
      </c>
      <c r="E24" s="194" t="inlineStr">
        <is>
          <t>Average</t>
        </is>
      </c>
      <c r="G24" s="113" t="n"/>
      <c r="H24" s="113" t="n"/>
      <c r="J24" s="120" t="n"/>
      <c r="K24" s="117" t="n"/>
      <c r="L24" t="b">
        <v>0</v>
      </c>
    </row>
    <row r="25" ht="12" customHeight="1">
      <c r="A25" s="263" t="n">
        <v>209</v>
      </c>
      <c r="B25" s="239" t="inlineStr">
        <is>
          <t>Office Building</t>
        </is>
      </c>
      <c r="C25" s="2" t="n"/>
      <c r="D25" s="194" t="n">
        <v>41</v>
      </c>
      <c r="E25" s="194" t="inlineStr">
        <is>
          <t>Average</t>
        </is>
      </c>
      <c r="G25" s="113" t="n"/>
      <c r="H25" s="240" t="n"/>
      <c r="J25" s="120" t="n"/>
      <c r="K25" s="117" t="n"/>
      <c r="L25" t="b">
        <v>0</v>
      </c>
    </row>
    <row r="26" ht="12" customHeight="1">
      <c r="A26" s="263" t="n">
        <v>210</v>
      </c>
      <c r="B26" s="239" t="inlineStr">
        <is>
          <t>Ind. Flex Mall</t>
        </is>
      </c>
      <c r="C26" s="2" t="n"/>
      <c r="D26" s="194" t="n">
        <v>42</v>
      </c>
      <c r="E26" s="195" t="inlineStr">
        <is>
          <t>Average/Fair</t>
        </is>
      </c>
      <c r="G26" s="113" t="n"/>
      <c r="H26" s="113" t="n"/>
      <c r="J26" s="118" t="n"/>
      <c r="K26" s="118" t="n"/>
      <c r="L26" t="b">
        <v>0</v>
      </c>
    </row>
    <row r="27" ht="12" customHeight="1">
      <c r="A27" s="263" t="n">
        <v>213</v>
      </c>
      <c r="B27" s="238" t="inlineStr">
        <is>
          <t>Light Industrial</t>
        </is>
      </c>
      <c r="C27" s="2" t="n"/>
      <c r="D27" s="194" t="n">
        <v>43</v>
      </c>
      <c r="E27" s="194" t="inlineStr">
        <is>
          <t>Good</t>
        </is>
      </c>
      <c r="G27" s="113" t="n"/>
      <c r="H27" s="113" t="n"/>
      <c r="J27" s="129" t="n"/>
      <c r="K27" s="129" t="n"/>
      <c r="L27" t="b">
        <v>0</v>
      </c>
    </row>
    <row r="28" ht="12" customHeight="1">
      <c r="A28" s="263" t="n">
        <v>304</v>
      </c>
      <c r="B28" s="238" t="inlineStr">
        <is>
          <t>Bank</t>
        </is>
      </c>
      <c r="C28" s="2" t="n"/>
      <c r="D28" s="194" t="n">
        <v>44</v>
      </c>
      <c r="E28" s="194" t="inlineStr">
        <is>
          <t>Good</t>
        </is>
      </c>
      <c r="G28" s="113" t="n"/>
      <c r="H28" s="240" t="n"/>
      <c r="J28" s="120" t="n"/>
      <c r="K28" s="117" t="n"/>
      <c r="L28" t="b">
        <v>0</v>
      </c>
    </row>
    <row r="29" ht="12" customHeight="1">
      <c r="A29" s="263" t="n">
        <v>306</v>
      </c>
      <c r="B29" s="238" t="inlineStr">
        <is>
          <t>Bowling Alley</t>
        </is>
      </c>
      <c r="C29" s="2" t="n"/>
      <c r="D29" s="194" t="n">
        <v>50</v>
      </c>
      <c r="E29" s="196" t="inlineStr">
        <is>
          <t>Rehab/Poor</t>
        </is>
      </c>
      <c r="G29" s="113" t="n"/>
      <c r="H29" s="113" t="n"/>
      <c r="J29" s="118" t="n"/>
      <c r="K29" s="118" t="n"/>
      <c r="L29" t="b">
        <v>0</v>
      </c>
    </row>
    <row r="30" ht="12" customHeight="1">
      <c r="A30" s="263" t="n">
        <v>311</v>
      </c>
      <c r="B30" s="238" t="inlineStr">
        <is>
          <t>Clubhouse</t>
        </is>
      </c>
      <c r="C30" s="2" t="n"/>
      <c r="D30" s="194" t="n">
        <v>51</v>
      </c>
      <c r="E30" s="196" t="inlineStr">
        <is>
          <t>Rehab/Fair</t>
        </is>
      </c>
      <c r="G30" s="113" t="n"/>
      <c r="H30" s="113" t="n"/>
      <c r="J30" s="120" t="n"/>
      <c r="K30" s="117" t="n"/>
      <c r="L30" t="b">
        <v>0</v>
      </c>
    </row>
    <row r="31" ht="12" customHeight="1">
      <c r="A31" s="264" t="n">
        <v>319</v>
      </c>
      <c r="B31" s="239" t="inlineStr">
        <is>
          <t>Discount Store</t>
        </is>
      </c>
      <c r="C31" s="2" t="n"/>
      <c r="D31" s="194" t="n">
        <v>52</v>
      </c>
      <c r="E31" s="194" t="inlineStr">
        <is>
          <t>Rehab/Fair</t>
        </is>
      </c>
      <c r="G31" s="113" t="n"/>
      <c r="H31" s="113" t="n"/>
      <c r="J31" s="120" t="n"/>
      <c r="K31" s="117" t="n"/>
      <c r="L31" t="b">
        <v>0</v>
      </c>
    </row>
    <row r="32" ht="12" customHeight="1">
      <c r="A32" s="264" t="n">
        <v>321</v>
      </c>
      <c r="B32" s="239" t="inlineStr">
        <is>
          <t>Laboratories</t>
        </is>
      </c>
      <c r="C32" s="2" t="n"/>
      <c r="D32" s="194" t="n">
        <v>53</v>
      </c>
      <c r="E32" s="194" t="inlineStr">
        <is>
          <t>Rehab/Average</t>
        </is>
      </c>
      <c r="G32" s="113" t="n"/>
      <c r="H32" s="113" t="n"/>
      <c r="J32" s="129" t="n"/>
      <c r="K32" s="129" t="n"/>
      <c r="L32" t="b">
        <v>0</v>
      </c>
      <c r="M32" s="124" t="n"/>
    </row>
    <row r="33" ht="12" customHeight="1">
      <c r="A33" s="264" t="n">
        <v>322</v>
      </c>
      <c r="B33" s="239" t="inlineStr">
        <is>
          <t>Fire Station</t>
        </is>
      </c>
      <c r="C33" s="2" t="n"/>
      <c r="D33" s="194" t="n">
        <v>54</v>
      </c>
      <c r="E33" s="195" t="inlineStr">
        <is>
          <t>Rehab/Good</t>
        </is>
      </c>
      <c r="G33" s="113" t="n"/>
      <c r="H33" s="113" t="n"/>
      <c r="J33" s="129" t="n"/>
      <c r="K33" s="129" t="n"/>
      <c r="L33" t="b">
        <v>0</v>
      </c>
      <c r="M33" s="124" t="n"/>
    </row>
    <row r="34" ht="12" customHeight="1">
      <c r="A34" s="487" t="n">
        <v>325</v>
      </c>
      <c r="B34" s="239" t="inlineStr">
        <is>
          <t>Service Garage</t>
        </is>
      </c>
      <c r="C34" s="2" t="n"/>
      <c r="D34" s="89" t="n"/>
      <c r="E34" s="117" t="n"/>
      <c r="G34" s="113" t="n"/>
      <c r="H34" s="113" t="n"/>
      <c r="J34" s="129" t="n"/>
      <c r="K34" s="129" t="n"/>
      <c r="L34" t="b">
        <v>0</v>
      </c>
      <c r="M34" s="124" t="n"/>
    </row>
    <row r="35" ht="12" customHeight="1">
      <c r="A35" s="487" t="n">
        <v>331</v>
      </c>
      <c r="B35" s="239" t="inlineStr">
        <is>
          <t>Hospital</t>
        </is>
      </c>
      <c r="C35" s="2" t="n"/>
      <c r="D35" s="89" t="n"/>
      <c r="E35" s="123" t="n"/>
      <c r="G35" s="113" t="n"/>
      <c r="H35" s="113" t="n"/>
      <c r="J35" s="120" t="n"/>
      <c r="K35" s="117" t="n"/>
      <c r="L35" t="b">
        <v>0</v>
      </c>
      <c r="M35" s="124" t="n"/>
    </row>
    <row r="36" ht="12" customHeight="1">
      <c r="A36" s="487" t="n">
        <v>332</v>
      </c>
      <c r="B36" s="239" t="inlineStr">
        <is>
          <t>Hotel - Full Service</t>
        </is>
      </c>
      <c r="C36" s="2" t="n"/>
      <c r="D36" s="89" t="n"/>
      <c r="E36" s="123" t="n"/>
      <c r="G36" s="113" t="n"/>
      <c r="H36" s="113" t="n"/>
      <c r="J36" s="120" t="n"/>
      <c r="K36" s="117" t="n"/>
      <c r="L36" t="b">
        <v>0</v>
      </c>
      <c r="M36" s="124" t="n"/>
    </row>
    <row r="37" ht="12" customHeight="1">
      <c r="A37" s="487" t="n">
        <v>334</v>
      </c>
      <c r="B37" s="239" t="inlineStr">
        <is>
          <t>Indust Light Manufacturing</t>
        </is>
      </c>
      <c r="C37" s="2" t="n"/>
      <c r="D37" s="89" t="n"/>
      <c r="E37" s="123" t="n"/>
      <c r="G37" s="113" t="n"/>
      <c r="H37" s="113" t="n"/>
      <c r="J37" s="120" t="n"/>
      <c r="K37" s="117" t="n"/>
      <c r="L37" t="b">
        <v>0</v>
      </c>
      <c r="M37" s="124" t="n"/>
    </row>
    <row r="38" ht="12" customHeight="1">
      <c r="A38" s="487" t="n">
        <v>336</v>
      </c>
      <c r="B38" s="239" t="inlineStr">
        <is>
          <t>Laundromat</t>
        </is>
      </c>
      <c r="C38" s="2" t="n"/>
      <c r="D38" s="89" t="n"/>
      <c r="E38" s="123" t="n"/>
      <c r="G38" s="113" t="n"/>
      <c r="H38" s="113" t="n"/>
      <c r="J38" s="120" t="n"/>
      <c r="K38" s="117" t="n"/>
      <c r="L38" t="b">
        <v>0</v>
      </c>
      <c r="M38" s="124" t="n"/>
    </row>
    <row r="39" ht="12" customHeight="1">
      <c r="A39" s="487" t="n">
        <v>339</v>
      </c>
      <c r="B39" s="239" t="inlineStr">
        <is>
          <t>Lumber Storage</t>
        </is>
      </c>
      <c r="C39" s="2" t="n"/>
      <c r="D39" s="89" t="n"/>
      <c r="E39" s="123" t="n"/>
      <c r="G39" s="113" t="n"/>
      <c r="H39" s="113" t="n"/>
      <c r="J39" s="129" t="n"/>
      <c r="K39" s="129" t="n"/>
      <c r="L39" t="b">
        <v>0</v>
      </c>
      <c r="M39" s="124" t="n"/>
    </row>
    <row r="40" ht="12" customHeight="1">
      <c r="A40" s="487" t="n">
        <v>340</v>
      </c>
      <c r="B40" s="239" t="inlineStr">
        <is>
          <t>Market</t>
        </is>
      </c>
      <c r="C40" s="2" t="n"/>
      <c r="D40" s="89" t="n"/>
      <c r="E40" s="123" t="n"/>
      <c r="G40" s="113" t="n"/>
      <c r="H40" s="113" t="n"/>
      <c r="J40" s="120" t="n"/>
      <c r="K40" s="117" t="n"/>
      <c r="L40" t="b">
        <v>0</v>
      </c>
      <c r="M40" s="124" t="n"/>
    </row>
    <row r="41" ht="12" customHeight="1">
      <c r="A41" s="487" t="n">
        <v>341</v>
      </c>
      <c r="B41" s="239" t="inlineStr">
        <is>
          <t>Medical Office</t>
        </is>
      </c>
      <c r="C41" s="2" t="n"/>
      <c r="D41" s="89" t="n"/>
      <c r="E41" s="123" t="n"/>
      <c r="G41" s="113" t="n"/>
      <c r="H41" s="113" t="n"/>
      <c r="J41" s="129" t="n"/>
      <c r="K41" s="129" t="n"/>
      <c r="L41" t="b">
        <v>0</v>
      </c>
      <c r="M41" s="124" t="n"/>
    </row>
    <row r="42" ht="12" customHeight="1">
      <c r="A42" s="487" t="n">
        <v>342</v>
      </c>
      <c r="B42" s="239" t="inlineStr">
        <is>
          <t>Mortuary</t>
        </is>
      </c>
      <c r="C42" s="2" t="n"/>
      <c r="D42" s="89" t="n"/>
      <c r="E42" s="123" t="n"/>
      <c r="G42" s="113" t="n"/>
      <c r="H42" s="113" t="n"/>
      <c r="J42" s="120" t="n"/>
      <c r="K42" s="117" t="n"/>
      <c r="L42" t="b">
        <v>0</v>
      </c>
      <c r="M42" s="126" t="n"/>
    </row>
    <row r="43" ht="12" customHeight="1">
      <c r="A43" s="487" t="n">
        <v>343</v>
      </c>
      <c r="B43" s="239" t="inlineStr">
        <is>
          <t>Motel</t>
        </is>
      </c>
      <c r="C43" s="2" t="n"/>
      <c r="D43" s="89" t="n"/>
      <c r="E43" s="123" t="n"/>
      <c r="G43" s="113" t="n"/>
      <c r="H43" s="113" t="n"/>
      <c r="J43" s="120" t="n"/>
      <c r="K43" s="117" t="n"/>
      <c r="L43" t="b">
        <v>0</v>
      </c>
      <c r="M43" s="126" t="n"/>
    </row>
    <row r="44" ht="12" customHeight="1">
      <c r="A44" s="487" t="n">
        <v>344</v>
      </c>
      <c r="B44" s="239" t="inlineStr">
        <is>
          <t>Office Building</t>
        </is>
      </c>
      <c r="C44" s="2" t="n"/>
      <c r="D44" s="89" t="n"/>
      <c r="E44" s="123" t="n"/>
      <c r="J44" s="120" t="n"/>
      <c r="K44" s="117" t="n"/>
      <c r="L44" t="b">
        <v>0</v>
      </c>
      <c r="M44" s="127" t="n"/>
    </row>
    <row r="45" ht="12" customHeight="1">
      <c r="A45" s="487" t="n">
        <v>349</v>
      </c>
      <c r="B45" s="239" t="inlineStr">
        <is>
          <t>Fast Food Restaurant</t>
        </is>
      </c>
      <c r="C45" s="2" t="n"/>
      <c r="D45" s="89" t="n"/>
      <c r="E45" s="123" t="n"/>
      <c r="J45" s="129" t="n"/>
      <c r="K45" s="129" t="n"/>
      <c r="L45" t="b">
        <v>0</v>
      </c>
      <c r="M45" s="124" t="n"/>
    </row>
    <row r="46" ht="12" customHeight="1">
      <c r="A46" s="487" t="n">
        <v>350</v>
      </c>
      <c r="B46" s="239" t="inlineStr">
        <is>
          <t>Restaurant</t>
        </is>
      </c>
      <c r="C46" s="2" t="n"/>
      <c r="D46" s="89" t="n"/>
      <c r="E46" s="123" t="n"/>
      <c r="J46" s="120" t="n"/>
      <c r="K46" s="117" t="n"/>
      <c r="L46" t="b">
        <v>0</v>
      </c>
      <c r="M46" s="124" t="n"/>
    </row>
    <row r="47" ht="12" customHeight="1">
      <c r="A47" s="487" t="n">
        <v>353</v>
      </c>
      <c r="B47" s="239" t="inlineStr">
        <is>
          <t>Retail Store</t>
        </is>
      </c>
      <c r="C47" s="2" t="n"/>
      <c r="D47" s="89" t="n"/>
      <c r="E47" s="117" t="n"/>
      <c r="J47" s="120" t="n"/>
      <c r="K47" s="117" t="n"/>
      <c r="L47" t="b">
        <v>0</v>
      </c>
      <c r="M47" s="124" t="n"/>
    </row>
    <row r="48" ht="12" customHeight="1">
      <c r="A48" s="487" t="n">
        <v>359</v>
      </c>
      <c r="B48" s="239" t="inlineStr">
        <is>
          <t>School</t>
        </is>
      </c>
      <c r="C48" s="2" t="n"/>
      <c r="D48" s="89" t="n"/>
      <c r="E48" s="117" t="n"/>
      <c r="J48" s="120" t="n"/>
      <c r="K48" s="117" t="n"/>
      <c r="L48" t="b">
        <v>0</v>
      </c>
      <c r="M48" s="124" t="n"/>
    </row>
    <row r="49" ht="12" customHeight="1">
      <c r="A49" s="487" t="n">
        <v>381</v>
      </c>
      <c r="B49" s="239" t="inlineStr">
        <is>
          <t>Vet Hospital</t>
        </is>
      </c>
      <c r="C49" s="2" t="n"/>
      <c r="D49" s="89" t="n"/>
      <c r="E49" s="117" t="n"/>
      <c r="J49" s="120" t="n"/>
      <c r="K49" s="117" t="n"/>
      <c r="L49" t="b">
        <v>0</v>
      </c>
      <c r="M49" s="124" t="n"/>
    </row>
    <row r="50" ht="12" customHeight="1">
      <c r="A50" s="487" t="n">
        <v>386</v>
      </c>
      <c r="B50" s="239" t="inlineStr">
        <is>
          <t>Mini Warehouse</t>
        </is>
      </c>
      <c r="C50" s="2" t="n"/>
      <c r="D50" s="89" t="n"/>
      <c r="E50" s="117" t="n"/>
      <c r="J50" s="120" t="n"/>
      <c r="K50" s="117" t="n"/>
      <c r="L50" t="b">
        <v>0</v>
      </c>
      <c r="M50" s="126" t="n"/>
    </row>
    <row r="51" ht="12" customHeight="1">
      <c r="A51" s="487" t="n">
        <v>387</v>
      </c>
      <c r="B51" s="239" t="inlineStr">
        <is>
          <t>Transit Warehouse</t>
        </is>
      </c>
      <c r="C51" s="2" t="n"/>
      <c r="D51" s="89" t="n"/>
      <c r="E51" s="117" t="n"/>
      <c r="J51" s="120" t="n"/>
      <c r="K51" s="117" t="n"/>
      <c r="L51" t="b">
        <v>0</v>
      </c>
      <c r="M51" s="126" t="n"/>
    </row>
    <row r="52" ht="12" customHeight="1">
      <c r="A52" s="487" t="n">
        <v>406</v>
      </c>
      <c r="B52" s="239" t="inlineStr">
        <is>
          <t>Storage Warehouse</t>
        </is>
      </c>
      <c r="C52" s="2" t="n"/>
      <c r="D52" s="89" t="n"/>
      <c r="E52" s="122" t="n"/>
      <c r="J52" s="120" t="n"/>
      <c r="K52" s="117" t="n"/>
      <c r="L52" t="b">
        <v>0</v>
      </c>
      <c r="M52" s="126" t="n"/>
    </row>
    <row r="53" ht="12" customHeight="1">
      <c r="A53" s="487" t="n">
        <v>407</v>
      </c>
      <c r="B53" s="239" t="inlineStr">
        <is>
          <t>Distribution Warehouse</t>
        </is>
      </c>
      <c r="C53" s="2" t="n"/>
      <c r="D53" s="89" t="n"/>
      <c r="J53" s="120" t="n"/>
      <c r="K53" s="117" t="n"/>
      <c r="L53" t="b">
        <v>0</v>
      </c>
      <c r="M53" s="126" t="n"/>
    </row>
    <row r="54" ht="12" customHeight="1">
      <c r="A54" s="487" t="n">
        <v>412</v>
      </c>
      <c r="B54" s="239" t="inlineStr">
        <is>
          <t>NBHD Shopping Center</t>
        </is>
      </c>
      <c r="C54" s="2" t="n"/>
      <c r="D54" s="89" t="n"/>
      <c r="E54" s="117" t="n"/>
      <c r="J54" s="120" t="n"/>
      <c r="K54" s="117" t="n"/>
      <c r="L54" t="b">
        <v>0</v>
      </c>
      <c r="M54" s="124" t="n"/>
    </row>
    <row r="55" ht="12" customHeight="1">
      <c r="A55" s="487" t="n">
        <v>413</v>
      </c>
      <c r="B55" s="239" t="inlineStr">
        <is>
          <t>Community Shoping Center</t>
        </is>
      </c>
      <c r="C55" s="2" t="n"/>
      <c r="D55" s="89" t="n"/>
      <c r="E55" s="122" t="n"/>
      <c r="J55" s="120" t="n"/>
      <c r="K55" s="117" t="n"/>
      <c r="L55" t="b">
        <v>0</v>
      </c>
      <c r="M55" s="124" t="n"/>
    </row>
    <row r="56" ht="12" customHeight="1">
      <c r="A56" s="487" t="n">
        <v>419</v>
      </c>
      <c r="B56" s="239" t="inlineStr">
        <is>
          <t>Convenience Store</t>
        </is>
      </c>
      <c r="C56" s="2" t="n"/>
      <c r="D56" s="89" t="n"/>
      <c r="E56" s="122" t="n"/>
      <c r="J56" s="120" t="n"/>
      <c r="K56" s="117" t="n"/>
      <c r="L56" t="b">
        <v>0</v>
      </c>
      <c r="M56" s="124" t="n"/>
    </row>
    <row r="57" ht="12" customHeight="1">
      <c r="A57" s="487" t="n">
        <v>423</v>
      </c>
      <c r="B57" s="239" t="inlineStr">
        <is>
          <t>Mini Lube</t>
        </is>
      </c>
      <c r="C57" s="2" t="n"/>
      <c r="D57" s="89" t="n"/>
      <c r="E57" s="117" t="n"/>
      <c r="J57" s="120" t="n"/>
      <c r="K57" s="117" t="n"/>
      <c r="L57" t="b">
        <v>0</v>
      </c>
      <c r="M57" s="124" t="n"/>
    </row>
    <row r="58" ht="12" customHeight="1">
      <c r="A58" s="487" t="n">
        <v>425</v>
      </c>
      <c r="B58" s="239" t="inlineStr">
        <is>
          <t>Condo Warehouse</t>
        </is>
      </c>
      <c r="C58" s="2" t="n"/>
      <c r="D58" s="89" t="n"/>
      <c r="E58" s="117" t="n"/>
      <c r="J58" s="120" t="n"/>
      <c r="K58" s="117" t="n"/>
      <c r="L58" t="b">
        <v>0</v>
      </c>
      <c r="M58" s="124" t="n"/>
    </row>
    <row r="59" ht="12" customHeight="1">
      <c r="A59" s="487" t="n">
        <v>426</v>
      </c>
      <c r="B59" s="239" t="inlineStr">
        <is>
          <t>Day Care Center</t>
        </is>
      </c>
      <c r="C59" s="2" t="n"/>
      <c r="D59" s="89" t="n"/>
      <c r="E59" s="122" t="n"/>
      <c r="J59" s="129" t="n"/>
      <c r="K59" s="129" t="n"/>
      <c r="L59" t="b">
        <v>0</v>
      </c>
      <c r="M59" s="124" t="n"/>
    </row>
    <row r="60" ht="12" customHeight="1">
      <c r="A60" s="487" t="n">
        <v>434</v>
      </c>
      <c r="B60" s="239" t="inlineStr">
        <is>
          <t>Car Wash</t>
        </is>
      </c>
      <c r="C60" s="2" t="n"/>
      <c r="D60" s="89" t="n"/>
      <c r="E60" s="122" t="n"/>
      <c r="J60" s="120" t="n"/>
      <c r="K60" s="117" t="n"/>
      <c r="L60" t="b">
        <v>0</v>
      </c>
      <c r="M60" s="124" t="n"/>
    </row>
    <row r="61" ht="12" customHeight="1">
      <c r="A61" s="487" t="n">
        <v>534</v>
      </c>
      <c r="B61" s="239" t="inlineStr">
        <is>
          <t>Warehouse Showroom</t>
        </is>
      </c>
      <c r="C61" s="2" t="n"/>
      <c r="D61" s="89" t="n"/>
      <c r="E61" s="123" t="n"/>
      <c r="J61" s="120" t="n"/>
      <c r="K61" s="117" t="n"/>
      <c r="L61" t="b">
        <v>0</v>
      </c>
      <c r="M61" s="124" t="n"/>
    </row>
    <row r="62" ht="12" customHeight="1">
      <c r="A62" s="487" t="n">
        <v>584</v>
      </c>
      <c r="B62" s="239" t="inlineStr">
        <is>
          <t>Mega Warehouse</t>
        </is>
      </c>
      <c r="C62" s="2" t="n"/>
      <c r="D62" s="89" t="n"/>
      <c r="E62" s="123" t="n"/>
      <c r="J62" s="120" t="n"/>
      <c r="K62" s="117" t="n"/>
      <c r="L62" t="b">
        <v>0</v>
      </c>
      <c r="M62" s="124" t="n"/>
    </row>
    <row r="63" ht="12.75" customHeight="1">
      <c r="B63" s="239" t="n"/>
      <c r="C63" s="2" t="n"/>
      <c r="D63" s="89" t="n"/>
      <c r="E63" s="117" t="n"/>
      <c r="F63" s="17" t="n"/>
      <c r="G63" s="113" t="n"/>
      <c r="H63" s="113" t="n"/>
      <c r="I63" s="17" t="n"/>
      <c r="J63" s="120" t="n"/>
      <c r="K63" s="117" t="n"/>
      <c r="L63" t="b">
        <v>0</v>
      </c>
      <c r="M63" s="126" t="n"/>
    </row>
    <row r="64" ht="12.75" customHeight="1">
      <c r="B64" s="239" t="n"/>
      <c r="C64" s="2" t="n"/>
      <c r="D64" s="89" t="n"/>
      <c r="E64" s="117" t="n"/>
      <c r="F64" s="17" t="n"/>
      <c r="G64" s="113" t="n"/>
      <c r="H64" s="113" t="n"/>
      <c r="I64" s="17" t="n"/>
      <c r="J64" s="120" t="n"/>
      <c r="K64" s="117" t="n"/>
      <c r="L64" t="b">
        <v>0</v>
      </c>
      <c r="M64" s="126" t="n"/>
    </row>
    <row r="65" ht="12.75" customHeight="1">
      <c r="C65" s="59" t="n"/>
      <c r="D65" s="89" t="n"/>
      <c r="F65" s="17" t="n"/>
      <c r="G65" s="113" t="n"/>
      <c r="H65" s="113" t="n"/>
      <c r="I65" s="17" t="n"/>
      <c r="J65" s="120" t="n"/>
      <c r="K65" s="117" t="n"/>
      <c r="L65" t="b">
        <v>0</v>
      </c>
      <c r="M65" s="126" t="n"/>
    </row>
    <row r="66" ht="12.75" customHeight="1">
      <c r="C66" s="59" t="n"/>
      <c r="D66" s="89" t="n"/>
      <c r="E66" s="117" t="n"/>
      <c r="F66" s="17" t="n"/>
      <c r="G66" s="113" t="n"/>
      <c r="H66" s="113" t="n"/>
      <c r="I66" s="17" t="n"/>
      <c r="J66" s="120" t="n"/>
      <c r="K66" s="117" t="n"/>
      <c r="L66" t="b">
        <v>0</v>
      </c>
      <c r="M66" s="126" t="n"/>
    </row>
    <row r="67" ht="12.75" customHeight="1">
      <c r="C67" s="59" t="n"/>
      <c r="D67" s="89" t="n"/>
      <c r="E67" s="122" t="n"/>
      <c r="F67" s="17" t="n"/>
      <c r="G67" s="113" t="n"/>
      <c r="H67" s="113" t="n"/>
      <c r="I67" s="17" t="n"/>
      <c r="J67" s="129" t="n"/>
      <c r="K67" s="129" t="n"/>
      <c r="L67" t="b">
        <v>0</v>
      </c>
      <c r="M67" s="126" t="n"/>
    </row>
    <row r="68" ht="12.75" customHeight="1">
      <c r="C68" s="59" t="n"/>
      <c r="D68" s="89" t="n"/>
      <c r="E68" s="117" t="n"/>
      <c r="F68" s="17" t="n"/>
      <c r="G68" s="113" t="n"/>
      <c r="H68" s="113" t="n"/>
      <c r="I68" s="17" t="n"/>
      <c r="J68" s="120" t="n"/>
      <c r="K68" s="117" t="n"/>
      <c r="L68" t="b">
        <v>0</v>
      </c>
      <c r="M68" s="126" t="n"/>
    </row>
    <row r="69" ht="12.75" customHeight="1">
      <c r="C69" s="59" t="n"/>
      <c r="D69" s="89" t="n"/>
      <c r="E69" s="106" t="n"/>
      <c r="F69" s="17" t="n"/>
      <c r="G69" s="113" t="n"/>
      <c r="H69" s="113" t="n"/>
      <c r="I69" s="17" t="n"/>
      <c r="J69" s="120" t="n"/>
      <c r="K69" s="117" t="n"/>
      <c r="L69" t="b">
        <v>0</v>
      </c>
      <c r="M69" s="126" t="n"/>
    </row>
    <row r="70" ht="12.75" customHeight="1">
      <c r="C70" s="59" t="n"/>
      <c r="D70" s="89" t="n"/>
      <c r="E70" s="117" t="n"/>
      <c r="G70" s="113" t="n"/>
      <c r="H70" s="113" t="n"/>
      <c r="J70" s="120" t="n"/>
      <c r="K70" s="117" t="n"/>
      <c r="L70" t="b">
        <v>0</v>
      </c>
      <c r="M70" s="126" t="n"/>
    </row>
    <row r="71" ht="12.75" customHeight="1">
      <c r="B71" s="239" t="n"/>
      <c r="C71" s="59" t="n"/>
      <c r="D71" s="89" t="n"/>
      <c r="E71" s="117" t="n"/>
      <c r="G71" s="113" t="n"/>
      <c r="H71" s="113" t="n"/>
      <c r="J71" s="120" t="n"/>
      <c r="K71" s="117" t="n"/>
      <c r="L71" t="b">
        <v>0</v>
      </c>
      <c r="M71" s="126" t="n"/>
    </row>
    <row r="72" ht="12" customHeight="1">
      <c r="B72" s="239" t="n"/>
      <c r="C72" s="2" t="n"/>
      <c r="D72" s="89" t="n"/>
      <c r="E72" s="117" t="n"/>
      <c r="G72" s="113" t="n"/>
      <c r="H72" s="113" t="n"/>
      <c r="J72" s="120" t="n"/>
      <c r="K72" s="117" t="n"/>
      <c r="L72" t="b">
        <v>0</v>
      </c>
      <c r="M72" s="126" t="n"/>
    </row>
    <row r="73" ht="12" customHeight="1">
      <c r="A73" s="264" t="n"/>
      <c r="B73" s="239" t="n"/>
      <c r="C73" s="2" t="n"/>
      <c r="D73" s="89" t="n"/>
      <c r="E73" s="123" t="n"/>
      <c r="G73" s="113" t="n"/>
      <c r="H73" s="113" t="n"/>
      <c r="J73" s="119" t="n"/>
      <c r="K73" s="119" t="n"/>
      <c r="L73" t="b">
        <v>0</v>
      </c>
      <c r="M73" s="124" t="n"/>
    </row>
    <row r="74" ht="12" customHeight="1">
      <c r="B74" s="239" t="n"/>
      <c r="C74" s="2" t="n"/>
      <c r="D74" s="89" t="n"/>
      <c r="E74" s="123" t="n"/>
      <c r="G74" s="113" t="n"/>
      <c r="H74" s="113" t="n"/>
      <c r="J74" s="120" t="n"/>
      <c r="K74" s="117" t="n"/>
      <c r="L74" t="b">
        <v>0</v>
      </c>
      <c r="M74" s="127" t="n"/>
    </row>
    <row r="75" ht="12" customHeight="1">
      <c r="A75" s="264" t="n"/>
      <c r="B75" s="239" t="n"/>
      <c r="C75" s="2" t="n"/>
      <c r="D75" s="89" t="n"/>
      <c r="E75" s="123" t="n"/>
      <c r="J75" s="120" t="n"/>
      <c r="K75" s="117" t="n"/>
      <c r="L75" t="b">
        <v>0</v>
      </c>
      <c r="M75" s="124" t="n"/>
    </row>
    <row r="76" ht="12" customHeight="1">
      <c r="A76" s="264" t="n"/>
      <c r="B76" s="239" t="n"/>
      <c r="C76" s="2" t="n"/>
      <c r="D76" s="89" t="n"/>
      <c r="E76" s="117" t="n"/>
      <c r="J76" s="120" t="n"/>
      <c r="K76" s="117" t="n"/>
      <c r="L76" t="b">
        <v>0</v>
      </c>
      <c r="M76" s="124" t="n"/>
    </row>
    <row r="77" ht="12.75" customHeight="1">
      <c r="C77" s="2" t="n"/>
      <c r="D77" s="89" t="n"/>
      <c r="E77" s="117" t="n"/>
      <c r="G77" s="17" t="n"/>
      <c r="H77" s="17" t="n"/>
      <c r="J77" s="119" t="n"/>
      <c r="K77" s="119" t="n"/>
      <c r="L77" t="b">
        <v>0</v>
      </c>
      <c r="M77" s="124" t="n"/>
    </row>
    <row r="78" ht="12.75" customHeight="1">
      <c r="C78" s="2" t="n"/>
      <c r="D78" s="89" t="n"/>
      <c r="E78" s="117" t="n"/>
      <c r="G78" s="17" t="n"/>
      <c r="H78" s="17" t="n"/>
      <c r="J78" s="119" t="n"/>
      <c r="K78" s="119" t="n"/>
      <c r="L78" t="b">
        <v>0</v>
      </c>
      <c r="M78" s="124" t="n"/>
    </row>
    <row r="79" ht="12.75" customHeight="1">
      <c r="C79" s="2" t="n"/>
      <c r="D79" s="89" t="n"/>
      <c r="E79" s="122" t="n"/>
      <c r="G79" s="17" t="n"/>
      <c r="H79" s="17" t="n"/>
      <c r="J79" s="120" t="n"/>
      <c r="K79" s="117" t="n"/>
      <c r="L79" t="b">
        <v>0</v>
      </c>
      <c r="M79" s="124" t="n"/>
    </row>
    <row r="80" ht="12.75" customHeight="1">
      <c r="C80" s="2" t="n"/>
      <c r="D80" s="89" t="n"/>
      <c r="E80" s="122" t="n"/>
      <c r="G80" s="17" t="n"/>
      <c r="H80" s="17" t="n"/>
      <c r="J80" s="129" t="n"/>
      <c r="K80" s="129" t="n"/>
      <c r="L80" t="b">
        <v>0</v>
      </c>
      <c r="M80" s="124" t="n"/>
    </row>
    <row r="81" ht="12.75" customHeight="1">
      <c r="C81" s="2" t="n"/>
      <c r="D81" s="89" t="n"/>
      <c r="E81" s="122" t="n"/>
      <c r="G81" s="17" t="n"/>
      <c r="H81" s="17" t="n"/>
      <c r="J81" s="120" t="n"/>
      <c r="K81" s="117" t="n"/>
      <c r="L81" t="b">
        <v>0</v>
      </c>
      <c r="M81" s="124" t="n"/>
    </row>
    <row r="82" ht="12.75" customHeight="1">
      <c r="C82" s="2" t="n"/>
      <c r="D82" s="89" t="n"/>
      <c r="E82" s="122" t="n"/>
      <c r="G82" s="17" t="n"/>
      <c r="H82" s="17" t="n"/>
      <c r="J82" s="120" t="n"/>
      <c r="K82" s="117" t="n"/>
      <c r="L82" t="b">
        <v>0</v>
      </c>
      <c r="M82" s="124" t="n"/>
    </row>
    <row r="83" ht="12.75" customHeight="1">
      <c r="C83" s="2" t="n"/>
      <c r="D83" s="89" t="n"/>
      <c r="E83" s="122" t="n"/>
      <c r="G83" s="17" t="n"/>
      <c r="H83" s="17" t="n"/>
      <c r="J83" s="120" t="n"/>
      <c r="K83" s="117" t="n"/>
      <c r="L83" t="b">
        <v>0</v>
      </c>
      <c r="M83" s="127" t="n"/>
    </row>
    <row r="84" ht="12" customHeight="1">
      <c r="C84" s="2" t="n"/>
      <c r="D84" s="89" t="n"/>
      <c r="E84" s="122" t="n"/>
      <c r="J84" s="120" t="n"/>
      <c r="K84" s="117" t="n"/>
      <c r="L84" t="b">
        <v>0</v>
      </c>
      <c r="M84" s="125" t="n"/>
    </row>
    <row r="85" ht="12" customHeight="1">
      <c r="C85" s="2" t="n"/>
      <c r="D85" s="89" t="n"/>
      <c r="E85" s="122" t="n"/>
      <c r="J85" s="120" t="n"/>
      <c r="K85" s="117" t="n"/>
      <c r="L85" t="b">
        <v>0</v>
      </c>
      <c r="M85" s="125" t="n"/>
    </row>
    <row r="86" ht="12" customHeight="1">
      <c r="C86" s="2" t="n"/>
      <c r="D86" s="89" t="n"/>
      <c r="E86" s="122" t="n"/>
      <c r="J86" s="120" t="n"/>
      <c r="K86" s="117" t="n"/>
      <c r="L86" t="b">
        <v>0</v>
      </c>
      <c r="M86" s="128" t="n"/>
    </row>
    <row r="87" ht="12" customHeight="1">
      <c r="C87" s="2" t="n"/>
      <c r="D87" s="89" t="n"/>
      <c r="E87" s="122" t="n"/>
      <c r="J87" s="120" t="n"/>
      <c r="K87" s="117" t="n"/>
      <c r="L87" t="b">
        <v>0</v>
      </c>
      <c r="M87" s="126" t="n"/>
    </row>
    <row r="88" ht="12" customHeight="1">
      <c r="C88" s="2" t="n"/>
      <c r="D88" s="89" t="n"/>
      <c r="E88" s="122" t="n"/>
      <c r="J88" s="120" t="n"/>
      <c r="K88" s="117" t="n"/>
      <c r="L88" t="b">
        <v>0</v>
      </c>
      <c r="M88" s="126" t="n"/>
    </row>
    <row r="89" ht="12" customHeight="1">
      <c r="C89" s="2" t="n"/>
      <c r="D89" s="89" t="n"/>
      <c r="E89" s="122" t="n"/>
      <c r="J89" s="120" t="n"/>
      <c r="K89" s="117" t="n"/>
      <c r="M89" s="126" t="n"/>
    </row>
    <row r="90" ht="12" customHeight="1">
      <c r="C90" s="2" t="n"/>
      <c r="D90" s="89" t="n"/>
      <c r="E90" s="122" t="n"/>
      <c r="J90" s="120" t="n"/>
      <c r="K90" s="117" t="n"/>
      <c r="M90" s="107" t="n"/>
    </row>
    <row r="91" ht="12" customHeight="1">
      <c r="C91" s="2" t="n"/>
      <c r="D91" s="89" t="n"/>
      <c r="E91" s="122" t="n"/>
      <c r="J91" s="120" t="n"/>
      <c r="K91" s="117" t="n"/>
      <c r="M91" s="124" t="n"/>
    </row>
    <row r="92" ht="12" customHeight="1">
      <c r="C92" s="2" t="n"/>
      <c r="D92" s="89" t="n"/>
      <c r="E92" s="122" t="n"/>
      <c r="J92" s="120" t="n"/>
      <c r="K92" s="117" t="n"/>
      <c r="M92" s="124" t="n"/>
    </row>
    <row r="93" ht="12" customHeight="1">
      <c r="A93" s="487" t="inlineStr">
        <is>
          <t>A</t>
        </is>
      </c>
      <c r="B93" s="89" t="inlineStr">
        <is>
          <t>Good</t>
        </is>
      </c>
      <c r="C93" s="2" t="n"/>
      <c r="D93" s="89" t="n"/>
      <c r="E93" s="122" t="n"/>
      <c r="J93" s="120" t="n"/>
      <c r="K93" s="117" t="n"/>
      <c r="M93" s="124" t="n"/>
    </row>
    <row r="94" ht="12" customHeight="1">
      <c r="A94" s="487" t="inlineStr">
        <is>
          <t>A-</t>
        </is>
      </c>
      <c r="B94" s="89" t="inlineStr">
        <is>
          <t>Good</t>
        </is>
      </c>
      <c r="C94" s="2" t="n"/>
      <c r="D94" s="89" t="n"/>
      <c r="E94" s="122" t="n"/>
      <c r="J94" s="120" t="n"/>
      <c r="K94" s="117" t="n"/>
      <c r="M94" s="126" t="n"/>
    </row>
    <row r="95" ht="12" customHeight="1">
      <c r="A95" s="487" t="inlineStr">
        <is>
          <t>A+</t>
        </is>
      </c>
      <c r="B95" s="89" t="inlineStr">
        <is>
          <t>Good</t>
        </is>
      </c>
      <c r="D95" s="89" t="n"/>
      <c r="E95" s="122" t="n"/>
      <c r="J95" s="129" t="n"/>
      <c r="K95" s="129" t="n"/>
      <c r="M95" s="124" t="n"/>
    </row>
    <row r="96" ht="12" customHeight="1">
      <c r="A96" s="487" t="inlineStr">
        <is>
          <t>B</t>
        </is>
      </c>
      <c r="B96" s="89" t="inlineStr">
        <is>
          <t>Above Average</t>
        </is>
      </c>
      <c r="D96" s="89" t="n"/>
      <c r="E96" s="122" t="n"/>
      <c r="J96" s="129" t="n"/>
      <c r="K96" s="129" t="n"/>
      <c r="M96" s="124" t="n"/>
    </row>
    <row r="97" ht="12" customHeight="1">
      <c r="A97" s="487" t="inlineStr">
        <is>
          <t>B-</t>
        </is>
      </c>
      <c r="B97" s="89" t="inlineStr">
        <is>
          <t>Above Average</t>
        </is>
      </c>
      <c r="D97" s="89" t="n"/>
      <c r="E97" s="122" t="n"/>
      <c r="J97" s="129" t="n"/>
      <c r="K97" s="129" t="n"/>
      <c r="M97" s="124" t="n"/>
    </row>
    <row r="98" ht="12" customHeight="1">
      <c r="A98" s="487" t="inlineStr">
        <is>
          <t>B+</t>
        </is>
      </c>
      <c r="B98" s="89" t="inlineStr">
        <is>
          <t>Above Average</t>
        </is>
      </c>
      <c r="D98" s="89" t="n"/>
      <c r="E98" s="122" t="n"/>
      <c r="J98" s="129" t="n"/>
      <c r="K98" s="129" t="n"/>
      <c r="M98" s="119" t="n"/>
    </row>
    <row r="99" ht="12" customHeight="1">
      <c r="A99" s="265" t="inlineStr">
        <is>
          <t>C</t>
        </is>
      </c>
      <c r="B99" s="89" t="inlineStr">
        <is>
          <t>Average</t>
        </is>
      </c>
      <c r="D99" s="89" t="n"/>
      <c r="E99" s="122" t="n"/>
      <c r="J99" s="129" t="n"/>
      <c r="K99" s="129" t="n"/>
      <c r="M99" s="119" t="n"/>
    </row>
    <row r="100" ht="12" customHeight="1">
      <c r="A100" s="265" t="inlineStr">
        <is>
          <t>C-</t>
        </is>
      </c>
      <c r="B100" s="89" t="inlineStr">
        <is>
          <t>Average</t>
        </is>
      </c>
      <c r="D100" s="89" t="n"/>
      <c r="E100" s="122" t="n"/>
      <c r="J100" s="120" t="n"/>
      <c r="K100" s="120" t="n"/>
      <c r="M100" s="119" t="n"/>
    </row>
    <row r="101" ht="12" customHeight="1">
      <c r="A101" s="265" t="inlineStr">
        <is>
          <t>C+</t>
        </is>
      </c>
      <c r="B101" s="89" t="inlineStr">
        <is>
          <t>Average</t>
        </is>
      </c>
      <c r="D101" s="89" t="n"/>
      <c r="E101" s="122" t="n"/>
      <c r="J101" s="129" t="n"/>
      <c r="K101" s="129" t="n"/>
      <c r="M101" s="119" t="n"/>
    </row>
    <row r="102" ht="12" customHeight="1">
      <c r="A102" s="487" t="inlineStr">
        <is>
          <t>X</t>
        </is>
      </c>
      <c r="B102" s="89" t="inlineStr">
        <is>
          <t>Excellent</t>
        </is>
      </c>
      <c r="D102" s="89" t="n"/>
      <c r="E102" s="122" t="n"/>
      <c r="J102" s="129" t="n"/>
      <c r="K102" s="129" t="n"/>
      <c r="M102" s="120" t="n"/>
    </row>
    <row r="103" ht="12" customHeight="1">
      <c r="A103" s="487" t="inlineStr">
        <is>
          <t>X-</t>
        </is>
      </c>
      <c r="B103" s="89" t="inlineStr">
        <is>
          <t>Excellent</t>
        </is>
      </c>
      <c r="D103" s="89" t="n"/>
      <c r="E103" s="122" t="n"/>
      <c r="J103" s="129" t="n"/>
      <c r="K103" s="129" t="n"/>
      <c r="M103" s="120" t="n"/>
    </row>
    <row r="104" ht="12" customHeight="1">
      <c r="A104" s="487" t="inlineStr">
        <is>
          <t>X+</t>
        </is>
      </c>
      <c r="B104" s="89" t="inlineStr">
        <is>
          <t>Excellent</t>
        </is>
      </c>
      <c r="J104" s="120" t="n"/>
      <c r="K104" s="120" t="n"/>
      <c r="M104" s="120" t="n"/>
    </row>
    <row r="105" ht="12" customHeight="1">
      <c r="J105" s="129" t="n"/>
      <c r="K105" s="129" t="n"/>
      <c r="M105" s="120" t="n"/>
    </row>
    <row r="106" ht="12" customHeight="1">
      <c r="M106" s="120" t="n"/>
    </row>
    <row r="107" ht="12" customHeight="1">
      <c r="M107" s="120" t="n"/>
    </row>
    <row r="108" ht="12.75" customHeight="1">
      <c r="A108" s="266" t="n"/>
      <c r="B108" s="3" t="n"/>
      <c r="M108" s="120" t="n"/>
    </row>
    <row r="109" ht="12" customHeight="1">
      <c r="M109" s="120" t="n"/>
    </row>
    <row r="110" ht="12" customHeight="1">
      <c r="M110" s="120" t="n"/>
    </row>
    <row r="111" ht="12" customHeight="1">
      <c r="M111" s="120" t="n"/>
    </row>
    <row r="112" ht="12" customHeight="1">
      <c r="M112" s="120" t="n"/>
    </row>
    <row r="113" ht="12" customHeight="1">
      <c r="M113" s="120" t="n"/>
    </row>
    <row r="114" ht="12" customHeight="1">
      <c r="M114" s="120" t="n"/>
    </row>
    <row r="115" ht="12" customHeight="1">
      <c r="M115" s="120" t="n"/>
    </row>
    <row r="116" ht="12" customHeight="1">
      <c r="M116" s="120" t="n"/>
    </row>
    <row r="117" ht="12" customHeight="1">
      <c r="M117" s="120" t="n"/>
    </row>
    <row r="118" ht="12" customHeight="1">
      <c r="M118" s="120" t="n"/>
    </row>
    <row r="119" ht="12" customHeight="1">
      <c r="M119" s="120" t="n"/>
    </row>
    <row r="120" ht="12" customHeight="1">
      <c r="M120" s="120" t="n"/>
    </row>
    <row r="121" ht="12" customHeight="1">
      <c r="M121" s="120" t="n"/>
    </row>
    <row r="122" ht="12" customHeight="1">
      <c r="M122" s="120" t="n"/>
    </row>
    <row r="123" ht="12" customHeight="1">
      <c r="M123" s="120" t="n"/>
    </row>
    <row r="124" ht="12" customHeight="1">
      <c r="M124" s="120" t="n"/>
    </row>
    <row r="125" ht="12" customHeight="1">
      <c r="M125" s="120" t="n"/>
    </row>
    <row r="126" ht="12" customHeight="1">
      <c r="M126" s="120" t="n"/>
    </row>
    <row r="127" ht="12" customHeight="1">
      <c r="M127" s="120" t="n"/>
    </row>
    <row r="128" ht="12" customHeight="1">
      <c r="M128" s="120" t="n"/>
    </row>
    <row r="129" ht="12" customHeight="1">
      <c r="M129" s="120" t="n"/>
    </row>
    <row r="130" ht="12" customHeight="1">
      <c r="M130" s="120" t="n"/>
    </row>
    <row r="131" ht="12" customHeight="1">
      <c r="M131" s="120" t="n"/>
    </row>
    <row r="132" ht="12.75" customHeight="1">
      <c r="A132" s="266" t="n"/>
      <c r="B132" s="3" t="n"/>
      <c r="M132" s="120" t="n"/>
    </row>
    <row r="133" ht="12.75" customHeight="1">
      <c r="A133" s="266" t="n"/>
      <c r="B133" s="3" t="n"/>
      <c r="M133" s="120" t="n"/>
    </row>
    <row r="134" ht="12.75" customHeight="1">
      <c r="A134" s="266" t="n"/>
      <c r="B134" s="3" t="n"/>
      <c r="M134" s="119" t="n"/>
    </row>
    <row r="135" ht="12.75" customHeight="1">
      <c r="A135" s="266" t="n"/>
      <c r="B135" s="3" t="n"/>
      <c r="M135" s="119" t="n"/>
    </row>
    <row r="136" ht="12.75" customHeight="1">
      <c r="A136" s="266" t="n"/>
      <c r="B136" s="3" t="n"/>
      <c r="M136" s="119" t="n"/>
    </row>
    <row r="137" ht="12.75" customHeight="1">
      <c r="A137" s="266" t="n"/>
      <c r="B137" s="3" t="n"/>
      <c r="M137" s="119" t="n"/>
    </row>
    <row r="138" ht="12.75" customHeight="1">
      <c r="A138" s="266" t="n"/>
      <c r="B138" s="3" t="n"/>
      <c r="M138" s="119" t="n"/>
    </row>
    <row r="139" ht="12" customHeight="1">
      <c r="M139" s="119" t="n"/>
    </row>
    <row r="140" ht="12" customHeight="1">
      <c r="M140" s="119" t="n"/>
    </row>
    <row r="141" ht="12" customHeight="1">
      <c r="M141" s="119" t="n"/>
    </row>
    <row r="142" ht="12" customHeight="1">
      <c r="M142" s="119" t="n"/>
    </row>
    <row r="143" ht="12" customHeight="1">
      <c r="M143" s="119" t="n"/>
    </row>
    <row r="144" ht="12" customHeight="1">
      <c r="M144" s="119" t="n"/>
    </row>
    <row r="145" ht="12" customHeight="1">
      <c r="M145" s="119" t="n"/>
    </row>
    <row r="146" ht="12" customHeight="1">
      <c r="M146" s="119" t="n"/>
    </row>
    <row r="147" ht="12" customHeight="1">
      <c r="M147" s="119" t="n"/>
    </row>
    <row r="148" ht="12" customHeight="1">
      <c r="M148" s="119" t="n"/>
    </row>
    <row r="149" ht="12" customHeight="1">
      <c r="M149" s="119" t="n"/>
    </row>
    <row r="150" ht="12" customHeight="1">
      <c r="M150" s="119" t="n"/>
    </row>
    <row r="151" ht="12" customHeight="1">
      <c r="M151" s="119" t="n"/>
    </row>
    <row r="152" ht="12" customHeight="1">
      <c r="M152" s="119" t="n"/>
    </row>
    <row r="153" ht="12" customHeight="1">
      <c r="M153" s="119" t="n"/>
    </row>
    <row r="154" ht="12" customHeight="1">
      <c r="M154" s="119" t="n"/>
    </row>
    <row r="155" ht="12" customHeight="1">
      <c r="M155" s="119" t="n"/>
    </row>
    <row r="156" ht="12" customHeight="1">
      <c r="M156" s="119" t="n"/>
    </row>
    <row r="157" ht="12" customHeight="1">
      <c r="M157" s="119" t="n"/>
    </row>
    <row r="158" ht="12" customHeight="1">
      <c r="M158" s="119" t="n"/>
    </row>
  </sheetData>
  <pageMargins left="0.75" right="0.75" top="1" bottom="1" header="0.5" footer="0.5"/>
  <pageSetup orientation="portrait" horizontalDpi="300" verticalDpi="300"/>
</worksheet>
</file>

<file path=xl/worksheets/sheet13.xml><?xml version="1.0" encoding="utf-8"?>
<worksheet xmlns="http://schemas.openxmlformats.org/spreadsheetml/2006/main">
  <sheetPr>
    <tabColor rgb="007030A0"/>
    <outlinePr summaryBelow="1" summaryRight="1"/>
    <pageSetUpPr/>
  </sheetPr>
  <dimension ref="B1:E199"/>
  <sheetViews>
    <sheetView workbookViewId="0">
      <pane xSplit="1" ySplit="5" topLeftCell="B6" activePane="bottomRight" state="frozen"/>
      <selection pane="topRight" activeCell="A1" sqref="A1"/>
      <selection pane="bottomLeft" activeCell="A1" sqref="A1"/>
      <selection pane="bottomRight" activeCell="A1" sqref="A1"/>
    </sheetView>
  </sheetViews>
  <sheetFormatPr baseColWidth="8" defaultRowHeight="15"/>
  <cols>
    <col width="2" customWidth="1" min="1" max="1"/>
    <col width="12" customWidth="1" min="2" max="2"/>
    <col width="12" customWidth="1" min="3" max="3"/>
    <col width="22" customWidth="1" min="4" max="4"/>
    <col width="45" customWidth="1" min="5" max="5"/>
  </cols>
  <sheetData>
    <row r="1">
      <c r="B1" s="597" t="inlineStr">
        <is>
          <t>COUNTY OCCUPANCY CODE (OCC) REFERENCE TABLE</t>
        </is>
      </c>
    </row>
    <row r="2">
      <c r="B2" s="688"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c r="B3" s="688"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c r="B5" s="689" t="inlineStr">
        <is>
          <t>OCC Code</t>
        </is>
      </c>
      <c r="C5" s="689" t="inlineStr">
        <is>
          <t>Acct Type</t>
        </is>
      </c>
      <c r="D5" s="689" t="inlineStr">
        <is>
          <t>Account Total (source report)</t>
        </is>
      </c>
      <c r="E5" s="689" t="inlineStr">
        <is>
          <t>Occupancy Description</t>
        </is>
      </c>
    </row>
    <row r="6">
      <c r="B6" t="n">
        <v>26</v>
      </c>
      <c r="C6" t="inlineStr">
        <is>
          <t>Commercial</t>
        </is>
      </c>
      <c r="D6" t="n">
        <v>1</v>
      </c>
      <c r="E6" t="inlineStr">
        <is>
          <t>Studio Loft</t>
        </is>
      </c>
    </row>
    <row r="7">
      <c r="B7" t="n">
        <v>90</v>
      </c>
      <c r="C7" t="inlineStr">
        <is>
          <t>Commercial</t>
        </is>
      </c>
      <c r="D7" t="n">
        <v>2</v>
      </c>
      <c r="E7" t="inlineStr">
        <is>
          <t>Residential Out Structure</t>
        </is>
      </c>
    </row>
    <row r="8">
      <c r="B8" t="n">
        <v>99</v>
      </c>
      <c r="C8" t="inlineStr">
        <is>
          <t>Commercial</t>
        </is>
      </c>
      <c r="D8" t="n">
        <v>6</v>
      </c>
      <c r="E8" t="inlineStr">
        <is>
          <t>Detached Garage</t>
        </is>
      </c>
    </row>
    <row r="9">
      <c r="B9" t="n">
        <v>100</v>
      </c>
      <c r="C9" t="inlineStr">
        <is>
          <t>Commercial</t>
        </is>
      </c>
      <c r="D9" t="n">
        <v>75</v>
      </c>
      <c r="E9" t="inlineStr">
        <is>
          <t>Single Family Residential</t>
        </is>
      </c>
    </row>
    <row r="10">
      <c r="B10" t="n">
        <v>100</v>
      </c>
      <c r="C10" t="inlineStr">
        <is>
          <t>Industrial</t>
        </is>
      </c>
      <c r="D10" t="n">
        <v>2</v>
      </c>
      <c r="E10" t="inlineStr">
        <is>
          <t>Single Family Residential</t>
        </is>
      </c>
    </row>
    <row r="11">
      <c r="B11" t="n">
        <v>101</v>
      </c>
      <c r="C11" t="inlineStr">
        <is>
          <t>Commercial</t>
        </is>
      </c>
      <c r="D11" t="n">
        <v>2</v>
      </c>
      <c r="E11" t="inlineStr">
        <is>
          <t>Ag Single Family Residential-not integral</t>
        </is>
      </c>
    </row>
    <row r="12">
      <c r="B12" t="n">
        <v>102</v>
      </c>
      <c r="C12" t="inlineStr">
        <is>
          <t>Commercial</t>
        </is>
      </c>
      <c r="D12" t="n">
        <v>1</v>
      </c>
      <c r="E12" t="inlineStr">
        <is>
          <t>Duplex</t>
        </is>
      </c>
    </row>
    <row r="13">
      <c r="B13" t="n">
        <v>105</v>
      </c>
      <c r="C13" t="inlineStr">
        <is>
          <t>Commercial</t>
        </is>
      </c>
      <c r="D13" t="n">
        <v>6</v>
      </c>
      <c r="E13" t="inlineStr">
        <is>
          <t>Attached Single Family Residential</t>
        </is>
      </c>
    </row>
    <row r="14">
      <c r="B14" t="n">
        <v>116</v>
      </c>
      <c r="C14" t="inlineStr">
        <is>
          <t>Commercial</t>
        </is>
      </c>
      <c r="D14" t="n">
        <v>3</v>
      </c>
      <c r="E14" t="inlineStr">
        <is>
          <t>Apartment w/4-8 Units</t>
        </is>
      </c>
    </row>
    <row r="15">
      <c r="B15" t="n">
        <v>118</v>
      </c>
      <c r="C15" t="inlineStr">
        <is>
          <t>Commercial</t>
        </is>
      </c>
      <c r="D15" t="n">
        <v>12</v>
      </c>
      <c r="E15" t="inlineStr">
        <is>
          <t>Apartment w/9 + Units</t>
        </is>
      </c>
    </row>
    <row r="16">
      <c r="B16" t="n">
        <v>140</v>
      </c>
      <c r="C16" t="inlineStr">
        <is>
          <t>Commercial</t>
        </is>
      </c>
      <c r="D16" t="n">
        <v>66</v>
      </c>
      <c r="E16" t="inlineStr">
        <is>
          <t>Parking Lot</t>
        </is>
      </c>
    </row>
    <row r="17">
      <c r="B17" t="n">
        <v>140</v>
      </c>
      <c r="C17" t="inlineStr">
        <is>
          <t>Industrial</t>
        </is>
      </c>
      <c r="D17" t="n">
        <v>1</v>
      </c>
      <c r="E17" t="inlineStr">
        <is>
          <t>Parking Lot</t>
        </is>
      </c>
    </row>
    <row r="18">
      <c r="B18" t="n">
        <v>186</v>
      </c>
      <c r="C18" t="inlineStr">
        <is>
          <t>Industrial</t>
        </is>
      </c>
      <c r="D18" t="n">
        <v>2</v>
      </c>
      <c r="E18" t="inlineStr">
        <is>
          <t>Light Commercial - Manufacturing Utility Bldg</t>
        </is>
      </c>
    </row>
    <row r="19">
      <c r="B19" t="n">
        <v>204</v>
      </c>
      <c r="C19" t="inlineStr">
        <is>
          <t>Commercial</t>
        </is>
      </c>
      <c r="D19" t="n">
        <v>1</v>
      </c>
      <c r="E19" t="inlineStr">
        <is>
          <t>Computer Centers</t>
        </is>
      </c>
    </row>
    <row r="20">
      <c r="B20" t="n">
        <v>207</v>
      </c>
      <c r="C20" t="inlineStr">
        <is>
          <t>Commercial</t>
        </is>
      </c>
      <c r="D20" t="n">
        <v>1</v>
      </c>
      <c r="E20" t="inlineStr">
        <is>
          <t>Firing Range Buildings</t>
        </is>
      </c>
    </row>
    <row r="21">
      <c r="B21" t="n">
        <v>208</v>
      </c>
      <c r="C21" t="inlineStr">
        <is>
          <t>Commercial</t>
        </is>
      </c>
      <c r="D21" t="n">
        <v>14</v>
      </c>
      <c r="E21" t="inlineStr">
        <is>
          <t>Golf Course *CODE</t>
        </is>
      </c>
    </row>
    <row r="22">
      <c r="B22" t="n">
        <v>209</v>
      </c>
      <c r="C22" t="inlineStr">
        <is>
          <t>Commercial</t>
        </is>
      </c>
      <c r="D22" t="n">
        <v>2</v>
      </c>
      <c r="E22" t="inlineStr">
        <is>
          <t>Nursery/Greenhouse</t>
        </is>
      </c>
    </row>
    <row r="23">
      <c r="B23" t="n">
        <v>210</v>
      </c>
      <c r="C23" t="inlineStr">
        <is>
          <t>Commercial</t>
        </is>
      </c>
      <c r="D23" t="n">
        <v>35</v>
      </c>
      <c r="E23" t="inlineStr">
        <is>
          <t>Industrial Flex Mall Building</t>
        </is>
      </c>
    </row>
    <row r="24">
      <c r="B24" t="n">
        <v>210</v>
      </c>
      <c r="C24" t="inlineStr">
        <is>
          <t>Industrial</t>
        </is>
      </c>
      <c r="D24" t="n">
        <v>14</v>
      </c>
      <c r="E24" t="inlineStr">
        <is>
          <t>Industrial Flex Mall Building</t>
        </is>
      </c>
    </row>
    <row r="25">
      <c r="B25" t="n">
        <v>211</v>
      </c>
      <c r="C25" t="inlineStr">
        <is>
          <t>Industrial</t>
        </is>
      </c>
      <c r="D25" t="n">
        <v>2</v>
      </c>
      <c r="E25" t="inlineStr">
        <is>
          <t>Industiral Interior Office Space</t>
        </is>
      </c>
    </row>
    <row r="26">
      <c r="B26" t="n">
        <v>212</v>
      </c>
      <c r="C26" t="inlineStr">
        <is>
          <t>Industrial</t>
        </is>
      </c>
      <c r="D26" t="n">
        <v>2</v>
      </c>
      <c r="E26" t="inlineStr">
        <is>
          <t>Laboratories</t>
        </is>
      </c>
    </row>
    <row r="27">
      <c r="B27" t="n">
        <v>213</v>
      </c>
      <c r="C27" t="inlineStr">
        <is>
          <t>Commercial</t>
        </is>
      </c>
      <c r="D27" t="n">
        <v>1</v>
      </c>
      <c r="E27" t="inlineStr">
        <is>
          <t>Light Industrial Shell Buildings</t>
        </is>
      </c>
    </row>
    <row r="28">
      <c r="B28" t="n">
        <v>213</v>
      </c>
      <c r="C28" t="inlineStr">
        <is>
          <t>Industrial</t>
        </is>
      </c>
      <c r="D28" t="n">
        <v>2</v>
      </c>
      <c r="E28" t="inlineStr">
        <is>
          <t>Light Industrial Shell Buildings</t>
        </is>
      </c>
    </row>
    <row r="29">
      <c r="B29" t="n">
        <v>217</v>
      </c>
      <c r="C29" t="inlineStr">
        <is>
          <t>Commercial</t>
        </is>
      </c>
      <c r="D29" t="n">
        <v>1</v>
      </c>
      <c r="E29" t="inlineStr">
        <is>
          <t>Miscellaneous OB</t>
        </is>
      </c>
    </row>
    <row r="30">
      <c r="B30" t="n">
        <v>220</v>
      </c>
      <c r="C30" t="inlineStr">
        <is>
          <t>Commercial</t>
        </is>
      </c>
      <c r="D30" t="n">
        <v>1</v>
      </c>
      <c r="E30" t="inlineStr">
        <is>
          <t>Recreational Pool Enclosure</t>
        </is>
      </c>
    </row>
    <row r="31">
      <c r="B31" t="n">
        <v>227</v>
      </c>
      <c r="C31" t="inlineStr">
        <is>
          <t>Commercial</t>
        </is>
      </c>
      <c r="D31" t="n">
        <v>20</v>
      </c>
      <c r="E31" t="inlineStr">
        <is>
          <t>Complete Auto Dealership</t>
        </is>
      </c>
    </row>
    <row r="32">
      <c r="B32" t="n">
        <v>228</v>
      </c>
      <c r="C32" t="inlineStr">
        <is>
          <t>Commercial</t>
        </is>
      </c>
      <c r="D32" t="n">
        <v>3</v>
      </c>
      <c r="E32" t="inlineStr">
        <is>
          <t>Kennel</t>
        </is>
      </c>
    </row>
    <row r="33">
      <c r="B33" t="n">
        <v>228</v>
      </c>
      <c r="C33" t="inlineStr">
        <is>
          <t>Industrial</t>
        </is>
      </c>
      <c r="D33" t="n">
        <v>1</v>
      </c>
      <c r="E33" t="inlineStr">
        <is>
          <t>Kennel</t>
        </is>
      </c>
    </row>
    <row r="34">
      <c r="B34" t="n">
        <v>300</v>
      </c>
      <c r="C34" t="inlineStr">
        <is>
          <t>Commercial</t>
        </is>
      </c>
      <c r="D34" t="n">
        <v>1</v>
      </c>
      <c r="E34" t="inlineStr">
        <is>
          <t>Apartments (Hi-Rise)</t>
        </is>
      </c>
    </row>
    <row r="35">
      <c r="B35" t="n">
        <v>302</v>
      </c>
      <c r="C35" t="inlineStr">
        <is>
          <t>Commercial</t>
        </is>
      </c>
      <c r="D35" t="n">
        <v>2</v>
      </c>
      <c r="E35" t="inlineStr">
        <is>
          <t>Auditorium</t>
        </is>
      </c>
    </row>
    <row r="36">
      <c r="B36" t="n">
        <v>303</v>
      </c>
      <c r="C36" t="inlineStr">
        <is>
          <t>Commercial</t>
        </is>
      </c>
      <c r="D36" t="n">
        <v>11</v>
      </c>
      <c r="E36" t="inlineStr">
        <is>
          <t>Showroom</t>
        </is>
      </c>
    </row>
    <row r="37">
      <c r="B37" t="n">
        <v>304</v>
      </c>
      <c r="C37" t="inlineStr">
        <is>
          <t>Commercial</t>
        </is>
      </c>
      <c r="D37" t="n">
        <v>89</v>
      </c>
      <c r="E37" t="inlineStr">
        <is>
          <t>Bank</t>
        </is>
      </c>
    </row>
    <row r="38">
      <c r="B38" t="n">
        <v>305</v>
      </c>
      <c r="C38" t="inlineStr">
        <is>
          <t>Commercial</t>
        </is>
      </c>
      <c r="D38" t="n">
        <v>1</v>
      </c>
      <c r="E38" t="inlineStr">
        <is>
          <t>Drive-up Mini Banks</t>
        </is>
      </c>
    </row>
    <row r="39">
      <c r="B39" t="n">
        <v>306</v>
      </c>
      <c r="C39" t="inlineStr">
        <is>
          <t>Commercial</t>
        </is>
      </c>
      <c r="D39" t="n">
        <v>6</v>
      </c>
      <c r="E39" t="inlineStr">
        <is>
          <t>Bowling Alley</t>
        </is>
      </c>
    </row>
    <row r="40">
      <c r="B40" t="n">
        <v>309</v>
      </c>
      <c r="C40" t="inlineStr">
        <is>
          <t>Commercial</t>
        </is>
      </c>
      <c r="D40" t="n">
        <v>18</v>
      </c>
      <c r="E40" t="inlineStr">
        <is>
          <t>Church</t>
        </is>
      </c>
    </row>
    <row r="41">
      <c r="B41" t="n">
        <v>310</v>
      </c>
      <c r="C41" t="inlineStr">
        <is>
          <t>Commercial</t>
        </is>
      </c>
      <c r="D41" t="n">
        <v>1</v>
      </c>
      <c r="E41" t="inlineStr">
        <is>
          <t>City Club</t>
        </is>
      </c>
    </row>
    <row r="42">
      <c r="B42" t="n">
        <v>311</v>
      </c>
      <c r="C42" t="inlineStr">
        <is>
          <t>Commercial</t>
        </is>
      </c>
      <c r="D42" t="n">
        <v>5</v>
      </c>
      <c r="E42" t="inlineStr">
        <is>
          <t>Clubhouse</t>
        </is>
      </c>
    </row>
    <row r="43">
      <c r="B43" t="n">
        <v>313</v>
      </c>
      <c r="C43" t="inlineStr">
        <is>
          <t>Commercial</t>
        </is>
      </c>
      <c r="D43" t="n">
        <v>1</v>
      </c>
      <c r="E43" t="inlineStr">
        <is>
          <t>Convlsnt Hosp Nursing Home</t>
        </is>
      </c>
    </row>
    <row r="44">
      <c r="B44" t="n">
        <v>314</v>
      </c>
      <c r="C44" t="inlineStr">
        <is>
          <t>Commercial</t>
        </is>
      </c>
      <c r="D44" t="n">
        <v>1</v>
      </c>
      <c r="E44" t="inlineStr">
        <is>
          <t>Country Club</t>
        </is>
      </c>
    </row>
    <row r="45">
      <c r="B45" t="n">
        <v>318</v>
      </c>
      <c r="C45" t="inlineStr">
        <is>
          <t>Commercial</t>
        </is>
      </c>
      <c r="D45" t="n">
        <v>3</v>
      </c>
      <c r="E45" t="inlineStr">
        <is>
          <t>Department Store</t>
        </is>
      </c>
    </row>
    <row r="46">
      <c r="B46" t="n">
        <v>319</v>
      </c>
      <c r="C46" t="inlineStr">
        <is>
          <t>Commercial</t>
        </is>
      </c>
      <c r="D46" t="n">
        <v>47</v>
      </c>
      <c r="E46" t="inlineStr">
        <is>
          <t>Discount Store</t>
        </is>
      </c>
    </row>
    <row r="47">
      <c r="B47" t="n">
        <v>320</v>
      </c>
      <c r="C47" t="inlineStr">
        <is>
          <t>Commercial</t>
        </is>
      </c>
      <c r="D47" t="n">
        <v>3</v>
      </c>
      <c r="E47" t="inlineStr">
        <is>
          <t>Dispensary</t>
        </is>
      </c>
    </row>
    <row r="48">
      <c r="B48" t="n">
        <v>320</v>
      </c>
      <c r="C48" t="inlineStr">
        <is>
          <t>Industrial</t>
        </is>
      </c>
      <c r="D48" t="n">
        <v>1</v>
      </c>
      <c r="E48" t="inlineStr">
        <is>
          <t>Dispensary</t>
        </is>
      </c>
    </row>
    <row r="49">
      <c r="B49" t="n">
        <v>321</v>
      </c>
      <c r="C49" t="inlineStr">
        <is>
          <t>Commercial</t>
        </is>
      </c>
      <c r="D49" t="n">
        <v>1</v>
      </c>
      <c r="E49" t="inlineStr">
        <is>
          <t>Dormitory Residence Halls</t>
        </is>
      </c>
    </row>
    <row r="50">
      <c r="B50" t="n">
        <v>323</v>
      </c>
      <c r="C50" t="inlineStr">
        <is>
          <t>Commercial</t>
        </is>
      </c>
      <c r="D50" t="n">
        <v>5</v>
      </c>
      <c r="E50" t="inlineStr">
        <is>
          <t>Fraternal Building</t>
        </is>
      </c>
    </row>
    <row r="51">
      <c r="B51" t="n">
        <v>325</v>
      </c>
      <c r="C51" t="inlineStr">
        <is>
          <t>Commercial</t>
        </is>
      </c>
      <c r="D51" t="n">
        <v>573</v>
      </c>
      <c r="E51" t="inlineStr">
        <is>
          <t>Service Garage</t>
        </is>
      </c>
    </row>
    <row r="52">
      <c r="B52" t="n">
        <v>325</v>
      </c>
      <c r="C52" t="inlineStr">
        <is>
          <t>Industrial</t>
        </is>
      </c>
      <c r="D52" t="n">
        <v>38</v>
      </c>
      <c r="E52" t="inlineStr">
        <is>
          <t>Service Garage</t>
        </is>
      </c>
    </row>
    <row r="53">
      <c r="B53" t="n">
        <v>326</v>
      </c>
      <c r="C53" t="inlineStr">
        <is>
          <t>Commercial</t>
        </is>
      </c>
      <c r="D53" t="n">
        <v>28</v>
      </c>
      <c r="E53" t="inlineStr">
        <is>
          <t>Storage Garage</t>
        </is>
      </c>
    </row>
    <row r="54">
      <c r="B54" t="n">
        <v>326</v>
      </c>
      <c r="C54" t="inlineStr">
        <is>
          <t>Industrial</t>
        </is>
      </c>
      <c r="D54" t="n">
        <v>4</v>
      </c>
      <c r="E54" t="inlineStr">
        <is>
          <t>Storage Garage</t>
        </is>
      </c>
    </row>
    <row r="55">
      <c r="B55" t="n">
        <v>328</v>
      </c>
      <c r="C55" t="inlineStr">
        <is>
          <t>Commercial</t>
        </is>
      </c>
      <c r="D55" t="n">
        <v>163</v>
      </c>
      <c r="E55" t="inlineStr">
        <is>
          <t>Storage Hanger</t>
        </is>
      </c>
    </row>
    <row r="56">
      <c r="B56" t="n">
        <v>331</v>
      </c>
      <c r="C56" t="inlineStr">
        <is>
          <t>Commercial</t>
        </is>
      </c>
      <c r="D56" t="n">
        <v>4</v>
      </c>
      <c r="E56" t="inlineStr">
        <is>
          <t>Hospital</t>
        </is>
      </c>
    </row>
    <row r="57">
      <c r="B57" t="n">
        <v>332</v>
      </c>
      <c r="C57" t="inlineStr">
        <is>
          <t>Commercial</t>
        </is>
      </c>
      <c r="D57" t="n">
        <v>13</v>
      </c>
      <c r="E57" t="inlineStr">
        <is>
          <t>Hotel - Full Service</t>
        </is>
      </c>
    </row>
    <row r="58">
      <c r="B58" t="n">
        <v>333</v>
      </c>
      <c r="C58" t="inlineStr">
        <is>
          <t>Commercial</t>
        </is>
      </c>
      <c r="D58" t="n">
        <v>2</v>
      </c>
      <c r="E58" t="inlineStr">
        <is>
          <t>Indust Heavy Manufacturing</t>
        </is>
      </c>
    </row>
    <row r="59">
      <c r="B59" t="n">
        <v>333</v>
      </c>
      <c r="C59" t="inlineStr">
        <is>
          <t>Industrial</t>
        </is>
      </c>
      <c r="D59" t="n">
        <v>1</v>
      </c>
      <c r="E59" t="inlineStr">
        <is>
          <t>Indust Heavy Manufacturing</t>
        </is>
      </c>
    </row>
    <row r="60">
      <c r="B60" t="n">
        <v>334</v>
      </c>
      <c r="C60" t="inlineStr">
        <is>
          <t>Commercial</t>
        </is>
      </c>
      <c r="D60" t="n">
        <v>47</v>
      </c>
      <c r="E60" t="inlineStr">
        <is>
          <t>Indust Lght Manufacturing</t>
        </is>
      </c>
    </row>
    <row r="61">
      <c r="B61" t="n">
        <v>334</v>
      </c>
      <c r="C61" t="inlineStr">
        <is>
          <t>Industrial</t>
        </is>
      </c>
      <c r="D61" t="n">
        <v>79</v>
      </c>
      <c r="E61" t="inlineStr">
        <is>
          <t>Indust Lght Manufacturing</t>
        </is>
      </c>
    </row>
    <row r="62">
      <c r="B62" t="n">
        <v>335</v>
      </c>
      <c r="C62" t="inlineStr">
        <is>
          <t>Commercial</t>
        </is>
      </c>
      <c r="D62" t="n">
        <v>1</v>
      </c>
      <c r="E62" t="inlineStr">
        <is>
          <t>Jail - Correctional Facility</t>
        </is>
      </c>
    </row>
    <row r="63">
      <c r="B63" t="n">
        <v>336</v>
      </c>
      <c r="C63" t="inlineStr">
        <is>
          <t>Commercial</t>
        </is>
      </c>
      <c r="D63" t="n">
        <v>5</v>
      </c>
      <c r="E63" t="inlineStr">
        <is>
          <t>Laundromat</t>
        </is>
      </c>
    </row>
    <row r="64">
      <c r="B64" t="n">
        <v>339</v>
      </c>
      <c r="C64" t="inlineStr">
        <is>
          <t>Commercial</t>
        </is>
      </c>
      <c r="D64" t="n">
        <v>16</v>
      </c>
      <c r="E64" t="inlineStr">
        <is>
          <t>Lumber Storage - Horizontal</t>
        </is>
      </c>
    </row>
    <row r="65">
      <c r="B65" t="n">
        <v>339</v>
      </c>
      <c r="C65" t="inlineStr">
        <is>
          <t>Industrial</t>
        </is>
      </c>
      <c r="D65" t="n">
        <v>2</v>
      </c>
      <c r="E65" t="inlineStr">
        <is>
          <t>Lumber Storage - Horizontal</t>
        </is>
      </c>
    </row>
    <row r="66">
      <c r="B66" t="n">
        <v>340</v>
      </c>
      <c r="C66" t="inlineStr">
        <is>
          <t>Commercial</t>
        </is>
      </c>
      <c r="D66" t="n">
        <v>9</v>
      </c>
      <c r="E66" t="inlineStr">
        <is>
          <t>Market</t>
        </is>
      </c>
    </row>
    <row r="67">
      <c r="B67" t="n">
        <v>341</v>
      </c>
      <c r="C67" t="inlineStr">
        <is>
          <t>Commercial</t>
        </is>
      </c>
      <c r="D67" t="n">
        <v>307</v>
      </c>
      <c r="E67" t="inlineStr">
        <is>
          <t>Medical Offices</t>
        </is>
      </c>
    </row>
    <row r="68">
      <c r="B68" t="n">
        <v>342</v>
      </c>
      <c r="C68" t="inlineStr">
        <is>
          <t>Commercial</t>
        </is>
      </c>
      <c r="D68" t="n">
        <v>6</v>
      </c>
      <c r="E68" t="inlineStr">
        <is>
          <t>Mortuary</t>
        </is>
      </c>
    </row>
    <row r="69">
      <c r="B69" t="n">
        <v>343</v>
      </c>
      <c r="C69" t="inlineStr">
        <is>
          <t>Commercial</t>
        </is>
      </c>
      <c r="D69" t="n">
        <v>16</v>
      </c>
      <c r="E69" t="inlineStr">
        <is>
          <t>Motel</t>
        </is>
      </c>
    </row>
    <row r="70">
      <c r="B70" t="n">
        <v>344</v>
      </c>
      <c r="C70" t="inlineStr">
        <is>
          <t>Commercial</t>
        </is>
      </c>
      <c r="D70" t="n">
        <v>509</v>
      </c>
      <c r="E70" t="inlineStr">
        <is>
          <t>Office Building</t>
        </is>
      </c>
    </row>
    <row r="71">
      <c r="B71" t="n">
        <v>344</v>
      </c>
      <c r="C71" t="inlineStr">
        <is>
          <t>Industrial</t>
        </is>
      </c>
      <c r="D71" t="n">
        <v>57</v>
      </c>
      <c r="E71" t="inlineStr">
        <is>
          <t>Office Building</t>
        </is>
      </c>
    </row>
    <row r="72">
      <c r="B72" t="n">
        <v>345</v>
      </c>
      <c r="C72" t="inlineStr">
        <is>
          <t>Commercial</t>
        </is>
      </c>
      <c r="D72" t="n">
        <v>5</v>
      </c>
      <c r="E72" t="inlineStr">
        <is>
          <t>Parking Structure</t>
        </is>
      </c>
    </row>
    <row r="73">
      <c r="B73" t="n">
        <v>345</v>
      </c>
      <c r="C73" t="inlineStr">
        <is>
          <t>Industrial</t>
        </is>
      </c>
      <c r="D73" t="n">
        <v>1</v>
      </c>
      <c r="E73" t="inlineStr">
        <is>
          <t>Parking Structure</t>
        </is>
      </c>
    </row>
    <row r="74">
      <c r="B74" t="n">
        <v>346</v>
      </c>
      <c r="C74" t="inlineStr">
        <is>
          <t>Commercial</t>
        </is>
      </c>
      <c r="D74" t="n">
        <v>12</v>
      </c>
      <c r="E74" t="inlineStr">
        <is>
          <t>Post Office</t>
        </is>
      </c>
    </row>
    <row r="75">
      <c r="B75" t="n">
        <v>349</v>
      </c>
      <c r="C75" t="inlineStr">
        <is>
          <t>Commercial</t>
        </is>
      </c>
      <c r="D75" t="n">
        <v>194</v>
      </c>
      <c r="E75" t="inlineStr">
        <is>
          <t>Fast Food Restaurant</t>
        </is>
      </c>
    </row>
    <row r="76">
      <c r="B76" t="n">
        <v>350</v>
      </c>
      <c r="C76" t="inlineStr">
        <is>
          <t>Commercial</t>
        </is>
      </c>
      <c r="D76" t="n">
        <v>186</v>
      </c>
      <c r="E76" t="inlineStr">
        <is>
          <t>Restaurant</t>
        </is>
      </c>
    </row>
    <row r="77">
      <c r="B77" t="n">
        <v>352</v>
      </c>
      <c r="C77" t="inlineStr">
        <is>
          <t>Commercial</t>
        </is>
      </c>
      <c r="D77" t="n">
        <v>6</v>
      </c>
      <c r="E77" t="inlineStr">
        <is>
          <t>Multiple - Residential</t>
        </is>
      </c>
    </row>
    <row r="78">
      <c r="B78" t="n">
        <v>352</v>
      </c>
      <c r="C78" t="inlineStr">
        <is>
          <t>Industrial</t>
        </is>
      </c>
      <c r="D78" t="n">
        <v>1</v>
      </c>
      <c r="E78" t="inlineStr">
        <is>
          <t>Multiple - Residential</t>
        </is>
      </c>
    </row>
    <row r="79">
      <c r="B79" t="n">
        <v>353</v>
      </c>
      <c r="C79" t="inlineStr">
        <is>
          <t>Commercial</t>
        </is>
      </c>
      <c r="D79" t="n">
        <v>698</v>
      </c>
      <c r="E79" t="inlineStr">
        <is>
          <t>Retail Store</t>
        </is>
      </c>
    </row>
    <row r="80">
      <c r="B80" t="n">
        <v>353</v>
      </c>
      <c r="C80" t="inlineStr">
        <is>
          <t>Industrial</t>
        </is>
      </c>
      <c r="D80" t="n">
        <v>2</v>
      </c>
      <c r="E80" t="inlineStr">
        <is>
          <t>Retail Store</t>
        </is>
      </c>
    </row>
    <row r="81">
      <c r="B81" t="n">
        <v>356</v>
      </c>
      <c r="C81" t="inlineStr">
        <is>
          <t>Commercial</t>
        </is>
      </c>
      <c r="D81" t="n">
        <v>1</v>
      </c>
      <c r="E81" t="inlineStr">
        <is>
          <t>School - Classroom</t>
        </is>
      </c>
    </row>
    <row r="82">
      <c r="B82" t="n">
        <v>358</v>
      </c>
      <c r="C82" t="inlineStr">
        <is>
          <t>Commercial</t>
        </is>
      </c>
      <c r="D82" t="n">
        <v>5</v>
      </c>
      <c r="E82" t="inlineStr">
        <is>
          <t>School - Gymnasium</t>
        </is>
      </c>
    </row>
    <row r="83">
      <c r="B83" t="n">
        <v>359</v>
      </c>
      <c r="C83" t="inlineStr">
        <is>
          <t>Commercial</t>
        </is>
      </c>
      <c r="D83" t="n">
        <v>2</v>
      </c>
      <c r="E83" t="inlineStr">
        <is>
          <t>School - Lecture Hall</t>
        </is>
      </c>
    </row>
    <row r="84">
      <c r="B84" t="n">
        <v>361</v>
      </c>
      <c r="C84" t="inlineStr">
        <is>
          <t>Commercial</t>
        </is>
      </c>
      <c r="D84" t="n">
        <v>2</v>
      </c>
      <c r="E84" t="inlineStr">
        <is>
          <t>School - Manual Arts</t>
        </is>
      </c>
    </row>
    <row r="85">
      <c r="B85" t="n">
        <v>368</v>
      </c>
      <c r="C85" t="inlineStr">
        <is>
          <t>Commercial</t>
        </is>
      </c>
      <c r="D85" t="n">
        <v>2</v>
      </c>
      <c r="E85" t="inlineStr">
        <is>
          <t>College - Classrooms</t>
        </is>
      </c>
    </row>
    <row r="86">
      <c r="B86" t="n">
        <v>378</v>
      </c>
      <c r="C86" t="inlineStr">
        <is>
          <t>Commercial</t>
        </is>
      </c>
      <c r="D86" t="n">
        <v>1</v>
      </c>
      <c r="E86" t="inlineStr">
        <is>
          <t>Stable</t>
        </is>
      </c>
    </row>
    <row r="87">
      <c r="B87" t="n">
        <v>380</v>
      </c>
      <c r="C87" t="inlineStr">
        <is>
          <t>Commercial</t>
        </is>
      </c>
      <c r="D87" t="n">
        <v>2</v>
      </c>
      <c r="E87" t="inlineStr">
        <is>
          <t>Theatre - Motion</t>
        </is>
      </c>
    </row>
    <row r="88">
      <c r="B88" t="n">
        <v>381</v>
      </c>
      <c r="C88" t="inlineStr">
        <is>
          <t>Commercial</t>
        </is>
      </c>
      <c r="D88" t="n">
        <v>21</v>
      </c>
      <c r="E88" t="inlineStr">
        <is>
          <t>Veterinary Hospital</t>
        </is>
      </c>
    </row>
    <row r="89">
      <c r="B89" t="n">
        <v>382</v>
      </c>
      <c r="C89" t="inlineStr">
        <is>
          <t>Commercial</t>
        </is>
      </c>
      <c r="D89" t="n">
        <v>1</v>
      </c>
      <c r="E89" t="inlineStr">
        <is>
          <t>Medical Office Buildings</t>
        </is>
      </c>
    </row>
    <row r="90">
      <c r="B90" t="n">
        <v>384</v>
      </c>
      <c r="C90" t="inlineStr">
        <is>
          <t>Commercial</t>
        </is>
      </c>
      <c r="D90" t="n">
        <v>9</v>
      </c>
      <c r="E90" t="inlineStr">
        <is>
          <t>Barber/Beauty Shop</t>
        </is>
      </c>
    </row>
    <row r="91">
      <c r="B91" t="n">
        <v>386</v>
      </c>
      <c r="C91" t="inlineStr">
        <is>
          <t>Commercial</t>
        </is>
      </c>
      <c r="D91" t="n">
        <v>77</v>
      </c>
      <c r="E91" t="inlineStr">
        <is>
          <t>Mini Warehouse</t>
        </is>
      </c>
    </row>
    <row r="92">
      <c r="B92" t="n">
        <v>386</v>
      </c>
      <c r="C92" t="inlineStr">
        <is>
          <t>Industrial</t>
        </is>
      </c>
      <c r="D92" t="n">
        <v>4</v>
      </c>
      <c r="E92" t="inlineStr">
        <is>
          <t>Mini Warehouse</t>
        </is>
      </c>
    </row>
    <row r="93">
      <c r="B93" t="n">
        <v>387</v>
      </c>
      <c r="C93" t="inlineStr">
        <is>
          <t>Commercial</t>
        </is>
      </c>
      <c r="D93" t="n">
        <v>27</v>
      </c>
      <c r="E93" t="inlineStr">
        <is>
          <t>Transit Warehouse</t>
        </is>
      </c>
    </row>
    <row r="94">
      <c r="B94" t="n">
        <v>387</v>
      </c>
      <c r="C94" t="inlineStr">
        <is>
          <t>Industrial</t>
        </is>
      </c>
      <c r="D94" t="n">
        <v>4</v>
      </c>
      <c r="E94" t="inlineStr">
        <is>
          <t>Transit Warehouse</t>
        </is>
      </c>
    </row>
    <row r="95">
      <c r="B95" t="n">
        <v>389</v>
      </c>
      <c r="C95" t="inlineStr">
        <is>
          <t>Commercial</t>
        </is>
      </c>
      <c r="D95" t="n">
        <v>7</v>
      </c>
      <c r="E95" t="inlineStr">
        <is>
          <t>Equipment Implement</t>
        </is>
      </c>
    </row>
    <row r="96">
      <c r="B96" t="n">
        <v>389</v>
      </c>
      <c r="C96" t="inlineStr">
        <is>
          <t>Industrial</t>
        </is>
      </c>
      <c r="D96" t="n">
        <v>3</v>
      </c>
      <c r="E96" t="inlineStr">
        <is>
          <t>Equipment Implement</t>
        </is>
      </c>
    </row>
    <row r="97">
      <c r="B97" t="n">
        <v>390</v>
      </c>
      <c r="C97" t="inlineStr">
        <is>
          <t>Commercial</t>
        </is>
      </c>
      <c r="D97" t="n">
        <v>4</v>
      </c>
      <c r="E97" t="inlineStr">
        <is>
          <t>Lumber Storage - Vertical</t>
        </is>
      </c>
    </row>
    <row r="98">
      <c r="B98" t="n">
        <v>391</v>
      </c>
      <c r="C98" t="inlineStr">
        <is>
          <t>Commercial</t>
        </is>
      </c>
      <c r="D98" t="n">
        <v>10</v>
      </c>
      <c r="E98" t="inlineStr">
        <is>
          <t>Storage - Material</t>
        </is>
      </c>
    </row>
    <row r="99">
      <c r="B99" t="n">
        <v>391</v>
      </c>
      <c r="C99" t="inlineStr">
        <is>
          <t>Industrial</t>
        </is>
      </c>
      <c r="D99" t="n">
        <v>3</v>
      </c>
      <c r="E99" t="inlineStr">
        <is>
          <t>Storage - Material</t>
        </is>
      </c>
    </row>
    <row r="100">
      <c r="B100" t="n">
        <v>392</v>
      </c>
      <c r="C100" t="inlineStr">
        <is>
          <t>Commercial</t>
        </is>
      </c>
      <c r="D100" t="n">
        <v>2</v>
      </c>
      <c r="E100" t="inlineStr">
        <is>
          <t>Industrial Engineering &amp; Research</t>
        </is>
      </c>
    </row>
    <row r="101">
      <c r="B101" t="n">
        <v>392</v>
      </c>
      <c r="C101" t="inlineStr">
        <is>
          <t>Industrial</t>
        </is>
      </c>
      <c r="D101" t="n">
        <v>2</v>
      </c>
      <c r="E101" t="inlineStr">
        <is>
          <t>Industrial Engineering &amp; Research</t>
        </is>
      </c>
    </row>
    <row r="102">
      <c r="B102" t="n">
        <v>397</v>
      </c>
      <c r="C102" t="inlineStr">
        <is>
          <t>Commercial</t>
        </is>
      </c>
      <c r="D102" t="n">
        <v>2</v>
      </c>
      <c r="E102" t="inlineStr">
        <is>
          <t>Barn</t>
        </is>
      </c>
    </row>
    <row r="103">
      <c r="B103" t="n">
        <v>401</v>
      </c>
      <c r="C103" t="inlineStr">
        <is>
          <t>Commercial</t>
        </is>
      </c>
      <c r="D103" t="n">
        <v>16</v>
      </c>
      <c r="E103" t="inlineStr">
        <is>
          <t>Shed - Equipment</t>
        </is>
      </c>
    </row>
    <row r="104">
      <c r="B104" t="n">
        <v>401</v>
      </c>
      <c r="C104" t="inlineStr">
        <is>
          <t>Industrial</t>
        </is>
      </c>
      <c r="D104" t="n">
        <v>5</v>
      </c>
      <c r="E104" t="inlineStr">
        <is>
          <t>Shed - Equipment</t>
        </is>
      </c>
    </row>
    <row r="105">
      <c r="B105" t="n">
        <v>403</v>
      </c>
      <c r="C105" t="inlineStr">
        <is>
          <t>Commercial</t>
        </is>
      </c>
      <c r="D105" t="n">
        <v>2</v>
      </c>
      <c r="E105" t="inlineStr">
        <is>
          <t>Shower Building</t>
        </is>
      </c>
    </row>
    <row r="106">
      <c r="B106" t="n">
        <v>403</v>
      </c>
      <c r="C106" t="inlineStr">
        <is>
          <t>Industrial</t>
        </is>
      </c>
      <c r="D106" t="n">
        <v>2</v>
      </c>
      <c r="E106" t="inlineStr">
        <is>
          <t>Shower Building</t>
        </is>
      </c>
    </row>
    <row r="107">
      <c r="B107" t="n">
        <v>404</v>
      </c>
      <c r="C107" t="inlineStr">
        <is>
          <t>Commercial</t>
        </is>
      </c>
      <c r="D107" t="n">
        <v>28</v>
      </c>
      <c r="E107" t="inlineStr">
        <is>
          <t>Farm Utility Building</t>
        </is>
      </c>
    </row>
    <row r="108">
      <c r="B108" t="n">
        <v>404</v>
      </c>
      <c r="C108" t="inlineStr">
        <is>
          <t>Industrial</t>
        </is>
      </c>
      <c r="D108" t="n">
        <v>6</v>
      </c>
      <c r="E108" t="inlineStr">
        <is>
          <t>Farm Utility Building</t>
        </is>
      </c>
    </row>
    <row r="109">
      <c r="B109" t="n">
        <v>405</v>
      </c>
      <c r="C109" t="inlineStr">
        <is>
          <t>Commercial</t>
        </is>
      </c>
      <c r="D109" t="n">
        <v>2</v>
      </c>
      <c r="E109" t="inlineStr">
        <is>
          <t>Skating Rink</t>
        </is>
      </c>
    </row>
    <row r="110">
      <c r="B110" t="n">
        <v>406</v>
      </c>
      <c r="C110" t="inlineStr">
        <is>
          <t>Commercial</t>
        </is>
      </c>
      <c r="D110" t="n">
        <v>642</v>
      </c>
      <c r="E110" t="inlineStr">
        <is>
          <t>Storage Warehouse</t>
        </is>
      </c>
    </row>
    <row r="111">
      <c r="B111" t="n">
        <v>406</v>
      </c>
      <c r="C111" t="inlineStr">
        <is>
          <t>Industrial</t>
        </is>
      </c>
      <c r="D111" t="n">
        <v>75</v>
      </c>
      <c r="E111" t="inlineStr">
        <is>
          <t>Storage Warehouse</t>
        </is>
      </c>
    </row>
    <row r="112">
      <c r="B112" t="n">
        <v>407</v>
      </c>
      <c r="C112" t="inlineStr">
        <is>
          <t>Commercial</t>
        </is>
      </c>
      <c r="D112" t="n">
        <v>501</v>
      </c>
      <c r="E112" t="inlineStr">
        <is>
          <t>Distribution Warehouse</t>
        </is>
      </c>
    </row>
    <row r="113">
      <c r="B113" t="n">
        <v>407</v>
      </c>
      <c r="C113" t="inlineStr">
        <is>
          <t>Industrial</t>
        </is>
      </c>
      <c r="D113" t="n">
        <v>154</v>
      </c>
      <c r="E113" t="inlineStr">
        <is>
          <t>Distribution Warehouse</t>
        </is>
      </c>
    </row>
    <row r="114">
      <c r="B114" t="n">
        <v>408</v>
      </c>
      <c r="C114" t="inlineStr">
        <is>
          <t>Commercial</t>
        </is>
      </c>
      <c r="D114" t="n">
        <v>10</v>
      </c>
      <c r="E114" t="inlineStr">
        <is>
          <t>Service Station</t>
        </is>
      </c>
    </row>
    <row r="115">
      <c r="B115" t="n">
        <v>409</v>
      </c>
      <c r="C115" t="inlineStr">
        <is>
          <t>Commercial</t>
        </is>
      </c>
      <c r="D115" t="n">
        <v>23</v>
      </c>
      <c r="E115" t="inlineStr">
        <is>
          <t>T-Hanger</t>
        </is>
      </c>
    </row>
    <row r="116">
      <c r="B116" t="n">
        <v>410</v>
      </c>
      <c r="C116" t="inlineStr">
        <is>
          <t>Commercial</t>
        </is>
      </c>
      <c r="D116" t="n">
        <v>7</v>
      </c>
      <c r="E116" t="inlineStr">
        <is>
          <t>Automotive Center</t>
        </is>
      </c>
    </row>
    <row r="117">
      <c r="B117" t="n">
        <v>412</v>
      </c>
      <c r="C117" t="inlineStr">
        <is>
          <t>Commercial</t>
        </is>
      </c>
      <c r="D117" t="n">
        <v>43</v>
      </c>
      <c r="E117" t="inlineStr">
        <is>
          <t>Neighborhood Shopping Center</t>
        </is>
      </c>
    </row>
    <row r="118">
      <c r="B118" t="n">
        <v>413</v>
      </c>
      <c r="C118" t="inlineStr">
        <is>
          <t>Commercial</t>
        </is>
      </c>
      <c r="D118" t="n">
        <v>20</v>
      </c>
      <c r="E118" t="inlineStr">
        <is>
          <t>Community Shopping Center</t>
        </is>
      </c>
    </row>
    <row r="119">
      <c r="B119" t="n">
        <v>414</v>
      </c>
      <c r="C119" t="inlineStr">
        <is>
          <t>Commercial</t>
        </is>
      </c>
      <c r="D119" t="n">
        <v>8</v>
      </c>
      <c r="E119" t="inlineStr">
        <is>
          <t>Regional Shopping Center</t>
        </is>
      </c>
    </row>
    <row r="120">
      <c r="B120" t="n">
        <v>415</v>
      </c>
      <c r="C120" t="inlineStr">
        <is>
          <t>Commercial</t>
        </is>
      </c>
      <c r="D120" t="n">
        <v>2</v>
      </c>
      <c r="E120" t="inlineStr">
        <is>
          <t>Utility Bldg Res</t>
        </is>
      </c>
    </row>
    <row r="121">
      <c r="B121" t="n">
        <v>418</v>
      </c>
      <c r="C121" t="inlineStr">
        <is>
          <t>Commercial</t>
        </is>
      </c>
      <c r="D121" t="n">
        <v>2</v>
      </c>
      <c r="E121" t="inlineStr">
        <is>
          <t>Health Club</t>
        </is>
      </c>
    </row>
    <row r="122">
      <c r="B122" t="n">
        <v>419</v>
      </c>
      <c r="C122" t="inlineStr">
        <is>
          <t>Commercial</t>
        </is>
      </c>
      <c r="D122" t="n">
        <v>139</v>
      </c>
      <c r="E122" t="inlineStr">
        <is>
          <t>Convenience Store</t>
        </is>
      </c>
    </row>
    <row r="123">
      <c r="B123" t="n">
        <v>419</v>
      </c>
      <c r="C123" t="inlineStr">
        <is>
          <t>Industrial</t>
        </is>
      </c>
      <c r="D123" t="n">
        <v>1</v>
      </c>
      <c r="E123" t="inlineStr">
        <is>
          <t>Convenience Store</t>
        </is>
      </c>
    </row>
    <row r="124">
      <c r="B124" t="n">
        <v>421</v>
      </c>
      <c r="C124" t="inlineStr">
        <is>
          <t>Commercial</t>
        </is>
      </c>
      <c r="D124" t="n">
        <v>1</v>
      </c>
      <c r="E124" t="inlineStr">
        <is>
          <t>Shed - Tool</t>
        </is>
      </c>
    </row>
    <row r="125">
      <c r="B125" t="n">
        <v>423</v>
      </c>
      <c r="C125" t="inlineStr">
        <is>
          <t>Commercial</t>
        </is>
      </c>
      <c r="D125" t="n">
        <v>23</v>
      </c>
      <c r="E125" t="inlineStr">
        <is>
          <t>Mini Lube Garage</t>
        </is>
      </c>
    </row>
    <row r="126">
      <c r="B126" t="n">
        <v>425</v>
      </c>
      <c r="C126" t="inlineStr">
        <is>
          <t>Commercial</t>
        </is>
      </c>
      <c r="D126" t="n">
        <v>356</v>
      </c>
      <c r="E126" t="inlineStr">
        <is>
          <t>Industrial WH Condo</t>
        </is>
      </c>
    </row>
    <row r="127">
      <c r="B127" t="n">
        <v>425</v>
      </c>
      <c r="C127" t="inlineStr">
        <is>
          <t>Industrial</t>
        </is>
      </c>
      <c r="D127" t="n">
        <v>12</v>
      </c>
      <c r="E127" t="inlineStr">
        <is>
          <t>Industrial WH Condo</t>
        </is>
      </c>
    </row>
    <row r="128">
      <c r="B128" t="n">
        <v>426</v>
      </c>
      <c r="C128" t="inlineStr">
        <is>
          <t>Commercial</t>
        </is>
      </c>
      <c r="D128" t="n">
        <v>35</v>
      </c>
      <c r="E128" t="inlineStr">
        <is>
          <t>Day Care Center</t>
        </is>
      </c>
    </row>
    <row r="129">
      <c r="B129" t="n">
        <v>430</v>
      </c>
      <c r="C129" t="inlineStr">
        <is>
          <t>Industrial</t>
        </is>
      </c>
      <c r="D129" t="n">
        <v>1</v>
      </c>
      <c r="E129" t="inlineStr">
        <is>
          <t>Storage - Utility Grain</t>
        </is>
      </c>
    </row>
    <row r="130">
      <c r="B130" t="n">
        <v>431</v>
      </c>
      <c r="C130" t="inlineStr">
        <is>
          <t>Commercial</t>
        </is>
      </c>
      <c r="D130" t="n">
        <v>1</v>
      </c>
      <c r="E130" t="inlineStr">
        <is>
          <t>Surgical Center - Out patient</t>
        </is>
      </c>
    </row>
    <row r="131">
      <c r="B131" t="n">
        <v>432</v>
      </c>
      <c r="C131" t="inlineStr">
        <is>
          <t>Industrial</t>
        </is>
      </c>
      <c r="D131" t="n">
        <v>1</v>
      </c>
      <c r="E131" t="inlineStr">
        <is>
          <t>Restroom Building/Concessions</t>
        </is>
      </c>
    </row>
    <row r="132">
      <c r="B132" t="n">
        <v>434</v>
      </c>
      <c r="C132" t="inlineStr">
        <is>
          <t>Commercial</t>
        </is>
      </c>
      <c r="D132" t="n">
        <v>55</v>
      </c>
      <c r="E132" t="inlineStr">
        <is>
          <t>Car Wash - Self Service</t>
        </is>
      </c>
    </row>
    <row r="133">
      <c r="B133" t="n">
        <v>434</v>
      </c>
      <c r="C133" t="inlineStr">
        <is>
          <t>Industrial</t>
        </is>
      </c>
      <c r="D133" t="n">
        <v>1</v>
      </c>
      <c r="E133" t="inlineStr">
        <is>
          <t>Car Wash - Self Service</t>
        </is>
      </c>
    </row>
    <row r="134">
      <c r="B134" t="n">
        <v>435</v>
      </c>
      <c r="C134" t="inlineStr">
        <is>
          <t>Commercial</t>
        </is>
      </c>
      <c r="D134" t="n">
        <v>22</v>
      </c>
      <c r="E134" t="inlineStr">
        <is>
          <t>Car Wash - Drive thru</t>
        </is>
      </c>
    </row>
    <row r="135">
      <c r="B135" t="n">
        <v>436</v>
      </c>
      <c r="C135" t="inlineStr">
        <is>
          <t>Commercial</t>
        </is>
      </c>
      <c r="D135" t="n">
        <v>52</v>
      </c>
      <c r="E135" t="inlineStr">
        <is>
          <t>Car Wash - Automatic</t>
        </is>
      </c>
    </row>
    <row r="136">
      <c r="B136" t="n">
        <v>438</v>
      </c>
      <c r="C136" t="inlineStr">
        <is>
          <t>Industrial</t>
        </is>
      </c>
      <c r="D136" t="n">
        <v>1</v>
      </c>
      <c r="E136" t="inlineStr">
        <is>
          <t>Prefab Metal Building *CODE</t>
        </is>
      </c>
    </row>
    <row r="137">
      <c r="B137" t="n">
        <v>441</v>
      </c>
      <c r="C137" t="inlineStr">
        <is>
          <t>Commercial</t>
        </is>
      </c>
      <c r="D137" t="n">
        <v>2</v>
      </c>
      <c r="E137" t="inlineStr">
        <is>
          <t>Cocktail Lounge</t>
        </is>
      </c>
    </row>
    <row r="138">
      <c r="B138" t="n">
        <v>442</v>
      </c>
      <c r="C138" t="inlineStr">
        <is>
          <t>Commercial</t>
        </is>
      </c>
      <c r="D138" t="n">
        <v>41</v>
      </c>
      <c r="E138" t="inlineStr">
        <is>
          <t>Bar/Tavern</t>
        </is>
      </c>
    </row>
    <row r="139">
      <c r="B139" t="n">
        <v>442</v>
      </c>
      <c r="C139" t="inlineStr">
        <is>
          <t>Industrial</t>
        </is>
      </c>
      <c r="D139" t="n">
        <v>1</v>
      </c>
      <c r="E139" t="inlineStr">
        <is>
          <t>Bar/Tavern</t>
        </is>
      </c>
    </row>
    <row r="140">
      <c r="B140" t="n">
        <v>444</v>
      </c>
      <c r="C140" t="inlineStr">
        <is>
          <t>Commercial</t>
        </is>
      </c>
      <c r="D140" t="n">
        <v>18</v>
      </c>
      <c r="E140" t="inlineStr">
        <is>
          <t>Dental Office/ Clinic</t>
        </is>
      </c>
    </row>
    <row r="141">
      <c r="B141" t="n">
        <v>446</v>
      </c>
      <c r="C141" t="inlineStr">
        <is>
          <t>Commercial</t>
        </is>
      </c>
      <c r="D141" t="n">
        <v>30</v>
      </c>
      <c r="E141" t="inlineStr">
        <is>
          <t>SuperMarket</t>
        </is>
      </c>
    </row>
    <row r="142">
      <c r="B142" t="n">
        <v>447</v>
      </c>
      <c r="C142" t="inlineStr">
        <is>
          <t>Commercial</t>
        </is>
      </c>
      <c r="D142" t="n">
        <v>8</v>
      </c>
      <c r="E142" t="inlineStr">
        <is>
          <t>Cold Storage Warehouse</t>
        </is>
      </c>
    </row>
    <row r="143">
      <c r="B143" t="n">
        <v>447</v>
      </c>
      <c r="C143" t="inlineStr">
        <is>
          <t>Industrial</t>
        </is>
      </c>
      <c r="D143" t="n">
        <v>2</v>
      </c>
      <c r="E143" t="inlineStr">
        <is>
          <t>Cold Storage Warehouse</t>
        </is>
      </c>
    </row>
    <row r="144">
      <c r="B144" t="n">
        <v>448</v>
      </c>
      <c r="C144" t="inlineStr">
        <is>
          <t>Commercial</t>
        </is>
      </c>
      <c r="D144" t="n">
        <v>7</v>
      </c>
      <c r="E144" t="inlineStr">
        <is>
          <t>Self Service Booth</t>
        </is>
      </c>
    </row>
    <row r="145">
      <c r="B145" t="n">
        <v>451</v>
      </c>
      <c r="C145" t="inlineStr">
        <is>
          <t>Commercial</t>
        </is>
      </c>
      <c r="D145" t="n">
        <v>2</v>
      </c>
      <c r="E145" t="inlineStr">
        <is>
          <t>Grain Elevator Concrete</t>
        </is>
      </c>
    </row>
    <row r="146">
      <c r="B146" t="n">
        <v>452</v>
      </c>
      <c r="C146" t="inlineStr">
        <is>
          <t>Commercial</t>
        </is>
      </c>
      <c r="D146" t="n">
        <v>1</v>
      </c>
      <c r="E146" t="inlineStr">
        <is>
          <t>Grain Elevator Conc Annex</t>
        </is>
      </c>
    </row>
    <row r="147">
      <c r="B147" t="n">
        <v>464</v>
      </c>
      <c r="C147" t="inlineStr">
        <is>
          <t>Commercial</t>
        </is>
      </c>
      <c r="D147" t="n">
        <v>2</v>
      </c>
      <c r="E147" t="inlineStr">
        <is>
          <t>Grain Elevator Low</t>
        </is>
      </c>
    </row>
    <row r="148">
      <c r="B148" t="n">
        <v>465</v>
      </c>
      <c r="C148" t="inlineStr">
        <is>
          <t>Commercial</t>
        </is>
      </c>
      <c r="D148" t="n">
        <v>3</v>
      </c>
      <c r="E148" t="inlineStr">
        <is>
          <t>Grain Elevator Average</t>
        </is>
      </c>
    </row>
    <row r="149">
      <c r="B149" t="n">
        <v>468</v>
      </c>
      <c r="C149" t="inlineStr">
        <is>
          <t>Commercial</t>
        </is>
      </c>
      <c r="D149" t="n">
        <v>1</v>
      </c>
      <c r="E149" t="inlineStr">
        <is>
          <t>Farm Office</t>
        </is>
      </c>
    </row>
    <row r="150">
      <c r="B150" t="n">
        <v>468</v>
      </c>
      <c r="C150" t="inlineStr">
        <is>
          <t>Industrial</t>
        </is>
      </c>
      <c r="D150" t="n">
        <v>1</v>
      </c>
      <c r="E150" t="inlineStr">
        <is>
          <t>Farm Office</t>
        </is>
      </c>
    </row>
    <row r="151">
      <c r="B151" t="n">
        <v>473</v>
      </c>
      <c r="C151" t="inlineStr">
        <is>
          <t>Commercial</t>
        </is>
      </c>
      <c r="D151" t="n">
        <v>9</v>
      </c>
      <c r="E151" t="inlineStr">
        <is>
          <t>Equipment Building</t>
        </is>
      </c>
    </row>
    <row r="152">
      <c r="B152" t="n">
        <v>473</v>
      </c>
      <c r="C152" t="inlineStr">
        <is>
          <t>Industrial</t>
        </is>
      </c>
      <c r="D152" t="n">
        <v>1</v>
      </c>
      <c r="E152" t="inlineStr">
        <is>
          <t>Equipment Building</t>
        </is>
      </c>
    </row>
    <row r="153">
      <c r="B153" t="n">
        <v>474</v>
      </c>
      <c r="C153" t="inlineStr">
        <is>
          <t>Commercial</t>
        </is>
      </c>
      <c r="D153" t="n">
        <v>19</v>
      </c>
      <c r="E153" t="inlineStr">
        <is>
          <t>Modular Office</t>
        </is>
      </c>
    </row>
    <row r="154">
      <c r="B154" t="n">
        <v>474</v>
      </c>
      <c r="C154" t="inlineStr">
        <is>
          <t>Industrial</t>
        </is>
      </c>
      <c r="D154" t="n">
        <v>4</v>
      </c>
      <c r="E154" t="inlineStr">
        <is>
          <t>Modular Office</t>
        </is>
      </c>
    </row>
    <row r="155">
      <c r="B155" t="n">
        <v>480</v>
      </c>
      <c r="C155" t="inlineStr">
        <is>
          <t>Commercial</t>
        </is>
      </c>
      <c r="D155" t="n">
        <v>1</v>
      </c>
      <c r="E155" t="inlineStr">
        <is>
          <t>Vegetable Building</t>
        </is>
      </c>
    </row>
    <row r="156">
      <c r="B156" t="n">
        <v>482</v>
      </c>
      <c r="C156" t="inlineStr">
        <is>
          <t>Commercial</t>
        </is>
      </c>
      <c r="D156" t="n">
        <v>3</v>
      </c>
      <c r="E156" t="inlineStr">
        <is>
          <t>Convention Center</t>
        </is>
      </c>
    </row>
    <row r="157">
      <c r="B157" t="n">
        <v>483</v>
      </c>
      <c r="C157" t="inlineStr">
        <is>
          <t>Commercial</t>
        </is>
      </c>
      <c r="D157" t="n">
        <v>4</v>
      </c>
      <c r="E157" t="inlineStr">
        <is>
          <t>Fitness Center</t>
        </is>
      </c>
    </row>
    <row r="158">
      <c r="B158" t="n">
        <v>499</v>
      </c>
      <c r="C158" t="inlineStr">
        <is>
          <t>Commercial</t>
        </is>
      </c>
      <c r="D158" t="n">
        <v>3</v>
      </c>
      <c r="E158" t="inlineStr">
        <is>
          <t>Salvage</t>
        </is>
      </c>
    </row>
    <row r="159">
      <c r="B159" t="n">
        <v>500</v>
      </c>
      <c r="C159" t="inlineStr">
        <is>
          <t>Commercial</t>
        </is>
      </c>
      <c r="D159" t="n">
        <v>3</v>
      </c>
      <c r="E159" t="inlineStr">
        <is>
          <t>R V Parks *CODE</t>
        </is>
      </c>
    </row>
    <row r="160">
      <c r="B160" t="n">
        <v>501</v>
      </c>
      <c r="C160" t="inlineStr">
        <is>
          <t>Commercial</t>
        </is>
      </c>
      <c r="D160" t="n">
        <v>13</v>
      </c>
      <c r="E160" t="inlineStr">
        <is>
          <t>Mini-Mart Convenience Stores</t>
        </is>
      </c>
    </row>
    <row r="161">
      <c r="B161" t="n">
        <v>501</v>
      </c>
      <c r="C161" t="inlineStr">
        <is>
          <t>Industrial</t>
        </is>
      </c>
      <c r="D161" t="n">
        <v>2</v>
      </c>
      <c r="E161" t="inlineStr">
        <is>
          <t>Miscellaneous OB</t>
        </is>
      </c>
    </row>
    <row r="162">
      <c r="B162" t="n">
        <v>519</v>
      </c>
      <c r="C162" t="inlineStr">
        <is>
          <t>Commercial</t>
        </is>
      </c>
      <c r="D162" t="n">
        <v>1</v>
      </c>
      <c r="E162" t="inlineStr">
        <is>
          <t>Greenhouse Shade Shelters</t>
        </is>
      </c>
    </row>
    <row r="163">
      <c r="B163" t="n">
        <v>523</v>
      </c>
      <c r="C163" t="inlineStr">
        <is>
          <t>Commercial</t>
        </is>
      </c>
      <c r="D163" t="n">
        <v>1</v>
      </c>
      <c r="E163" t="inlineStr">
        <is>
          <t>Golf Cart Storage Bldgs</t>
        </is>
      </c>
    </row>
    <row r="164">
      <c r="B164" t="n">
        <v>525</v>
      </c>
      <c r="C164" t="inlineStr">
        <is>
          <t>Commercial</t>
        </is>
      </c>
      <c r="D164" t="n">
        <v>1</v>
      </c>
      <c r="E164" t="inlineStr">
        <is>
          <t>Mini Warehouse Hi-rise</t>
        </is>
      </c>
    </row>
    <row r="165">
      <c r="B165" t="n">
        <v>526</v>
      </c>
      <c r="C165" t="inlineStr">
        <is>
          <t>Commercial</t>
        </is>
      </c>
      <c r="D165" t="n">
        <v>3</v>
      </c>
      <c r="E165" t="inlineStr">
        <is>
          <t>Service Garage Sheds</t>
        </is>
      </c>
    </row>
    <row r="166">
      <c r="B166" t="n">
        <v>529</v>
      </c>
      <c r="C166" t="inlineStr">
        <is>
          <t>Commercial</t>
        </is>
      </c>
      <c r="D166" t="n">
        <v>1</v>
      </c>
      <c r="E166" t="inlineStr">
        <is>
          <t>Snack Bar</t>
        </is>
      </c>
    </row>
    <row r="167">
      <c r="B167" t="n">
        <v>531</v>
      </c>
      <c r="C167" t="inlineStr">
        <is>
          <t>Commercial</t>
        </is>
      </c>
      <c r="D167" t="n">
        <v>2</v>
      </c>
      <c r="E167" t="inlineStr">
        <is>
          <t>Mobile Home Parks *CODE</t>
        </is>
      </c>
    </row>
    <row r="168">
      <c r="B168" t="n">
        <v>533</v>
      </c>
      <c r="C168" t="inlineStr">
        <is>
          <t>Commercial</t>
        </is>
      </c>
      <c r="D168" t="n">
        <v>2</v>
      </c>
      <c r="E168" t="inlineStr">
        <is>
          <t>Warehouse Food Store</t>
        </is>
      </c>
    </row>
    <row r="169">
      <c r="B169" t="n">
        <v>534</v>
      </c>
      <c r="C169" t="inlineStr">
        <is>
          <t>Commercial</t>
        </is>
      </c>
      <c r="D169" t="n">
        <v>10</v>
      </c>
      <c r="E169" t="inlineStr">
        <is>
          <t>Warehouse Showroom Store</t>
        </is>
      </c>
    </row>
    <row r="170">
      <c r="B170" t="n">
        <v>534</v>
      </c>
      <c r="C170" t="inlineStr">
        <is>
          <t>Industrial</t>
        </is>
      </c>
      <c r="D170" t="n">
        <v>1</v>
      </c>
      <c r="E170" t="inlineStr">
        <is>
          <t>Warehouse Showroom Store</t>
        </is>
      </c>
    </row>
    <row r="171">
      <c r="B171" t="n">
        <v>540</v>
      </c>
      <c r="C171" t="inlineStr">
        <is>
          <t>Commercial</t>
        </is>
      </c>
      <c r="D171" t="n">
        <v>1</v>
      </c>
      <c r="E171" t="inlineStr">
        <is>
          <t>Motel Guest Rooms</t>
        </is>
      </c>
    </row>
    <row r="172">
      <c r="B172" t="n">
        <v>544</v>
      </c>
      <c r="C172" t="inlineStr">
        <is>
          <t>Commercial</t>
        </is>
      </c>
      <c r="D172" t="n">
        <v>4</v>
      </c>
      <c r="E172" t="inlineStr">
        <is>
          <t>Office-Apartment</t>
        </is>
      </c>
    </row>
    <row r="173">
      <c r="B173" t="n">
        <v>557</v>
      </c>
      <c r="C173" t="inlineStr">
        <is>
          <t>Commercial</t>
        </is>
      </c>
      <c r="D173" t="n">
        <v>2</v>
      </c>
      <c r="E173" t="inlineStr">
        <is>
          <t>Arch-Rib Quonset Utility</t>
        </is>
      </c>
    </row>
    <row r="174">
      <c r="B174" t="n">
        <v>558</v>
      </c>
      <c r="C174" t="inlineStr">
        <is>
          <t>Commercial</t>
        </is>
      </c>
      <c r="D174" t="n">
        <v>1</v>
      </c>
      <c r="E174" t="inlineStr">
        <is>
          <t>Arch-Rib Quonset Farm Implement</t>
        </is>
      </c>
    </row>
    <row r="175">
      <c r="B175" t="n">
        <v>573</v>
      </c>
      <c r="C175" t="inlineStr">
        <is>
          <t>Commercial</t>
        </is>
      </c>
      <c r="D175" t="n">
        <v>1</v>
      </c>
      <c r="E175" t="inlineStr">
        <is>
          <t>Arcade</t>
        </is>
      </c>
    </row>
    <row r="176">
      <c r="B176" t="n">
        <v>580</v>
      </c>
      <c r="C176" t="inlineStr">
        <is>
          <t>Commercial</t>
        </is>
      </c>
      <c r="D176" t="n">
        <v>2</v>
      </c>
      <c r="E176" t="inlineStr">
        <is>
          <t>Truck Stop Restaurant</t>
        </is>
      </c>
    </row>
    <row r="177">
      <c r="B177" t="n">
        <v>582</v>
      </c>
      <c r="C177" t="inlineStr">
        <is>
          <t>Commercial</t>
        </is>
      </c>
      <c r="D177" t="n">
        <v>1</v>
      </c>
      <c r="E177" t="inlineStr">
        <is>
          <t>Branch Post Office</t>
        </is>
      </c>
    </row>
    <row r="178">
      <c r="B178" t="n">
        <v>584</v>
      </c>
      <c r="C178" t="inlineStr">
        <is>
          <t>Commercial</t>
        </is>
      </c>
      <c r="D178" t="n">
        <v>56</v>
      </c>
      <c r="E178" t="inlineStr">
        <is>
          <t>Mega Warehouse</t>
        </is>
      </c>
    </row>
    <row r="179">
      <c r="B179" t="n">
        <v>584</v>
      </c>
      <c r="C179" t="inlineStr">
        <is>
          <t>Industrial</t>
        </is>
      </c>
      <c r="D179" t="n">
        <v>21</v>
      </c>
      <c r="E179" t="inlineStr">
        <is>
          <t>Mega Warehouse</t>
        </is>
      </c>
    </row>
    <row r="180">
      <c r="B180" t="n">
        <v>718</v>
      </c>
      <c r="C180" t="inlineStr">
        <is>
          <t>Commercial</t>
        </is>
      </c>
      <c r="D180" t="n">
        <v>3</v>
      </c>
      <c r="E180" t="inlineStr">
        <is>
          <t>Banquet Halls</t>
        </is>
      </c>
    </row>
    <row r="181">
      <c r="B181" t="n">
        <v>1104</v>
      </c>
      <c r="C181" t="inlineStr">
        <is>
          <t>Commercial</t>
        </is>
      </c>
      <c r="D181" t="n">
        <v>1</v>
      </c>
      <c r="E181" t="inlineStr">
        <is>
          <t>Light Commercial-Commodity Warehouse</t>
        </is>
      </c>
    </row>
    <row r="182">
      <c r="B182" t="n">
        <v>1104</v>
      </c>
      <c r="C182" t="inlineStr">
        <is>
          <t>Industrial</t>
        </is>
      </c>
      <c r="D182" t="n">
        <v>1</v>
      </c>
      <c r="E182" t="inlineStr">
        <is>
          <t>Light Commercial-Commodity Warehouse</t>
        </is>
      </c>
    </row>
    <row r="183">
      <c r="B183" t="n">
        <v>1111</v>
      </c>
      <c r="C183" t="inlineStr">
        <is>
          <t>Commercial</t>
        </is>
      </c>
      <c r="D183" t="n">
        <v>2</v>
      </c>
      <c r="E183" t="inlineStr">
        <is>
          <t>Parking Lot</t>
        </is>
      </c>
    </row>
    <row r="184">
      <c r="B184" t="n">
        <v>1112</v>
      </c>
      <c r="C184" t="inlineStr">
        <is>
          <t>Commercial</t>
        </is>
      </c>
      <c r="D184" t="n">
        <v>1</v>
      </c>
      <c r="E184" t="inlineStr">
        <is>
          <t>Parking Lot Income Producing</t>
        </is>
      </c>
    </row>
    <row r="185">
      <c r="B185" t="n">
        <v>1157</v>
      </c>
      <c r="C185" t="inlineStr">
        <is>
          <t>Commercial</t>
        </is>
      </c>
      <c r="D185" t="n">
        <v>2</v>
      </c>
      <c r="E185" t="inlineStr">
        <is>
          <t>Maintenance (Storage) Buildings</t>
        </is>
      </c>
    </row>
    <row r="186">
      <c r="B186" t="n">
        <v>1332</v>
      </c>
      <c r="C186" t="inlineStr">
        <is>
          <t>Commercial</t>
        </is>
      </c>
      <c r="D186" t="n">
        <v>39</v>
      </c>
      <c r="E186" t="inlineStr">
        <is>
          <t>Hotels - Limited Service</t>
        </is>
      </c>
    </row>
    <row r="187">
      <c r="B187" t="n">
        <v>1332</v>
      </c>
      <c r="C187" t="inlineStr">
        <is>
          <t>Industrial</t>
        </is>
      </c>
      <c r="D187" t="n">
        <v>1</v>
      </c>
      <c r="E187" t="inlineStr">
        <is>
          <t>Hotels - Limited Service</t>
        </is>
      </c>
    </row>
    <row r="188">
      <c r="B188" t="n">
        <v>1343</v>
      </c>
      <c r="C188" t="inlineStr">
        <is>
          <t>Commercial</t>
        </is>
      </c>
      <c r="D188" t="n">
        <v>4</v>
      </c>
      <c r="E188" t="inlineStr">
        <is>
          <t>Extended Stay Motels</t>
        </is>
      </c>
    </row>
    <row r="189">
      <c r="B189" t="n">
        <v>1344</v>
      </c>
      <c r="C189" t="inlineStr">
        <is>
          <t>Commercial</t>
        </is>
      </c>
      <c r="D189" t="n">
        <v>173</v>
      </c>
      <c r="E189" t="inlineStr">
        <is>
          <t>Office Building - Condo</t>
        </is>
      </c>
    </row>
    <row r="190">
      <c r="B190" t="n">
        <v>1353</v>
      </c>
      <c r="C190" t="inlineStr">
        <is>
          <t>Commercial</t>
        </is>
      </c>
      <c r="D190" t="n">
        <v>20</v>
      </c>
      <c r="E190" t="inlineStr">
        <is>
          <t>Retail Store - Condo</t>
        </is>
      </c>
    </row>
    <row r="191">
      <c r="B191" t="n">
        <v>1458</v>
      </c>
      <c r="C191" t="inlineStr">
        <is>
          <t>Commercial</t>
        </is>
      </c>
      <c r="D191" t="n">
        <v>8</v>
      </c>
      <c r="E191" t="inlineStr">
        <is>
          <t>Warehouse Discount Store</t>
        </is>
      </c>
    </row>
    <row r="192">
      <c r="B192" t="n">
        <v>1467</v>
      </c>
      <c r="C192" t="inlineStr">
        <is>
          <t>Commercial</t>
        </is>
      </c>
      <c r="D192" t="n">
        <v>2</v>
      </c>
      <c r="E192" t="inlineStr">
        <is>
          <t>Boat Storage Buildings</t>
        </is>
      </c>
    </row>
    <row r="193">
      <c r="B193" t="n">
        <v>1468</v>
      </c>
      <c r="C193" t="inlineStr">
        <is>
          <t>Commercial</t>
        </is>
      </c>
      <c r="D193" t="n">
        <v>7</v>
      </c>
      <c r="E193" t="inlineStr">
        <is>
          <t>Material Storage Sheds</t>
        </is>
      </c>
    </row>
    <row r="194">
      <c r="B194" t="n">
        <v>1468</v>
      </c>
      <c r="C194" t="inlineStr">
        <is>
          <t>Industrial</t>
        </is>
      </c>
      <c r="D194" t="n">
        <v>1</v>
      </c>
      <c r="E194" t="inlineStr">
        <is>
          <t>Material Storage Sheds</t>
        </is>
      </c>
    </row>
    <row r="195">
      <c r="B195" t="n">
        <v>1471</v>
      </c>
      <c r="C195" t="inlineStr">
        <is>
          <t>Commercial</t>
        </is>
      </c>
      <c r="D195" t="n">
        <v>1</v>
      </c>
      <c r="E195" t="inlineStr">
        <is>
          <t>Light Commercial Utility</t>
        </is>
      </c>
    </row>
    <row r="196">
      <c r="B196" t="n">
        <v>1473</v>
      </c>
      <c r="C196" t="inlineStr">
        <is>
          <t>Commercial</t>
        </is>
      </c>
      <c r="D196" t="n">
        <v>5</v>
      </c>
      <c r="E196" t="inlineStr">
        <is>
          <t>Material Shelters</t>
        </is>
      </c>
    </row>
    <row r="197">
      <c r="B197" t="n">
        <v>1473</v>
      </c>
      <c r="C197" t="inlineStr">
        <is>
          <t>Industrial</t>
        </is>
      </c>
      <c r="D197" t="n">
        <v>1</v>
      </c>
      <c r="E197" t="inlineStr">
        <is>
          <t>Material Shelters</t>
        </is>
      </c>
    </row>
    <row r="198">
      <c r="B198" t="n">
        <v>1513</v>
      </c>
      <c r="C198" t="inlineStr">
        <is>
          <t>Commercial</t>
        </is>
      </c>
      <c r="D198" t="n">
        <v>4</v>
      </c>
      <c r="E198" t="inlineStr">
        <is>
          <t>Regional Discount Shopping Centers</t>
        </is>
      </c>
    </row>
    <row r="199">
      <c r="B199" t="n">
        <v>3441</v>
      </c>
      <c r="C199" t="inlineStr">
        <is>
          <t>Commercial</t>
        </is>
      </c>
      <c r="D199" t="n">
        <v>41</v>
      </c>
      <c r="E199" t="inlineStr">
        <is>
          <t>Office Conversion</t>
        </is>
      </c>
    </row>
  </sheetData>
  <pageMargins left="0.75" right="0.75" top="1" bottom="1" header="0.5" footer="0.5"/>
</worksheet>
</file>

<file path=xl/worksheets/sheet14.xml><?xml version="1.0" encoding="utf-8"?>
<worksheet xmlns="http://schemas.openxmlformats.org/spreadsheetml/2006/main">
  <sheetPr>
    <tabColor rgb="007030A0"/>
    <outlinePr summaryBelow="1" summaryRight="1"/>
    <pageSetUpPr/>
  </sheetPr>
  <dimension ref="A1:P107"/>
  <sheetViews>
    <sheetView workbookViewId="0">
      <pane ySplit="3" topLeftCell="A4" activePane="bottomLeft" state="frozen"/>
      <selection pane="bottomLeft" activeCell="A1" sqref="A1"/>
      <selection pane="bottomLeft" activeCell="A1" sqref="A1"/>
      <selection pane="bottomRight" activeCell="A1" sqref="A1"/>
    </sheetView>
  </sheetViews>
  <sheetFormatPr baseColWidth="8" defaultRowHeight="15"/>
  <cols>
    <col width="8" customWidth="1" min="1" max="1"/>
    <col width="12" customWidth="1" min="2" max="2"/>
    <col width="28" customWidth="1" min="3" max="3"/>
    <col width="14" customWidth="1" min="4" max="4"/>
    <col width="11.85546875" customWidth="1" min="5" max="5"/>
    <col width="20" customWidth="1" min="6" max="6"/>
    <col width="22" customWidth="1" min="7" max="7"/>
    <col width="8" customWidth="1" min="8" max="8"/>
    <col width="20" customWidth="1" min="11" max="11"/>
    <col width="30" customWidth="1" min="12" max="12"/>
    <col width="35" customWidth="1" min="13" max="13"/>
    <col width="12" customWidth="1" min="14" max="14"/>
    <col width="50" customWidth="1" min="15" max="15"/>
  </cols>
  <sheetData>
    <row r="1" ht="24" customHeight="1">
      <c r="A1" s="690" t="inlineStr">
        <is>
          <t>COMMERCIAL PROPERTY EXPENSE DATABASE ? PROPERTY REGISTRY</t>
        </is>
      </c>
    </row>
    <row r="2" ht="15.95" customHeight="1">
      <c r="A2" s="691" t="inlineStr">
        <is>
          <t>Adams County Assessor | Add one row per property | Used to track all expense comp submissions</t>
        </is>
      </c>
    </row>
    <row r="3" ht="30" customHeight="1">
      <c r="A3" s="692" t="inlineStr">
        <is>
          <t>Prop ID</t>
        </is>
      </c>
      <c r="B3" s="693" t="inlineStr">
        <is>
          <t>Occ Code</t>
        </is>
      </c>
      <c r="C3" s="693" t="inlineStr">
        <is>
          <t>Account #</t>
        </is>
      </c>
      <c r="D3" s="692" t="inlineStr">
        <is>
          <t>Address</t>
        </is>
      </c>
      <c r="E3" s="692" t="inlineStr">
        <is>
          <t>City</t>
        </is>
      </c>
      <c r="F3" s="692" t="inlineStr">
        <is>
          <t>State</t>
        </is>
      </c>
      <c r="G3" s="692" t="inlineStr">
        <is>
          <t>Property Type</t>
        </is>
      </c>
      <c r="H3" s="692" t="inlineStr">
        <is>
          <t>Subtype</t>
        </is>
      </c>
      <c r="I3" s="692" t="inlineStr">
        <is>
          <t>Year Built</t>
        </is>
      </c>
      <c r="J3" s="692" t="inlineStr">
        <is>
          <t>Bldg SF</t>
        </is>
      </c>
      <c r="K3" s="692" t="inlineStr">
        <is>
          <t>Land SF</t>
        </is>
      </c>
      <c r="L3" s="692" t="inlineStr">
        <is>
          <t>Parcel / Schedule #</t>
        </is>
      </c>
      <c r="M3" s="692" t="inlineStr">
        <is>
          <t>Owner</t>
        </is>
      </c>
      <c r="N3" s="692" t="inlineStr">
        <is>
          <t>Data Source</t>
        </is>
      </c>
      <c r="O3" s="692" t="inlineStr">
        <is>
          <t>Date Added</t>
        </is>
      </c>
      <c r="P3" s="692" t="inlineStr">
        <is>
          <t>Notes</t>
        </is>
      </c>
    </row>
    <row r="4" ht="42" customHeight="1">
      <c r="A4" s="694" t="inlineStr">
        <is>
          <t>P001</t>
        </is>
      </c>
      <c r="B4" s="695" t="n">
        <v>407</v>
      </c>
      <c r="C4" s="696" t="inlineStr">
        <is>
          <t>R0157664</t>
        </is>
      </c>
      <c r="D4" s="694" t="inlineStr">
        <is>
          <t>6045 E. 76th Avenue</t>
        </is>
      </c>
      <c r="E4" s="694" t="inlineStr">
        <is>
          <t>Commerce City</t>
        </is>
      </c>
      <c r="F4" s="694" t="inlineStr">
        <is>
          <t>CO</t>
        </is>
      </c>
      <c r="G4" s="694" t="inlineStr">
        <is>
          <t>Light Industrial</t>
        </is>
      </c>
      <c r="H4" s="694" t="inlineStr">
        <is>
          <t>Distribution Warehouse</t>
        </is>
      </c>
      <c r="I4" s="697" t="n">
        <v>1988</v>
      </c>
      <c r="J4" s="697" t="n">
        <v>21000</v>
      </c>
      <c r="K4" s="697" t="n">
        <v>66700</v>
      </c>
      <c r="L4" s="694" t="inlineStr">
        <is>
          <t>R0157664 / 0172132216014</t>
        </is>
      </c>
      <c r="M4" s="694" t="inlineStr">
        <is>
          <t>4711 West Tennessee Avenue LLC</t>
        </is>
      </c>
      <c r="N4" s="694" t="inlineStr">
        <is>
          <t>Owner P&amp;L + RH Jacobson Analysis</t>
        </is>
      </c>
      <c r="O4" s="694" t="inlineStr">
        <is>
          <t>2026-06-01</t>
        </is>
      </c>
      <c r="P4" s="694" t="inlineStr">
        <is>
          <t>28.5% vacancy; inferior access through 2 adjoining parcels; appeal tax year 2025-26</t>
        </is>
      </c>
    </row>
    <row r="5" ht="39.95" customHeight="1">
      <c r="A5" s="694" t="inlineStr">
        <is>
          <t>P002</t>
        </is>
      </c>
      <c r="B5" s="695" t="n">
        <v>344</v>
      </c>
      <c r="C5" s="696" t="inlineStr">
        <is>
          <t>Unknown</t>
        </is>
      </c>
      <c r="D5" s="694" t="inlineStr">
        <is>
          <t>13659 E. 104th Ave</t>
        </is>
      </c>
      <c r="E5" s="694" t="inlineStr">
        <is>
          <t>Adams County</t>
        </is>
      </c>
      <c r="F5" s="694" t="inlineStr">
        <is>
          <t>CO</t>
        </is>
      </c>
      <c r="G5" s="694" t="inlineStr">
        <is>
          <t>Office/Commercial</t>
        </is>
      </c>
      <c r="H5" s="694" t="inlineStr">
        <is>
          <t>Multi-tenant</t>
        </is>
      </c>
      <c r="I5" s="694" t="n"/>
      <c r="J5" s="694" t="n"/>
      <c r="K5" s="694" t="n"/>
      <c r="L5" s="694" t="inlineStr">
        <is>
          <t>Unknown</t>
        </is>
      </c>
      <c r="M5" s="694" t="inlineStr">
        <is>
          <t>PMC-managed HOA structure</t>
        </is>
      </c>
      <c r="N5" s="694" t="inlineStr">
        <is>
          <t>Owner Operating Statements (BAA CASES root)</t>
        </is>
      </c>
      <c r="O5" s="694" t="inlineStr">
        <is>
          <t>2026-06-01</t>
        </is>
      </c>
      <c r="P5" s="694" t="inlineStr">
        <is>
          <t>SF unknown; 2023-2024 actuals from operating statement submitted in BAA appeal</t>
        </is>
      </c>
    </row>
    <row r="6" ht="39.95" customHeight="1">
      <c r="A6" s="694" t="inlineStr">
        <is>
          <t>P003</t>
        </is>
      </c>
      <c r="B6" s="695" t="n">
        <v>344</v>
      </c>
      <c r="C6" s="696" t="inlineStr">
        <is>
          <t>R0024063</t>
        </is>
      </c>
      <c r="D6" s="694" t="inlineStr">
        <is>
          <t>Park Centre - Wells Fargo Bldg (12000 N Pecos area)</t>
        </is>
      </c>
      <c r="E6" s="694" t="inlineStr">
        <is>
          <t>Westminster</t>
        </is>
      </c>
      <c r="F6" s="694" t="inlineStr">
        <is>
          <t>CO</t>
        </is>
      </c>
      <c r="G6" s="694" t="inlineStr">
        <is>
          <t>Office</t>
        </is>
      </c>
      <c r="H6" s="694" t="inlineStr">
        <is>
          <t>Class B Multi-tenant</t>
        </is>
      </c>
      <c r="I6" s="694" t="n"/>
      <c r="J6" s="697" t="n">
        <v>49479</v>
      </c>
      <c r="K6" s="694" t="n"/>
      <c r="L6" s="694" t="inlineStr">
        <is>
          <t>R0024063</t>
        </is>
      </c>
      <c r="M6" s="694" t="inlineStr">
        <is>
          <t>Westfield Managed</t>
        </is>
      </c>
      <c r="N6" s="694" t="inlineStr">
        <is>
          <t>FINANCIALS.pdf + PROFORMA REVISED.xlsx</t>
        </is>
      </c>
      <c r="O6" s="694" t="inlineStr">
        <is>
          <t>2026-06-01</t>
        </is>
      </c>
      <c r="P6" s="694" t="inlineStr">
        <is>
          <t>49,479 SF leasable; complex multi-tenant office; Westfield managed; BAA appeal case</t>
        </is>
      </c>
    </row>
    <row r="7" ht="39.95" customHeight="1">
      <c r="A7" s="694" t="inlineStr">
        <is>
          <t>P004</t>
        </is>
      </c>
      <c r="B7" s="695" t="n">
        <v>412</v>
      </c>
      <c r="C7" s="696" t="inlineStr">
        <is>
          <t>R0050221</t>
        </is>
      </c>
      <c r="D7" s="694" t="inlineStr">
        <is>
          <t>8860 Federal Blvd</t>
        </is>
      </c>
      <c r="E7" s="694" t="inlineStr">
        <is>
          <t>Adams County</t>
        </is>
      </c>
      <c r="F7" s="694" t="inlineStr">
        <is>
          <t>CO</t>
        </is>
      </c>
      <c r="G7" s="694" t="inlineStr">
        <is>
          <t>Retail</t>
        </is>
      </c>
      <c r="H7" s="694" t="inlineStr">
        <is>
          <t>Strip/Multi-tenant</t>
        </is>
      </c>
      <c r="I7" s="694" t="n"/>
      <c r="J7" s="697" t="n">
        <v>65850</v>
      </c>
      <c r="K7" s="694" t="n"/>
      <c r="L7" s="694" t="inlineStr">
        <is>
          <t>R0050221</t>
        </is>
      </c>
      <c r="M7" s="694" t="inlineStr">
        <is>
          <t>Enger Family Partnership LLLP</t>
        </is>
      </c>
      <c r="N7" s="694" t="inlineStr">
        <is>
          <t>ACTUALS.pdf (BAA CASES)</t>
        </is>
      </c>
      <c r="O7" s="694" t="inlineStr">
        <is>
          <t>2026-06-01</t>
        </is>
      </c>
      <c r="P7" s="694" t="inlineStr">
        <is>
          <t>65,850 SF retail strip; triple-net structure with CAM recoveries; 2023-2024 actuals</t>
        </is>
      </c>
    </row>
    <row r="8" ht="39.95" customHeight="1">
      <c r="A8" s="694" t="inlineStr">
        <is>
          <t>P005</t>
        </is>
      </c>
      <c r="B8" s="695" t="n">
        <v>344</v>
      </c>
      <c r="C8" s="696" t="inlineStr">
        <is>
          <t>R0050977</t>
        </is>
      </c>
      <c r="D8" s="694" t="inlineStr">
        <is>
          <t>9351 Grant St (Horizon Terrace)</t>
        </is>
      </c>
      <c r="E8" s="694" t="inlineStr">
        <is>
          <t>Thornton</t>
        </is>
      </c>
      <c r="F8" s="694" t="inlineStr">
        <is>
          <t>CO</t>
        </is>
      </c>
      <c r="G8" s="694" t="inlineStr">
        <is>
          <t>Office</t>
        </is>
      </c>
      <c r="H8" s="694" t="inlineStr">
        <is>
          <t>Class B Multi-story Multi-tenant</t>
        </is>
      </c>
      <c r="I8" s="694" t="n"/>
      <c r="J8" s="697" t="n">
        <v>91646</v>
      </c>
      <c r="K8" s="694" t="n"/>
      <c r="L8" s="694" t="inlineStr">
        <is>
          <t>R0050977</t>
        </is>
      </c>
      <c r="M8" s="694" t="inlineStr">
        <is>
          <t>Horizon Terrace</t>
        </is>
      </c>
      <c r="N8" s="694" t="inlineStr">
        <is>
          <t>Income Statements 2023 &amp; 2024 PDFs</t>
        </is>
      </c>
      <c r="O8" s="694" t="inlineStr">
        <is>
          <t>2026-06-01</t>
        </is>
      </c>
      <c r="P8" s="694" t="inlineStr">
        <is>
          <t>91,646 SF; full-service multi-tenant office with janitorial, security, elevator; Westfield managed</t>
        </is>
      </c>
    </row>
    <row r="9" ht="39.95" customHeight="1">
      <c r="A9" s="694" t="inlineStr">
        <is>
          <t>P006</t>
        </is>
      </c>
      <c r="B9" s="695" t="n">
        <v>210</v>
      </c>
      <c r="C9" s="696" t="inlineStr">
        <is>
          <t>R0062937</t>
        </is>
      </c>
      <c r="D9" s="694" t="inlineStr">
        <is>
          <t>8670 Wolff Ct (Sheridan Park 8)</t>
        </is>
      </c>
      <c r="E9" s="694" t="inlineStr">
        <is>
          <t>Westminster</t>
        </is>
      </c>
      <c r="F9" s="694" t="inlineStr">
        <is>
          <t>CO</t>
        </is>
      </c>
      <c r="G9" s="694" t="inlineStr">
        <is>
          <t>Office/Flex</t>
        </is>
      </c>
      <c r="H9" s="694" t="inlineStr">
        <is>
          <t>Multi-tenant</t>
        </is>
      </c>
      <c r="I9" s="694" t="n"/>
      <c r="J9" s="697" t="n">
        <v>37078</v>
      </c>
      <c r="K9" s="694" t="n"/>
      <c r="L9" s="694" t="inlineStr">
        <is>
          <t>R0062937</t>
        </is>
      </c>
      <c r="M9" s="694" t="inlineStr">
        <is>
          <t>Unknown</t>
        </is>
      </c>
      <c r="N9" s="694" t="inlineStr">
        <is>
          <t>Operating Expense History DYCO.pdf</t>
        </is>
      </c>
      <c r="O9" s="694" t="inlineStr">
        <is>
          <t>2026-06-01</t>
        </is>
      </c>
      <c r="P9" s="694" t="inlineStr">
        <is>
          <t>~37,078 SF (derived from PSF); CAM reimbursable expense structure; 2020-2024 expense history</t>
        </is>
      </c>
    </row>
    <row r="10" ht="39.95" customHeight="1">
      <c r="A10" s="694" t="inlineStr">
        <is>
          <t>P007</t>
        </is>
      </c>
      <c r="B10" s="695" t="n">
        <v>341</v>
      </c>
      <c r="C10" s="696" t="inlineStr">
        <is>
          <t>R0062944</t>
        </is>
      </c>
      <c r="D10" s="694" t="inlineStr">
        <is>
          <t>8787 (medical office complex)</t>
        </is>
      </c>
      <c r="E10" s="694" t="inlineStr">
        <is>
          <t>Adams County</t>
        </is>
      </c>
      <c r="F10" s="694" t="inlineStr">
        <is>
          <t>CO</t>
        </is>
      </c>
      <c r="G10" s="694" t="inlineStr">
        <is>
          <t>Medical Office</t>
        </is>
      </c>
      <c r="H10" s="694" t="inlineStr">
        <is>
          <t>Multi-tenant</t>
        </is>
      </c>
      <c r="I10" s="694" t="n"/>
      <c r="J10" s="697" t="n">
        <v>19430</v>
      </c>
      <c r="K10" s="694" t="n"/>
      <c r="L10" s="694" t="inlineStr">
        <is>
          <t>R0062944</t>
        </is>
      </c>
      <c r="M10" s="694" t="inlineStr">
        <is>
          <t>MENDI-CO II LLC</t>
        </is>
      </c>
      <c r="N10" s="694" t="inlineStr">
        <is>
          <t>2023 OPS.xlsx + 2024 OPS.xlsx</t>
        </is>
      </c>
      <c r="O10" s="694" t="inlineStr">
        <is>
          <t>2026-06-01</t>
        </is>
      </c>
      <c r="P10" s="694" t="inlineStr">
        <is>
          <t>~19,430 SF (derived); tenants: Denver Springs, Access VP, Colorado Net, Westminster Eye; 2023-2024 actuals</t>
        </is>
      </c>
    </row>
    <row r="11" ht="39.95" customHeight="1">
      <c r="A11" s="694" t="inlineStr">
        <is>
          <t>P008</t>
        </is>
      </c>
      <c r="B11" s="695" t="n">
        <v>210</v>
      </c>
      <c r="C11" s="696" t="inlineStr">
        <is>
          <t>R0070622</t>
        </is>
      </c>
      <c r="D11" s="694" t="inlineStr">
        <is>
          <t>460-550 E. 76th Ave (WPC Corporate)</t>
        </is>
      </c>
      <c r="E11" s="694" t="inlineStr">
        <is>
          <t>Adams County</t>
        </is>
      </c>
      <c r="F11" s="694" t="inlineStr">
        <is>
          <t>CO</t>
        </is>
      </c>
      <c r="G11" s="694" t="inlineStr">
        <is>
          <t>Industrial</t>
        </is>
      </c>
      <c r="H11" s="694" t="inlineStr">
        <is>
          <t>Distribution/Flex Multi-tenant</t>
        </is>
      </c>
      <c r="I11" s="694" t="n"/>
      <c r="J11" s="697" t="n">
        <v>330935</v>
      </c>
      <c r="K11" s="694" t="n"/>
      <c r="L11" s="694" t="inlineStr">
        <is>
          <t>R0070622</t>
        </is>
      </c>
      <c r="M11" s="694" t="inlineStr">
        <is>
          <t>WPC Corporate LLC</t>
        </is>
      </c>
      <c r="N11" s="694" t="inlineStr">
        <is>
          <t>ACTUALS.pdf (BAA CASES)</t>
        </is>
      </c>
      <c r="O11" s="694" t="inlineStr">
        <is>
          <t>2026-06-01</t>
        </is>
      </c>
      <c r="P11" s="694" t="inlineStr">
        <is>
          <t>330,935 SF industrial; 2024 actuals only; large multi-tenant distribution complex</t>
        </is>
      </c>
    </row>
    <row r="12" ht="39.95" customHeight="1">
      <c r="A12" s="694" t="inlineStr">
        <is>
          <t>P009</t>
        </is>
      </c>
      <c r="B12" s="695" t="n">
        <v>407</v>
      </c>
      <c r="C12" s="696" t="inlineStr">
        <is>
          <t>R0075212</t>
        </is>
      </c>
      <c r="D12" s="694" t="inlineStr">
        <is>
          <t>10500 Havana Court</t>
        </is>
      </c>
      <c r="E12" s="694" t="inlineStr">
        <is>
          <t>Adams County</t>
        </is>
      </c>
      <c r="F12" s="694" t="inlineStr">
        <is>
          <t>CO</t>
        </is>
      </c>
      <c r="G12" s="694" t="inlineStr">
        <is>
          <t>Industrial</t>
        </is>
      </c>
      <c r="H12" s="694" t="inlineStr">
        <is>
          <t>NNN Single-tenant</t>
        </is>
      </c>
      <c r="I12" s="694" t="n"/>
      <c r="J12" s="694" t="n"/>
      <c r="K12" s="694" t="n"/>
      <c r="L12" s="694" t="inlineStr">
        <is>
          <t>R0075212</t>
        </is>
      </c>
      <c r="M12" s="694" t="inlineStr">
        <is>
          <t>Jellison Street LLP</t>
        </is>
      </c>
      <c r="N12" s="694" t="inlineStr">
        <is>
          <t>PLEA USING ACTUALS AND TAX LOAD.pdf</t>
        </is>
      </c>
      <c r="O12" s="694" t="inlineStr">
        <is>
          <t>2026-06-01</t>
        </is>
      </c>
      <c r="P12" s="694" t="inlineStr">
        <is>
          <t>SF unknown; NNN lease structure; P&amp;L includes depreciation/mortgage (excluded from NOI calc); 2023-2024</t>
        </is>
      </c>
    </row>
    <row r="13" ht="39.95" customHeight="1">
      <c r="A13" s="694" t="inlineStr">
        <is>
          <t>P010</t>
        </is>
      </c>
      <c r="B13" s="695" t="n">
        <v>210</v>
      </c>
      <c r="C13" s="696" t="inlineStr">
        <is>
          <t>R0098225</t>
        </is>
      </c>
      <c r="D13" s="694" t="inlineStr">
        <is>
          <t>Broadway Business Center (7040B Broadway)</t>
        </is>
      </c>
      <c r="E13" s="694" t="inlineStr">
        <is>
          <t>Denver</t>
        </is>
      </c>
      <c r="F13" s="694" t="inlineStr">
        <is>
          <t>CO</t>
        </is>
      </c>
      <c r="G13" s="694" t="inlineStr">
        <is>
          <t>Flex/Industrial</t>
        </is>
      </c>
      <c r="H13" s="694" t="inlineStr">
        <is>
          <t>Multi-tenant CAM</t>
        </is>
      </c>
      <c r="I13" s="694" t="n"/>
      <c r="J13" s="697" t="n">
        <v>105000</v>
      </c>
      <c r="K13" s="694" t="n"/>
      <c r="L13" s="694" t="inlineStr">
        <is>
          <t>R0098225</t>
        </is>
      </c>
      <c r="M13" s="694" t="inlineStr">
        <is>
          <t>Broadway Business Center</t>
        </is>
      </c>
      <c r="N13" s="694" t="inlineStr">
        <is>
          <t>2023 OPS.xlsx + 2024 OPS.xlsx</t>
        </is>
      </c>
      <c r="O13" s="694" t="inlineStr">
        <is>
          <t>2026-06-01</t>
        </is>
      </c>
      <c r="P13" s="694" t="inlineStr">
        <is>
          <t>~105,000 SF estimated; CAM-recoverable structure; 2024 RE Tax inflated by $111,314 prior-yr catchup; 2023-2024 actuals</t>
        </is>
      </c>
    </row>
    <row r="14" ht="39.95" customHeight="1">
      <c r="A14" s="694" t="inlineStr">
        <is>
          <t>P011</t>
        </is>
      </c>
      <c r="B14" s="695" t="n">
        <v>210</v>
      </c>
      <c r="C14" s="696" t="inlineStr">
        <is>
          <t>R0103767</t>
        </is>
      </c>
      <c r="D14" s="694" t="inlineStr">
        <is>
          <t>5650 Washington St (Washington Business Park)</t>
        </is>
      </c>
      <c r="E14" s="694" t="inlineStr">
        <is>
          <t>Adams County</t>
        </is>
      </c>
      <c r="F14" s="694" t="inlineStr">
        <is>
          <t>CO</t>
        </is>
      </c>
      <c r="G14" s="694" t="inlineStr">
        <is>
          <t>Industrial/Flex</t>
        </is>
      </c>
      <c r="H14" s="694" t="inlineStr">
        <is>
          <t>Multi-tenant</t>
        </is>
      </c>
      <c r="I14" s="694" t="n"/>
      <c r="J14" s="694" t="n"/>
      <c r="K14" s="694" t="n"/>
      <c r="L14" s="694" t="inlineStr">
        <is>
          <t>R0103767</t>
        </is>
      </c>
      <c r="M14" s="694" t="inlineStr">
        <is>
          <t>Unknown</t>
        </is>
      </c>
      <c r="N14" s="694" t="inlineStr">
        <is>
          <t>Operating Statement (sans rent roll).pdf</t>
        </is>
      </c>
      <c r="O14" s="694" t="inlineStr">
        <is>
          <t>2026-06-01</t>
        </is>
      </c>
      <c r="P14" s="694" t="inlineStr">
        <is>
          <t>SF unknown; 2022-2024 actuals; management fee $54,025 in 2022 not shown in later years</t>
        </is>
      </c>
    </row>
    <row r="15" ht="39.95" customHeight="1">
      <c r="A15" s="694" t="inlineStr">
        <is>
          <t>P012</t>
        </is>
      </c>
      <c r="B15" s="695" t="n">
        <v>344</v>
      </c>
      <c r="C15" s="696" t="inlineStr">
        <is>
          <t>R0124385</t>
        </is>
      </c>
      <c r="D15" s="694" t="inlineStr">
        <is>
          <t>Unknown (Tax District 555)</t>
        </is>
      </c>
      <c r="E15" s="694" t="inlineStr">
        <is>
          <t>Adams County</t>
        </is>
      </c>
      <c r="F15" s="694" t="inlineStr">
        <is>
          <t>CO</t>
        </is>
      </c>
      <c r="G15" s="694" t="inlineStr">
        <is>
          <t>Office</t>
        </is>
      </c>
      <c r="H15" s="694" t="inlineStr">
        <is>
          <t>Multi-tenant</t>
        </is>
      </c>
      <c r="I15" s="694" t="n"/>
      <c r="J15" s="697" t="n">
        <v>20170</v>
      </c>
      <c r="K15" s="694" t="n"/>
      <c r="L15" s="694" t="inlineStr">
        <is>
          <t>R0124385</t>
        </is>
      </c>
      <c r="M15" s="694" t="inlineStr">
        <is>
          <t>Unknown</t>
        </is>
      </c>
      <c r="N15" s="694" t="inlineStr">
        <is>
          <t>PROFORMA BASIS FOR OFFER.xlsx (actuals section)</t>
        </is>
      </c>
      <c r="O15" s="694" t="inlineStr">
        <is>
          <t>2026-06-01</t>
        </is>
      </c>
      <c r="P15" s="694" t="inlineStr">
        <is>
          <t>20,170 SF; 2023-2024 actuals extracted from proforma submission; limited line-item detail</t>
        </is>
      </c>
    </row>
    <row r="16" ht="39.95" customHeight="1">
      <c r="A16" s="694" t="inlineStr">
        <is>
          <t>P013</t>
        </is>
      </c>
      <c r="B16" s="695" t="n">
        <v>353</v>
      </c>
      <c r="C16" s="696" t="inlineStr">
        <is>
          <t>R0169176</t>
        </is>
      </c>
      <c r="D16" s="694" t="inlineStr">
        <is>
          <t>Unknown (new construction, opened Oct 2023)</t>
        </is>
      </c>
      <c r="E16" s="694" t="inlineStr">
        <is>
          <t>Adams County</t>
        </is>
      </c>
      <c r="F16" s="694" t="inlineStr">
        <is>
          <t>CO</t>
        </is>
      </c>
      <c r="G16" s="694" t="inlineStr">
        <is>
          <t>Retail/Office</t>
        </is>
      </c>
      <c r="H16" s="694" t="inlineStr">
        <is>
          <t>Multi-tenant</t>
        </is>
      </c>
      <c r="I16" s="697" t="n">
        <v>2023</v>
      </c>
      <c r="J16" s="694" t="n"/>
      <c r="K16" s="694" t="n"/>
      <c r="L16" s="694" t="inlineStr">
        <is>
          <t>R0169176</t>
        </is>
      </c>
      <c r="M16" s="694" t="inlineStr">
        <is>
          <t>Unknown</t>
        </is>
      </c>
      <c r="N16" s="694" t="inlineStr">
        <is>
          <t>Income Statement 2023.xlsx + 2024.xlsx</t>
        </is>
      </c>
      <c r="O16" s="694" t="inlineStr">
        <is>
          <t>2026-06-01</t>
        </is>
      </c>
      <c r="P16" s="694" t="inlineStr">
        <is>
          <t>SF unknown; 2023 partial year (opened Oct 2023); 2024 full year; large RE tax load typical of new construction</t>
        </is>
      </c>
    </row>
    <row r="17" ht="39.95" customHeight="1">
      <c r="A17" s="694" t="inlineStr">
        <is>
          <t>P014</t>
        </is>
      </c>
      <c r="B17" s="695" t="n">
        <v>407</v>
      </c>
      <c r="C17" s="696" t="inlineStr">
        <is>
          <t>R0198530</t>
        </is>
      </c>
      <c r="D17" s="694" t="inlineStr">
        <is>
          <t>Amazon DEN7 Distribution Center</t>
        </is>
      </c>
      <c r="E17" s="694" t="inlineStr">
        <is>
          <t>Aurora</t>
        </is>
      </c>
      <c r="F17" s="694" t="inlineStr">
        <is>
          <t>CO</t>
        </is>
      </c>
      <c r="G17" s="694" t="inlineStr">
        <is>
          <t>Industrial/Distribution</t>
        </is>
      </c>
      <c r="H17" s="694" t="inlineStr">
        <is>
          <t>Single-tenant NNN</t>
        </is>
      </c>
      <c r="I17" s="694" t="n"/>
      <c r="J17" s="697" t="n">
        <v>555840</v>
      </c>
      <c r="K17" s="694" t="n"/>
      <c r="L17" s="694" t="inlineStr">
        <is>
          <t>R0198530</t>
        </is>
      </c>
      <c r="M17" s="694" t="inlineStr">
        <is>
          <t>Amazon (tenant)</t>
        </is>
      </c>
      <c r="N17" s="694" t="inlineStr">
        <is>
          <t>CAM Reconciliation 2023 &amp; 2024 OPS.pdf</t>
        </is>
      </c>
      <c r="O17" s="694" t="inlineStr">
        <is>
          <t>2026-06-01</t>
        </is>
      </c>
      <c r="P17" s="694" t="inlineStr">
        <is>
          <t>555,840 SF Amazon fulfillment center; NNN ? expenses = LL CAM billed to tenant; RE Tax dominant expense; 2023-2024</t>
        </is>
      </c>
    </row>
    <row r="18">
      <c r="A18" s="698" t="inlineStr">
        <is>
          <t>P015</t>
        </is>
      </c>
      <c r="B18" s="695" t="n">
        <v>407</v>
      </c>
      <c r="C18" s="696" t="inlineStr">
        <is>
          <t>R0180894</t>
        </is>
      </c>
      <c r="D18" s="698" t="inlineStr">
        <is>
          <t>1910 N Gun Club Rd</t>
        </is>
      </c>
      <c r="E18" s="698" t="inlineStr">
        <is>
          <t>Aurora</t>
        </is>
      </c>
      <c r="F18" s="698" t="inlineStr">
        <is>
          <t>CO</t>
        </is>
      </c>
      <c r="G18" s="698" t="inlineStr">
        <is>
          <t>Industrial</t>
        </is>
      </c>
      <c r="H18" s="698" t="inlineStr">
        <is>
          <t>Distribution Warehouse Multi-Tenant NNN</t>
        </is>
      </c>
      <c r="I18" s="698" t="n">
        <v>2019</v>
      </c>
      <c r="J18" s="698" t="n">
        <v>163386</v>
      </c>
      <c r="K18" s="698" t="n"/>
      <c r="L18" s="698" t="inlineStr">
        <is>
          <t>R0180894</t>
        </is>
      </c>
      <c r="M18" s="698" t="n"/>
      <c r="N18" s="698" t="inlineStr">
        <is>
          <t>MHE 2025 BAA – Owner submitted P&amp;L</t>
        </is>
      </c>
      <c r="O18" s="698" t="inlineStr">
        <is>
          <t>2026-06-01</t>
        </is>
      </c>
      <c r="P18" s="698" t="inlineStr">
        <is>
          <t>Actual accrual income; 2023–2024</t>
        </is>
      </c>
    </row>
    <row r="19">
      <c r="A19" s="699" t="inlineStr">
        <is>
          <t>P016</t>
        </is>
      </c>
      <c r="B19" s="695" t="n">
        <v>584</v>
      </c>
      <c r="C19" s="696" t="inlineStr">
        <is>
          <t>R0212546/R0212547</t>
        </is>
      </c>
      <c r="D19" s="699" t="inlineStr">
        <is>
          <t>2780 N Tower Rd</t>
        </is>
      </c>
      <c r="E19" s="699" t="inlineStr">
        <is>
          <t>Aurora</t>
        </is>
      </c>
      <c r="F19" s="699" t="inlineStr">
        <is>
          <t>CO</t>
        </is>
      </c>
      <c r="G19" s="699" t="inlineStr">
        <is>
          <t>Industrial</t>
        </is>
      </c>
      <c r="H19" s="699" t="inlineStr">
        <is>
          <t>Mega Warehouse NNN</t>
        </is>
      </c>
      <c r="I19" s="699" t="n">
        <v>1983</v>
      </c>
      <c r="J19" s="699" t="n">
        <v>384953</v>
      </c>
      <c r="K19" s="699" t="n"/>
      <c r="L19" s="699" t="inlineStr">
        <is>
          <t>R0212546/R0212547</t>
        </is>
      </c>
      <c r="M19" s="699" t="n"/>
      <c r="N19" s="699" t="inlineStr">
        <is>
          <t>MHE 2025 BAA – County proforma</t>
        </is>
      </c>
      <c r="O19" s="699" t="inlineStr">
        <is>
          <t>2026-06-01</t>
        </is>
      </c>
      <c r="P19" s="699" t="inlineStr">
        <is>
          <t>County proforma; 2024 only</t>
        </is>
      </c>
    </row>
    <row r="20">
      <c r="A20" s="698" t="inlineStr">
        <is>
          <t>P017</t>
        </is>
      </c>
      <c r="B20" s="695" t="n">
        <v>210</v>
      </c>
      <c r="C20" s="696" t="inlineStr">
        <is>
          <t>R0098098</t>
        </is>
      </c>
      <c r="D20" s="698" t="inlineStr">
        <is>
          <t>1445 E 68th Ave</t>
        </is>
      </c>
      <c r="E20" s="698" t="inlineStr">
        <is>
          <t>Denver</t>
        </is>
      </c>
      <c r="F20" s="698" t="inlineStr">
        <is>
          <t>CO</t>
        </is>
      </c>
      <c r="G20" s="698" t="inlineStr">
        <is>
          <t>Industrial</t>
        </is>
      </c>
      <c r="H20" s="698" t="inlineStr">
        <is>
          <t>Industrial Office Mix</t>
        </is>
      </c>
      <c r="I20" s="698" t="n">
        <v>1972</v>
      </c>
      <c r="J20" s="698" t="n">
        <v>63348</v>
      </c>
      <c r="K20" s="698" t="n"/>
      <c r="L20" s="698" t="inlineStr">
        <is>
          <t>R0098098</t>
        </is>
      </c>
      <c r="M20" s="698" t="n"/>
      <c r="N20" s="698" t="inlineStr">
        <is>
          <t>MHE 2025 BAA – County proforma</t>
        </is>
      </c>
      <c r="O20" s="698" t="inlineStr">
        <is>
          <t>2026-06-01</t>
        </is>
      </c>
      <c r="P20" s="698" t="inlineStr">
        <is>
          <t>YOC 1972/2006/2023; county proforma 2024</t>
        </is>
      </c>
    </row>
    <row r="21">
      <c r="A21" s="699" t="inlineStr">
        <is>
          <t>P018</t>
        </is>
      </c>
      <c r="B21" s="695" t="n">
        <v>406</v>
      </c>
      <c r="C21" s="696" t="inlineStr">
        <is>
          <t>R0103783</t>
        </is>
      </c>
      <c r="D21" s="699" t="inlineStr">
        <is>
          <t>2031 E 58th Ave</t>
        </is>
      </c>
      <c r="E21" s="699" t="inlineStr">
        <is>
          <t>Denver</t>
        </is>
      </c>
      <c r="F21" s="699" t="inlineStr">
        <is>
          <t>CO</t>
        </is>
      </c>
      <c r="G21" s="699" t="inlineStr">
        <is>
          <t>Industrial</t>
        </is>
      </c>
      <c r="H21" s="699" t="inlineStr">
        <is>
          <t>Storage Warehouse / Mod Office NNN</t>
        </is>
      </c>
      <c r="I21" s="699" t="n">
        <v>2004</v>
      </c>
      <c r="J21" s="699" t="n">
        <v>18720</v>
      </c>
      <c r="K21" s="699" t="n"/>
      <c r="L21" s="699" t="inlineStr">
        <is>
          <t>R0103783</t>
        </is>
      </c>
      <c r="M21" s="699" t="n"/>
      <c r="N21" s="699" t="inlineStr">
        <is>
          <t>MHE 2025 BAA – NNN billed charges</t>
        </is>
      </c>
      <c r="O21" s="699" t="inlineStr">
        <is>
          <t>2026-06-01</t>
        </is>
      </c>
      <c r="P21" s="699" t="inlineStr">
        <is>
          <t>NNN actual billed charges 2019–2024</t>
        </is>
      </c>
    </row>
    <row r="22">
      <c r="A22" s="698" t="inlineStr">
        <is>
          <t>P019</t>
        </is>
      </c>
      <c r="B22" s="695" t="n">
        <v>407</v>
      </c>
      <c r="C22" s="696" t="inlineStr">
        <is>
          <t>R0210402/R0210403</t>
        </is>
      </c>
      <c r="D22" s="698" t="inlineStr">
        <is>
          <t>17190 E 85th Ave</t>
        </is>
      </c>
      <c r="E22" s="698" t="inlineStr">
        <is>
          <t>Commerce City</t>
        </is>
      </c>
      <c r="F22" s="698" t="inlineStr">
        <is>
          <t>CO</t>
        </is>
      </c>
      <c r="G22" s="698" t="inlineStr">
        <is>
          <t>Industrial</t>
        </is>
      </c>
      <c r="H22" s="698" t="inlineStr">
        <is>
          <t>Industrial Warehouse NNN</t>
        </is>
      </c>
      <c r="I22" s="698" t="n">
        <v>2021</v>
      </c>
      <c r="J22" s="698" t="n">
        <v>329940</v>
      </c>
      <c r="K22" s="698" t="n"/>
      <c r="L22" s="698" t="inlineStr">
        <is>
          <t>R0210402/R0210403</t>
        </is>
      </c>
      <c r="M22" s="698" t="n"/>
      <c r="N22" s="698" t="inlineStr">
        <is>
          <t>MHE 2025 BAA – Petitioner proforma</t>
        </is>
      </c>
      <c r="O22" s="698" t="inlineStr">
        <is>
          <t>2026-06-01</t>
        </is>
      </c>
      <c r="P22" s="698" t="inlineStr">
        <is>
          <t>Petitioner proforma 2024/25</t>
        </is>
      </c>
    </row>
    <row r="23">
      <c r="A23" s="699" t="inlineStr">
        <is>
          <t>P020</t>
        </is>
      </c>
      <c r="B23" s="695" t="n">
        <v>584</v>
      </c>
      <c r="C23" s="696" t="inlineStr">
        <is>
          <t>R0209679</t>
        </is>
      </c>
      <c r="D23" s="699" t="inlineStr">
        <is>
          <t>17501 E 84th Ave</t>
        </is>
      </c>
      <c r="E23" s="699" t="inlineStr">
        <is>
          <t>Commerce City</t>
        </is>
      </c>
      <c r="F23" s="699" t="inlineStr">
        <is>
          <t>CO</t>
        </is>
      </c>
      <c r="G23" s="699" t="inlineStr">
        <is>
          <t>Industrial</t>
        </is>
      </c>
      <c r="H23" s="699" t="inlineStr">
        <is>
          <t>Mega Warehouse / Distribution Center NNN (Lowe's)</t>
        </is>
      </c>
      <c r="I23" s="699" t="n">
        <v>2021</v>
      </c>
      <c r="J23" s="699" t="n">
        <v>999780</v>
      </c>
      <c r="K23" s="699" t="n"/>
      <c r="L23" s="699" t="inlineStr">
        <is>
          <t>R0209679</t>
        </is>
      </c>
      <c r="M23" s="699" t="n"/>
      <c r="N23" s="699" t="inlineStr">
        <is>
          <t>MHE 2025 BAA – Owner submitted P&amp;L</t>
        </is>
      </c>
      <c r="O23" s="699" t="inlineStr">
        <is>
          <t>2026-06-01</t>
        </is>
      </c>
      <c r="P23" s="699" t="inlineStr">
        <is>
          <t>Actual accrual; 2023 NOI inflated by ~$2.8M prior-yr tax adj</t>
        </is>
      </c>
    </row>
    <row r="24">
      <c r="A24" s="698" t="inlineStr">
        <is>
          <t>P021</t>
        </is>
      </c>
      <c r="B24" s="695" t="n">
        <v>210</v>
      </c>
      <c r="C24" s="696" t="inlineStr">
        <is>
          <t>R0091931</t>
        </is>
      </c>
      <c r="D24" s="698" t="inlineStr">
        <is>
          <t>6300 E. 58th Ave</t>
        </is>
      </c>
      <c r="E24" s="698" t="inlineStr">
        <is>
          <t>Commerce City</t>
        </is>
      </c>
      <c r="F24" s="698" t="inlineStr">
        <is>
          <t>CO</t>
        </is>
      </c>
      <c r="G24" s="698" t="inlineStr">
        <is>
          <t>Industrial</t>
        </is>
      </c>
      <c r="H24" s="698" t="inlineStr">
        <is>
          <t>Multi-Tenant Industrial/Flex</t>
        </is>
      </c>
      <c r="I24" s="698" t="n">
        <v>1999</v>
      </c>
      <c r="J24" s="698" t="n">
        <v>90000</v>
      </c>
      <c r="K24" s="698" t="n"/>
      <c r="L24" s="698" t="inlineStr">
        <is>
          <t>R0091931</t>
        </is>
      </c>
      <c r="M24" s="698" t="n"/>
      <c r="N24" s="698" t="inlineStr">
        <is>
          <t>MHE 2025 BOE – Owner actual P&amp;L</t>
        </is>
      </c>
      <c r="O24" s="698" t="inlineStr">
        <is>
          <t>2026-06-02</t>
        </is>
      </c>
      <c r="P24" s="698" t="inlineStr">
        <is>
          <t>Actual accrual 2023+2024; YOC 1999–2001</t>
        </is>
      </c>
    </row>
    <row r="25">
      <c r="A25" s="699" t="inlineStr">
        <is>
          <t>P022</t>
        </is>
      </c>
      <c r="B25" s="695" t="n">
        <v>210</v>
      </c>
      <c r="C25" s="696" t="inlineStr">
        <is>
          <t>R0111559</t>
        </is>
      </c>
      <c r="D25" s="699" t="inlineStr">
        <is>
          <t>3590 N. Himalaya Rd (Bldg 6)</t>
        </is>
      </c>
      <c r="E25" s="699" t="inlineStr">
        <is>
          <t>Aurora</t>
        </is>
      </c>
      <c r="F25" s="699" t="inlineStr">
        <is>
          <t>CO</t>
        </is>
      </c>
      <c r="G25" s="699" t="inlineStr">
        <is>
          <t>Industrial</t>
        </is>
      </c>
      <c r="H25" s="699" t="inlineStr">
        <is>
          <t>Multi-Tenant Industrial/Flex NNN</t>
        </is>
      </c>
      <c r="I25" s="699" t="n"/>
      <c r="J25" s="699" t="n"/>
      <c r="K25" s="699" t="n"/>
      <c r="L25" s="699" t="inlineStr">
        <is>
          <t>R0111559</t>
        </is>
      </c>
      <c r="M25" s="699" t="n"/>
      <c r="N25" s="699" t="inlineStr">
        <is>
          <t>MHE 2025 BOE – Sterling actual P&amp;L</t>
        </is>
      </c>
      <c r="O25" s="699" t="inlineStr">
        <is>
          <t>2026-06-02</t>
        </is>
      </c>
      <c r="P25" s="699" t="inlineStr">
        <is>
          <t>2023 transitional (vacancy); 2024 new tenant in place; SF not confirmed</t>
        </is>
      </c>
    </row>
    <row r="26">
      <c r="A26" s="698" t="inlineStr">
        <is>
          <t>P023</t>
        </is>
      </c>
      <c r="B26" s="695" t="n">
        <v>407</v>
      </c>
      <c r="C26" s="696" t="inlineStr">
        <is>
          <t>R0191098</t>
        </is>
      </c>
      <c r="D26" s="698" t="inlineStr">
        <is>
          <t>19754 E. 35th Dr (Bldg 4)</t>
        </is>
      </c>
      <c r="E26" s="698" t="inlineStr">
        <is>
          <t>Aurora</t>
        </is>
      </c>
      <c r="F26" s="698" t="inlineStr">
        <is>
          <t>CO</t>
        </is>
      </c>
      <c r="G26" s="698" t="inlineStr">
        <is>
          <t>Industrial</t>
        </is>
      </c>
      <c r="H26" s="698" t="inlineStr">
        <is>
          <t>Single-Tenant Industrial NNN</t>
        </is>
      </c>
      <c r="I26" s="698" t="n"/>
      <c r="J26" s="698" t="n">
        <v>155033</v>
      </c>
      <c r="K26" s="698" t="n"/>
      <c r="L26" s="698" t="inlineStr">
        <is>
          <t>R0191098</t>
        </is>
      </c>
      <c r="M26" s="698" t="n"/>
      <c r="N26" s="698" t="inlineStr">
        <is>
          <t>MHE 2025 BOE – Sterling actual P&amp;L</t>
        </is>
      </c>
      <c r="O26" s="698" t="inlineStr">
        <is>
          <t>2026-06-02</t>
        </is>
      </c>
      <c r="P26" s="698" t="inlineStr">
        <is>
          <t>Single-tenant NNN (Quality Custom Distribution); lease thru 12/31/2029</t>
        </is>
      </c>
    </row>
    <row r="27">
      <c r="A27" s="699" t="inlineStr">
        <is>
          <t>P024</t>
        </is>
      </c>
      <c r="B27" s="695" t="n">
        <v>407</v>
      </c>
      <c r="C27" s="696" t="inlineStr">
        <is>
          <t>R0111560</t>
        </is>
      </c>
      <c r="D27" s="699" t="inlineStr">
        <is>
          <t>20320 E. 36th Dr (Bldg 7)</t>
        </is>
      </c>
      <c r="E27" s="699" t="inlineStr">
        <is>
          <t>Aurora</t>
        </is>
      </c>
      <c r="F27" s="699" t="inlineStr">
        <is>
          <t>CO</t>
        </is>
      </c>
      <c r="G27" s="699" t="inlineStr">
        <is>
          <t>Industrial</t>
        </is>
      </c>
      <c r="H27" s="699" t="inlineStr">
        <is>
          <t>Single-Tenant Industrial NNN</t>
        </is>
      </c>
      <c r="I27" s="699" t="n"/>
      <c r="J27" s="699" t="n">
        <v>200000</v>
      </c>
      <c r="K27" s="699" t="n"/>
      <c r="L27" s="699" t="inlineStr">
        <is>
          <t>R0111560</t>
        </is>
      </c>
      <c r="M27" s="699" t="n"/>
      <c r="N27" s="699" t="inlineStr">
        <is>
          <t>MHE 2025 BOE – Sterling actual P&amp;L</t>
        </is>
      </c>
      <c r="O27" s="699" t="inlineStr">
        <is>
          <t>2026-06-02</t>
        </is>
      </c>
      <c r="P27" s="699" t="inlineStr">
        <is>
          <t>FedEx NNN; lease expired 4/30/2024 – 2023 only usable</t>
        </is>
      </c>
    </row>
    <row r="28">
      <c r="A28" s="698" t="inlineStr">
        <is>
          <t>P025</t>
        </is>
      </c>
      <c r="B28" s="695" t="n">
        <v>210</v>
      </c>
      <c r="C28" s="696" t="inlineStr">
        <is>
          <t>R0191099</t>
        </is>
      </c>
      <c r="D28" s="698" t="inlineStr">
        <is>
          <t>3559 N. Himalaya Rd (Bldg 5)</t>
        </is>
      </c>
      <c r="E28" s="698" t="inlineStr">
        <is>
          <t>Aurora</t>
        </is>
      </c>
      <c r="F28" s="698" t="inlineStr">
        <is>
          <t>CO</t>
        </is>
      </c>
      <c r="G28" s="698" t="inlineStr">
        <is>
          <t>Industrial</t>
        </is>
      </c>
      <c r="H28" s="698" t="inlineStr">
        <is>
          <t>Multi-Tenant Industrial NNN</t>
        </is>
      </c>
      <c r="I28" s="698" t="n"/>
      <c r="J28" s="698" t="n">
        <v>159047</v>
      </c>
      <c r="K28" s="698" t="n"/>
      <c r="L28" s="698" t="inlineStr">
        <is>
          <t>R0191099</t>
        </is>
      </c>
      <c r="M28" s="698" t="n"/>
      <c r="N28" s="698" t="inlineStr">
        <is>
          <t>MHE 2025 BOE – Sterling actual P&amp;L</t>
        </is>
      </c>
      <c r="O28" s="698" t="inlineStr">
        <is>
          <t>2026-06-02</t>
        </is>
      </c>
      <c r="P28" s="698" t="inlineStr">
        <is>
          <t>Multi-tenant NNN; 3 tenants; 2023+2024</t>
        </is>
      </c>
    </row>
    <row r="29">
      <c r="A29" s="699" t="inlineStr">
        <is>
          <t>P026</t>
        </is>
      </c>
      <c r="B29" s="695" t="n">
        <v>406</v>
      </c>
      <c r="C29" s="696" t="inlineStr">
        <is>
          <t>R0092667</t>
        </is>
      </c>
      <c r="D29" s="699" t="inlineStr">
        <is>
          <t>4901 Locust St</t>
        </is>
      </c>
      <c r="E29" s="699" t="inlineStr">
        <is>
          <t>Commerce City</t>
        </is>
      </c>
      <c r="F29" s="699" t="inlineStr">
        <is>
          <t>CO</t>
        </is>
      </c>
      <c r="G29" s="699" t="inlineStr">
        <is>
          <t>Industrial</t>
        </is>
      </c>
      <c r="H29" s="699" t="inlineStr">
        <is>
          <t>Industrial Warehouse</t>
        </is>
      </c>
      <c r="I29" s="699" t="n"/>
      <c r="J29" s="699" t="n">
        <v>29512</v>
      </c>
      <c r="K29" s="699" t="n"/>
      <c r="L29" s="699" t="inlineStr">
        <is>
          <t>R0092667</t>
        </is>
      </c>
      <c r="M29" s="699" t="n"/>
      <c r="N29" s="699" t="inlineStr">
        <is>
          <t>MHE 2025 BOE – Newmark appraisal proforma</t>
        </is>
      </c>
      <c r="O29" s="699" t="inlineStr">
        <is>
          <t>2026-06-02</t>
        </is>
      </c>
      <c r="P29" s="699" t="inlineStr">
        <is>
          <t>Stabilized proforma; Newmark V&amp;A appraisal 6/30/2024</t>
        </is>
      </c>
    </row>
    <row r="30">
      <c r="A30" s="698" t="inlineStr">
        <is>
          <t>P027</t>
        </is>
      </c>
      <c r="B30" s="695" t="n">
        <v>407</v>
      </c>
      <c r="C30" s="696" t="inlineStr">
        <is>
          <t>R0132030</t>
        </is>
      </c>
      <c r="D30" s="698" t="inlineStr">
        <is>
          <t>Majestic Commercenter (R0132030)</t>
        </is>
      </c>
      <c r="E30" s="698" t="inlineStr">
        <is>
          <t>Commerce City</t>
        </is>
      </c>
      <c r="F30" s="698" t="inlineStr">
        <is>
          <t>CO</t>
        </is>
      </c>
      <c r="G30" s="698" t="inlineStr">
        <is>
          <t>Industrial</t>
        </is>
      </c>
      <c r="H30" s="698" t="inlineStr">
        <is>
          <t>Warehouse NNN</t>
        </is>
      </c>
      <c r="I30" s="698" t="n">
        <v>2001</v>
      </c>
      <c r="J30" s="698" t="n">
        <v>200094</v>
      </c>
      <c r="K30" s="698" t="n"/>
      <c r="L30" s="698" t="inlineStr">
        <is>
          <t>R0132030</t>
        </is>
      </c>
      <c r="M30" s="698" t="n"/>
      <c r="N30" s="698" t="inlineStr">
        <is>
          <t>AXG – Whse Expenses PSF.xlsx</t>
        </is>
      </c>
      <c r="O30" s="698" t="inlineStr">
        <is>
          <t>2026-06-02</t>
        </is>
      </c>
      <c r="P30" s="698" t="inlineStr">
        <is>
          <t>NNN landlord expenses only; 2021–2022</t>
        </is>
      </c>
    </row>
    <row r="31">
      <c r="A31" s="699" t="inlineStr">
        <is>
          <t>P028</t>
        </is>
      </c>
      <c r="B31" s="695" t="n">
        <v>407</v>
      </c>
      <c r="C31" s="696" t="inlineStr">
        <is>
          <t>R0084040</t>
        </is>
      </c>
      <c r="D31" s="699" t="inlineStr">
        <is>
          <t>Majestic Commercenter (R0084040)</t>
        </is>
      </c>
      <c r="E31" s="699" t="inlineStr">
        <is>
          <t>Commerce City</t>
        </is>
      </c>
      <c r="F31" s="699" t="inlineStr">
        <is>
          <t>CO</t>
        </is>
      </c>
      <c r="G31" s="699" t="inlineStr">
        <is>
          <t>Industrial</t>
        </is>
      </c>
      <c r="H31" s="699" t="inlineStr">
        <is>
          <t>Warehouse NNN</t>
        </is>
      </c>
      <c r="I31" s="699" t="n">
        <v>1997</v>
      </c>
      <c r="J31" s="699" t="n">
        <v>177736</v>
      </c>
      <c r="K31" s="699" t="n"/>
      <c r="L31" s="699" t="inlineStr">
        <is>
          <t>R0084040</t>
        </is>
      </c>
      <c r="M31" s="699" t="n"/>
      <c r="N31" s="699" t="inlineStr">
        <is>
          <t>AXG – Whse Expenses PSF.xlsx</t>
        </is>
      </c>
      <c r="O31" s="699" t="inlineStr">
        <is>
          <t>2026-06-02</t>
        </is>
      </c>
      <c r="P31" s="699" t="inlineStr">
        <is>
          <t>NNN landlord expenses only; 2021–2022</t>
        </is>
      </c>
    </row>
    <row r="32">
      <c r="A32" s="698" t="inlineStr">
        <is>
          <t>P029</t>
        </is>
      </c>
      <c r="B32" s="695" t="n">
        <v>407</v>
      </c>
      <c r="C32" s="696" t="inlineStr">
        <is>
          <t>R0084041</t>
        </is>
      </c>
      <c r="D32" s="698" t="inlineStr">
        <is>
          <t>Majestic Commercenter (R0084041)</t>
        </is>
      </c>
      <c r="E32" s="698" t="inlineStr">
        <is>
          <t>Commerce City</t>
        </is>
      </c>
      <c r="F32" s="698" t="inlineStr">
        <is>
          <t>CO</t>
        </is>
      </c>
      <c r="G32" s="698" t="inlineStr">
        <is>
          <t>Industrial</t>
        </is>
      </c>
      <c r="H32" s="698" t="inlineStr">
        <is>
          <t>Warehouse NNN</t>
        </is>
      </c>
      <c r="I32" s="698" t="n">
        <v>1997</v>
      </c>
      <c r="J32" s="698" t="n">
        <v>200371</v>
      </c>
      <c r="K32" s="698" t="n"/>
      <c r="L32" s="698" t="inlineStr">
        <is>
          <t>R0084041</t>
        </is>
      </c>
      <c r="M32" s="698" t="n"/>
      <c r="N32" s="698" t="inlineStr">
        <is>
          <t>AXG – Whse Expenses PSF.xlsx</t>
        </is>
      </c>
      <c r="O32" s="698" t="inlineStr">
        <is>
          <t>2026-06-02</t>
        </is>
      </c>
      <c r="P32" s="698" t="inlineStr">
        <is>
          <t>NNN landlord expenses only; 2021–2022</t>
        </is>
      </c>
    </row>
    <row r="33">
      <c r="A33" s="699" t="inlineStr">
        <is>
          <t>P030</t>
        </is>
      </c>
      <c r="B33" s="695" t="n">
        <v>584</v>
      </c>
      <c r="C33" s="696" t="inlineStr">
        <is>
          <t>R0217015</t>
        </is>
      </c>
      <c r="D33" s="699" t="inlineStr">
        <is>
          <t>Majestic Commercenter (R0217015)</t>
        </is>
      </c>
      <c r="E33" s="699" t="inlineStr">
        <is>
          <t>Commerce City</t>
        </is>
      </c>
      <c r="F33" s="699" t="inlineStr">
        <is>
          <t>CO</t>
        </is>
      </c>
      <c r="G33" s="699" t="inlineStr">
        <is>
          <t>Industrial</t>
        </is>
      </c>
      <c r="H33" s="699" t="inlineStr">
        <is>
          <t>Mega Warehouse NNN</t>
        </is>
      </c>
      <c r="I33" s="699" t="n">
        <v>2021</v>
      </c>
      <c r="J33" s="699" t="n">
        <v>548510</v>
      </c>
      <c r="K33" s="699" t="n"/>
      <c r="L33" s="699" t="inlineStr">
        <is>
          <t>R0217015</t>
        </is>
      </c>
      <c r="M33" s="699" t="n"/>
      <c r="N33" s="699" t="inlineStr">
        <is>
          <t>AXG – Whse Expenses PSF.xlsx</t>
        </is>
      </c>
      <c r="O33" s="699" t="inlineStr">
        <is>
          <t>2026-06-02</t>
        </is>
      </c>
      <c r="P33" s="699" t="inlineStr">
        <is>
          <t>NNN landlord expenses only; 2022 only</t>
        </is>
      </c>
    </row>
    <row r="34">
      <c r="A34" s="698" t="inlineStr">
        <is>
          <t>P031</t>
        </is>
      </c>
      <c r="B34" s="695" t="n">
        <v>407</v>
      </c>
      <c r="C34" s="696" t="inlineStr">
        <is>
          <t>R0111562</t>
        </is>
      </c>
      <c r="D34" s="698" t="inlineStr">
        <is>
          <t>Majestic Commercenter (R0111562)</t>
        </is>
      </c>
      <c r="E34" s="698" t="inlineStr">
        <is>
          <t>Commerce City</t>
        </is>
      </c>
      <c r="F34" s="698" t="inlineStr">
        <is>
          <t>CO</t>
        </is>
      </c>
      <c r="G34" s="698" t="inlineStr">
        <is>
          <t>Industrial</t>
        </is>
      </c>
      <c r="H34" s="698" t="inlineStr">
        <is>
          <t>Warehouse NNN</t>
        </is>
      </c>
      <c r="I34" s="698" t="n">
        <v>2000</v>
      </c>
      <c r="J34" s="698" t="n">
        <v>149175</v>
      </c>
      <c r="K34" s="698" t="n"/>
      <c r="L34" s="698" t="inlineStr">
        <is>
          <t>R0111562</t>
        </is>
      </c>
      <c r="M34" s="698" t="n"/>
      <c r="N34" s="698" t="inlineStr">
        <is>
          <t>AXG – Whse Expenses PSF.xlsx</t>
        </is>
      </c>
      <c r="O34" s="698" t="inlineStr">
        <is>
          <t>2026-06-02</t>
        </is>
      </c>
      <c r="P34" s="698" t="inlineStr">
        <is>
          <t>NNN landlord expenses only; 2019–2020</t>
        </is>
      </c>
    </row>
    <row r="35">
      <c r="A35" s="699" t="inlineStr">
        <is>
          <t>P032</t>
        </is>
      </c>
      <c r="B35" s="695" t="n">
        <v>407</v>
      </c>
      <c r="C35" s="696" t="inlineStr">
        <is>
          <t>R0118875</t>
        </is>
      </c>
      <c r="D35" s="699" t="inlineStr">
        <is>
          <t>Majestic Commercenter (R0118875)</t>
        </is>
      </c>
      <c r="E35" s="699" t="inlineStr">
        <is>
          <t>Commerce City</t>
        </is>
      </c>
      <c r="F35" s="699" t="inlineStr">
        <is>
          <t>CO</t>
        </is>
      </c>
      <c r="G35" s="699" t="inlineStr">
        <is>
          <t>Industrial</t>
        </is>
      </c>
      <c r="H35" s="699" t="inlineStr">
        <is>
          <t>Warehouse NNN</t>
        </is>
      </c>
      <c r="I35" s="699" t="n">
        <v>1999</v>
      </c>
      <c r="J35" s="699" t="n">
        <v>279640</v>
      </c>
      <c r="K35" s="699" t="n"/>
      <c r="L35" s="699" t="inlineStr">
        <is>
          <t>R0118875</t>
        </is>
      </c>
      <c r="M35" s="699" t="n"/>
      <c r="N35" s="699" t="inlineStr">
        <is>
          <t>AXG – Whse Expenses PSF.xlsx</t>
        </is>
      </c>
      <c r="O35" s="699" t="inlineStr">
        <is>
          <t>2026-06-02</t>
        </is>
      </c>
      <c r="P35" s="699" t="inlineStr">
        <is>
          <t>NNN landlord expenses only; 2021–2022</t>
        </is>
      </c>
    </row>
    <row r="36">
      <c r="A36" s="698" t="inlineStr">
        <is>
          <t>P033</t>
        </is>
      </c>
      <c r="B36" s="695" t="n">
        <v>407</v>
      </c>
      <c r="C36" s="696" t="inlineStr">
        <is>
          <t>R0132031</t>
        </is>
      </c>
      <c r="D36" s="698" t="inlineStr">
        <is>
          <t>Majestic Commercenter (R0132031)</t>
        </is>
      </c>
      <c r="E36" s="698" t="inlineStr">
        <is>
          <t>Commerce City</t>
        </is>
      </c>
      <c r="F36" s="698" t="inlineStr">
        <is>
          <t>CO</t>
        </is>
      </c>
      <c r="G36" s="698" t="inlineStr">
        <is>
          <t>Industrial</t>
        </is>
      </c>
      <c r="H36" s="698" t="inlineStr">
        <is>
          <t>Warehouse NNN</t>
        </is>
      </c>
      <c r="I36" s="698" t="n">
        <v>2002</v>
      </c>
      <c r="J36" s="698" t="n">
        <v>280098</v>
      </c>
      <c r="K36" s="698" t="n"/>
      <c r="L36" s="698" t="inlineStr">
        <is>
          <t>R0132031</t>
        </is>
      </c>
      <c r="M36" s="698" t="n"/>
      <c r="N36" s="698" t="inlineStr">
        <is>
          <t>AXG – Whse Expenses PSF.xlsx</t>
        </is>
      </c>
      <c r="O36" s="698" t="inlineStr">
        <is>
          <t>2026-06-02</t>
        </is>
      </c>
      <c r="P36" s="698" t="inlineStr">
        <is>
          <t>NNN landlord expenses only; 2021–2022</t>
        </is>
      </c>
    </row>
    <row r="37">
      <c r="A37" s="699" t="inlineStr">
        <is>
          <t>P034</t>
        </is>
      </c>
      <c r="B37" s="695" t="n">
        <v>407</v>
      </c>
      <c r="C37" s="696" t="inlineStr">
        <is>
          <t>R0172865</t>
        </is>
      </c>
      <c r="D37" s="699" t="inlineStr">
        <is>
          <t>Majestic Commercenter (R0172865)</t>
        </is>
      </c>
      <c r="E37" s="699" t="inlineStr">
        <is>
          <t>Commerce City</t>
        </is>
      </c>
      <c r="F37" s="699" t="inlineStr">
        <is>
          <t>CO</t>
        </is>
      </c>
      <c r="G37" s="699" t="inlineStr">
        <is>
          <t>Industrial</t>
        </is>
      </c>
      <c r="H37" s="699" t="inlineStr">
        <is>
          <t>Warehouse NNN</t>
        </is>
      </c>
      <c r="I37" s="699" t="n">
        <v>2008</v>
      </c>
      <c r="J37" s="699" t="n">
        <v>215461</v>
      </c>
      <c r="K37" s="699" t="n"/>
      <c r="L37" s="699" t="inlineStr">
        <is>
          <t>R0172865</t>
        </is>
      </c>
      <c r="M37" s="699" t="n"/>
      <c r="N37" s="699" t="inlineStr">
        <is>
          <t>AXG – Whse Expenses PSF.xlsx</t>
        </is>
      </c>
      <c r="O37" s="699" t="inlineStr">
        <is>
          <t>2026-06-02</t>
        </is>
      </c>
      <c r="P37" s="699" t="inlineStr">
        <is>
          <t>NNN landlord expenses only; 2021–2022</t>
        </is>
      </c>
    </row>
    <row r="38">
      <c r="A38" s="698" t="inlineStr">
        <is>
          <t>P035</t>
        </is>
      </c>
      <c r="B38" s="695" t="n">
        <v>407</v>
      </c>
      <c r="C38" s="696" t="inlineStr">
        <is>
          <t>R0172867</t>
        </is>
      </c>
      <c r="D38" s="698" t="inlineStr">
        <is>
          <t>Majestic Commercenter (R0172867)</t>
        </is>
      </c>
      <c r="E38" s="698" t="inlineStr">
        <is>
          <t>Commerce City</t>
        </is>
      </c>
      <c r="F38" s="698" t="inlineStr">
        <is>
          <t>CO</t>
        </is>
      </c>
      <c r="G38" s="698" t="inlineStr">
        <is>
          <t>Industrial</t>
        </is>
      </c>
      <c r="H38" s="698" t="inlineStr">
        <is>
          <t>Warehouse NNN</t>
        </is>
      </c>
      <c r="I38" s="698" t="n">
        <v>2007</v>
      </c>
      <c r="J38" s="698" t="n">
        <v>215560</v>
      </c>
      <c r="K38" s="698" t="n"/>
      <c r="L38" s="698" t="inlineStr">
        <is>
          <t>R0172867</t>
        </is>
      </c>
      <c r="M38" s="698" t="n"/>
      <c r="N38" s="698" t="inlineStr">
        <is>
          <t>AXG – Whse Expenses PSF.xlsx</t>
        </is>
      </c>
      <c r="O38" s="698" t="inlineStr">
        <is>
          <t>2026-06-02</t>
        </is>
      </c>
      <c r="P38" s="698" t="inlineStr">
        <is>
          <t>NNN landlord expenses only; 2021–2022</t>
        </is>
      </c>
    </row>
    <row r="39">
      <c r="A39" s="699" t="inlineStr">
        <is>
          <t>P036</t>
        </is>
      </c>
      <c r="B39" s="695" t="n">
        <v>407</v>
      </c>
      <c r="C39" s="696" t="inlineStr">
        <is>
          <t>R0172868</t>
        </is>
      </c>
      <c r="D39" s="699" t="inlineStr">
        <is>
          <t>Majestic Commercenter (R0172868)</t>
        </is>
      </c>
      <c r="E39" s="699" t="inlineStr">
        <is>
          <t>Commerce City</t>
        </is>
      </c>
      <c r="F39" s="699" t="inlineStr">
        <is>
          <t>CO</t>
        </is>
      </c>
      <c r="G39" s="699" t="inlineStr">
        <is>
          <t>Industrial</t>
        </is>
      </c>
      <c r="H39" s="699" t="inlineStr">
        <is>
          <t>Warehouse NNN</t>
        </is>
      </c>
      <c r="I39" s="699" t="n">
        <v>2007</v>
      </c>
      <c r="J39" s="699" t="n">
        <v>202091</v>
      </c>
      <c r="K39" s="699" t="n"/>
      <c r="L39" s="699" t="inlineStr">
        <is>
          <t>R0172868</t>
        </is>
      </c>
      <c r="M39" s="699" t="n"/>
      <c r="N39" s="699" t="inlineStr">
        <is>
          <t>AXG – Whse Expenses PSF.xlsx</t>
        </is>
      </c>
      <c r="O39" s="699" t="inlineStr">
        <is>
          <t>2026-06-02</t>
        </is>
      </c>
      <c r="P39" s="699" t="inlineStr">
        <is>
          <t>NNN landlord expenses only; 2021–2022</t>
        </is>
      </c>
    </row>
    <row r="40">
      <c r="A40" s="698" t="inlineStr">
        <is>
          <t>P037</t>
        </is>
      </c>
      <c r="B40" s="695" t="n">
        <v>407</v>
      </c>
      <c r="C40" s="696" t="inlineStr">
        <is>
          <t>R0145680</t>
        </is>
      </c>
      <c r="D40" s="698" t="inlineStr">
        <is>
          <t>Majestic Commercenter (R0145680)</t>
        </is>
      </c>
      <c r="E40" s="698" t="inlineStr">
        <is>
          <t>Commerce City</t>
        </is>
      </c>
      <c r="F40" s="698" t="inlineStr">
        <is>
          <t>CO</t>
        </is>
      </c>
      <c r="G40" s="698" t="inlineStr">
        <is>
          <t>Industrial</t>
        </is>
      </c>
      <c r="H40" s="698" t="inlineStr">
        <is>
          <t>Warehouse NNN</t>
        </is>
      </c>
      <c r="I40" s="698" t="n">
        <v>2001</v>
      </c>
      <c r="J40" s="698" t="n">
        <v>150027</v>
      </c>
      <c r="K40" s="698" t="n"/>
      <c r="L40" s="698" t="inlineStr">
        <is>
          <t>R0145680</t>
        </is>
      </c>
      <c r="M40" s="698" t="n"/>
      <c r="N40" s="698" t="inlineStr">
        <is>
          <t>AXG – Whse Expenses PSF.xlsx</t>
        </is>
      </c>
      <c r="O40" s="698" t="inlineStr">
        <is>
          <t>2026-06-02</t>
        </is>
      </c>
      <c r="P40" s="698" t="inlineStr">
        <is>
          <t>NNN landlord expenses only; 2021–2022</t>
        </is>
      </c>
    </row>
    <row r="41">
      <c r="A41" s="699" t="inlineStr">
        <is>
          <t>P038</t>
        </is>
      </c>
      <c r="B41" s="695" t="n">
        <v>584</v>
      </c>
      <c r="C41" s="696" t="inlineStr">
        <is>
          <t>R0181787</t>
        </is>
      </c>
      <c r="D41" s="699" t="inlineStr">
        <is>
          <t>Majestic Commercenter (R0181787)</t>
        </is>
      </c>
      <c r="E41" s="699" t="inlineStr">
        <is>
          <t>Commerce City</t>
        </is>
      </c>
      <c r="F41" s="699" t="inlineStr">
        <is>
          <t>CO</t>
        </is>
      </c>
      <c r="G41" s="699" t="inlineStr">
        <is>
          <t>Industrial</t>
        </is>
      </c>
      <c r="H41" s="699" t="inlineStr">
        <is>
          <t>Mega Warehouse NNN</t>
        </is>
      </c>
      <c r="I41" s="699" t="n">
        <v>2013</v>
      </c>
      <c r="J41" s="699" t="n">
        <v>500358</v>
      </c>
      <c r="K41" s="699" t="n"/>
      <c r="L41" s="699" t="inlineStr">
        <is>
          <t>R0181787</t>
        </is>
      </c>
      <c r="M41" s="699" t="n"/>
      <c r="N41" s="699" t="inlineStr">
        <is>
          <t>AXG – Whse Expenses PSF.xlsx</t>
        </is>
      </c>
      <c r="O41" s="699" t="inlineStr">
        <is>
          <t>2026-06-02</t>
        </is>
      </c>
      <c r="P41" s="699" t="inlineStr">
        <is>
          <t>NNN landlord expenses only; 2021–2022</t>
        </is>
      </c>
    </row>
    <row r="42">
      <c r="A42" s="698" t="inlineStr">
        <is>
          <t>P039</t>
        </is>
      </c>
      <c r="B42" s="695" t="n">
        <v>584</v>
      </c>
      <c r="C42" s="696" t="inlineStr">
        <is>
          <t>R0191101</t>
        </is>
      </c>
      <c r="D42" s="698" t="inlineStr">
        <is>
          <t>Majestic Commercenter (R0191101)</t>
        </is>
      </c>
      <c r="E42" s="698" t="inlineStr">
        <is>
          <t>Commerce City</t>
        </is>
      </c>
      <c r="F42" s="698" t="inlineStr">
        <is>
          <t>CO</t>
        </is>
      </c>
      <c r="G42" s="698" t="inlineStr">
        <is>
          <t>Industrial</t>
        </is>
      </c>
      <c r="H42" s="698" t="inlineStr">
        <is>
          <t>Mega Warehouse NNN</t>
        </is>
      </c>
      <c r="I42" s="698" t="n">
        <v>2017</v>
      </c>
      <c r="J42" s="698" t="n">
        <v>522120</v>
      </c>
      <c r="K42" s="698" t="n"/>
      <c r="L42" s="698" t="inlineStr">
        <is>
          <t>R0191101</t>
        </is>
      </c>
      <c r="M42" s="698" t="n"/>
      <c r="N42" s="698" t="inlineStr">
        <is>
          <t>AXG – Whse Expenses PSF.xlsx</t>
        </is>
      </c>
      <c r="O42" s="698" t="inlineStr">
        <is>
          <t>2026-06-02</t>
        </is>
      </c>
      <c r="P42" s="698" t="inlineStr">
        <is>
          <t>NNN landlord expenses only; 2021–2022</t>
        </is>
      </c>
    </row>
    <row r="43">
      <c r="A43" s="699" t="inlineStr">
        <is>
          <t>P040</t>
        </is>
      </c>
      <c r="B43" s="695" t="n">
        <v>407</v>
      </c>
      <c r="C43" s="696" t="inlineStr">
        <is>
          <t>R0202874</t>
        </is>
      </c>
      <c r="D43" s="699" t="inlineStr">
        <is>
          <t>900 E 128th Ave</t>
        </is>
      </c>
      <c r="E43" s="699" t="inlineStr">
        <is>
          <t>Henderson</t>
        </is>
      </c>
      <c r="F43" s="699" t="inlineStr">
        <is>
          <t>CO</t>
        </is>
      </c>
      <c r="G43" s="699" t="inlineStr">
        <is>
          <t>Industrial</t>
        </is>
      </c>
      <c r="H43" s="699" t="inlineStr">
        <is>
          <t>Last-Mile Distribution NNN</t>
        </is>
      </c>
      <c r="I43" s="699" t="n"/>
      <c r="J43" s="699" t="n"/>
      <c r="K43" s="699" t="n"/>
      <c r="L43" s="699" t="inlineStr">
        <is>
          <t>R0202874</t>
        </is>
      </c>
      <c r="M43" s="699" t="inlineStr">
        <is>
          <t>Amazon</t>
        </is>
      </c>
      <c r="N43" s="699" t="inlineStr">
        <is>
          <t>AXG – Owner Income Statement 2021–2022</t>
        </is>
      </c>
      <c r="O43" s="699" t="inlineStr">
        <is>
          <t>2026-06-02</t>
        </is>
      </c>
      <c r="P43" s="699" t="inlineStr">
        <is>
          <t>Amazon AMZL Last Mile Site 51812; SF not extracted</t>
        </is>
      </c>
    </row>
    <row r="44">
      <c r="A44" s="698" t="inlineStr">
        <is>
          <t>P041</t>
        </is>
      </c>
      <c r="B44" s="695" t="n">
        <v>386</v>
      </c>
      <c r="C44" s="696" t="inlineStr">
        <is>
          <t>R0189384</t>
        </is>
      </c>
      <c r="D44" s="698" t="inlineStr">
        <is>
          <t>1101 Colorado Blvd</t>
        </is>
      </c>
      <c r="E44" s="698" t="inlineStr">
        <is>
          <t>Thornton</t>
        </is>
      </c>
      <c r="F44" s="698" t="inlineStr">
        <is>
          <t>CO</t>
        </is>
      </c>
      <c r="G44" s="698" t="inlineStr">
        <is>
          <t>Self-Storage</t>
        </is>
      </c>
      <c r="H44" s="698" t="inlineStr">
        <is>
          <t>Climate-Controlled</t>
        </is>
      </c>
      <c r="I44" s="698" t="n"/>
      <c r="J44" s="698" t="n">
        <v>65766</v>
      </c>
      <c r="K44" s="698" t="n"/>
      <c r="L44" s="698" t="inlineStr">
        <is>
          <t>R0189384</t>
        </is>
      </c>
      <c r="M44" s="698" t="n"/>
      <c r="N44" s="698" t="inlineStr">
        <is>
          <t>AXG – Carlson SS Portfolio P&amp;L</t>
        </is>
      </c>
      <c r="O44" s="698" t="inlineStr">
        <is>
          <t>2026-06-02</t>
        </is>
      </c>
      <c r="P44" s="698" t="inlineStr">
        <is>
          <t>Actual FY2021–2023; 101.5% occ Q4 2023</t>
        </is>
      </c>
    </row>
    <row r="45">
      <c r="A45" s="699" t="inlineStr">
        <is>
          <t>P042</t>
        </is>
      </c>
      <c r="B45" s="695" t="n">
        <v>386</v>
      </c>
      <c r="C45" s="696" t="inlineStr">
        <is>
          <t>R0126235</t>
        </is>
      </c>
      <c r="D45" s="699" t="inlineStr">
        <is>
          <t>15024 Laroy Drive</t>
        </is>
      </c>
      <c r="E45" s="699" t="inlineStr">
        <is>
          <t>Northglenn</t>
        </is>
      </c>
      <c r="F45" s="699" t="inlineStr">
        <is>
          <t>CO</t>
        </is>
      </c>
      <c r="G45" s="699" t="inlineStr">
        <is>
          <t>Self-Storage</t>
        </is>
      </c>
      <c r="H45" s="699" t="inlineStr">
        <is>
          <t>Climate-Controlled</t>
        </is>
      </c>
      <c r="I45" s="699" t="n"/>
      <c r="J45" s="699" t="n">
        <v>79950</v>
      </c>
      <c r="K45" s="699" t="n"/>
      <c r="L45" s="699" t="inlineStr">
        <is>
          <t>R0126235</t>
        </is>
      </c>
      <c r="M45" s="699" t="n"/>
      <c r="N45" s="699" t="inlineStr">
        <is>
          <t>AXG – Carlson SS Portfolio P&amp;L</t>
        </is>
      </c>
      <c r="O45" s="699" t="inlineStr">
        <is>
          <t>2026-06-02</t>
        </is>
      </c>
      <c r="P45" s="699" t="inlineStr">
        <is>
          <t>Actual FY2021–2023; 91.4% occ Dec 2023</t>
        </is>
      </c>
    </row>
    <row r="46">
      <c r="A46" s="698" t="inlineStr">
        <is>
          <t>P043</t>
        </is>
      </c>
      <c r="B46" s="695" t="n">
        <v>386</v>
      </c>
      <c r="C46" s="696" t="inlineStr">
        <is>
          <t>R0126234</t>
        </is>
      </c>
      <c r="D46" s="698" t="inlineStr">
        <is>
          <t>715 W 112th Ave</t>
        </is>
      </c>
      <c r="E46" s="698" t="inlineStr">
        <is>
          <t>Northglenn</t>
        </is>
      </c>
      <c r="F46" s="698" t="inlineStr">
        <is>
          <t>CO</t>
        </is>
      </c>
      <c r="G46" s="698" t="inlineStr">
        <is>
          <t>Self-Storage</t>
        </is>
      </c>
      <c r="H46" s="698" t="inlineStr">
        <is>
          <t>Drive-Up/Drop-Off</t>
        </is>
      </c>
      <c r="I46" s="698" t="n"/>
      <c r="J46" s="698" t="n">
        <v>83756</v>
      </c>
      <c r="K46" s="698" t="n"/>
      <c r="L46" s="698" t="inlineStr">
        <is>
          <t>R0126234</t>
        </is>
      </c>
      <c r="M46" s="698" t="n"/>
      <c r="N46" s="698" t="inlineStr">
        <is>
          <t>AXG – Carlson SS Portfolio P&amp;L</t>
        </is>
      </c>
      <c r="O46" s="698" t="inlineStr">
        <is>
          <t>2026-06-02</t>
        </is>
      </c>
      <c r="P46" s="698" t="inlineStr">
        <is>
          <t>Actual FY2021–2023</t>
        </is>
      </c>
    </row>
    <row r="47">
      <c r="A47" s="699" t="inlineStr">
        <is>
          <t>P044</t>
        </is>
      </c>
      <c r="B47" s="695" t="n">
        <v>386</v>
      </c>
      <c r="C47" s="696" t="inlineStr">
        <is>
          <t>R0027089/R0178319</t>
        </is>
      </c>
      <c r="D47" s="699" t="inlineStr">
        <is>
          <t>2290 E 120th Ave</t>
        </is>
      </c>
      <c r="E47" s="699" t="inlineStr">
        <is>
          <t>Thornton</t>
        </is>
      </c>
      <c r="F47" s="699" t="inlineStr">
        <is>
          <t>CO</t>
        </is>
      </c>
      <c r="G47" s="699" t="inlineStr">
        <is>
          <t>Self-Storage</t>
        </is>
      </c>
      <c r="H47" s="699" t="inlineStr">
        <is>
          <t>Drive-Up/Drop-Off</t>
        </is>
      </c>
      <c r="I47" s="699" t="n"/>
      <c r="J47" s="699" t="n">
        <v>71909</v>
      </c>
      <c r="K47" s="699" t="n"/>
      <c r="L47" s="699" t="inlineStr">
        <is>
          <t>R0027089/R0178319</t>
        </is>
      </c>
      <c r="M47" s="699" t="n"/>
      <c r="N47" s="699" t="inlineStr">
        <is>
          <t>AXG – Carlson SS Portfolio P&amp;L</t>
        </is>
      </c>
      <c r="O47" s="699" t="inlineStr">
        <is>
          <t>2026-06-02</t>
        </is>
      </c>
      <c r="P47" s="699" t="inlineStr">
        <is>
          <t>Combined parcel FY2021–2023; 88.2% occ Dec 2023</t>
        </is>
      </c>
    </row>
    <row r="48">
      <c r="A48" s="698" t="inlineStr">
        <is>
          <t>P045</t>
        </is>
      </c>
      <c r="B48" s="695" t="n">
        <v>386</v>
      </c>
      <c r="C48" s="696" t="inlineStr">
        <is>
          <t>R0043569</t>
        </is>
      </c>
      <c r="D48" s="698" t="inlineStr">
        <is>
          <t>40131 Quivas St (104th &amp; Quivas)</t>
        </is>
      </c>
      <c r="E48" s="698" t="inlineStr">
        <is>
          <t>Thornton</t>
        </is>
      </c>
      <c r="F48" s="698" t="inlineStr">
        <is>
          <t>CO</t>
        </is>
      </c>
      <c r="G48" s="698" t="inlineStr">
        <is>
          <t>Self-Storage</t>
        </is>
      </c>
      <c r="H48" s="698" t="inlineStr">
        <is>
          <t>Drive-Up/Drop-Off</t>
        </is>
      </c>
      <c r="I48" s="698" t="n"/>
      <c r="J48" s="698" t="n">
        <v>41900</v>
      </c>
      <c r="K48" s="698" t="n"/>
      <c r="L48" s="698" t="inlineStr">
        <is>
          <t>R0043569</t>
        </is>
      </c>
      <c r="M48" s="698" t="n"/>
      <c r="N48" s="698" t="inlineStr">
        <is>
          <t>AXG – SS Expense Matrix + FY2024 P&amp;L</t>
        </is>
      </c>
      <c r="O48" s="698" t="inlineStr">
        <is>
          <t>2026-06-02</t>
        </is>
      </c>
      <c r="P48" s="698" t="inlineStr">
        <is>
          <t>Actual FY2024 monthly P&amp;L + expense matrix</t>
        </is>
      </c>
    </row>
    <row r="49">
      <c r="A49" s="699" t="inlineStr">
        <is>
          <t>P046</t>
        </is>
      </c>
      <c r="B49" s="695" t="n">
        <v>386</v>
      </c>
      <c r="C49" s="696" t="inlineStr">
        <is>
          <t>R0193009</t>
        </is>
      </c>
      <c r="D49" s="699" t="inlineStr">
        <is>
          <t>Address unknown – see R0193009</t>
        </is>
      </c>
      <c r="E49" s="699" t="inlineStr">
        <is>
          <t>Adams County</t>
        </is>
      </c>
      <c r="F49" s="699" t="inlineStr">
        <is>
          <t>CO</t>
        </is>
      </c>
      <c r="G49" s="699" t="inlineStr">
        <is>
          <t>Self-Storage</t>
        </is>
      </c>
      <c r="H49" s="699" t="inlineStr">
        <is>
          <t>Climate-Controlled</t>
        </is>
      </c>
      <c r="I49" s="699" t="n"/>
      <c r="J49" s="699" t="n">
        <v>94736</v>
      </c>
      <c r="K49" s="699" t="n"/>
      <c r="L49" s="699" t="inlineStr">
        <is>
          <t>R0193009</t>
        </is>
      </c>
      <c r="M49" s="699" t="n"/>
      <c r="N49" s="699" t="inlineStr">
        <is>
          <t>AXG – SS Expense Matrix</t>
        </is>
      </c>
      <c r="O49" s="699" t="inlineStr">
        <is>
          <t>2026-06-02</t>
        </is>
      </c>
      <c r="P49" s="699" t="inlineStr">
        <is>
          <t>Expense matrix data; EGI $1,582,087</t>
        </is>
      </c>
    </row>
    <row r="50">
      <c r="A50" s="698" t="inlineStr">
        <is>
          <t>P047</t>
        </is>
      </c>
      <c r="B50" s="695" t="n">
        <v>386</v>
      </c>
      <c r="C50" s="696" t="inlineStr">
        <is>
          <t>R0099616</t>
        </is>
      </c>
      <c r="D50" s="698" t="inlineStr">
        <is>
          <t>Address unknown – see R0099616</t>
        </is>
      </c>
      <c r="E50" s="698" t="inlineStr">
        <is>
          <t>Adams County</t>
        </is>
      </c>
      <c r="F50" s="698" t="inlineStr">
        <is>
          <t>CO</t>
        </is>
      </c>
      <c r="G50" s="698" t="inlineStr">
        <is>
          <t>Self-Storage</t>
        </is>
      </c>
      <c r="H50" s="698" t="inlineStr">
        <is>
          <t>Drive-Up/Drop-Off</t>
        </is>
      </c>
      <c r="I50" s="698" t="n"/>
      <c r="J50" s="698" t="n">
        <v>73500</v>
      </c>
      <c r="K50" s="698" t="n"/>
      <c r="L50" s="698" t="inlineStr">
        <is>
          <t>R0099616</t>
        </is>
      </c>
      <c r="M50" s="698" t="n"/>
      <c r="N50" s="698" t="inlineStr">
        <is>
          <t>AXG – SS Expense Matrix</t>
        </is>
      </c>
      <c r="O50" s="698" t="inlineStr">
        <is>
          <t>2026-06-02</t>
        </is>
      </c>
      <c r="P50" s="698" t="inlineStr">
        <is>
          <t>Expense matrix data; EGI $834,358</t>
        </is>
      </c>
    </row>
    <row r="51">
      <c r="A51" s="699" t="inlineStr">
        <is>
          <t>P048</t>
        </is>
      </c>
      <c r="B51" s="695" t="n">
        <v>386</v>
      </c>
      <c r="C51" s="696" t="inlineStr">
        <is>
          <t>R0098019</t>
        </is>
      </c>
      <c r="D51" s="699" t="inlineStr">
        <is>
          <t>Address unknown – see R0098019</t>
        </is>
      </c>
      <c r="E51" s="699" t="inlineStr">
        <is>
          <t>Adams County</t>
        </is>
      </c>
      <c r="F51" s="699" t="inlineStr">
        <is>
          <t>CO</t>
        </is>
      </c>
      <c r="G51" s="699" t="inlineStr">
        <is>
          <t>Self-Storage</t>
        </is>
      </c>
      <c r="H51" s="699" t="inlineStr">
        <is>
          <t>Drive-Up/Drop-Off</t>
        </is>
      </c>
      <c r="I51" s="699" t="n"/>
      <c r="J51" s="699" t="n">
        <v>44975</v>
      </c>
      <c r="K51" s="699" t="n"/>
      <c r="L51" s="699" t="inlineStr">
        <is>
          <t>R0098019</t>
        </is>
      </c>
      <c r="M51" s="699" t="n"/>
      <c r="N51" s="699" t="inlineStr">
        <is>
          <t>AXG – SS Expense Matrix</t>
        </is>
      </c>
      <c r="O51" s="699" t="inlineStr">
        <is>
          <t>2026-06-02</t>
        </is>
      </c>
      <c r="P51" s="699" t="inlineStr">
        <is>
          <t>Expense matrix data; EGI $588,827</t>
        </is>
      </c>
    </row>
    <row r="52">
      <c r="A52" s="698" t="inlineStr">
        <is>
          <t>P049</t>
        </is>
      </c>
      <c r="B52" s="695" t="n">
        <v>386</v>
      </c>
      <c r="C52" s="696" t="inlineStr">
        <is>
          <t>R0102989</t>
        </is>
      </c>
      <c r="D52" s="698" t="inlineStr">
        <is>
          <t>Fitzsimons area – see R0102989</t>
        </is>
      </c>
      <c r="E52" s="698" t="inlineStr">
        <is>
          <t>Aurora</t>
        </is>
      </c>
      <c r="F52" s="698" t="inlineStr">
        <is>
          <t>CO</t>
        </is>
      </c>
      <c r="G52" s="698" t="inlineStr">
        <is>
          <t>Self-Storage</t>
        </is>
      </c>
      <c r="H52" s="698" t="inlineStr">
        <is>
          <t>Climate-Controlled</t>
        </is>
      </c>
      <c r="I52" s="698" t="n"/>
      <c r="J52" s="698" t="n">
        <v>94797</v>
      </c>
      <c r="K52" s="698" t="n"/>
      <c r="L52" s="698" t="inlineStr">
        <is>
          <t>R0102989</t>
        </is>
      </c>
      <c r="M52" s="698" t="n"/>
      <c r="N52" s="698" t="inlineStr">
        <is>
          <t>AXG – SS Expense Matrix</t>
        </is>
      </c>
      <c r="O52" s="698" t="inlineStr">
        <is>
          <t>2026-06-02</t>
        </is>
      </c>
      <c r="P52" s="698" t="inlineStr">
        <is>
          <t>Expense matrix data; EGI $1,184,503</t>
        </is>
      </c>
    </row>
    <row r="53">
      <c r="A53" s="699" t="inlineStr">
        <is>
          <t>P050</t>
        </is>
      </c>
      <c r="B53" s="695" t="n">
        <v>386</v>
      </c>
      <c r="C53" s="696" t="inlineStr">
        <is>
          <t>R0085523</t>
        </is>
      </c>
      <c r="D53" s="699" t="inlineStr">
        <is>
          <t>Address unknown – see R0085523</t>
        </is>
      </c>
      <c r="E53" s="699" t="inlineStr">
        <is>
          <t>Adams County</t>
        </is>
      </c>
      <c r="F53" s="699" t="inlineStr">
        <is>
          <t>CO</t>
        </is>
      </c>
      <c r="G53" s="699" t="inlineStr">
        <is>
          <t>Self-Storage</t>
        </is>
      </c>
      <c r="H53" s="699" t="inlineStr">
        <is>
          <t>Drive-Up/Drop-Off</t>
        </is>
      </c>
      <c r="I53" s="699" t="n"/>
      <c r="J53" s="699" t="n">
        <v>39525</v>
      </c>
      <c r="K53" s="699" t="n"/>
      <c r="L53" s="699" t="inlineStr">
        <is>
          <t>R0085523</t>
        </is>
      </c>
      <c r="M53" s="699" t="n"/>
      <c r="N53" s="699" t="inlineStr">
        <is>
          <t>AXG – SS Expense Matrix</t>
        </is>
      </c>
      <c r="O53" s="699" t="inlineStr">
        <is>
          <t>2026-06-02</t>
        </is>
      </c>
      <c r="P53" s="699" t="inlineStr">
        <is>
          <t>Expense matrix data; EGI $541,974</t>
        </is>
      </c>
    </row>
    <row r="54">
      <c r="A54" s="698" t="inlineStr">
        <is>
          <t>P051</t>
        </is>
      </c>
      <c r="B54" s="695" t="n">
        <v>386</v>
      </c>
      <c r="C54" s="696" t="inlineStr">
        <is>
          <t>R0174860</t>
        </is>
      </c>
      <c r="D54" s="698" t="inlineStr">
        <is>
          <t>Address unknown – see R0174860</t>
        </is>
      </c>
      <c r="E54" s="698" t="inlineStr">
        <is>
          <t>Adams County</t>
        </is>
      </c>
      <c r="F54" s="698" t="inlineStr">
        <is>
          <t>CO</t>
        </is>
      </c>
      <c r="G54" s="698" t="inlineStr">
        <is>
          <t>Self-Storage</t>
        </is>
      </c>
      <c r="H54" s="698" t="inlineStr">
        <is>
          <t>Drive-Up/Drop-Off (containers)</t>
        </is>
      </c>
      <c r="I54" s="698" t="n"/>
      <c r="J54" s="698" t="n">
        <v>45980</v>
      </c>
      <c r="K54" s="698" t="n"/>
      <c r="L54" s="698" t="inlineStr">
        <is>
          <t>R0174860</t>
        </is>
      </c>
      <c r="M54" s="698" t="n"/>
      <c r="N54" s="698" t="inlineStr">
        <is>
          <t>AXG – SS Expense Matrix</t>
        </is>
      </c>
      <c r="O54" s="698" t="inlineStr">
        <is>
          <t>2026-06-02</t>
        </is>
      </c>
      <c r="P54" s="698" t="inlineStr">
        <is>
          <t>Expense matrix data; EGI $646,496</t>
        </is>
      </c>
    </row>
    <row r="55">
      <c r="A55" s="699" t="inlineStr">
        <is>
          <t>P052</t>
        </is>
      </c>
      <c r="B55" s="695" t="n">
        <v>386</v>
      </c>
      <c r="C55" s="696" t="inlineStr">
        <is>
          <t>R0161412</t>
        </is>
      </c>
      <c r="D55" s="699" t="inlineStr">
        <is>
          <t>Address unknown – see R0161412</t>
        </is>
      </c>
      <c r="E55" s="699" t="inlineStr">
        <is>
          <t>Adams County</t>
        </is>
      </c>
      <c r="F55" s="699" t="inlineStr">
        <is>
          <t>CO</t>
        </is>
      </c>
      <c r="G55" s="699" t="inlineStr">
        <is>
          <t>Self-Storage</t>
        </is>
      </c>
      <c r="H55" s="699" t="inlineStr">
        <is>
          <t>Drive-Up/Drop-Off</t>
        </is>
      </c>
      <c r="I55" s="699" t="n"/>
      <c r="J55" s="699" t="n">
        <v>88043</v>
      </c>
      <c r="K55" s="699" t="n"/>
      <c r="L55" s="699" t="inlineStr">
        <is>
          <t>R0161412</t>
        </is>
      </c>
      <c r="M55" s="699" t="n"/>
      <c r="N55" s="699" t="inlineStr">
        <is>
          <t>AXG – SS Expense Matrix</t>
        </is>
      </c>
      <c r="O55" s="699" t="inlineStr">
        <is>
          <t>2026-06-02</t>
        </is>
      </c>
      <c r="P55" s="699" t="inlineStr">
        <is>
          <t>Expense matrix data; EGI $1,206,603</t>
        </is>
      </c>
    </row>
    <row r="56">
      <c r="A56" s="698" t="inlineStr">
        <is>
          <t>P053</t>
        </is>
      </c>
      <c r="B56" s="695" t="n">
        <v>386</v>
      </c>
      <c r="C56" s="696" t="inlineStr">
        <is>
          <t>R0169115</t>
        </is>
      </c>
      <c r="D56" s="698" t="inlineStr">
        <is>
          <t>Address unknown – see R0169115</t>
        </is>
      </c>
      <c r="E56" s="698" t="inlineStr">
        <is>
          <t>Adams County</t>
        </is>
      </c>
      <c r="F56" s="698" t="inlineStr">
        <is>
          <t>CO</t>
        </is>
      </c>
      <c r="G56" s="698" t="inlineStr">
        <is>
          <t>Self-Storage</t>
        </is>
      </c>
      <c r="H56" s="698" t="inlineStr">
        <is>
          <t>Drive-Up/Drop-Off</t>
        </is>
      </c>
      <c r="I56" s="698" t="n"/>
      <c r="J56" s="698" t="n">
        <v>41764</v>
      </c>
      <c r="K56" s="698" t="n"/>
      <c r="L56" s="698" t="inlineStr">
        <is>
          <t>R0169115</t>
        </is>
      </c>
      <c r="M56" s="698" t="n"/>
      <c r="N56" s="698" t="inlineStr">
        <is>
          <t>AXG – SS Expense Matrix</t>
        </is>
      </c>
      <c r="O56" s="698" t="inlineStr">
        <is>
          <t>2026-06-02</t>
        </is>
      </c>
      <c r="P56" s="698" t="inlineStr">
        <is>
          <t>Expense matrix data; EGI $787,364</t>
        </is>
      </c>
    </row>
    <row r="57">
      <c r="A57" s="698" t="inlineStr">
        <is>
          <t>P054</t>
        </is>
      </c>
      <c r="B57" s="695" t="n">
        <v>210</v>
      </c>
      <c r="C57" s="696" t="inlineStr">
        <is>
          <t>R0180551</t>
        </is>
      </c>
      <c r="D57" s="698" t="inlineStr">
        <is>
          <t>1953 N Gun Club Rd</t>
        </is>
      </c>
      <c r="E57" s="698" t="inlineStr">
        <is>
          <t>Aurora</t>
        </is>
      </c>
      <c r="F57" s="698" t="inlineStr">
        <is>
          <t>CO</t>
        </is>
      </c>
      <c r="G57" s="698" t="inlineStr">
        <is>
          <t>Industrial</t>
        </is>
      </c>
      <c r="H57" s="698" t="inlineStr">
        <is>
          <t>Multi-Tenant Industrial/Office NNN</t>
        </is>
      </c>
      <c r="I57" s="698" t="n"/>
      <c r="J57" s="698" t="n"/>
      <c r="K57" s="698" t="n"/>
      <c r="L57" s="698" t="inlineStr">
        <is>
          <t>R0180551</t>
        </is>
      </c>
      <c r="M57" s="698" t="inlineStr">
        <is>
          <t>Cherry Owner III LLC / AIP KKR</t>
        </is>
      </c>
      <c r="N57" s="698" t="inlineStr">
        <is>
          <t>08_2025 Review – owner actual P&amp;L</t>
        </is>
      </c>
      <c r="O57" s="698" t="inlineStr">
        <is>
          <t>2026-06-02</t>
        </is>
      </c>
      <c r="P57" s="698" t="inlineStr">
        <is>
          <t>Actual 2023+2024; base rent + full recovery; adj for prior-yr tax</t>
        </is>
      </c>
    </row>
    <row r="58">
      <c r="A58" s="699" t="inlineStr">
        <is>
          <t>P055</t>
        </is>
      </c>
      <c r="B58" s="695" t="n">
        <v>407</v>
      </c>
      <c r="C58" s="696" t="inlineStr">
        <is>
          <t>R0211072/R0211073/R0211074</t>
        </is>
      </c>
      <c r="D58" s="699" t="inlineStr">
        <is>
          <t>Park 76 Distribution Center</t>
        </is>
      </c>
      <c r="E58" s="699" t="inlineStr">
        <is>
          <t>Aurora</t>
        </is>
      </c>
      <c r="F58" s="699" t="inlineStr">
        <is>
          <t>CO</t>
        </is>
      </c>
      <c r="G58" s="699" t="inlineStr">
        <is>
          <t>Industrial</t>
        </is>
      </c>
      <c r="H58" s="699" t="inlineStr">
        <is>
          <t>Industrial Warehouse (3-bldg campus) NNN</t>
        </is>
      </c>
      <c r="I58" s="699" t="n"/>
      <c r="J58" s="699" t="n"/>
      <c r="K58" s="699" t="n"/>
      <c r="L58" s="699" t="inlineStr">
        <is>
          <t>R0211072/R0211073/R0211074</t>
        </is>
      </c>
      <c r="M58" s="699" t="inlineStr">
        <is>
          <t>Park 76 Owner LLC / Alpha Industrial</t>
        </is>
      </c>
      <c r="N58" s="699" t="inlineStr">
        <is>
          <t>08_2025 Review – owner actual P&amp;L</t>
        </is>
      </c>
      <c r="O58" s="699" t="inlineStr">
        <is>
          <t>2026-06-02</t>
        </is>
      </c>
      <c r="P58" s="699" t="inlineStr">
        <is>
          <t>3-building campus; actual 2023+2024; lease-up completed ~2023</t>
        </is>
      </c>
    </row>
    <row r="59">
      <c r="A59" s="698" t="inlineStr">
        <is>
          <t>P056</t>
        </is>
      </c>
      <c r="B59" s="695" t="n">
        <v>407</v>
      </c>
      <c r="C59" s="696" t="inlineStr">
        <is>
          <t>R0210485</t>
        </is>
      </c>
      <c r="D59" s="698" t="inlineStr">
        <is>
          <t>1101 E 126th Ave (Bldg A)</t>
        </is>
      </c>
      <c r="E59" s="698" t="inlineStr">
        <is>
          <t>Thornton</t>
        </is>
      </c>
      <c r="F59" s="698" t="inlineStr">
        <is>
          <t>CO</t>
        </is>
      </c>
      <c r="G59" s="698" t="inlineStr">
        <is>
          <t>Industrial</t>
        </is>
      </c>
      <c r="H59" s="698" t="inlineStr">
        <is>
          <t>Industrial Warehouse NNN</t>
        </is>
      </c>
      <c r="I59" s="698" t="n">
        <v>2022</v>
      </c>
      <c r="J59" s="698" t="n"/>
      <c r="K59" s="698" t="n"/>
      <c r="L59" s="698" t="inlineStr">
        <is>
          <t>R0210485</t>
        </is>
      </c>
      <c r="M59" s="698" t="inlineStr">
        <is>
          <t>Thornton Owner LLC / Alpha Industrial</t>
        </is>
      </c>
      <c r="N59" s="698" t="inlineStr">
        <is>
          <t>08_2025 Review – owner actual P&amp;L</t>
        </is>
      </c>
      <c r="O59" s="698" t="inlineStr">
        <is>
          <t>2026-06-02</t>
        </is>
      </c>
      <c r="P59" s="698" t="inlineStr">
        <is>
          <t>New (YOC ~2022); 2023 lease-up; 2024 near-stabilized; 2024 only added</t>
        </is>
      </c>
    </row>
    <row r="60">
      <c r="A60" s="699" t="inlineStr">
        <is>
          <t>P057</t>
        </is>
      </c>
      <c r="B60" s="695" t="n">
        <v>407</v>
      </c>
      <c r="C60" s="696" t="inlineStr">
        <is>
          <t>R0210486</t>
        </is>
      </c>
      <c r="D60" s="699" t="inlineStr">
        <is>
          <t>12625 Lafayette St (Bldg B)</t>
        </is>
      </c>
      <c r="E60" s="699" t="inlineStr">
        <is>
          <t>Thornton</t>
        </is>
      </c>
      <c r="F60" s="699" t="inlineStr">
        <is>
          <t>CO</t>
        </is>
      </c>
      <c r="G60" s="699" t="inlineStr">
        <is>
          <t>Industrial</t>
        </is>
      </c>
      <c r="H60" s="699" t="inlineStr">
        <is>
          <t>Industrial Warehouse NNN</t>
        </is>
      </c>
      <c r="I60" s="699" t="n">
        <v>2022</v>
      </c>
      <c r="J60" s="699" t="n"/>
      <c r="K60" s="699" t="n"/>
      <c r="L60" s="699" t="inlineStr">
        <is>
          <t>R0210486</t>
        </is>
      </c>
      <c r="M60" s="699" t="inlineStr">
        <is>
          <t>Thornton Owner LLC / Alpha Industrial</t>
        </is>
      </c>
      <c r="N60" s="699" t="inlineStr">
        <is>
          <t>08_2025 Review – owner actual P&amp;L</t>
        </is>
      </c>
      <c r="O60" s="699" t="inlineStr">
        <is>
          <t>2026-06-02</t>
        </is>
      </c>
      <c r="P60" s="699" t="inlineStr">
        <is>
          <t>New (YOC ~2022); 2023 lease-up; 2024 near-stabilized; 2024 only added</t>
        </is>
      </c>
    </row>
    <row r="61">
      <c r="A61" s="698" t="inlineStr">
        <is>
          <t>P058</t>
        </is>
      </c>
      <c r="B61" s="695" t="n">
        <v>407</v>
      </c>
      <c r="C61" s="696" t="inlineStr">
        <is>
          <t>R0091934</t>
        </is>
      </c>
      <c r="D61" s="698" t="inlineStr">
        <is>
          <t>350 Park Industrial (5759)</t>
        </is>
      </c>
      <c r="E61" s="698" t="inlineStr">
        <is>
          <t>Aurora</t>
        </is>
      </c>
      <c r="F61" s="698" t="inlineStr">
        <is>
          <t>CO</t>
        </is>
      </c>
      <c r="G61" s="698" t="inlineStr">
        <is>
          <t>Industrial</t>
        </is>
      </c>
      <c r="H61" s="698" t="inlineStr">
        <is>
          <t>Multi-Tenant Industrial 407</t>
        </is>
      </c>
      <c r="I61" s="698" t="n">
        <v>1995</v>
      </c>
      <c r="J61" s="698" t="n">
        <v>32600</v>
      </c>
      <c r="K61" s="698" t="n"/>
      <c r="L61" s="698" t="inlineStr">
        <is>
          <t>R0091934</t>
        </is>
      </c>
      <c r="M61" s="698" t="n"/>
      <c r="N61" s="698" t="inlineStr">
        <is>
          <t>08_2025 Review – owner actual P&amp;L</t>
        </is>
      </c>
      <c r="O61" s="698" t="inlineStr">
        <is>
          <t>2026-06-02</t>
        </is>
      </c>
      <c r="P61" s="698" t="inlineStr">
        <is>
          <t>Actual accrual 2023+2024; multi-tenant; 3 tenants</t>
        </is>
      </c>
    </row>
    <row r="62">
      <c r="A62" s="699" t="inlineStr">
        <is>
          <t>P059</t>
        </is>
      </c>
      <c r="B62" s="695" t="n">
        <v>407</v>
      </c>
      <c r="C62" s="696" t="inlineStr">
        <is>
          <t>R0093111</t>
        </is>
      </c>
      <c r="D62" s="699" t="inlineStr">
        <is>
          <t>Industrial Property (yden0702)</t>
        </is>
      </c>
      <c r="E62" s="699" t="inlineStr">
        <is>
          <t>Aurora</t>
        </is>
      </c>
      <c r="F62" s="699" t="inlineStr">
        <is>
          <t>CO</t>
        </is>
      </c>
      <c r="G62" s="699" t="inlineStr">
        <is>
          <t>Industrial</t>
        </is>
      </c>
      <c r="H62" s="699" t="inlineStr">
        <is>
          <t>Multi-Tenant Industrial 407</t>
        </is>
      </c>
      <c r="I62" s="699" t="n"/>
      <c r="J62" s="699" t="n"/>
      <c r="K62" s="699" t="n"/>
      <c r="L62" s="699" t="inlineStr">
        <is>
          <t>R0093111</t>
        </is>
      </c>
      <c r="M62" s="699" t="n"/>
      <c r="N62" s="699" t="inlineStr">
        <is>
          <t>08_2025 Review – owner actual P&amp;L</t>
        </is>
      </c>
      <c r="O62" s="699" t="inlineStr">
        <is>
          <t>2026-06-02</t>
        </is>
      </c>
      <c r="P62" s="699" t="inlineStr">
        <is>
          <t>Actual 2023+2024; SF not confirmed; multi-tenant 3 tenants</t>
        </is>
      </c>
    </row>
    <row r="63">
      <c r="A63" s="698" t="inlineStr">
        <is>
          <t>P060</t>
        </is>
      </c>
      <c r="B63" s="695" t="n">
        <v>407</v>
      </c>
      <c r="C63" s="696" t="inlineStr">
        <is>
          <t>R0100104</t>
        </is>
      </c>
      <c r="D63" s="698" t="inlineStr">
        <is>
          <t>312 Kew West</t>
        </is>
      </c>
      <c r="E63" s="698" t="inlineStr">
        <is>
          <t>Aurora</t>
        </is>
      </c>
      <c r="F63" s="698" t="inlineStr">
        <is>
          <t>CO</t>
        </is>
      </c>
      <c r="G63" s="698" t="inlineStr">
        <is>
          <t>Industrial</t>
        </is>
      </c>
      <c r="H63" s="698" t="inlineStr">
        <is>
          <t>Multi-Tenant Industrial 407</t>
        </is>
      </c>
      <c r="I63" s="698" t="n"/>
      <c r="J63" s="698" t="n"/>
      <c r="K63" s="698" t="n"/>
      <c r="L63" s="698" t="inlineStr">
        <is>
          <t>R0100104</t>
        </is>
      </c>
      <c r="M63" s="698" t="n"/>
      <c r="N63" s="698" t="inlineStr">
        <is>
          <t>08_2025 Review – owner actual P&amp;L</t>
        </is>
      </c>
      <c r="O63" s="698" t="inlineStr">
        <is>
          <t>2026-06-02</t>
        </is>
      </c>
      <c r="P63" s="698" t="inlineStr">
        <is>
          <t>Actual 2023+2024; SF not confirmed</t>
        </is>
      </c>
    </row>
    <row r="64">
      <c r="A64" s="699" t="inlineStr">
        <is>
          <t>P061</t>
        </is>
      </c>
      <c r="B64" s="695" t="n">
        <v>584</v>
      </c>
      <c r="C64" s="696" t="inlineStr">
        <is>
          <t>R0083935</t>
        </is>
      </c>
      <c r="D64" s="699" t="inlineStr">
        <is>
          <t>20101 E 36th Ave (RK Industries)</t>
        </is>
      </c>
      <c r="E64" s="699" t="inlineStr">
        <is>
          <t>Aurora</t>
        </is>
      </c>
      <c r="F64" s="699" t="inlineStr">
        <is>
          <t>CO</t>
        </is>
      </c>
      <c r="G64" s="699" t="inlineStr">
        <is>
          <t>Industrial</t>
        </is>
      </c>
      <c r="H64" s="699" t="inlineStr">
        <is>
          <t>Mega Warehouse NNN</t>
        </is>
      </c>
      <c r="I64" s="699" t="n"/>
      <c r="J64" s="699" t="n">
        <v>278538</v>
      </c>
      <c r="K64" s="699" t="n"/>
      <c r="L64" s="699" t="inlineStr">
        <is>
          <t>R0083935</t>
        </is>
      </c>
      <c r="M64" s="699" t="inlineStr">
        <is>
          <t>RK Industries</t>
        </is>
      </c>
      <c r="N64" s="699" t="inlineStr">
        <is>
          <t>08_2025 Review – CBRE income statement</t>
        </is>
      </c>
      <c r="O64" s="699" t="inlineStr">
        <is>
          <t>2026-06-02</t>
        </is>
      </c>
      <c r="P64" s="699" t="inlineStr">
        <is>
          <t>Single-tenant NNN; 2024 partial data; rent $4.47/SF NNN</t>
        </is>
      </c>
    </row>
    <row r="65">
      <c r="A65" s="698" t="inlineStr">
        <is>
          <t>P062</t>
        </is>
      </c>
      <c r="B65" s="695" t="n">
        <v>407</v>
      </c>
      <c r="C65" s="696" t="inlineStr">
        <is>
          <t>R0200721</t>
        </is>
      </c>
      <c r="D65" s="698" t="inlineStr">
        <is>
          <t>3420 N Lisbon St</t>
        </is>
      </c>
      <c r="E65" s="698" t="inlineStr">
        <is>
          <t>Aurora</t>
        </is>
      </c>
      <c r="F65" s="698" t="inlineStr">
        <is>
          <t>CO</t>
        </is>
      </c>
      <c r="G65" s="698" t="inlineStr">
        <is>
          <t>Industrial</t>
        </is>
      </c>
      <c r="H65" s="698" t="inlineStr">
        <is>
          <t>Single-Tenant Industrial NNN</t>
        </is>
      </c>
      <c r="I65" s="698" t="n">
        <v>2019</v>
      </c>
      <c r="J65" s="698" t="n">
        <v>36212</v>
      </c>
      <c r="K65" s="698" t="n"/>
      <c r="L65" s="698" t="inlineStr">
        <is>
          <t>R0200721</t>
        </is>
      </c>
      <c r="M65" s="698" t="inlineStr">
        <is>
          <t>Cameron Ashley Bldg Products</t>
        </is>
      </c>
      <c r="N65" s="698" t="inlineStr">
        <is>
          <t>08_2025 Review – rent roll</t>
        </is>
      </c>
      <c r="O65" s="698" t="inlineStr">
        <is>
          <t>2026-06-02</t>
        </is>
      </c>
      <c r="P65" s="698" t="inlineStr">
        <is>
          <t>NNN lease thru 12/31/2028; rent only; tenant pays all opex</t>
        </is>
      </c>
    </row>
    <row r="66">
      <c r="A66" s="699" t="inlineStr">
        <is>
          <t>P063</t>
        </is>
      </c>
      <c r="B66" s="695" t="n">
        <v>344</v>
      </c>
      <c r="C66" s="696" t="inlineStr">
        <is>
          <t>R0040581</t>
        </is>
      </c>
      <c r="D66" s="699" t="inlineStr">
        <is>
          <t>2090 E 104th Ave</t>
        </is>
      </c>
      <c r="E66" s="699" t="inlineStr">
        <is>
          <t>Thornton</t>
        </is>
      </c>
      <c r="F66" s="699" t="inlineStr">
        <is>
          <t>CO</t>
        </is>
      </c>
      <c r="G66" s="699" t="inlineStr">
        <is>
          <t>Office</t>
        </is>
      </c>
      <c r="H66" s="699" t="inlineStr">
        <is>
          <t>Multi-Tenant Office</t>
        </is>
      </c>
      <c r="I66" s="699" t="n"/>
      <c r="J66" s="699" t="n">
        <v>19764</v>
      </c>
      <c r="K66" s="699" t="n"/>
      <c r="L66" s="699" t="inlineStr">
        <is>
          <t>R0040581</t>
        </is>
      </c>
      <c r="M66" s="699" t="n"/>
      <c r="N66" s="699" t="inlineStr">
        <is>
          <t>08_2025 Review – owner P&amp;L</t>
        </is>
      </c>
      <c r="O66" s="699" t="inlineStr">
        <is>
          <t>2026-06-02</t>
        </is>
      </c>
      <c r="P66" s="699" t="inlineStr">
        <is>
          <t>Actual 2023+2024; 11 suites</t>
        </is>
      </c>
    </row>
    <row r="67">
      <c r="A67" s="698" t="inlineStr">
        <is>
          <t>P064</t>
        </is>
      </c>
      <c r="B67" s="695" t="n">
        <v>344</v>
      </c>
      <c r="C67" s="696" t="inlineStr">
        <is>
          <t>R0050977</t>
        </is>
      </c>
      <c r="D67" s="698" t="inlineStr">
        <is>
          <t>9351 Grant St</t>
        </is>
      </c>
      <c r="E67" s="698" t="inlineStr">
        <is>
          <t>Thornton</t>
        </is>
      </c>
      <c r="F67" s="698" t="inlineStr">
        <is>
          <t>CO</t>
        </is>
      </c>
      <c r="G67" s="698" t="inlineStr">
        <is>
          <t>Office</t>
        </is>
      </c>
      <c r="H67" s="698" t="inlineStr">
        <is>
          <t>Multi-Tenant Office</t>
        </is>
      </c>
      <c r="I67" s="698" t="n"/>
      <c r="J67" s="698" t="n"/>
      <c r="K67" s="698" t="n"/>
      <c r="L67" s="698" t="inlineStr">
        <is>
          <t>R0050977</t>
        </is>
      </c>
      <c r="M67" s="698" t="inlineStr">
        <is>
          <t>Crown Real Estate Group</t>
        </is>
      </c>
      <c r="N67" s="698" t="inlineStr">
        <is>
          <t>08_2025 Review – owner P&amp;L</t>
        </is>
      </c>
      <c r="O67" s="698" t="inlineStr">
        <is>
          <t>2026-06-02</t>
        </is>
      </c>
      <c r="P67" s="698" t="inlineStr">
        <is>
          <t>Actual 2023; SF not stated; large property</t>
        </is>
      </c>
    </row>
    <row r="68">
      <c r="A68" s="699" t="inlineStr">
        <is>
          <t>P065</t>
        </is>
      </c>
      <c r="B68" s="695" t="n">
        <v>344</v>
      </c>
      <c r="C68" s="696" t="inlineStr">
        <is>
          <t>R0069041</t>
        </is>
      </c>
      <c r="D68" s="699" t="inlineStr">
        <is>
          <t>7475 Dakin St (Turnpike Tower)</t>
        </is>
      </c>
      <c r="E68" s="699" t="inlineStr">
        <is>
          <t>Denver</t>
        </is>
      </c>
      <c r="F68" s="699" t="inlineStr">
        <is>
          <t>CO</t>
        </is>
      </c>
      <c r="G68" s="699" t="inlineStr">
        <is>
          <t>Office</t>
        </is>
      </c>
      <c r="H68" s="699" t="inlineStr">
        <is>
          <t>Multi-Tenant Office</t>
        </is>
      </c>
      <c r="I68" s="699" t="n"/>
      <c r="J68" s="699" t="n">
        <v>114843</v>
      </c>
      <c r="K68" s="699" t="n"/>
      <c r="L68" s="699" t="inlineStr">
        <is>
          <t>R0069041</t>
        </is>
      </c>
      <c r="M68" s="699" t="n"/>
      <c r="N68" s="699" t="inlineStr">
        <is>
          <t>08_2025 Review – owner P&amp;L</t>
        </is>
      </c>
      <c r="O68" s="699" t="inlineStr">
        <is>
          <t>2026-06-02</t>
        </is>
      </c>
      <c r="P68" s="699" t="inlineStr">
        <is>
          <t>Actual 2023+2024; 87.7% occ; NNN/Modified leases</t>
        </is>
      </c>
    </row>
    <row r="69">
      <c r="A69" s="698" t="inlineStr">
        <is>
          <t>P066</t>
        </is>
      </c>
      <c r="B69" s="695" t="n">
        <v>344</v>
      </c>
      <c r="C69" s="696" t="inlineStr">
        <is>
          <t>R0079409</t>
        </is>
      </c>
      <c r="D69" s="698" t="inlineStr">
        <is>
          <t>6401 E 72nd Ave</t>
        </is>
      </c>
      <c r="E69" s="698" t="inlineStr">
        <is>
          <t>Commerce City</t>
        </is>
      </c>
      <c r="F69" s="698" t="inlineStr">
        <is>
          <t>CO</t>
        </is>
      </c>
      <c r="G69" s="698" t="inlineStr">
        <is>
          <t>Office</t>
        </is>
      </c>
      <c r="H69" s="698" t="inlineStr">
        <is>
          <t>Multi-Tenant Office</t>
        </is>
      </c>
      <c r="I69" s="698" t="n"/>
      <c r="J69" s="698" t="n">
        <v>8218</v>
      </c>
      <c r="K69" s="698" t="n"/>
      <c r="L69" s="698" t="inlineStr">
        <is>
          <t>R0079409</t>
        </is>
      </c>
      <c r="M69" s="698" t="n"/>
      <c r="N69" s="698" t="inlineStr">
        <is>
          <t>08_2025 Review – owner P&amp;L</t>
        </is>
      </c>
      <c r="O69" s="698" t="inlineStr">
        <is>
          <t>2026-06-02</t>
        </is>
      </c>
      <c r="P69" s="698" t="inlineStr">
        <is>
          <t>Actual 2023; 9 tenants; small multi-tenant office</t>
        </is>
      </c>
    </row>
    <row r="70">
      <c r="A70" s="699" t="inlineStr">
        <is>
          <t>P067</t>
        </is>
      </c>
      <c r="B70" s="695" t="n">
        <v>344</v>
      </c>
      <c r="C70" s="696" t="inlineStr">
        <is>
          <t>R0189338</t>
        </is>
      </c>
      <c r="D70" s="699" t="inlineStr">
        <is>
          <t>203 Telluride St</t>
        </is>
      </c>
      <c r="E70" s="699" t="inlineStr">
        <is>
          <t>Aurora</t>
        </is>
      </c>
      <c r="F70" s="699" t="inlineStr">
        <is>
          <t>CO</t>
        </is>
      </c>
      <c r="G70" s="699" t="inlineStr">
        <is>
          <t>Office</t>
        </is>
      </c>
      <c r="H70" s="699" t="inlineStr">
        <is>
          <t>Multi-Tenant Office</t>
        </is>
      </c>
      <c r="I70" s="699" t="n"/>
      <c r="J70" s="699" t="n"/>
      <c r="K70" s="699" t="n"/>
      <c r="L70" s="699" t="inlineStr">
        <is>
          <t>R0189338</t>
        </is>
      </c>
      <c r="M70" s="699" t="n"/>
      <c r="N70" s="699" t="inlineStr">
        <is>
          <t>08_2025 Review – owner P&amp;L</t>
        </is>
      </c>
      <c r="O70" s="699" t="inlineStr">
        <is>
          <t>2026-06-02</t>
        </is>
      </c>
      <c r="P70" s="699" t="inlineStr">
        <is>
          <t>Actual 2023+2024; SF not stated</t>
        </is>
      </c>
    </row>
    <row r="71">
      <c r="A71" s="698" t="inlineStr">
        <is>
          <t>P068</t>
        </is>
      </c>
      <c r="B71" s="695" t="n">
        <v>344</v>
      </c>
      <c r="C71" s="696" t="inlineStr">
        <is>
          <t>R0193830</t>
        </is>
      </c>
      <c r="D71" s="698" t="inlineStr">
        <is>
          <t>Justice Center Office Plaza</t>
        </is>
      </c>
      <c r="E71" s="698" t="inlineStr">
        <is>
          <t>Denver</t>
        </is>
      </c>
      <c r="F71" s="698" t="inlineStr">
        <is>
          <t>CO</t>
        </is>
      </c>
      <c r="G71" s="698" t="inlineStr">
        <is>
          <t>Office</t>
        </is>
      </c>
      <c r="H71" s="698" t="inlineStr">
        <is>
          <t>Multi-Tenant Office NNN</t>
        </is>
      </c>
      <c r="I71" s="698" t="n"/>
      <c r="J71" s="698" t="n">
        <v>41979</v>
      </c>
      <c r="K71" s="698" t="n"/>
      <c r="L71" s="698" t="inlineStr">
        <is>
          <t>R0193830</t>
        </is>
      </c>
      <c r="M71" s="698" t="n"/>
      <c r="N71" s="698" t="inlineStr">
        <is>
          <t>08_2025 Review – owner P&amp;L</t>
        </is>
      </c>
      <c r="O71" s="698" t="inlineStr">
        <is>
          <t>2026-06-02</t>
        </is>
      </c>
      <c r="P71" s="698" t="inlineStr">
        <is>
          <t>Actual 2023+2024; govt tenants; 100% occ; NNN leases</t>
        </is>
      </c>
    </row>
    <row r="72">
      <c r="A72" s="699" t="inlineStr">
        <is>
          <t>P069</t>
        </is>
      </c>
      <c r="B72" s="695" t="n">
        <v>210</v>
      </c>
      <c r="C72" s="696" t="inlineStr">
        <is>
          <t>R0098223</t>
        </is>
      </c>
      <c r="D72" s="699" t="inlineStr">
        <is>
          <t>Washington Commerce Center</t>
        </is>
      </c>
      <c r="E72" s="699" t="inlineStr">
        <is>
          <t>Commerce City</t>
        </is>
      </c>
      <c r="F72" s="699" t="inlineStr">
        <is>
          <t>CO</t>
        </is>
      </c>
      <c r="G72" s="699" t="inlineStr">
        <is>
          <t>Office/Industrial</t>
        </is>
      </c>
      <c r="H72" s="699" t="inlineStr">
        <is>
          <t>Multi-Tenant Office/Industrial</t>
        </is>
      </c>
      <c r="I72" s="699" t="n"/>
      <c r="J72" s="699" t="n">
        <v>278538</v>
      </c>
      <c r="K72" s="699" t="n"/>
      <c r="L72" s="699" t="inlineStr">
        <is>
          <t>R0098223</t>
        </is>
      </c>
      <c r="M72" s="699" t="n"/>
      <c r="N72" s="699" t="inlineStr">
        <is>
          <t>08_2025 Review – owner P&amp;L</t>
        </is>
      </c>
      <c r="O72" s="699" t="inlineStr">
        <is>
          <t>2026-06-02</t>
        </is>
      </c>
      <c r="P72" s="699" t="inlineStr">
        <is>
          <t>Actual 2023+2024; SF est; opex very low – likely tenant-pay NNN</t>
        </is>
      </c>
    </row>
    <row r="73">
      <c r="A73" s="698" t="inlineStr">
        <is>
          <t>P070</t>
        </is>
      </c>
      <c r="B73" s="695" t="n">
        <v>210</v>
      </c>
      <c r="C73" s="696" t="inlineStr">
        <is>
          <t>R0084242</t>
        </is>
      </c>
      <c r="D73" s="698" t="inlineStr">
        <is>
          <t>Upland Dist Ctr I (Bldg 1 bt46274)</t>
        </is>
      </c>
      <c r="E73" s="698" t="inlineStr">
        <is>
          <t>Aurora</t>
        </is>
      </c>
      <c r="F73" s="698" t="inlineStr">
        <is>
          <t>CO</t>
        </is>
      </c>
      <c r="G73" s="698" t="inlineStr">
        <is>
          <t>Industrial</t>
        </is>
      </c>
      <c r="H73" s="698" t="inlineStr">
        <is>
          <t>Multi-Tenant Industrial NNN</t>
        </is>
      </c>
      <c r="I73" s="698" t="n"/>
      <c r="J73" s="698" t="n"/>
      <c r="K73" s="698" t="n"/>
      <c r="L73" s="698" t="inlineStr">
        <is>
          <t>R0084242</t>
        </is>
      </c>
      <c r="M73" s="698" t="inlineStr">
        <is>
          <t>Link Logistics</t>
        </is>
      </c>
      <c r="N73" s="698" t="inlineStr">
        <is>
          <t>08_2025 Review – Link Logistics actual P&amp;L</t>
        </is>
      </c>
      <c r="O73" s="698" t="inlineStr">
        <is>
          <t>2026-06-02</t>
        </is>
      </c>
      <c r="P73" s="698" t="inlineStr">
        <is>
          <t>Actual accrual 2023+2024; NNN reimbursable structure</t>
        </is>
      </c>
    </row>
    <row r="74">
      <c r="A74" s="699" t="inlineStr">
        <is>
          <t>P071</t>
        </is>
      </c>
      <c r="B74" s="695" t="n">
        <v>210</v>
      </c>
      <c r="C74" s="696" t="inlineStr">
        <is>
          <t>R0084243</t>
        </is>
      </c>
      <c r="D74" s="699" t="inlineStr">
        <is>
          <t>Upland Dist Ctr I (Bldg 2 bt46275)</t>
        </is>
      </c>
      <c r="E74" s="699" t="inlineStr">
        <is>
          <t>Aurora</t>
        </is>
      </c>
      <c r="F74" s="699" t="inlineStr">
        <is>
          <t>CO</t>
        </is>
      </c>
      <c r="G74" s="699" t="inlineStr">
        <is>
          <t>Industrial</t>
        </is>
      </c>
      <c r="H74" s="699" t="inlineStr">
        <is>
          <t>Multi-Tenant Industrial NNN</t>
        </is>
      </c>
      <c r="I74" s="699" t="n"/>
      <c r="J74" s="699" t="n"/>
      <c r="K74" s="699" t="n"/>
      <c r="L74" s="699" t="inlineStr">
        <is>
          <t>R0084243</t>
        </is>
      </c>
      <c r="M74" s="699" t="inlineStr">
        <is>
          <t>Link Logistics</t>
        </is>
      </c>
      <c r="N74" s="699" t="inlineStr">
        <is>
          <t>08_2025 Review – Link Logistics actual P&amp;L</t>
        </is>
      </c>
      <c r="O74" s="699" t="inlineStr">
        <is>
          <t>2026-06-02</t>
        </is>
      </c>
      <c r="P74" s="699" t="inlineStr">
        <is>
          <t>Actual accrual 2023+2024</t>
        </is>
      </c>
    </row>
    <row r="75">
      <c r="A75" s="698" t="inlineStr">
        <is>
          <t>P072</t>
        </is>
      </c>
      <c r="B75" s="695" t="n">
        <v>210</v>
      </c>
      <c r="C75" s="696" t="inlineStr">
        <is>
          <t>R0084244</t>
        </is>
      </c>
      <c r="D75" s="698" t="inlineStr">
        <is>
          <t>Upland Dist Ctr I (Bldg 3 bt46276)</t>
        </is>
      </c>
      <c r="E75" s="698" t="inlineStr">
        <is>
          <t>Aurora</t>
        </is>
      </c>
      <c r="F75" s="698" t="inlineStr">
        <is>
          <t>CO</t>
        </is>
      </c>
      <c r="G75" s="698" t="inlineStr">
        <is>
          <t>Industrial</t>
        </is>
      </c>
      <c r="H75" s="698" t="inlineStr">
        <is>
          <t>Multi-Tenant Industrial NNN</t>
        </is>
      </c>
      <c r="I75" s="698" t="n"/>
      <c r="J75" s="698" t="n"/>
      <c r="K75" s="698" t="n"/>
      <c r="L75" s="698" t="inlineStr">
        <is>
          <t>R0084244</t>
        </is>
      </c>
      <c r="M75" s="698" t="inlineStr">
        <is>
          <t>Link Logistics</t>
        </is>
      </c>
      <c r="N75" s="698" t="inlineStr">
        <is>
          <t>08_2025 Review – Link Logistics actual P&amp;L</t>
        </is>
      </c>
      <c r="O75" s="698" t="inlineStr">
        <is>
          <t>2026-06-02</t>
        </is>
      </c>
      <c r="P75" s="698" t="inlineStr">
        <is>
          <t>2023 only; large warehouse; notable vacancy/free rent period</t>
        </is>
      </c>
    </row>
    <row r="76">
      <c r="A76" s="699" t="inlineStr">
        <is>
          <t>P073</t>
        </is>
      </c>
      <c r="B76" s="695" t="n">
        <v>210</v>
      </c>
      <c r="C76" s="696" t="inlineStr">
        <is>
          <t>R0084247</t>
        </is>
      </c>
      <c r="D76" s="699" t="inlineStr">
        <is>
          <t>13802 E 33rd Place</t>
        </is>
      </c>
      <c r="E76" s="699" t="inlineStr">
        <is>
          <t>Aurora</t>
        </is>
      </c>
      <c r="F76" s="699" t="inlineStr">
        <is>
          <t>CO</t>
        </is>
      </c>
      <c r="G76" s="699" t="inlineStr">
        <is>
          <t>Industrial</t>
        </is>
      </c>
      <c r="H76" s="699" t="inlineStr">
        <is>
          <t>Multi-Tenant Industrial NNN</t>
        </is>
      </c>
      <c r="I76" s="699" t="n"/>
      <c r="J76" s="699" t="n"/>
      <c r="K76" s="699" t="n"/>
      <c r="L76" s="699" t="inlineStr">
        <is>
          <t>R0084247</t>
        </is>
      </c>
      <c r="M76" s="699" t="inlineStr">
        <is>
          <t>Link Logistics</t>
        </is>
      </c>
      <c r="N76" s="699" t="inlineStr">
        <is>
          <t>08_2025 Review – Link Logistics actual P&amp;L</t>
        </is>
      </c>
      <c r="O76" s="699" t="inlineStr">
        <is>
          <t>2026-06-02</t>
        </is>
      </c>
      <c r="P76" s="699" t="inlineStr">
        <is>
          <t>Actual accrual 2023+2024</t>
        </is>
      </c>
    </row>
    <row r="77">
      <c r="A77" s="698" t="inlineStr">
        <is>
          <t>P074</t>
        </is>
      </c>
      <c r="B77" s="695" t="n">
        <v>210</v>
      </c>
      <c r="C77" s="696" t="inlineStr">
        <is>
          <t>R0084248</t>
        </is>
      </c>
      <c r="D77" s="698" t="inlineStr">
        <is>
          <t>14002 E 33rd Place</t>
        </is>
      </c>
      <c r="E77" s="698" t="inlineStr">
        <is>
          <t>Aurora</t>
        </is>
      </c>
      <c r="F77" s="698" t="inlineStr">
        <is>
          <t>CO</t>
        </is>
      </c>
      <c r="G77" s="698" t="inlineStr">
        <is>
          <t>Industrial</t>
        </is>
      </c>
      <c r="H77" s="698" t="inlineStr">
        <is>
          <t>Multi-Tenant Industrial NNN</t>
        </is>
      </c>
      <c r="I77" s="698" t="n"/>
      <c r="J77" s="698" t="n"/>
      <c r="K77" s="698" t="n"/>
      <c r="L77" s="698" t="inlineStr">
        <is>
          <t>R0084248</t>
        </is>
      </c>
      <c r="M77" s="698" t="inlineStr">
        <is>
          <t>Link Logistics</t>
        </is>
      </c>
      <c r="N77" s="698" t="inlineStr">
        <is>
          <t>08_2025 Review – Link Logistics actual P&amp;L</t>
        </is>
      </c>
      <c r="O77" s="698" t="inlineStr">
        <is>
          <t>2026-06-02</t>
        </is>
      </c>
      <c r="P77" s="698" t="inlineStr">
        <is>
          <t>Actual accrual 2023+2024; 2023 RE tax net of $53k refund</t>
        </is>
      </c>
    </row>
    <row r="78">
      <c r="A78" s="699" t="inlineStr">
        <is>
          <t>P075</t>
        </is>
      </c>
      <c r="B78" s="695" t="n">
        <v>210</v>
      </c>
      <c r="C78" s="696" t="inlineStr">
        <is>
          <t>R0084250</t>
        </is>
      </c>
      <c r="D78" s="699" t="inlineStr">
        <is>
          <t>3250 Abilene Street</t>
        </is>
      </c>
      <c r="E78" s="699" t="inlineStr">
        <is>
          <t>Aurora</t>
        </is>
      </c>
      <c r="F78" s="699" t="inlineStr">
        <is>
          <t>CO</t>
        </is>
      </c>
      <c r="G78" s="699" t="inlineStr">
        <is>
          <t>Industrial</t>
        </is>
      </c>
      <c r="H78" s="699" t="inlineStr">
        <is>
          <t>Multi-Tenant Industrial NNN</t>
        </is>
      </c>
      <c r="I78" s="699" t="n"/>
      <c r="J78" s="699" t="n"/>
      <c r="K78" s="699" t="n"/>
      <c r="L78" s="699" t="inlineStr">
        <is>
          <t>R0084250</t>
        </is>
      </c>
      <c r="M78" s="699" t="inlineStr">
        <is>
          <t>Link Logistics</t>
        </is>
      </c>
      <c r="N78" s="699" t="inlineStr">
        <is>
          <t>08_2025 Review – Link Logistics actual P&amp;L</t>
        </is>
      </c>
      <c r="O78" s="699" t="inlineStr">
        <is>
          <t>2026-06-02</t>
        </is>
      </c>
      <c r="P78" s="699" t="inlineStr">
        <is>
          <t>2024 tenant turnover; base rent dropped $787k→$407k; 2023 more stable</t>
        </is>
      </c>
    </row>
    <row r="79">
      <c r="A79" s="698" t="inlineStr">
        <is>
          <t>P076</t>
        </is>
      </c>
      <c r="B79" s="695" t="n">
        <v>210</v>
      </c>
      <c r="C79" s="696" t="inlineStr">
        <is>
          <t>R0084253</t>
        </is>
      </c>
      <c r="D79" s="698" t="inlineStr">
        <is>
          <t>14509 E 33rd Place (bt46265)</t>
        </is>
      </c>
      <c r="E79" s="698" t="inlineStr">
        <is>
          <t>Aurora</t>
        </is>
      </c>
      <c r="F79" s="698" t="inlineStr">
        <is>
          <t>CO</t>
        </is>
      </c>
      <c r="G79" s="698" t="inlineStr">
        <is>
          <t>Industrial</t>
        </is>
      </c>
      <c r="H79" s="698" t="inlineStr">
        <is>
          <t>Multi-Tenant Industrial NNN</t>
        </is>
      </c>
      <c r="I79" s="698" t="n"/>
      <c r="J79" s="698" t="n"/>
      <c r="K79" s="698" t="n"/>
      <c r="L79" s="698" t="inlineStr">
        <is>
          <t>R0084253</t>
        </is>
      </c>
      <c r="M79" s="698" t="inlineStr">
        <is>
          <t>Link Logistics</t>
        </is>
      </c>
      <c r="N79" s="698" t="inlineStr">
        <is>
          <t>08_2025 Review – Link Logistics actual P&amp;L</t>
        </is>
      </c>
      <c r="O79" s="698" t="inlineStr">
        <is>
          <t>2026-06-02</t>
        </is>
      </c>
      <c r="P79" s="698" t="inlineStr">
        <is>
          <t>Actual 2023+2024; 3-bldg campus R0084253</t>
        </is>
      </c>
    </row>
    <row r="80">
      <c r="A80" s="699" t="inlineStr">
        <is>
          <t>P077</t>
        </is>
      </c>
      <c r="B80" s="695" t="n">
        <v>210</v>
      </c>
      <c r="C80" s="696" t="inlineStr">
        <is>
          <t>R0084253</t>
        </is>
      </c>
      <c r="D80" s="699" t="inlineStr">
        <is>
          <t>14704 E 33rd Place (bt46266)</t>
        </is>
      </c>
      <c r="E80" s="699" t="inlineStr">
        <is>
          <t>Aurora</t>
        </is>
      </c>
      <c r="F80" s="699" t="inlineStr">
        <is>
          <t>CO</t>
        </is>
      </c>
      <c r="G80" s="699" t="inlineStr">
        <is>
          <t>Industrial</t>
        </is>
      </c>
      <c r="H80" s="699" t="inlineStr">
        <is>
          <t>Multi-Tenant Industrial NNN</t>
        </is>
      </c>
      <c r="I80" s="699" t="n"/>
      <c r="J80" s="699" t="n"/>
      <c r="K80" s="699" t="n"/>
      <c r="L80" s="699" t="inlineStr">
        <is>
          <t>R0084253</t>
        </is>
      </c>
      <c r="M80" s="699" t="inlineStr">
        <is>
          <t>Link Logistics</t>
        </is>
      </c>
      <c r="N80" s="699" t="inlineStr">
        <is>
          <t>08_2025 Review – Link Logistics actual P&amp;L</t>
        </is>
      </c>
      <c r="O80" s="699" t="inlineStr">
        <is>
          <t>2026-06-02</t>
        </is>
      </c>
      <c r="P80" s="699" t="inlineStr">
        <is>
          <t>Actual 2024; partial vacancy (electric/gas vacancy costs); same parcel R0084253</t>
        </is>
      </c>
    </row>
    <row r="81">
      <c r="A81" s="698" t="inlineStr">
        <is>
          <t>P078</t>
        </is>
      </c>
      <c r="B81" s="695" t="n">
        <v>210</v>
      </c>
      <c r="C81" s="696" t="inlineStr">
        <is>
          <t>R0084253</t>
        </is>
      </c>
      <c r="D81" s="698" t="inlineStr">
        <is>
          <t>14705 E 33rd Place (bt46267)</t>
        </is>
      </c>
      <c r="E81" s="698" t="inlineStr">
        <is>
          <t>Aurora</t>
        </is>
      </c>
      <c r="F81" s="698" t="inlineStr">
        <is>
          <t>CO</t>
        </is>
      </c>
      <c r="G81" s="698" t="inlineStr">
        <is>
          <t>Industrial</t>
        </is>
      </c>
      <c r="H81" s="698" t="inlineStr">
        <is>
          <t>Multi-Tenant Industrial NNN</t>
        </is>
      </c>
      <c r="I81" s="698" t="n"/>
      <c r="J81" s="698" t="n"/>
      <c r="K81" s="698" t="n"/>
      <c r="L81" s="698" t="inlineStr">
        <is>
          <t>R0084253</t>
        </is>
      </c>
      <c r="M81" s="698" t="inlineStr">
        <is>
          <t>Link Logistics</t>
        </is>
      </c>
      <c r="N81" s="698" t="inlineStr">
        <is>
          <t>08_2025 Review – Link Logistics actual P&amp;L</t>
        </is>
      </c>
      <c r="O81" s="698" t="inlineStr">
        <is>
          <t>2026-06-02</t>
        </is>
      </c>
      <c r="P81" s="698" t="inlineStr">
        <is>
          <t>Actual 2024; partial lease-up/free rent; same parcel R0084253</t>
        </is>
      </c>
    </row>
    <row r="82">
      <c r="A82" s="699" t="inlineStr">
        <is>
          <t>P079</t>
        </is>
      </c>
      <c r="B82" s="695" t="n">
        <v>584</v>
      </c>
      <c r="C82" s="696" t="inlineStr">
        <is>
          <t>R0086214</t>
        </is>
      </c>
      <c r="D82" s="699" t="inlineStr">
        <is>
          <t>Aurora Warehouse (Polar br40666)</t>
        </is>
      </c>
      <c r="E82" s="699" t="inlineStr">
        <is>
          <t>Aurora</t>
        </is>
      </c>
      <c r="F82" s="699" t="inlineStr">
        <is>
          <t>CO</t>
        </is>
      </c>
      <c r="G82" s="699" t="inlineStr">
        <is>
          <t>Industrial</t>
        </is>
      </c>
      <c r="H82" s="699" t="inlineStr">
        <is>
          <t>Mega Warehouse NNN</t>
        </is>
      </c>
      <c r="I82" s="699" t="n"/>
      <c r="J82" s="699" t="n"/>
      <c r="K82" s="699" t="n"/>
      <c r="L82" s="699" t="inlineStr">
        <is>
          <t>R0086214</t>
        </is>
      </c>
      <c r="M82" s="699" t="inlineStr">
        <is>
          <t>Link Logistics</t>
        </is>
      </c>
      <c r="N82" s="699" t="inlineStr">
        <is>
          <t>08_2025 Review – Link Logistics actual P&amp;L</t>
        </is>
      </c>
      <c r="O82" s="699" t="inlineStr">
        <is>
          <t>2026-06-02</t>
        </is>
      </c>
      <c r="P82" s="699" t="inlineStr">
        <is>
          <t>Actual 2023+2024; very large — RE tax $2.2-2.4M; revenue $6.5-7M</t>
        </is>
      </c>
    </row>
    <row r="83">
      <c r="A83" s="698" t="inlineStr">
        <is>
          <t>P080</t>
        </is>
      </c>
      <c r="B83" s="695" t="n">
        <v>407</v>
      </c>
      <c r="C83" s="696" t="inlineStr">
        <is>
          <t>R0194277</t>
        </is>
      </c>
      <c r="D83" s="698" t="inlineStr">
        <is>
          <t>8251 Quintero St</t>
        </is>
      </c>
      <c r="E83" s="698" t="inlineStr">
        <is>
          <t>Commerce City</t>
        </is>
      </c>
      <c r="F83" s="698" t="inlineStr">
        <is>
          <t>CO</t>
        </is>
      </c>
      <c r="G83" s="698" t="inlineStr">
        <is>
          <t>Industrial</t>
        </is>
      </c>
      <c r="H83" s="698" t="inlineStr">
        <is>
          <t>Industrial Warehouse NNN</t>
        </is>
      </c>
      <c r="I83" s="698" t="n"/>
      <c r="J83" s="698" t="n"/>
      <c r="K83" s="698" t="n"/>
      <c r="L83" s="698" t="inlineStr">
        <is>
          <t>R0194277</t>
        </is>
      </c>
      <c r="M83" s="698" t="inlineStr">
        <is>
          <t>Becknell Industrial</t>
        </is>
      </c>
      <c r="N83" s="698" t="inlineStr">
        <is>
          <t>08_2025 Review – Becknell Industrial actual P&amp;L</t>
        </is>
      </c>
      <c r="O83" s="698" t="inlineStr">
        <is>
          <t>2026-06-02</t>
        </is>
      </c>
      <c r="P83" s="698" t="inlineStr">
        <is>
          <t>Actual accrual 2023+2024; large RE taxes ~$2M; snow $151-188k</t>
        </is>
      </c>
    </row>
    <row r="84">
      <c r="A84" s="699" t="inlineStr">
        <is>
          <t>P081</t>
        </is>
      </c>
      <c r="B84" s="695" t="n">
        <v>407</v>
      </c>
      <c r="C84" s="696" t="inlineStr">
        <is>
          <t>R0198176</t>
        </is>
      </c>
      <c r="D84" s="699" t="inlineStr">
        <is>
          <t>21800 E 19th Ave</t>
        </is>
      </c>
      <c r="E84" s="699" t="inlineStr">
        <is>
          <t>Aurora</t>
        </is>
      </c>
      <c r="F84" s="699" t="inlineStr">
        <is>
          <t>CO</t>
        </is>
      </c>
      <c r="G84" s="699" t="inlineStr">
        <is>
          <t>Industrial</t>
        </is>
      </c>
      <c r="H84" s="699" t="inlineStr">
        <is>
          <t>Industrial Warehouse NNN</t>
        </is>
      </c>
      <c r="I84" s="699" t="n"/>
      <c r="J84" s="699" t="n"/>
      <c r="K84" s="699" t="n"/>
      <c r="L84" s="699" t="inlineStr">
        <is>
          <t>R0198176</t>
        </is>
      </c>
      <c r="M84" s="699" t="inlineStr">
        <is>
          <t>Becknell Industrial</t>
        </is>
      </c>
      <c r="N84" s="699" t="inlineStr">
        <is>
          <t>08_2025 Review – Becknell Industrial actual P&amp;L</t>
        </is>
      </c>
      <c r="O84" s="699" t="inlineStr">
        <is>
          <t>2026-06-02</t>
        </is>
      </c>
      <c r="P84" s="699" t="inlineStr">
        <is>
          <t>Actual accrual 2023+2024; absolute NNN – tenant pays RE taxes directly</t>
        </is>
      </c>
    </row>
    <row r="85">
      <c r="A85" s="698" t="inlineStr">
        <is>
          <t>P082</t>
        </is>
      </c>
      <c r="B85" s="695" t="n">
        <v>407</v>
      </c>
      <c r="C85" s="696" t="inlineStr">
        <is>
          <t>R0201311</t>
        </is>
      </c>
      <c r="D85" s="698" t="inlineStr">
        <is>
          <t>Ascent Commerce Center Bldg I</t>
        </is>
      </c>
      <c r="E85" s="698" t="inlineStr">
        <is>
          <t>Aurora</t>
        </is>
      </c>
      <c r="F85" s="698" t="inlineStr">
        <is>
          <t>CO</t>
        </is>
      </c>
      <c r="G85" s="698" t="inlineStr">
        <is>
          <t>Industrial</t>
        </is>
      </c>
      <c r="H85" s="698" t="inlineStr">
        <is>
          <t>Industrial Warehouse NNN</t>
        </is>
      </c>
      <c r="I85" s="698" t="n"/>
      <c r="J85" s="698" t="n"/>
      <c r="K85" s="698" t="n"/>
      <c r="L85" s="698" t="inlineStr">
        <is>
          <t>R0201311</t>
        </is>
      </c>
      <c r="M85" s="698" t="inlineStr">
        <is>
          <t>Ambrose Property Group</t>
        </is>
      </c>
      <c r="N85" s="698" t="inlineStr">
        <is>
          <t>08_2025 Review – Ambrose Property Group actual P&amp;L</t>
        </is>
      </c>
      <c r="O85" s="698" t="inlineStr">
        <is>
          <t>2026-06-02</t>
        </is>
      </c>
      <c r="P85" s="698" t="inlineStr">
        <is>
          <t>Q4 2024 only (Oct–Dec); partial-year/lease-up; 3-bldg campus</t>
        </is>
      </c>
    </row>
    <row r="86">
      <c r="A86" s="699" t="inlineStr">
        <is>
          <t>P083</t>
        </is>
      </c>
      <c r="B86" s="695" t="n">
        <v>407</v>
      </c>
      <c r="C86" s="696" t="inlineStr">
        <is>
          <t>R0201311</t>
        </is>
      </c>
      <c r="D86" s="699" t="inlineStr">
        <is>
          <t>Ascent Commerce Center Bldg II</t>
        </is>
      </c>
      <c r="E86" s="699" t="inlineStr">
        <is>
          <t>Aurora</t>
        </is>
      </c>
      <c r="F86" s="699" t="inlineStr">
        <is>
          <t>CO</t>
        </is>
      </c>
      <c r="G86" s="699" t="inlineStr">
        <is>
          <t>Industrial</t>
        </is>
      </c>
      <c r="H86" s="699" t="inlineStr">
        <is>
          <t>Industrial Warehouse NNN</t>
        </is>
      </c>
      <c r="I86" s="699" t="n"/>
      <c r="J86" s="699" t="n"/>
      <c r="K86" s="699" t="n"/>
      <c r="L86" s="699" t="inlineStr">
        <is>
          <t>R0201311</t>
        </is>
      </c>
      <c r="M86" s="699" t="inlineStr">
        <is>
          <t>Ambrose Property Group</t>
        </is>
      </c>
      <c r="N86" s="699" t="inlineStr">
        <is>
          <t>08_2025 Review – Ambrose Property Group actual P&amp;L</t>
        </is>
      </c>
      <c r="O86" s="699" t="inlineStr">
        <is>
          <t>2026-06-02</t>
        </is>
      </c>
      <c r="P86" s="699" t="inlineStr">
        <is>
          <t>Q4 2024 only (Oct–Dec); partial-year/lease-up; same campus R0201311</t>
        </is>
      </c>
    </row>
    <row r="87">
      <c r="A87" s="698" t="inlineStr">
        <is>
          <t>P084</t>
        </is>
      </c>
      <c r="B87" s="695" t="n">
        <v>407</v>
      </c>
      <c r="C87" s="696" t="inlineStr">
        <is>
          <t>R0201311</t>
        </is>
      </c>
      <c r="D87" s="698" t="inlineStr">
        <is>
          <t>Ascent Commerce Center Bldg III</t>
        </is>
      </c>
      <c r="E87" s="698" t="inlineStr">
        <is>
          <t>Aurora</t>
        </is>
      </c>
      <c r="F87" s="698" t="inlineStr">
        <is>
          <t>CO</t>
        </is>
      </c>
      <c r="G87" s="698" t="inlineStr">
        <is>
          <t>Industrial</t>
        </is>
      </c>
      <c r="H87" s="698" t="inlineStr">
        <is>
          <t>Industrial Warehouse NNN</t>
        </is>
      </c>
      <c r="I87" s="698" t="n"/>
      <c r="J87" s="698" t="n"/>
      <c r="K87" s="698" t="n"/>
      <c r="L87" s="698" t="inlineStr">
        <is>
          <t>R0201311</t>
        </is>
      </c>
      <c r="M87" s="698" t="inlineStr">
        <is>
          <t>Ambrose Property Group</t>
        </is>
      </c>
      <c r="N87" s="698" t="inlineStr">
        <is>
          <t>08_2025 Review – Ambrose Property Group actual P&amp;L</t>
        </is>
      </c>
      <c r="O87" s="698" t="inlineStr">
        <is>
          <t>2026-06-02</t>
        </is>
      </c>
      <c r="P87" s="698" t="inlineStr">
        <is>
          <t>Q4 2024 only (Oct–Dec); lease-up/negative NOI; same campus R0201311</t>
        </is>
      </c>
    </row>
    <row r="88">
      <c r="A88" s="698" t="inlineStr">
        <is>
          <t>P085</t>
        </is>
      </c>
      <c r="B88" s="695" t="n">
        <v>210</v>
      </c>
      <c r="C88" s="696" t="inlineStr">
        <is>
          <t>R0093018</t>
        </is>
      </c>
      <c r="D88" s="698" t="inlineStr">
        <is>
          <t>3350 Peoria St</t>
        </is>
      </c>
      <c r="E88" s="698" t="inlineStr">
        <is>
          <t>Denver</t>
        </is>
      </c>
      <c r="F88" s="698" t="inlineStr">
        <is>
          <t>CO</t>
        </is>
      </c>
      <c r="G88" s="698" t="inlineStr">
        <is>
          <t>Industrial</t>
        </is>
      </c>
      <c r="H88" s="698" t="inlineStr">
        <is>
          <t>Office/Industrial Flex</t>
        </is>
      </c>
      <c r="I88" s="698" t="n"/>
      <c r="J88" s="698" t="n">
        <v>33057</v>
      </c>
      <c r="K88" s="698" t="n"/>
      <c r="L88" s="698" t="inlineStr">
        <is>
          <t>R0093018</t>
        </is>
      </c>
      <c r="M88" s="698" t="n"/>
      <c r="N88" s="698" t="inlineStr">
        <is>
          <t>Lease, Rent or Op Income info – owner P&amp;L 2024</t>
        </is>
      </c>
      <c r="O88" s="698" t="inlineStr">
        <is>
          <t>2026-06-03</t>
        </is>
      </c>
      <c r="P88" s="698" t="inlineStr">
        <is>
          <t>Office/Industrial flex; owner-submitted 2024 P&amp;L</t>
        </is>
      </c>
    </row>
    <row r="89">
      <c r="A89" s="699" t="inlineStr">
        <is>
          <t>P086</t>
        </is>
      </c>
      <c r="B89" s="695" t="n">
        <v>406</v>
      </c>
      <c r="C89" s="696" t="inlineStr">
        <is>
          <t>R0210684</t>
        </is>
      </c>
      <c r="D89" s="699" t="inlineStr">
        <is>
          <t>14200 E Moncrieff Place</t>
        </is>
      </c>
      <c r="E89" s="699" t="inlineStr">
        <is>
          <t>Aurora</t>
        </is>
      </c>
      <c r="F89" s="699" t="inlineStr">
        <is>
          <t>CO</t>
        </is>
      </c>
      <c r="G89" s="699" t="inlineStr">
        <is>
          <t>Industrial</t>
        </is>
      </c>
      <c r="H89" s="699" t="inlineStr">
        <is>
          <t>Industrial Warehouse</t>
        </is>
      </c>
      <c r="I89" s="699" t="n">
        <v>1980</v>
      </c>
      <c r="J89" s="699" t="n">
        <v>233808</v>
      </c>
      <c r="K89" s="699" t="n"/>
      <c r="L89" s="699" t="inlineStr">
        <is>
          <t>R0210684</t>
        </is>
      </c>
      <c r="M89" s="699" t="n"/>
      <c r="N89" s="699" t="inlineStr">
        <is>
          <t>Lease, Rent or Op Income info – owner P&amp;L 2023+2024</t>
        </is>
      </c>
      <c r="O89" s="699" t="inlineStr">
        <is>
          <t>2026-06-03</t>
        </is>
      </c>
      <c r="P89" s="699" t="inlineStr">
        <is>
          <t>Large industrial; 1980 YOC; 233,808 SF</t>
        </is>
      </c>
    </row>
    <row r="90">
      <c r="A90" s="698" t="inlineStr">
        <is>
          <t>P087</t>
        </is>
      </c>
      <c r="B90" s="695" t="n">
        <v>407</v>
      </c>
      <c r="C90" s="696" t="inlineStr">
        <is>
          <t>R0102985</t>
        </is>
      </c>
      <c r="D90" s="698" t="inlineStr">
        <is>
          <t>5861 Tennyson St</t>
        </is>
      </c>
      <c r="E90" s="698" t="inlineStr">
        <is>
          <t>Arvada</t>
        </is>
      </c>
      <c r="F90" s="698" t="inlineStr">
        <is>
          <t>CO</t>
        </is>
      </c>
      <c r="G90" s="698" t="inlineStr">
        <is>
          <t>Industrial</t>
        </is>
      </c>
      <c r="H90" s="698" t="inlineStr">
        <is>
          <t>Industrial NNN</t>
        </is>
      </c>
      <c r="I90" s="698" t="n">
        <v>2000</v>
      </c>
      <c r="J90" s="698" t="n">
        <v>80640</v>
      </c>
      <c r="K90" s="698" t="n"/>
      <c r="L90" s="698" t="inlineStr">
        <is>
          <t>R0102985</t>
        </is>
      </c>
      <c r="M90" s="698" t="n"/>
      <c r="N90" s="698" t="inlineStr">
        <is>
          <t>Lease, Rent or Op Income info – owner P&amp;L 2023+2024</t>
        </is>
      </c>
      <c r="O90" s="698" t="inlineStr">
        <is>
          <t>2026-06-03</t>
        </is>
      </c>
      <c r="P90" s="698" t="inlineStr">
        <is>
          <t>NNN; landlord expenses only (tenant pays RE tax); 2000 YOC</t>
        </is>
      </c>
    </row>
    <row r="91">
      <c r="A91" s="699" t="inlineStr">
        <is>
          <t>P088</t>
        </is>
      </c>
      <c r="B91" s="695" t="n">
        <v>210</v>
      </c>
      <c r="C91" s="696" t="inlineStr">
        <is>
          <t>R0090973</t>
        </is>
      </c>
      <c r="D91" s="699" t="inlineStr">
        <is>
          <t>3975 E 56th Ave</t>
        </is>
      </c>
      <c r="E91" s="699" t="inlineStr">
        <is>
          <t>Commerce City</t>
        </is>
      </c>
      <c r="F91" s="699" t="inlineStr">
        <is>
          <t>CO</t>
        </is>
      </c>
      <c r="G91" s="699" t="inlineStr">
        <is>
          <t>Industrial</t>
        </is>
      </c>
      <c r="H91" s="699" t="inlineStr">
        <is>
          <t>Multi-Tenant Industrial</t>
        </is>
      </c>
      <c r="I91" s="699" t="n"/>
      <c r="J91" s="699" t="n">
        <v>42299</v>
      </c>
      <c r="K91" s="699" t="n"/>
      <c r="L91" s="699" t="inlineStr">
        <is>
          <t>R0090973</t>
        </is>
      </c>
      <c r="M91" s="699" t="n"/>
      <c r="N91" s="699" t="inlineStr">
        <is>
          <t>Lease, Rent or Op Income info – owner P&amp;L 2024</t>
        </is>
      </c>
      <c r="O91" s="699" t="inlineStr">
        <is>
          <t>2026-06-03</t>
        </is>
      </c>
      <c r="P91" s="699" t="inlineStr">
        <is>
          <t>Sand Creek Business Park; 2024 only</t>
        </is>
      </c>
    </row>
    <row r="92">
      <c r="A92" s="698" t="inlineStr">
        <is>
          <t>P089</t>
        </is>
      </c>
      <c r="B92" s="695" t="n">
        <v>407</v>
      </c>
      <c r="C92" s="696" t="inlineStr">
        <is>
          <t>R0180951</t>
        </is>
      </c>
      <c r="D92" s="698" t="inlineStr">
        <is>
          <t>(Address TBD – R0180951)</t>
        </is>
      </c>
      <c r="E92" s="698" t="inlineStr">
        <is>
          <t>Adams County</t>
        </is>
      </c>
      <c r="F92" s="698" t="inlineStr">
        <is>
          <t>CO</t>
        </is>
      </c>
      <c r="G92" s="698" t="inlineStr">
        <is>
          <t>Industrial</t>
        </is>
      </c>
      <c r="H92" s="698" t="inlineStr">
        <is>
          <t>Industrial NNN</t>
        </is>
      </c>
      <c r="I92" s="698" t="n">
        <v>2016</v>
      </c>
      <c r="J92" s="698" t="n">
        <v>122106</v>
      </c>
      <c r="K92" s="698" t="n"/>
      <c r="L92" s="698" t="inlineStr">
        <is>
          <t>R0180951</t>
        </is>
      </c>
      <c r="M92" s="698" t="n"/>
      <c r="N92" s="698" t="inlineStr">
        <is>
          <t>WH Expenses 2026-Working File – NNN landlord expenses 2023+2024</t>
        </is>
      </c>
      <c r="O92" s="698" t="inlineStr">
        <is>
          <t>2026-06-03</t>
        </is>
      </c>
      <c r="P92" s="698" t="inlineStr">
        <is>
          <t>NNN; landlord RE Tax, Ins, Utils, CAM only; 2023+2024</t>
        </is>
      </c>
    </row>
    <row r="93">
      <c r="A93" s="699" t="inlineStr">
        <is>
          <t>P090</t>
        </is>
      </c>
      <c r="B93" s="695" t="n">
        <v>407</v>
      </c>
      <c r="C93" s="696" t="inlineStr">
        <is>
          <t>R0110351</t>
        </is>
      </c>
      <c r="D93" s="699" t="inlineStr">
        <is>
          <t>(Address TBD – R0110351)</t>
        </is>
      </c>
      <c r="E93" s="699" t="inlineStr">
        <is>
          <t>Adams County</t>
        </is>
      </c>
      <c r="F93" s="699" t="inlineStr">
        <is>
          <t>CO</t>
        </is>
      </c>
      <c r="G93" s="699" t="inlineStr">
        <is>
          <t>Industrial</t>
        </is>
      </c>
      <c r="H93" s="699" t="inlineStr">
        <is>
          <t>Industrial NNN</t>
        </is>
      </c>
      <c r="I93" s="699" t="n">
        <v>2000</v>
      </c>
      <c r="J93" s="699" t="n">
        <v>85200</v>
      </c>
      <c r="K93" s="699" t="n"/>
      <c r="L93" s="699" t="inlineStr">
        <is>
          <t>R0110351</t>
        </is>
      </c>
      <c r="M93" s="699" t="n"/>
      <c r="N93" s="699" t="inlineStr">
        <is>
          <t>WH Expenses 2026-Working File – NNN landlord expenses 2023+2024</t>
        </is>
      </c>
      <c r="O93" s="699" t="inlineStr">
        <is>
          <t>2026-06-03</t>
        </is>
      </c>
      <c r="P93" s="699" t="inlineStr">
        <is>
          <t>NNN; landlord RE Tax, Ins, CAM only; 2023+2024</t>
        </is>
      </c>
    </row>
    <row r="94">
      <c r="A94" s="698" t="inlineStr">
        <is>
          <t>P091</t>
        </is>
      </c>
      <c r="B94" s="695" t="n">
        <v>584</v>
      </c>
      <c r="C94" s="696" t="inlineStr">
        <is>
          <t>R0198530</t>
        </is>
      </c>
      <c r="D94" s="698" t="inlineStr">
        <is>
          <t>(Address TBD – R0198530)</t>
        </is>
      </c>
      <c r="E94" s="698" t="inlineStr">
        <is>
          <t>Adams County</t>
        </is>
      </c>
      <c r="F94" s="698" t="inlineStr">
        <is>
          <t>CO</t>
        </is>
      </c>
      <c r="G94" s="698" t="inlineStr">
        <is>
          <t>Industrial</t>
        </is>
      </c>
      <c r="H94" s="698" t="inlineStr">
        <is>
          <t>Industrial Mega-Warehouse NNN</t>
        </is>
      </c>
      <c r="I94" s="698" t="n">
        <v>2019</v>
      </c>
      <c r="J94" s="698" t="n">
        <v>555867</v>
      </c>
      <c r="K94" s="698" t="n"/>
      <c r="L94" s="698" t="inlineStr">
        <is>
          <t>R0198530</t>
        </is>
      </c>
      <c r="M94" s="698" t="n"/>
      <c r="N94" s="698" t="inlineStr">
        <is>
          <t>WH Expenses 2026-Working File – NNN landlord expenses 2024</t>
        </is>
      </c>
      <c r="O94" s="698" t="inlineStr">
        <is>
          <t>2026-06-03</t>
        </is>
      </c>
      <c r="P94" s="698" t="inlineStr">
        <is>
          <t>Mega-warehouse; NNN; landlord RE Tax, Ins, Mgmt only; 2024</t>
        </is>
      </c>
    </row>
    <row r="95">
      <c r="A95" s="699" t="inlineStr">
        <is>
          <t>P092</t>
        </is>
      </c>
      <c r="B95" s="695" t="n">
        <v>447</v>
      </c>
      <c r="C95" s="696" t="inlineStr">
        <is>
          <t>R0180834</t>
        </is>
      </c>
      <c r="D95" s="699" t="inlineStr">
        <is>
          <t>(Address TBD – R0180834)</t>
        </is>
      </c>
      <c r="E95" s="699" t="inlineStr">
        <is>
          <t>Adams County</t>
        </is>
      </c>
      <c r="F95" s="699" t="inlineStr">
        <is>
          <t>CO</t>
        </is>
      </c>
      <c r="G95" s="699" t="inlineStr">
        <is>
          <t>Industrial</t>
        </is>
      </c>
      <c r="H95" s="699" t="inlineStr">
        <is>
          <t>Cold Storage/Mega-Warehouse NNN</t>
        </is>
      </c>
      <c r="I95" s="699" t="n">
        <v>2012</v>
      </c>
      <c r="J95" s="699" t="n">
        <v>550031</v>
      </c>
      <c r="K95" s="699" t="n"/>
      <c r="L95" s="699" t="inlineStr">
        <is>
          <t>R0180834</t>
        </is>
      </c>
      <c r="M95" s="699" t="n"/>
      <c r="N95" s="699" t="inlineStr">
        <is>
          <t>WH Expenses 2026-Working File – NNN landlord expenses 2024</t>
        </is>
      </c>
      <c r="O95" s="699" t="inlineStr">
        <is>
          <t>2026-06-03</t>
        </is>
      </c>
      <c r="P95" s="699" t="inlineStr">
        <is>
          <t>Cold storage/mega-WH; NNN; 2012 YOC; landlord RE Tax, Ins, Mgmt only</t>
        </is>
      </c>
    </row>
    <row r="96">
      <c r="A96" s="698" t="inlineStr">
        <is>
          <t>P093</t>
        </is>
      </c>
      <c r="B96" s="695" t="n">
        <v>407</v>
      </c>
      <c r="C96" s="696" t="inlineStr">
        <is>
          <t>R0114792</t>
        </is>
      </c>
      <c r="D96" s="698" t="inlineStr">
        <is>
          <t>(Address TBD – R0114792)</t>
        </is>
      </c>
      <c r="E96" s="698" t="inlineStr">
        <is>
          <t>Adams County</t>
        </is>
      </c>
      <c r="F96" s="698" t="inlineStr">
        <is>
          <t>CO</t>
        </is>
      </c>
      <c r="G96" s="698" t="inlineStr">
        <is>
          <t>Industrial</t>
        </is>
      </c>
      <c r="H96" s="698" t="inlineStr">
        <is>
          <t>Industrial NNN</t>
        </is>
      </c>
      <c r="I96" s="698" t="n">
        <v>1998</v>
      </c>
      <c r="J96" s="698" t="n">
        <v>64501</v>
      </c>
      <c r="K96" s="698" t="n"/>
      <c r="L96" s="698" t="inlineStr">
        <is>
          <t>R0114792</t>
        </is>
      </c>
      <c r="M96" s="698" t="n"/>
      <c r="N96" s="698" t="inlineStr">
        <is>
          <t>WH Expenses 2026-Working File – NNN landlord expenses 2023+2024</t>
        </is>
      </c>
      <c r="O96" s="698" t="inlineStr">
        <is>
          <t>2026-06-03</t>
        </is>
      </c>
      <c r="P96" s="698" t="inlineStr">
        <is>
          <t>NNN; landlord RE Tax, Ins, Mgmt only; 1998 YOC</t>
        </is>
      </c>
    </row>
    <row r="97">
      <c r="A97" s="698" t="inlineStr">
        <is>
          <t>P094</t>
        </is>
      </c>
      <c r="B97" s="695" t="n">
        <v>407</v>
      </c>
      <c r="C97" s="696" t="inlineStr">
        <is>
          <t>R0104122</t>
        </is>
      </c>
      <c r="D97" s="698" t="inlineStr">
        <is>
          <t>550 W 53rd Pl</t>
        </is>
      </c>
      <c r="E97" s="698" t="inlineStr">
        <is>
          <t>Denver</t>
        </is>
      </c>
      <c r="F97" s="698" t="inlineStr">
        <is>
          <t>CO</t>
        </is>
      </c>
      <c r="G97" s="698" t="inlineStr">
        <is>
          <t>Industrial</t>
        </is>
      </c>
      <c r="H97" s="698" t="inlineStr">
        <is>
          <t>Distribution Warehouse</t>
        </is>
      </c>
      <c r="I97" s="698" t="n">
        <v>1971</v>
      </c>
      <c r="J97" s="698" t="n">
        <v>127900</v>
      </c>
      <c r="K97" s="698" t="n"/>
      <c r="L97" s="698" t="inlineStr">
        <is>
          <t>R0104122</t>
        </is>
      </c>
      <c r="M97" s="698" t="n"/>
      <c r="N97" s="698" t="inlineStr">
        <is>
          <t>Brad-CBOE 2024 – appraiser income approach pro forma</t>
        </is>
      </c>
      <c r="O97" s="698" t="inlineStr">
        <is>
          <t>2026-06-03</t>
        </is>
      </c>
      <c r="P97" s="698" t="inlineStr">
        <is>
          <t>YOC 1971 (remod 1999/eff 1985); 127,900 SF; 2024 CBOE abatement income approach</t>
        </is>
      </c>
    </row>
    <row r="98">
      <c r="A98" s="699" t="inlineStr">
        <is>
          <t>P095</t>
        </is>
      </c>
      <c r="B98" s="695" t="n">
        <v>386</v>
      </c>
      <c r="C98" s="696" t="inlineStr">
        <is>
          <t>R0086010</t>
        </is>
      </c>
      <c r="D98" s="699" t="inlineStr">
        <is>
          <t>15413 E 18th Ave</t>
        </is>
      </c>
      <c r="E98" s="699" t="inlineStr">
        <is>
          <t>Aurora</t>
        </is>
      </c>
      <c r="F98" s="699" t="inlineStr">
        <is>
          <t>CO</t>
        </is>
      </c>
      <c r="G98" s="699" t="inlineStr">
        <is>
          <t>Self-Storage</t>
        </is>
      </c>
      <c r="H98" s="699" t="inlineStr">
        <is>
          <t>Self-Storage</t>
        </is>
      </c>
      <c r="I98" s="699" t="n">
        <v>1984</v>
      </c>
      <c r="J98" s="699" t="n">
        <v>63989</v>
      </c>
      <c r="K98" s="699" t="n"/>
      <c r="L98" s="699" t="inlineStr">
        <is>
          <t>R0086010</t>
        </is>
      </c>
      <c r="M98" s="699" t="n"/>
      <c r="N98" s="699" t="inlineStr">
        <is>
          <t>AXG CBOE 2024 – appraiser income approach pro forma</t>
        </is>
      </c>
      <c r="O98" s="699" t="inlineStr">
        <is>
          <t>2026-06-03</t>
        </is>
      </c>
      <c r="P98" s="699" t="inlineStr">
        <is>
          <t>8 buildings; NRA 57,754 SF; GBA 63,989 SF; 1984 YOC</t>
        </is>
      </c>
    </row>
    <row r="99">
      <c r="A99" s="698" t="inlineStr">
        <is>
          <t>P096</t>
        </is>
      </c>
      <c r="B99" s="695" t="n">
        <v>407</v>
      </c>
      <c r="C99" s="696" t="inlineStr">
        <is>
          <t>R0083917</t>
        </is>
      </c>
      <c r="D99" s="698" t="inlineStr">
        <is>
          <t>14701 E 38th Ave</t>
        </is>
      </c>
      <c r="E99" s="698" t="inlineStr">
        <is>
          <t>Aurora</t>
        </is>
      </c>
      <c r="F99" s="698" t="inlineStr">
        <is>
          <t>CO</t>
        </is>
      </c>
      <c r="G99" s="698" t="inlineStr">
        <is>
          <t>Industrial</t>
        </is>
      </c>
      <c r="H99" s="698" t="inlineStr">
        <is>
          <t>Industrial Owner-User</t>
        </is>
      </c>
      <c r="I99" s="698" t="n"/>
      <c r="J99" s="698" t="n">
        <v>117280</v>
      </c>
      <c r="K99" s="698" t="n"/>
      <c r="L99" s="698" t="inlineStr">
        <is>
          <t>R0083917</t>
        </is>
      </c>
      <c r="M99" s="698" t="n"/>
      <c r="N99" s="698" t="inlineStr">
        <is>
          <t>MT.xlsx I&amp;E Survey 2024</t>
        </is>
      </c>
      <c r="O99" s="698" t="inlineStr">
        <is>
          <t>2026-06-03</t>
        </is>
      </c>
      <c r="P99" s="698" t="inlineStr">
        <is>
          <t>Owner-user; expenses may include non-RE items (flag); 117,280 SF</t>
        </is>
      </c>
    </row>
    <row r="100">
      <c r="A100" s="699" t="inlineStr">
        <is>
          <t>P097</t>
        </is>
      </c>
      <c r="B100" s="695" t="n">
        <v>210</v>
      </c>
      <c r="C100" s="696" t="inlineStr">
        <is>
          <t>R0137586</t>
        </is>
      </c>
      <c r="D100" s="699" t="inlineStr">
        <is>
          <t>7273-7285 E 96th Ave</t>
        </is>
      </c>
      <c r="E100" s="699" t="inlineStr">
        <is>
          <t>Commerce City</t>
        </is>
      </c>
      <c r="F100" s="699" t="inlineStr">
        <is>
          <t>CO</t>
        </is>
      </c>
      <c r="G100" s="699" t="inlineStr">
        <is>
          <t>Industrial</t>
        </is>
      </c>
      <c r="H100" s="699" t="inlineStr">
        <is>
          <t>Multi-Tenant Industrial</t>
        </is>
      </c>
      <c r="I100" s="699" t="n"/>
      <c r="J100" s="699" t="n">
        <v>57200</v>
      </c>
      <c r="K100" s="699" t="n"/>
      <c r="L100" s="699" t="inlineStr">
        <is>
          <t>R0137586</t>
        </is>
      </c>
      <c r="M100" s="699" t="n"/>
      <c r="N100" s="699" t="inlineStr">
        <is>
          <t>MT.xlsx I&amp;E Survey 2023</t>
        </is>
      </c>
      <c r="O100" s="699" t="inlineStr">
        <is>
          <t>2026-06-03</t>
        </is>
      </c>
      <c r="P100" s="699" t="inlineStr">
        <is>
          <t>Modified lease; 57,200 SF; 2023 survey data</t>
        </is>
      </c>
    </row>
    <row r="101">
      <c r="A101" s="698" t="inlineStr">
        <is>
          <t>P098</t>
        </is>
      </c>
      <c r="B101" s="695" t="n">
        <v>210</v>
      </c>
      <c r="C101" s="696" t="inlineStr">
        <is>
          <t>R0187010</t>
        </is>
      </c>
      <c r="D101" s="698" t="inlineStr">
        <is>
          <t>8020 Steele St</t>
        </is>
      </c>
      <c r="E101" s="698" t="inlineStr">
        <is>
          <t>Denver</t>
        </is>
      </c>
      <c r="F101" s="698" t="inlineStr">
        <is>
          <t>CO</t>
        </is>
      </c>
      <c r="G101" s="698" t="inlineStr">
        <is>
          <t>Industrial</t>
        </is>
      </c>
      <c r="H101" s="698" t="inlineStr">
        <is>
          <t>Industrial Modified Gross</t>
        </is>
      </c>
      <c r="I101" s="698" t="n"/>
      <c r="J101" s="698" t="n">
        <v>70000</v>
      </c>
      <c r="K101" s="698" t="n"/>
      <c r="L101" s="698" t="inlineStr">
        <is>
          <t>R0187010</t>
        </is>
      </c>
      <c r="M101" s="698" t="n"/>
      <c r="N101" s="698" t="inlineStr">
        <is>
          <t>MT.xlsx I&amp;E Survey 2024</t>
        </is>
      </c>
      <c r="O101" s="698" t="inlineStr">
        <is>
          <t>2026-06-03</t>
        </is>
      </c>
      <c r="P101" s="698" t="inlineStr">
        <is>
          <t>Modified gross; owner pays ins/R&amp;M/mgmt; tenant pays utils/trash; 70,000 SF</t>
        </is>
      </c>
    </row>
    <row r="102">
      <c r="A102" s="699" t="inlineStr">
        <is>
          <t>P099</t>
        </is>
      </c>
      <c r="B102" s="695" t="n">
        <v>210</v>
      </c>
      <c r="C102" s="696" t="inlineStr">
        <is>
          <t>R0111914</t>
        </is>
      </c>
      <c r="D102" s="699" t="inlineStr">
        <is>
          <t>1963 Jasper St</t>
        </is>
      </c>
      <c r="E102" s="699" t="inlineStr">
        <is>
          <t>Aurora</t>
        </is>
      </c>
      <c r="F102" s="699" t="inlineStr">
        <is>
          <t>CO</t>
        </is>
      </c>
      <c r="G102" s="699" t="inlineStr">
        <is>
          <t>Industrial</t>
        </is>
      </c>
      <c r="H102" s="699" t="inlineStr">
        <is>
          <t>Multi-Tenant Industrial Gross</t>
        </is>
      </c>
      <c r="I102" s="699" t="n"/>
      <c r="J102" s="699" t="n">
        <v>33574</v>
      </c>
      <c r="K102" s="699" t="n"/>
      <c r="L102" s="699" t="inlineStr">
        <is>
          <t>R0111914</t>
        </is>
      </c>
      <c r="M102" s="699" t="n"/>
      <c r="N102" s="699" t="inlineStr">
        <is>
          <t>MT.xlsx I&amp;E Survey 2024</t>
        </is>
      </c>
      <c r="O102" s="699" t="inlineStr">
        <is>
          <t>2026-06-03</t>
        </is>
      </c>
      <c r="P102" s="699" t="inlineStr">
        <is>
          <t>Gross lease; owner pays all expenses except gas/elec; 33,574 SF</t>
        </is>
      </c>
    </row>
    <row r="103">
      <c r="A103" s="698" t="inlineStr">
        <is>
          <t>P100</t>
        </is>
      </c>
      <c r="B103" s="695" t="n">
        <v>1332</v>
      </c>
      <c r="C103" s="696" t="inlineStr">
        <is>
          <t>R0111965</t>
        </is>
      </c>
      <c r="D103" s="698" t="inlineStr">
        <is>
          <t>12101 Grant St</t>
        </is>
      </c>
      <c r="E103" s="698" t="inlineStr">
        <is>
          <t>Thornton</t>
        </is>
      </c>
      <c r="F103" s="698" t="inlineStr">
        <is>
          <t>CO</t>
        </is>
      </c>
      <c r="G103" s="698" t="inlineStr">
        <is>
          <t>Hospitality</t>
        </is>
      </c>
      <c r="H103" s="698" t="inlineStr">
        <is>
          <t>Hotel Limited Service</t>
        </is>
      </c>
      <c r="I103" s="698" t="n">
        <v>1998</v>
      </c>
      <c r="J103" s="698" t="n"/>
      <c r="K103" s="698" t="n"/>
      <c r="L103" s="698" t="inlineStr">
        <is>
          <t>R0111965</t>
        </is>
      </c>
      <c r="M103" s="698" t="n"/>
      <c r="N103" s="698" t="inlineStr">
        <is>
          <t>AXG CBOE 2024 – appraiser Rushmore income approach</t>
        </is>
      </c>
      <c r="O103" s="698" t="inlineStr">
        <is>
          <t>2026-06-03</t>
        </is>
      </c>
      <c r="P103" s="698" t="inlineStr">
        <is>
          <t>100 rooms; 1998 YOC; 2024 CBOE; ADR $115/occ 70%</t>
        </is>
      </c>
    </row>
    <row r="104">
      <c r="A104" s="699" t="inlineStr">
        <is>
          <t>P101</t>
        </is>
      </c>
      <c r="B104" s="695" t="n">
        <v>332</v>
      </c>
      <c r="C104" s="696" t="inlineStr">
        <is>
          <t>R0202410</t>
        </is>
      </c>
      <c r="D104" s="699" t="inlineStr">
        <is>
          <t>2556 Oswego St</t>
        </is>
      </c>
      <c r="E104" s="699" t="inlineStr">
        <is>
          <t>Aurora</t>
        </is>
      </c>
      <c r="F104" s="699" t="inlineStr">
        <is>
          <t>CO</t>
        </is>
      </c>
      <c r="G104" s="699" t="inlineStr">
        <is>
          <t>Hospitality</t>
        </is>
      </c>
      <c r="H104" s="699" t="inlineStr">
        <is>
          <t>Hotel Full Service</t>
        </is>
      </c>
      <c r="I104" s="699" t="n">
        <v>2023</v>
      </c>
      <c r="J104" s="699" t="n"/>
      <c r="K104" s="699" t="n"/>
      <c r="L104" s="699" t="inlineStr">
        <is>
          <t>R0202410</t>
        </is>
      </c>
      <c r="M104" s="699" t="n"/>
      <c r="N104" s="699" t="inlineStr">
        <is>
          <t>AXG CBOE 2024 – appraiser Rushmore income approach</t>
        </is>
      </c>
      <c r="O104" s="699" t="inlineStr">
        <is>
          <t>2026-06-03</t>
        </is>
      </c>
      <c r="P104" s="699" t="inlineStr">
        <is>
          <t>227 rooms; built 2023; 2024 CBOE; ADR $140/occ 70%</t>
        </is>
      </c>
    </row>
    <row r="105">
      <c r="A105" s="698" t="inlineStr">
        <is>
          <t>P102</t>
        </is>
      </c>
      <c r="B105" s="695" t="n">
        <v>332</v>
      </c>
      <c r="C105" s="696" t="inlineStr">
        <is>
          <t>R0024498</t>
        </is>
      </c>
      <c r="D105" s="698" t="inlineStr">
        <is>
          <t>83 E 120th Ave</t>
        </is>
      </c>
      <c r="E105" s="698" t="inlineStr">
        <is>
          <t>Thornton</t>
        </is>
      </c>
      <c r="F105" s="698" t="inlineStr">
        <is>
          <t>CO</t>
        </is>
      </c>
      <c r="G105" s="698" t="inlineStr">
        <is>
          <t>Hospitality</t>
        </is>
      </c>
      <c r="H105" s="698" t="inlineStr">
        <is>
          <t>Hotel Full Service</t>
        </is>
      </c>
      <c r="I105" s="698" t="n">
        <v>1984</v>
      </c>
      <c r="J105" s="698" t="n">
        <v>114796</v>
      </c>
      <c r="K105" s="698" t="n"/>
      <c r="L105" s="698" t="inlineStr">
        <is>
          <t>R0024498</t>
        </is>
      </c>
      <c r="M105" s="698" t="n"/>
      <c r="N105" s="698" t="inlineStr">
        <is>
          <t>AXG CBOE 2024 – appraiser Rushmore income approach</t>
        </is>
      </c>
      <c r="O105" s="698" t="inlineStr">
        <is>
          <t>2026-06-03</t>
        </is>
      </c>
      <c r="P105" s="698" t="inlineStr">
        <is>
          <t>137 rooms; 114,796 SF GBA; 2 bldgs; 1984 YOC; ADR $142/occ 70%</t>
        </is>
      </c>
    </row>
    <row r="106">
      <c r="A106" s="699" t="inlineStr">
        <is>
          <t>P103</t>
        </is>
      </c>
      <c r="B106" s="695" t="n">
        <v>407</v>
      </c>
      <c r="C106" s="696" t="inlineStr">
        <is>
          <t>R0075212</t>
        </is>
      </c>
      <c r="D106" s="699" t="inlineStr">
        <is>
          <t>10500 Havana Ct</t>
        </is>
      </c>
      <c r="E106" s="699" t="inlineStr">
        <is>
          <t>Commerce City</t>
        </is>
      </c>
      <c r="F106" s="699" t="inlineStr">
        <is>
          <t>CO</t>
        </is>
      </c>
      <c r="G106" s="699" t="inlineStr">
        <is>
          <t>Industrial</t>
        </is>
      </c>
      <c r="H106" s="699" t="inlineStr">
        <is>
          <t>Industrial NNN</t>
        </is>
      </c>
      <c r="I106" s="699" t="n"/>
      <c r="J106" s="699" t="n">
        <v>30000</v>
      </c>
      <c r="K106" s="699" t="n"/>
      <c r="L106" s="699" t="inlineStr">
        <is>
          <t>R0075212</t>
        </is>
      </c>
      <c r="M106" s="699" t="n"/>
      <c r="N106" s="699" t="inlineStr">
        <is>
          <t>MT.xlsx I&amp;E Survey 2024</t>
        </is>
      </c>
      <c r="O106" s="699" t="inlineStr">
        <is>
          <t>2026-06-03</t>
        </is>
      </c>
      <c r="P106" s="699" t="inlineStr">
        <is>
          <t>NNN; full expense survey; 30,000 SF</t>
        </is>
      </c>
    </row>
    <row r="107">
      <c r="A107" t="inlineStr">
        <is>
          <t>P104</t>
        </is>
      </c>
      <c r="B107" s="695" t="n">
        <v>210</v>
      </c>
      <c r="C107" t="inlineStr">
        <is>
          <t>R0226379</t>
        </is>
      </c>
      <c r="D107" t="inlineStr">
        <is>
          <t>26100 E 68th Ave</t>
        </is>
      </c>
      <c r="E107" t="inlineStr">
        <is>
          <t>Aurora</t>
        </is>
      </c>
      <c r="F107" t="inlineStr">
        <is>
          <t>CO</t>
        </is>
      </c>
      <c r="G107" t="inlineStr">
        <is>
          <t>Industrial</t>
        </is>
      </c>
      <c r="H107" t="inlineStr">
        <is>
          <t>Industrial Multi-Tenant</t>
        </is>
      </c>
      <c r="J107" t="n">
        <v>187720</v>
      </c>
      <c r="L107" t="inlineStr">
        <is>
          <t>R0226379</t>
        </is>
      </c>
      <c r="M107" t="inlineStr">
        <is>
          <t>Green Industrial Development Group (.ptg)</t>
        </is>
      </c>
      <c r="N107" t="inlineStr">
        <is>
          <t>Owner Income Statement 2023 &amp; 2024</t>
        </is>
      </c>
      <c r="O107" t="inlineStr">
        <is>
          <t>2026-06-03</t>
        </is>
      </c>
      <c r="P107" t="inlineStr">
        <is>
          <t>Building 1; Filing 3 Block 1 Lot 1; CAM reimb + TBB structure; SF unknown; 2023-2024 actuals</t>
        </is>
      </c>
    </row>
  </sheetData>
  <mergeCells count="2">
    <mergeCell ref="A2:N2"/>
    <mergeCell ref="A1:N1"/>
  </mergeCells>
  <pageMargins left="0.75" right="0.75" top="1" bottom="1" header="0.5" footer="0.5"/>
</worksheet>
</file>

<file path=xl/worksheets/sheet15.xml><?xml version="1.0" encoding="utf-8"?>
<worksheet xmlns="http://schemas.openxmlformats.org/spreadsheetml/2006/main">
  <sheetPr>
    <tabColor rgb="007030A0"/>
    <outlinePr summaryBelow="1" summaryRight="1"/>
    <pageSetUpPr/>
  </sheetPr>
  <dimension ref="A1:AN197"/>
  <sheetViews>
    <sheetView workbookViewId="0">
      <pane ySplit="3" topLeftCell="A4" activePane="bottomLeft" state="frozen"/>
      <selection pane="bottomLeft" activeCell="A1" sqref="A1"/>
      <selection pane="bottomLeft" activeCell="A1" sqref="A1"/>
      <selection pane="bottomRight" activeCell="A1" sqref="A1"/>
    </sheetView>
  </sheetViews>
  <sheetFormatPr baseColWidth="8" defaultRowHeight="15"/>
  <cols>
    <col width="8" customWidth="1" min="1" max="1"/>
    <col width="12" customWidth="1" min="2" max="2"/>
    <col width="28" customWidth="1" min="3" max="3"/>
    <col width="14" customWidth="1" min="4" max="4"/>
    <col width="5" customWidth="1" min="5" max="5"/>
    <col width="20" customWidth="1" min="6" max="6"/>
    <col width="22" customWidth="1" min="7" max="7"/>
    <col width="8" customWidth="1" min="8" max="8"/>
    <col width="7" customWidth="1" min="9" max="9"/>
    <col width="9" customWidth="1" min="10" max="10"/>
    <col width="6" customWidth="1" min="11" max="11"/>
    <col width="9" customWidth="1" min="12" max="12"/>
    <col width="45" customWidth="1" min="39" max="39"/>
  </cols>
  <sheetData>
    <row r="1" ht="24" customHeight="1">
      <c r="A1" s="700" t="inlineStr">
        <is>
          <t>COMMERCIAL PROPERTY EXPENSE DATABASE ? ANNUAL DETAIL</t>
        </is>
      </c>
    </row>
    <row r="2" ht="15.95" customHeight="1">
      <c r="A2" s="691" t="inlineStr">
        <is>
          <t>One row per property per year | All dollar figures from owner P&amp;L unless noted | $/SF = $ / Building SF</t>
        </is>
      </c>
    </row>
    <row r="3" ht="42" customHeight="1">
      <c r="A3" s="692" t="inlineStr">
        <is>
          <t>Prop ID</t>
        </is>
      </c>
      <c r="B3" s="693" t="inlineStr">
        <is>
          <t>Occ Code</t>
        </is>
      </c>
      <c r="C3" s="701" t="inlineStr">
        <is>
          <t>Account #</t>
        </is>
      </c>
      <c r="D3" s="692" t="inlineStr">
        <is>
          <t>Address</t>
        </is>
      </c>
      <c r="E3" s="692" t="inlineStr">
        <is>
          <t>City</t>
        </is>
      </c>
      <c r="F3" s="692" t="inlineStr">
        <is>
          <t>State</t>
        </is>
      </c>
      <c r="G3" s="692" t="inlineStr">
        <is>
          <t>Prop Type</t>
        </is>
      </c>
      <c r="H3" s="692" t="inlineStr">
        <is>
          <t>Subtype</t>
        </is>
      </c>
      <c r="I3" s="692" t="inlineStr">
        <is>
          <t>Year Built</t>
        </is>
      </c>
      <c r="J3" s="692" t="inlineStr">
        <is>
          <t>Bldg SF</t>
        </is>
      </c>
      <c r="K3" s="692" t="inlineStr">
        <is>
          <t>Year</t>
        </is>
      </c>
      <c r="L3" s="692" t="inlineStr">
        <is>
          <t>Gross Rental Income</t>
        </is>
      </c>
      <c r="M3" s="692" t="inlineStr">
        <is>
          <t>Other Income</t>
        </is>
      </c>
      <c r="N3" s="692" t="inlineStr">
        <is>
          <t>EGI</t>
        </is>
      </c>
      <c r="O3" s="692" t="inlineStr">
        <is>
          <t>Insurance</t>
        </is>
      </c>
      <c r="P3" s="692" t="inlineStr">
        <is>
          <t>Mgmt/Admin</t>
        </is>
      </c>
      <c r="Q3" s="692" t="inlineStr">
        <is>
          <t>Plumbing R&amp;M</t>
        </is>
      </c>
      <c r="R3" s="692" t="inlineStr">
        <is>
          <t>Electrical R&amp;M</t>
        </is>
      </c>
      <c r="S3" s="692" t="inlineStr">
        <is>
          <t>Exterior R&amp;M</t>
        </is>
      </c>
      <c r="T3" s="692" t="inlineStr">
        <is>
          <t>Fire/Life Safety R&amp;M</t>
        </is>
      </c>
      <c r="U3" s="692" t="inlineStr">
        <is>
          <t>HVAC R&amp;M</t>
        </is>
      </c>
      <c r="V3" s="692" t="inlineStr">
        <is>
          <t>Interior Unit R&amp;M</t>
        </is>
      </c>
      <c r="W3" s="692" t="inlineStr">
        <is>
          <t>Interior Common R&amp;M</t>
        </is>
      </c>
      <c r="X3" s="692" t="inlineStr">
        <is>
          <t>General Maint &amp; Repairs</t>
        </is>
      </c>
      <c r="Y3" s="692" t="inlineStr">
        <is>
          <t>Total R&amp;M</t>
        </is>
      </c>
      <c r="Z3" s="692" t="inlineStr">
        <is>
          <t>Trash</t>
        </is>
      </c>
      <c r="AA3" s="692" t="inlineStr">
        <is>
          <t>Landscape</t>
        </is>
      </c>
      <c r="AB3" s="692" t="inlineStr">
        <is>
          <t>Snow Removal</t>
        </is>
      </c>
      <c r="AC3" s="692" t="inlineStr">
        <is>
          <t>Total Contract Svcs</t>
        </is>
      </c>
      <c r="AD3" s="692" t="inlineStr">
        <is>
          <t>Water &amp; Sewer</t>
        </is>
      </c>
      <c r="AE3" s="692" t="inlineStr">
        <is>
          <t>Electric</t>
        </is>
      </c>
      <c r="AF3" s="692" t="inlineStr">
        <is>
          <t>Total Utilities</t>
        </is>
      </c>
      <c r="AG3" s="692" t="inlineStr">
        <is>
          <t>Other/Admin (Misc)</t>
        </is>
      </c>
      <c r="AH3" s="692" t="inlineStr">
        <is>
          <t>Total OPX excl RE Taxes</t>
        </is>
      </c>
      <c r="AI3" s="692" t="inlineStr">
        <is>
          <t>Real Estate Taxes</t>
        </is>
      </c>
      <c r="AJ3" s="692" t="inlineStr">
        <is>
          <t>Total OPX incl RE Taxes</t>
        </is>
      </c>
      <c r="AK3" s="692" t="inlineStr">
        <is>
          <t>NOI</t>
        </is>
      </c>
      <c r="AL3" s="692" t="inlineStr">
        <is>
          <t>CapEx (non-op)</t>
        </is>
      </c>
      <c r="AM3" s="692" t="inlineStr">
        <is>
          <t>Notes</t>
        </is>
      </c>
      <c r="AN3" s="893" t="inlineStr">
        <is>
          <t>Match</t>
        </is>
      </c>
    </row>
    <row r="4" ht="18" customHeight="1">
      <c r="A4" s="702" t="inlineStr">
        <is>
          <t>P001</t>
        </is>
      </c>
      <c r="B4" s="695" t="n">
        <v>407</v>
      </c>
      <c r="C4" s="703" t="inlineStr">
        <is>
          <t>R0157664</t>
        </is>
      </c>
      <c r="D4" s="702" t="inlineStr">
        <is>
          <t>6045 E. 76th Avenue</t>
        </is>
      </c>
      <c r="E4" s="702" t="inlineStr">
        <is>
          <t>Commerce City</t>
        </is>
      </c>
      <c r="F4" s="702" t="inlineStr">
        <is>
          <t>CO</t>
        </is>
      </c>
      <c r="G4" s="702" t="inlineStr">
        <is>
          <t>Light Industrial</t>
        </is>
      </c>
      <c r="H4" s="702" t="inlineStr">
        <is>
          <t>Distribution Warehouse</t>
        </is>
      </c>
      <c r="I4" s="704" t="n">
        <v>1988</v>
      </c>
      <c r="J4" s="704" t="n">
        <v>21000</v>
      </c>
      <c r="K4" s="704" t="n">
        <v>2021</v>
      </c>
      <c r="L4" s="705" t="n">
        <v>282764.52</v>
      </c>
      <c r="M4" s="705" t="n">
        <v>6372</v>
      </c>
      <c r="N4" s="706" t="n">
        <v>289136.52</v>
      </c>
      <c r="O4" s="705" t="n">
        <v>4893</v>
      </c>
      <c r="P4" s="705" t="n">
        <v>0</v>
      </c>
      <c r="Q4" s="705" t="n">
        <v>1144</v>
      </c>
      <c r="R4" s="705" t="n">
        <v>0</v>
      </c>
      <c r="S4" s="705" t="n">
        <v>198.75</v>
      </c>
      <c r="T4" s="705" t="n">
        <v>0</v>
      </c>
      <c r="U4" s="705" t="n">
        <v>280</v>
      </c>
      <c r="V4" s="705" t="n">
        <v>846</v>
      </c>
      <c r="W4" s="705" t="n">
        <v>2923</v>
      </c>
      <c r="X4" s="706" t="n">
        <v>0</v>
      </c>
      <c r="Y4" s="705" t="n">
        <v>5391.75</v>
      </c>
      <c r="Z4" s="705" t="n">
        <v>6710.19</v>
      </c>
      <c r="AA4" s="705" t="n">
        <v>3875</v>
      </c>
      <c r="AB4" s="705" t="n">
        <v>870</v>
      </c>
      <c r="AC4" s="706" t="n">
        <v>11455.19</v>
      </c>
      <c r="AD4" s="705" t="n">
        <v>3344.39</v>
      </c>
      <c r="AE4" s="705" t="n">
        <v>648.33</v>
      </c>
      <c r="AF4" s="706" t="n">
        <v>3992.72</v>
      </c>
      <c r="AG4" s="705" t="n">
        <v>762.49</v>
      </c>
      <c r="AH4" s="707" t="n">
        <v>26515.14999999999</v>
      </c>
      <c r="AI4" s="707" t="n">
        <v>48263.72</v>
      </c>
      <c r="AJ4" s="708" t="n">
        <v>74778.87</v>
      </c>
      <c r="AK4" s="706" t="n">
        <v>214357.65</v>
      </c>
      <c r="AL4" s="705" t="n">
        <v>2642.04</v>
      </c>
      <c r="AM4" s="702" t="inlineStr">
        <is>
          <t>2021: other income = damages $2,392 + misc $3,863 + interest $117</t>
        </is>
      </c>
      <c r="AN4">
        <f>AND(B4=Subj_OccCode,Subj_BldgSF&gt;0,J4&gt;=Subj_BldgSF*(1-Subj_SizeTol),J4&lt;=Subj_BldgSF*(1+Subj_SizeTol))</f>
        <v/>
      </c>
    </row>
    <row r="5" ht="18" customHeight="1">
      <c r="A5" s="702" t="inlineStr">
        <is>
          <t>P001</t>
        </is>
      </c>
      <c r="B5" s="695" t="n">
        <v>407</v>
      </c>
      <c r="C5" s="703" t="inlineStr">
        <is>
          <t>R0157664</t>
        </is>
      </c>
      <c r="D5" s="702" t="inlineStr">
        <is>
          <t>6045 E. 76th Avenue</t>
        </is>
      </c>
      <c r="E5" s="702" t="inlineStr">
        <is>
          <t>Commerce City</t>
        </is>
      </c>
      <c r="F5" s="702" t="inlineStr">
        <is>
          <t>CO</t>
        </is>
      </c>
      <c r="G5" s="702" t="inlineStr">
        <is>
          <t>Light Industrial</t>
        </is>
      </c>
      <c r="H5" s="702" t="inlineStr">
        <is>
          <t>Distribution Warehouse</t>
        </is>
      </c>
      <c r="I5" s="704" t="n">
        <v>1988</v>
      </c>
      <c r="J5" s="704" t="n">
        <v>21000</v>
      </c>
      <c r="K5" s="704" t="n">
        <v>2022</v>
      </c>
      <c r="L5" s="705" t="n">
        <v>255992.67</v>
      </c>
      <c r="M5" s="705" t="n">
        <v>3000</v>
      </c>
      <c r="N5" s="706" t="n">
        <v>258992.67</v>
      </c>
      <c r="O5" s="705" t="n">
        <v>5276</v>
      </c>
      <c r="P5" s="705" t="n">
        <v>0</v>
      </c>
      <c r="Q5" s="705" t="n">
        <v>4115</v>
      </c>
      <c r="R5" s="705" t="n">
        <v>611</v>
      </c>
      <c r="S5" s="705" t="n">
        <v>2333.33</v>
      </c>
      <c r="T5" s="705" t="n">
        <v>0</v>
      </c>
      <c r="U5" s="705" t="n">
        <v>0</v>
      </c>
      <c r="V5" s="705" t="n">
        <v>0</v>
      </c>
      <c r="W5" s="705" t="n">
        <v>780</v>
      </c>
      <c r="X5" s="706" t="n">
        <v>0</v>
      </c>
      <c r="Y5" s="705" t="n">
        <v>7839.33</v>
      </c>
      <c r="Z5" s="705" t="n">
        <v>8303.969999999999</v>
      </c>
      <c r="AA5" s="705" t="n">
        <v>4280</v>
      </c>
      <c r="AB5" s="705" t="n">
        <v>0</v>
      </c>
      <c r="AC5" s="706" t="n">
        <v>12583.97</v>
      </c>
      <c r="AD5" s="705" t="n">
        <v>3043.11</v>
      </c>
      <c r="AE5" s="705" t="n">
        <v>887.54</v>
      </c>
      <c r="AF5" s="706" t="n">
        <v>3930.65</v>
      </c>
      <c r="AG5" s="705" t="n">
        <v>658.98</v>
      </c>
      <c r="AH5" s="707" t="n">
        <v>30288.93000000001</v>
      </c>
      <c r="AI5" s="707" t="n">
        <v>66104.78</v>
      </c>
      <c r="AJ5" s="708" t="n">
        <v>96393.71000000001</v>
      </c>
      <c r="AK5" s="706" t="n">
        <v>162598.96</v>
      </c>
      <c r="AL5" s="705" t="n">
        <v>5791.72</v>
      </c>
      <c r="AM5" s="702" t="inlineStr">
        <is>
          <t>2022: other income = damages $500 + misc $2,500; CapEx unit interior</t>
        </is>
      </c>
      <c r="AN5">
        <f>AND(B5=Subj_OccCode,Subj_BldgSF&gt;0,J5&gt;=Subj_BldgSF*(1-Subj_SizeTol),J5&lt;=Subj_BldgSF*(1+Subj_SizeTol))</f>
        <v/>
      </c>
    </row>
    <row r="6" ht="18" customHeight="1">
      <c r="A6" s="702" t="inlineStr">
        <is>
          <t>P001</t>
        </is>
      </c>
      <c r="B6" s="695" t="n">
        <v>407</v>
      </c>
      <c r="C6" s="703" t="inlineStr">
        <is>
          <t>R0157664</t>
        </is>
      </c>
      <c r="D6" s="702" t="inlineStr">
        <is>
          <t>6045 E. 76th Avenue</t>
        </is>
      </c>
      <c r="E6" s="702" t="inlineStr">
        <is>
          <t>Commerce City</t>
        </is>
      </c>
      <c r="F6" s="702" t="inlineStr">
        <is>
          <t>CO</t>
        </is>
      </c>
      <c r="G6" s="702" t="inlineStr">
        <is>
          <t>Light Industrial</t>
        </is>
      </c>
      <c r="H6" s="702" t="inlineStr">
        <is>
          <t>Distribution Warehouse</t>
        </is>
      </c>
      <c r="I6" s="704" t="n">
        <v>1988</v>
      </c>
      <c r="J6" s="704" t="n">
        <v>21000</v>
      </c>
      <c r="K6" s="704" t="n">
        <v>2023</v>
      </c>
      <c r="L6" s="705" t="n">
        <v>256200</v>
      </c>
      <c r="M6" s="705" t="n">
        <v>0</v>
      </c>
      <c r="N6" s="706" t="n">
        <v>256200</v>
      </c>
      <c r="O6" s="705" t="n">
        <v>5867.85</v>
      </c>
      <c r="P6" s="705" t="n">
        <v>800</v>
      </c>
      <c r="Q6" s="705" t="n">
        <v>1094.49</v>
      </c>
      <c r="R6" s="705" t="n">
        <v>990</v>
      </c>
      <c r="S6" s="705" t="n">
        <v>0</v>
      </c>
      <c r="T6" s="705" t="n">
        <v>3870.75</v>
      </c>
      <c r="U6" s="705" t="n">
        <v>480</v>
      </c>
      <c r="V6" s="705" t="n">
        <v>618</v>
      </c>
      <c r="W6" s="705" t="n">
        <v>0</v>
      </c>
      <c r="X6" s="706" t="n">
        <v>480</v>
      </c>
      <c r="Y6" s="705" t="n">
        <v>7533.24</v>
      </c>
      <c r="Z6" s="705" t="n">
        <v>9561.9</v>
      </c>
      <c r="AA6" s="705" t="n">
        <v>2200</v>
      </c>
      <c r="AB6" s="705" t="n">
        <v>2800</v>
      </c>
      <c r="AC6" s="706" t="n">
        <v>14561.9</v>
      </c>
      <c r="AD6" s="705" t="n">
        <v>7111.97</v>
      </c>
      <c r="AE6" s="705" t="n">
        <v>760.15</v>
      </c>
      <c r="AF6" s="706" t="n">
        <v>7872.12</v>
      </c>
      <c r="AG6" s="705" t="n">
        <v>597.59</v>
      </c>
      <c r="AH6" s="707" t="n">
        <v>31952.69999999999</v>
      </c>
      <c r="AI6" s="707" t="n">
        <v>59985.48</v>
      </c>
      <c r="AJ6" s="708" t="n">
        <v>91938.17999999999</v>
      </c>
      <c r="AK6" s="706" t="n">
        <v>164261.82</v>
      </c>
      <c r="AL6" s="705" t="n">
        <v>0</v>
      </c>
      <c r="AM6" s="702" t="n"/>
      <c r="AN6">
        <f>AND(B6=Subj_OccCode,Subj_BldgSF&gt;0,J6&gt;=Subj_BldgSF*(1-Subj_SizeTol),J6&lt;=Subj_BldgSF*(1+Subj_SizeTol))</f>
        <v/>
      </c>
    </row>
    <row r="7" ht="18" customHeight="1">
      <c r="A7" s="702" t="inlineStr">
        <is>
          <t>P001</t>
        </is>
      </c>
      <c r="B7" s="695" t="n">
        <v>407</v>
      </c>
      <c r="C7" s="703" t="inlineStr">
        <is>
          <t>R0157664</t>
        </is>
      </c>
      <c r="D7" s="702" t="inlineStr">
        <is>
          <t>6045 E. 76th Avenue</t>
        </is>
      </c>
      <c r="E7" s="702" t="inlineStr">
        <is>
          <t>Commerce City</t>
        </is>
      </c>
      <c r="F7" s="702" t="inlineStr">
        <is>
          <t>CO</t>
        </is>
      </c>
      <c r="G7" s="702" t="inlineStr">
        <is>
          <t>Light Industrial</t>
        </is>
      </c>
      <c r="H7" s="702" t="inlineStr">
        <is>
          <t>Distribution Warehouse</t>
        </is>
      </c>
      <c r="I7" s="704" t="n">
        <v>1988</v>
      </c>
      <c r="J7" s="704" t="n">
        <v>21000</v>
      </c>
      <c r="K7" s="704" t="n">
        <v>2024</v>
      </c>
      <c r="L7" s="705" t="n">
        <v>229531</v>
      </c>
      <c r="M7" s="705" t="n">
        <v>0</v>
      </c>
      <c r="N7" s="706" t="n">
        <v>229531</v>
      </c>
      <c r="O7" s="705" t="n">
        <v>1834.57</v>
      </c>
      <c r="P7" s="705" t="n">
        <v>1570</v>
      </c>
      <c r="Q7" s="705" t="n">
        <v>0</v>
      </c>
      <c r="R7" s="705" t="n">
        <v>0</v>
      </c>
      <c r="S7" s="705" t="n">
        <v>8000</v>
      </c>
      <c r="T7" s="705" t="n">
        <v>8299.799999999999</v>
      </c>
      <c r="U7" s="705" t="n">
        <v>0</v>
      </c>
      <c r="V7" s="705" t="n">
        <v>175</v>
      </c>
      <c r="W7" s="705" t="n">
        <v>0</v>
      </c>
      <c r="X7" s="706" t="n">
        <v>819.88</v>
      </c>
      <c r="Y7" s="705" t="n">
        <v>17294.68</v>
      </c>
      <c r="Z7" s="705" t="n">
        <v>8500.75</v>
      </c>
      <c r="AA7" s="705" t="n">
        <v>3350</v>
      </c>
      <c r="AB7" s="705" t="n">
        <v>1050</v>
      </c>
      <c r="AC7" s="706" t="n">
        <v>12900.75</v>
      </c>
      <c r="AD7" s="705" t="n">
        <v>3438.85</v>
      </c>
      <c r="AE7" s="705" t="n">
        <v>712.77</v>
      </c>
      <c r="AF7" s="706" t="n">
        <v>4151.62</v>
      </c>
      <c r="AG7" s="705" t="n">
        <v>600.11</v>
      </c>
      <c r="AH7" s="707" t="n">
        <v>38151.7</v>
      </c>
      <c r="AI7" s="707" t="n">
        <v>69401.60000000001</v>
      </c>
      <c r="AJ7" s="708" t="n">
        <v>107553.3</v>
      </c>
      <c r="AK7" s="706" t="n">
        <v>121977.7</v>
      </c>
      <c r="AL7" s="705" t="n">
        <v>0</v>
      </c>
      <c r="AM7" s="702" t="n"/>
      <c r="AN7">
        <f>AND(B7=Subj_OccCode,Subj_BldgSF&gt;0,J7&gt;=Subj_BldgSF*(1-Subj_SizeTol),J7&lt;=Subj_BldgSF*(1+Subj_SizeTol))</f>
        <v/>
      </c>
    </row>
    <row r="8" ht="18" customHeight="1">
      <c r="A8" s="702" t="inlineStr">
        <is>
          <t>P002</t>
        </is>
      </c>
      <c r="B8" s="695" t="n">
        <v>344</v>
      </c>
      <c r="C8" s="703" t="inlineStr">
        <is>
          <t>Unknown</t>
        </is>
      </c>
      <c r="D8" s="702" t="inlineStr">
        <is>
          <t>13659 E. 104th Ave</t>
        </is>
      </c>
      <c r="E8" s="702" t="inlineStr">
        <is>
          <t>Adams County</t>
        </is>
      </c>
      <c r="F8" s="702" t="inlineStr">
        <is>
          <t>CO</t>
        </is>
      </c>
      <c r="G8" s="702" t="inlineStr">
        <is>
          <t>Office/Commercial</t>
        </is>
      </c>
      <c r="H8" s="702" t="inlineStr">
        <is>
          <t>Multi-tenant</t>
        </is>
      </c>
      <c r="I8" s="704" t="n"/>
      <c r="J8" s="704" t="n"/>
      <c r="K8" s="704" t="n">
        <v>2023</v>
      </c>
      <c r="L8" s="702" t="n"/>
      <c r="M8" s="702" t="n"/>
      <c r="N8" s="709" t="n">
        <v>258808</v>
      </c>
      <c r="O8" s="705" t="n">
        <v>3292</v>
      </c>
      <c r="P8" s="705" t="n">
        <v>18539</v>
      </c>
      <c r="Q8" s="702" t="n"/>
      <c r="R8" s="702" t="n"/>
      <c r="S8" s="702" t="n"/>
      <c r="T8" s="702" t="n"/>
      <c r="U8" s="702" t="n"/>
      <c r="V8" s="702" t="n"/>
      <c r="W8" s="702" t="n"/>
      <c r="X8" s="705" t="n">
        <v>24750</v>
      </c>
      <c r="Y8" s="706" t="n">
        <v>24750</v>
      </c>
      <c r="Z8" s="702" t="n"/>
      <c r="AA8" s="705" t="n">
        <v>13331</v>
      </c>
      <c r="AB8" s="702" t="n"/>
      <c r="AC8" s="706" t="n">
        <v>13331</v>
      </c>
      <c r="AD8" s="702" t="n"/>
      <c r="AE8" s="702" t="n"/>
      <c r="AF8" s="706" t="n">
        <v>3990</v>
      </c>
      <c r="AG8" s="705" t="n">
        <v>11264</v>
      </c>
      <c r="AH8" s="707" t="n">
        <v>75327</v>
      </c>
      <c r="AI8" s="707" t="n">
        <v>51707</v>
      </c>
      <c r="AJ8" s="707" t="n">
        <v>127034</v>
      </c>
      <c r="AK8" s="707" t="n">
        <v>131774</v>
      </c>
      <c r="AL8" s="702" t="n"/>
      <c r="AM8" s="710" t="inlineStr">
        <is>
          <t>Insurance: $3,292; Mgmt fee $13,242 + asset mgmt $5,297; Professional svcs $11,264; actuals from BAA operating statement</t>
        </is>
      </c>
      <c r="AN8">
        <f>AND(B8=Subj_OccCode,Subj_BldgSF&gt;0,J8&gt;=Subj_BldgSF*(1-Subj_SizeTol),J8&lt;=Subj_BldgSF*(1+Subj_SizeTol))</f>
        <v/>
      </c>
    </row>
    <row r="9" ht="18" customHeight="1">
      <c r="A9" s="702" t="inlineStr">
        <is>
          <t>P002</t>
        </is>
      </c>
      <c r="B9" s="695" t="n">
        <v>344</v>
      </c>
      <c r="C9" s="703" t="inlineStr">
        <is>
          <t>Unknown</t>
        </is>
      </c>
      <c r="D9" s="702" t="inlineStr">
        <is>
          <t>13659 E. 104th Ave</t>
        </is>
      </c>
      <c r="E9" s="702" t="inlineStr">
        <is>
          <t>Adams County</t>
        </is>
      </c>
      <c r="F9" s="702" t="inlineStr">
        <is>
          <t>CO</t>
        </is>
      </c>
      <c r="G9" s="702" t="inlineStr">
        <is>
          <t>Office/Commercial</t>
        </is>
      </c>
      <c r="H9" s="702" t="inlineStr">
        <is>
          <t>Multi-tenant</t>
        </is>
      </c>
      <c r="I9" s="704" t="n"/>
      <c r="J9" s="704" t="n"/>
      <c r="K9" s="704" t="n">
        <v>2024</v>
      </c>
      <c r="L9" s="702" t="n"/>
      <c r="M9" s="702" t="n"/>
      <c r="N9" s="709" t="n">
        <v>264959</v>
      </c>
      <c r="O9" s="705" t="n">
        <v>7442</v>
      </c>
      <c r="P9" s="705" t="n">
        <v>18228</v>
      </c>
      <c r="Q9" s="702" t="n"/>
      <c r="R9" s="702" t="n"/>
      <c r="S9" s="702" t="n"/>
      <c r="T9" s="702" t="n"/>
      <c r="U9" s="702" t="n"/>
      <c r="V9" s="702" t="n"/>
      <c r="W9" s="702" t="n"/>
      <c r="X9" s="705" t="n">
        <v>37394</v>
      </c>
      <c r="Y9" s="706" t="n">
        <v>37394</v>
      </c>
      <c r="Z9" s="702" t="n"/>
      <c r="AA9" s="705" t="n">
        <v>11888</v>
      </c>
      <c r="AB9" s="702" t="n"/>
      <c r="AC9" s="706" t="n">
        <v>11888</v>
      </c>
      <c r="AD9" s="702" t="n"/>
      <c r="AE9" s="702" t="n"/>
      <c r="AF9" s="706" t="n">
        <v>5290</v>
      </c>
      <c r="AG9" s="705" t="n">
        <v>13341</v>
      </c>
      <c r="AH9" s="707" t="n">
        <v>93583</v>
      </c>
      <c r="AI9" s="707" t="n">
        <v>44649</v>
      </c>
      <c r="AJ9" s="707" t="n">
        <v>138232</v>
      </c>
      <c r="AK9" s="707" t="n">
        <v>126727</v>
      </c>
      <c r="AL9" s="702" t="n"/>
      <c r="AM9" s="710" t="inlineStr">
        <is>
          <t>Insurance $7,442; Mgmt fee $13,020 + asset mgmt $5,208; Prof svcs $13,341; Utilities: gas/elec $1,091 + water/sewer $4,199</t>
        </is>
      </c>
      <c r="AN9">
        <f>AND(B9=Subj_OccCode,Subj_BldgSF&gt;0,J9&gt;=Subj_BldgSF*(1-Subj_SizeTol),J9&lt;=Subj_BldgSF*(1+Subj_SizeTol))</f>
        <v/>
      </c>
    </row>
    <row r="10" ht="18" customHeight="1">
      <c r="A10" s="702" t="inlineStr">
        <is>
          <t>P003</t>
        </is>
      </c>
      <c r="B10" s="695" t="n">
        <v>344</v>
      </c>
      <c r="C10" s="703" t="inlineStr">
        <is>
          <t>R0024063</t>
        </is>
      </c>
      <c r="D10" s="702" t="inlineStr">
        <is>
          <t>Park Centre - Wells Fargo Bldg</t>
        </is>
      </c>
      <c r="E10" s="702" t="inlineStr">
        <is>
          <t>Westminster</t>
        </is>
      </c>
      <c r="F10" s="702" t="inlineStr">
        <is>
          <t>CO</t>
        </is>
      </c>
      <c r="G10" s="702" t="inlineStr">
        <is>
          <t>Office</t>
        </is>
      </c>
      <c r="H10" s="702" t="inlineStr">
        <is>
          <t>Class B Multi-tenant</t>
        </is>
      </c>
      <c r="I10" s="704" t="n"/>
      <c r="J10" s="704" t="n">
        <v>49479</v>
      </c>
      <c r="K10" s="704" t="n">
        <v>2023</v>
      </c>
      <c r="L10" s="705" t="n">
        <v>1017928</v>
      </c>
      <c r="M10" s="705" t="n">
        <v>93575</v>
      </c>
      <c r="N10" s="709" t="n">
        <v>1111503</v>
      </c>
      <c r="O10" s="702" t="n"/>
      <c r="P10" s="702" t="n"/>
      <c r="Q10" s="702" t="n"/>
      <c r="R10" s="702" t="n"/>
      <c r="S10" s="702" t="n"/>
      <c r="T10" s="702" t="n"/>
      <c r="U10" s="702" t="n"/>
      <c r="V10" s="702" t="n"/>
      <c r="W10" s="702" t="n"/>
      <c r="X10" s="702" t="n"/>
      <c r="Y10" s="711" t="n"/>
      <c r="Z10" s="702" t="n"/>
      <c r="AA10" s="702" t="n"/>
      <c r="AB10" s="702" t="n"/>
      <c r="AC10" s="711" t="n"/>
      <c r="AD10" s="702" t="n"/>
      <c r="AE10" s="702" t="n"/>
      <c r="AF10" s="711" t="n"/>
      <c r="AG10" s="702" t="n"/>
      <c r="AH10" s="707" t="n">
        <v>453480</v>
      </c>
      <c r="AI10" s="707" t="n">
        <v>184874</v>
      </c>
      <c r="AJ10" s="707" t="n">
        <v>638354</v>
      </c>
      <c r="AK10" s="707" t="n">
        <v>473149</v>
      </c>
      <c r="AL10" s="702" t="n"/>
      <c r="AM10" s="710" t="inlineStr">
        <is>
          <t>Westfield managed; recoveries $49,658 + other $43,917 = $93,575; OpEx BT per PROFORMA REVISED.xlsx</t>
        </is>
      </c>
      <c r="AN10">
        <f>AND(B10=Subj_OccCode,Subj_BldgSF&gt;0,J10&gt;=Subj_BldgSF*(1-Subj_SizeTol),J10&lt;=Subj_BldgSF*(1+Subj_SizeTol))</f>
        <v/>
      </c>
    </row>
    <row r="11" ht="18" customHeight="1">
      <c r="A11" s="702" t="inlineStr">
        <is>
          <t>P003</t>
        </is>
      </c>
      <c r="B11" s="695" t="n">
        <v>344</v>
      </c>
      <c r="C11" s="703" t="inlineStr">
        <is>
          <t>R0024063</t>
        </is>
      </c>
      <c r="D11" s="702" t="inlineStr">
        <is>
          <t>Park Centre - Wells Fargo Bldg</t>
        </is>
      </c>
      <c r="E11" s="702" t="inlineStr">
        <is>
          <t>Westminster</t>
        </is>
      </c>
      <c r="F11" s="702" t="inlineStr">
        <is>
          <t>CO</t>
        </is>
      </c>
      <c r="G11" s="702" t="inlineStr">
        <is>
          <t>Office</t>
        </is>
      </c>
      <c r="H11" s="702" t="inlineStr">
        <is>
          <t>Class B Multi-tenant</t>
        </is>
      </c>
      <c r="I11" s="704" t="n"/>
      <c r="J11" s="704" t="n">
        <v>49479</v>
      </c>
      <c r="K11" s="704" t="n">
        <v>2024</v>
      </c>
      <c r="L11" s="705" t="n">
        <v>944040</v>
      </c>
      <c r="M11" s="705" t="n">
        <v>77962</v>
      </c>
      <c r="N11" s="709" t="n">
        <v>1022002</v>
      </c>
      <c r="O11" s="702" t="n"/>
      <c r="P11" s="702" t="n"/>
      <c r="Q11" s="702" t="n"/>
      <c r="R11" s="702" t="n"/>
      <c r="S11" s="702" t="n"/>
      <c r="T11" s="702" t="n"/>
      <c r="U11" s="702" t="n"/>
      <c r="V11" s="702" t="n"/>
      <c r="W11" s="702" t="n"/>
      <c r="X11" s="702" t="n"/>
      <c r="Y11" s="711" t="n"/>
      <c r="Z11" s="702" t="n"/>
      <c r="AA11" s="702" t="n"/>
      <c r="AB11" s="702" t="n"/>
      <c r="AC11" s="711" t="n"/>
      <c r="AD11" s="702" t="n"/>
      <c r="AE11" s="702" t="n"/>
      <c r="AF11" s="711" t="n"/>
      <c r="AG11" s="702" t="n"/>
      <c r="AH11" s="707" t="n">
        <v>488239</v>
      </c>
      <c r="AI11" s="707" t="n">
        <v>179568</v>
      </c>
      <c r="AJ11" s="707" t="n">
        <v>667807</v>
      </c>
      <c r="AK11" s="707" t="n">
        <v>354195</v>
      </c>
      <c r="AL11" s="702" t="n"/>
      <c r="AM11" s="710" t="inlineStr">
        <is>
          <t>Recoveries $21,696 + other $56,266; OpEx BT per PROFORMA REVISED.xlsx; NOI decline reflects higher vacancy</t>
        </is>
      </c>
      <c r="AN11">
        <f>AND(B11=Subj_OccCode,Subj_BldgSF&gt;0,J11&gt;=Subj_BldgSF*(1-Subj_SizeTol),J11&lt;=Subj_BldgSF*(1+Subj_SizeTol))</f>
        <v/>
      </c>
    </row>
    <row r="12" ht="18" customHeight="1">
      <c r="A12" s="702" t="inlineStr">
        <is>
          <t>P004</t>
        </is>
      </c>
      <c r="B12" s="695" t="n">
        <v>412</v>
      </c>
      <c r="C12" s="703" t="inlineStr">
        <is>
          <t>R0050221</t>
        </is>
      </c>
      <c r="D12" s="702" t="inlineStr">
        <is>
          <t>8860 Federal Blvd</t>
        </is>
      </c>
      <c r="E12" s="702" t="inlineStr">
        <is>
          <t>Adams County</t>
        </is>
      </c>
      <c r="F12" s="702" t="inlineStr">
        <is>
          <t>CO</t>
        </is>
      </c>
      <c r="G12" s="702" t="inlineStr">
        <is>
          <t>Retail</t>
        </is>
      </c>
      <c r="H12" s="702" t="inlineStr">
        <is>
          <t>Strip/Multi-tenant</t>
        </is>
      </c>
      <c r="I12" s="704" t="n"/>
      <c r="J12" s="704" t="n">
        <v>65850</v>
      </c>
      <c r="K12" s="704" t="n">
        <v>2023</v>
      </c>
      <c r="L12" s="702" t="n"/>
      <c r="M12" s="702" t="n"/>
      <c r="N12" s="709" t="n">
        <v>570777</v>
      </c>
      <c r="O12" s="702" t="n"/>
      <c r="P12" s="702" t="n"/>
      <c r="Q12" s="702" t="n"/>
      <c r="R12" s="702" t="n"/>
      <c r="S12" s="702" t="n"/>
      <c r="T12" s="702" t="n"/>
      <c r="U12" s="702" t="n"/>
      <c r="V12" s="702" t="n"/>
      <c r="W12" s="702" t="n"/>
      <c r="X12" s="702" t="n"/>
      <c r="Y12" s="711" t="n"/>
      <c r="Z12" s="702" t="n"/>
      <c r="AA12" s="702" t="n"/>
      <c r="AB12" s="702" t="n"/>
      <c r="AC12" s="711" t="n"/>
      <c r="AD12" s="702" t="n"/>
      <c r="AE12" s="702" t="n"/>
      <c r="AF12" s="711" t="n"/>
      <c r="AG12" s="702" t="n"/>
      <c r="AH12" s="712" t="n"/>
      <c r="AI12" s="707" t="n">
        <v>74000</v>
      </c>
      <c r="AJ12" s="707" t="n">
        <v>269935</v>
      </c>
      <c r="AK12" s="707" t="n">
        <v>300842</v>
      </c>
      <c r="AL12" s="702" t="n"/>
      <c r="AM12" s="710" t="inlineStr">
        <is>
          <t>RE Tax estimated ~$74k (2023 not detailed); Total OpEx per actuals submission; NOI confirmed</t>
        </is>
      </c>
      <c r="AN12">
        <f>AND(B12=Subj_OccCode,Subj_BldgSF&gt;0,J12&gt;=Subj_BldgSF*(1-Subj_SizeTol),J12&lt;=Subj_BldgSF*(1+Subj_SizeTol))</f>
        <v/>
      </c>
    </row>
    <row r="13" ht="18" customHeight="1">
      <c r="A13" s="702" t="inlineStr">
        <is>
          <t>P004</t>
        </is>
      </c>
      <c r="B13" s="695" t="n">
        <v>412</v>
      </c>
      <c r="C13" s="703" t="inlineStr">
        <is>
          <t>R0050221</t>
        </is>
      </c>
      <c r="D13" s="702" t="inlineStr">
        <is>
          <t>8860 Federal Blvd</t>
        </is>
      </c>
      <c r="E13" s="702" t="inlineStr">
        <is>
          <t>Adams County</t>
        </is>
      </c>
      <c r="F13" s="702" t="inlineStr">
        <is>
          <t>CO</t>
        </is>
      </c>
      <c r="G13" s="702" t="inlineStr">
        <is>
          <t>Retail</t>
        </is>
      </c>
      <c r="H13" s="702" t="inlineStr">
        <is>
          <t>Strip/Multi-tenant</t>
        </is>
      </c>
      <c r="I13" s="704" t="n"/>
      <c r="J13" s="704" t="n">
        <v>65850</v>
      </c>
      <c r="K13" s="704" t="n">
        <v>2024</v>
      </c>
      <c r="L13" s="702" t="n"/>
      <c r="M13" s="702" t="n"/>
      <c r="N13" s="709" t="n">
        <v>587819</v>
      </c>
      <c r="O13" s="705" t="n">
        <v>51223</v>
      </c>
      <c r="P13" s="702" t="n"/>
      <c r="Q13" s="702" t="n"/>
      <c r="R13" s="702" t="n"/>
      <c r="S13" s="702" t="n"/>
      <c r="T13" s="702" t="n"/>
      <c r="U13" s="702" t="n"/>
      <c r="V13" s="702" t="n"/>
      <c r="W13" s="702" t="n"/>
      <c r="X13" s="705" t="n">
        <v>28919</v>
      </c>
      <c r="Y13" s="706" t="n">
        <v>28919</v>
      </c>
      <c r="Z13" s="705" t="n">
        <v>17561</v>
      </c>
      <c r="AA13" s="705" t="n">
        <v>2002</v>
      </c>
      <c r="AB13" s="705" t="n">
        <v>3485</v>
      </c>
      <c r="AC13" s="706" t="n">
        <v>23048</v>
      </c>
      <c r="AD13" s="705" t="n">
        <v>12892</v>
      </c>
      <c r="AE13" s="705" t="n">
        <v>7120</v>
      </c>
      <c r="AF13" s="706" t="n">
        <v>20012</v>
      </c>
      <c r="AG13" s="705" t="n">
        <v>10978</v>
      </c>
      <c r="AH13" s="707" t="n">
        <v>159331</v>
      </c>
      <c r="AI13" s="707" t="n">
        <v>105466</v>
      </c>
      <c r="AJ13" s="707" t="n">
        <v>264797</v>
      </c>
      <c r="AK13" s="707" t="n">
        <v>323022</v>
      </c>
      <c r="AL13" s="702" t="n"/>
      <c r="AM13" s="710" t="inlineStr">
        <is>
          <t>Detailed 2024 actuals; R&amp;M includes CAM component $261; insurance unusually high at $51,223; drainage/lighting included in Other</t>
        </is>
      </c>
      <c r="AN13">
        <f>AND(B13=Subj_OccCode,Subj_BldgSF&gt;0,J13&gt;=Subj_BldgSF*(1-Subj_SizeTol),J13&lt;=Subj_BldgSF*(1+Subj_SizeTol))</f>
        <v/>
      </c>
    </row>
    <row r="14" ht="18" customHeight="1">
      <c r="A14" s="702" t="inlineStr">
        <is>
          <t>P005</t>
        </is>
      </c>
      <c r="B14" s="695" t="n">
        <v>344</v>
      </c>
      <c r="C14" s="703" t="inlineStr">
        <is>
          <t>R0050977</t>
        </is>
      </c>
      <c r="D14" s="702" t="inlineStr">
        <is>
          <t>9351 Grant St (Horizon Terrace)</t>
        </is>
      </c>
      <c r="E14" s="702" t="inlineStr">
        <is>
          <t>Thornton</t>
        </is>
      </c>
      <c r="F14" s="702" t="inlineStr">
        <is>
          <t>CO</t>
        </is>
      </c>
      <c r="G14" s="702" t="inlineStr">
        <is>
          <t>Office</t>
        </is>
      </c>
      <c r="H14" s="702" t="inlineStr">
        <is>
          <t>Class B Multi-story</t>
        </is>
      </c>
      <c r="I14" s="704" t="n"/>
      <c r="J14" s="704" t="n">
        <v>91646</v>
      </c>
      <c r="K14" s="704" t="n">
        <v>2023</v>
      </c>
      <c r="L14" s="705" t="n">
        <v>2011958</v>
      </c>
      <c r="M14" s="705" t="n">
        <v>227276</v>
      </c>
      <c r="N14" s="709" t="n">
        <v>2239234</v>
      </c>
      <c r="O14" s="705" t="n">
        <v>24425</v>
      </c>
      <c r="P14" s="705" t="n">
        <v>132014</v>
      </c>
      <c r="Q14" s="702" t="n"/>
      <c r="R14" s="702" t="n"/>
      <c r="S14" s="702" t="n"/>
      <c r="T14" s="702" t="n"/>
      <c r="U14" s="702" t="n"/>
      <c r="V14" s="702" t="n"/>
      <c r="W14" s="702" t="n"/>
      <c r="X14" s="705" t="n">
        <v>144543</v>
      </c>
      <c r="Y14" s="706" t="n">
        <v>144543</v>
      </c>
      <c r="Z14" s="702" t="n"/>
      <c r="AA14" s="705" t="n">
        <v>108773</v>
      </c>
      <c r="AB14" s="705" t="n">
        <v>65183</v>
      </c>
      <c r="AC14" s="706" t="n">
        <v>273332</v>
      </c>
      <c r="AD14" s="705" t="n">
        <v>14762</v>
      </c>
      <c r="AE14" s="705" t="n">
        <v>225588</v>
      </c>
      <c r="AF14" s="706" t="n">
        <v>240350</v>
      </c>
      <c r="AG14" s="705" t="n">
        <v>32925</v>
      </c>
      <c r="AH14" s="707" t="n">
        <v>845814</v>
      </c>
      <c r="AI14" s="707" t="n">
        <v>372013</v>
      </c>
      <c r="AJ14" s="707" t="n">
        <v>1217827</v>
      </c>
      <c r="AK14" s="707" t="n">
        <v>1021407</v>
      </c>
      <c r="AL14" s="702" t="n"/>
      <c r="AM14" s="710" t="inlineStr">
        <is>
          <t>Full-service office: janitorial $164,559 in contract total; security/life safety $29,726 in Other; landscape incl snow $65,183; 2023 actuals confirmed</t>
        </is>
      </c>
      <c r="AN14">
        <f>AND(B14=Subj_OccCode,Subj_BldgSF&gt;0,J14&gt;=Subj_BldgSF*(1-Subj_SizeTol),J14&lt;=Subj_BldgSF*(1+Subj_SizeTol))</f>
        <v/>
      </c>
    </row>
    <row r="15" ht="18" customHeight="1">
      <c r="A15" s="702" t="inlineStr">
        <is>
          <t>P005</t>
        </is>
      </c>
      <c r="B15" s="695" t="n">
        <v>344</v>
      </c>
      <c r="C15" s="703" t="inlineStr">
        <is>
          <t>R0050977</t>
        </is>
      </c>
      <c r="D15" s="702" t="inlineStr">
        <is>
          <t>9351 Grant St (Horizon Terrace)</t>
        </is>
      </c>
      <c r="E15" s="702" t="inlineStr">
        <is>
          <t>Thornton</t>
        </is>
      </c>
      <c r="F15" s="702" t="inlineStr">
        <is>
          <t>CO</t>
        </is>
      </c>
      <c r="G15" s="702" t="inlineStr">
        <is>
          <t>Office</t>
        </is>
      </c>
      <c r="H15" s="702" t="inlineStr">
        <is>
          <t>Class B Multi-story</t>
        </is>
      </c>
      <c r="I15" s="704" t="n"/>
      <c r="J15" s="704" t="n">
        <v>91646</v>
      </c>
      <c r="K15" s="704" t="n">
        <v>2024</v>
      </c>
      <c r="L15" s="705" t="n">
        <v>2052556</v>
      </c>
      <c r="M15" s="705" t="n">
        <v>269597</v>
      </c>
      <c r="N15" s="709" t="n">
        <v>2322153</v>
      </c>
      <c r="O15" s="705" t="n">
        <v>24269</v>
      </c>
      <c r="P15" s="705" t="n">
        <v>149428</v>
      </c>
      <c r="Q15" s="702" t="n"/>
      <c r="R15" s="702" t="n"/>
      <c r="S15" s="702" t="n"/>
      <c r="T15" s="702" t="n"/>
      <c r="U15" s="702" t="n"/>
      <c r="V15" s="702" t="n"/>
      <c r="W15" s="702" t="n"/>
      <c r="X15" s="705" t="n">
        <v>150462</v>
      </c>
      <c r="Y15" s="706" t="n">
        <v>150462</v>
      </c>
      <c r="Z15" s="702" t="n"/>
      <c r="AA15" s="705" t="n">
        <v>109178</v>
      </c>
      <c r="AB15" s="702" t="n"/>
      <c r="AC15" s="706" t="n">
        <v>262640</v>
      </c>
      <c r="AD15" s="702" t="n"/>
      <c r="AE15" s="702" t="n"/>
      <c r="AF15" s="706" t="n">
        <v>232174</v>
      </c>
      <c r="AG15" s="705" t="n">
        <v>37416</v>
      </c>
      <c r="AH15" s="707" t="n">
        <v>856390</v>
      </c>
      <c r="AI15" s="707" t="n">
        <v>413583</v>
      </c>
      <c r="AJ15" s="707" t="n">
        <v>1269973</v>
      </c>
      <c r="AK15" s="707" t="n">
        <v>1052180</v>
      </c>
      <c r="AL15" s="702" t="n"/>
      <c r="AM15" s="710" t="inlineStr">
        <is>
          <t>2024 actuals; janitorial $153,462 in contract total; security $32,603 in Other; sales/use tax $4,813 in Other</t>
        </is>
      </c>
      <c r="AN15">
        <f>AND(B15=Subj_OccCode,Subj_BldgSF&gt;0,J15&gt;=Subj_BldgSF*(1-Subj_SizeTol),J15&lt;=Subj_BldgSF*(1+Subj_SizeTol))</f>
        <v/>
      </c>
    </row>
    <row r="16" ht="18" customHeight="1">
      <c r="A16" s="702" t="inlineStr">
        <is>
          <t>P006</t>
        </is>
      </c>
      <c r="B16" s="695" t="n">
        <v>210</v>
      </c>
      <c r="C16" s="703" t="inlineStr">
        <is>
          <t>R0062937</t>
        </is>
      </c>
      <c r="D16" s="702" t="inlineStr">
        <is>
          <t>8670 Wolff Ct (Sheridan Park 8)</t>
        </is>
      </c>
      <c r="E16" s="702" t="inlineStr">
        <is>
          <t>Westminster</t>
        </is>
      </c>
      <c r="F16" s="702" t="inlineStr">
        <is>
          <t>CO</t>
        </is>
      </c>
      <c r="G16" s="702" t="inlineStr">
        <is>
          <t>Office/Flex</t>
        </is>
      </c>
      <c r="H16" s="702" t="inlineStr">
        <is>
          <t>Multi-tenant</t>
        </is>
      </c>
      <c r="I16" s="704" t="n"/>
      <c r="J16" s="704" t="n">
        <v>37078</v>
      </c>
      <c r="K16" s="704" t="n">
        <v>2020</v>
      </c>
      <c r="L16" s="702" t="n"/>
      <c r="M16" s="702" t="n"/>
      <c r="N16" s="713" t="n"/>
      <c r="O16" s="705" t="n">
        <v>5777</v>
      </c>
      <c r="P16" s="705" t="n">
        <v>19499</v>
      </c>
      <c r="Q16" s="702" t="n"/>
      <c r="R16" s="702" t="n"/>
      <c r="S16" s="702" t="n"/>
      <c r="T16" s="702" t="n"/>
      <c r="U16" s="702" t="n"/>
      <c r="V16" s="702" t="n"/>
      <c r="W16" s="702" t="n"/>
      <c r="X16" s="702" t="n"/>
      <c r="Y16" s="711" t="n"/>
      <c r="Z16" s="702" t="n"/>
      <c r="AA16" s="702" t="n"/>
      <c r="AB16" s="702" t="n"/>
      <c r="AC16" s="706" t="n">
        <v>133689</v>
      </c>
      <c r="AD16" s="702" t="n"/>
      <c r="AE16" s="702" t="n"/>
      <c r="AF16" s="706" t="n">
        <v>116321</v>
      </c>
      <c r="AG16" s="702" t="n"/>
      <c r="AH16" s="707" t="n">
        <v>275286</v>
      </c>
      <c r="AI16" s="707" t="n">
        <v>88705</v>
      </c>
      <c r="AJ16" s="707" t="n">
        <v>363991</v>
      </c>
      <c r="AK16" s="712" t="n"/>
      <c r="AL16" s="702" t="n"/>
      <c r="AM16" s="710" t="inlineStr">
        <is>
          <t>Income not available; expense-only from DYCO CAM history; CAM in contract total</t>
        </is>
      </c>
      <c r="AN16">
        <f>AND(B16=Subj_OccCode,Subj_BldgSF&gt;0,J16&gt;=Subj_BldgSF*(1-Subj_SizeTol),J16&lt;=Subj_BldgSF*(1+Subj_SizeTol))</f>
        <v/>
      </c>
    </row>
    <row r="17" ht="18" customHeight="1">
      <c r="A17" s="702" t="inlineStr">
        <is>
          <t>P006</t>
        </is>
      </c>
      <c r="B17" s="695" t="n">
        <v>210</v>
      </c>
      <c r="C17" s="703" t="inlineStr">
        <is>
          <t>R0062937</t>
        </is>
      </c>
      <c r="D17" s="702" t="inlineStr">
        <is>
          <t>8670 Wolff Ct (Sheridan Park 8)</t>
        </is>
      </c>
      <c r="E17" s="702" t="inlineStr">
        <is>
          <t>Westminster</t>
        </is>
      </c>
      <c r="F17" s="702" t="inlineStr">
        <is>
          <t>CO</t>
        </is>
      </c>
      <c r="G17" s="702" t="inlineStr">
        <is>
          <t>Office/Flex</t>
        </is>
      </c>
      <c r="H17" s="702" t="inlineStr">
        <is>
          <t>Multi-tenant</t>
        </is>
      </c>
      <c r="I17" s="704" t="n"/>
      <c r="J17" s="704" t="n">
        <v>37078</v>
      </c>
      <c r="K17" s="704" t="n">
        <v>2021</v>
      </c>
      <c r="L17" s="702" t="n"/>
      <c r="M17" s="702" t="n"/>
      <c r="N17" s="713" t="n"/>
      <c r="O17" s="705" t="n">
        <v>6826</v>
      </c>
      <c r="P17" s="705" t="n">
        <v>18000</v>
      </c>
      <c r="Q17" s="702" t="n"/>
      <c r="R17" s="702" t="n"/>
      <c r="S17" s="702" t="n"/>
      <c r="T17" s="702" t="n"/>
      <c r="U17" s="702" t="n"/>
      <c r="V17" s="702" t="n"/>
      <c r="W17" s="702" t="n"/>
      <c r="X17" s="702" t="n"/>
      <c r="Y17" s="711" t="n"/>
      <c r="Z17" s="702" t="n"/>
      <c r="AA17" s="702" t="n"/>
      <c r="AB17" s="702" t="n"/>
      <c r="AC17" s="706" t="n">
        <v>104519</v>
      </c>
      <c r="AD17" s="702" t="n"/>
      <c r="AE17" s="702" t="n"/>
      <c r="AF17" s="706" t="n">
        <v>108857</v>
      </c>
      <c r="AG17" s="702" t="n"/>
      <c r="AH17" s="707" t="n">
        <v>238202</v>
      </c>
      <c r="AI17" s="707" t="n">
        <v>84200</v>
      </c>
      <c r="AJ17" s="707" t="n">
        <v>322402</v>
      </c>
      <c r="AK17" s="712" t="n"/>
      <c r="AL17" s="702" t="n"/>
      <c r="AM17" s="710" t="inlineStr">
        <is>
          <t>Income not available; expense-only from DYCO CAM history</t>
        </is>
      </c>
      <c r="AN17">
        <f>AND(B17=Subj_OccCode,Subj_BldgSF&gt;0,J17&gt;=Subj_BldgSF*(1-Subj_SizeTol),J17&lt;=Subj_BldgSF*(1+Subj_SizeTol))</f>
        <v/>
      </c>
    </row>
    <row r="18" ht="18" customHeight="1">
      <c r="A18" s="702" t="inlineStr">
        <is>
          <t>P006</t>
        </is>
      </c>
      <c r="B18" s="695" t="n">
        <v>210</v>
      </c>
      <c r="C18" s="703" t="inlineStr">
        <is>
          <t>R0062937</t>
        </is>
      </c>
      <c r="D18" s="702" t="inlineStr">
        <is>
          <t>8670 Wolff Ct (Sheridan Park 8)</t>
        </is>
      </c>
      <c r="E18" s="702" t="inlineStr">
        <is>
          <t>Westminster</t>
        </is>
      </c>
      <c r="F18" s="702" t="inlineStr">
        <is>
          <t>CO</t>
        </is>
      </c>
      <c r="G18" s="702" t="inlineStr">
        <is>
          <t>Office/Flex</t>
        </is>
      </c>
      <c r="H18" s="702" t="inlineStr">
        <is>
          <t>Multi-tenant</t>
        </is>
      </c>
      <c r="I18" s="704" t="n"/>
      <c r="J18" s="704" t="n">
        <v>37078</v>
      </c>
      <c r="K18" s="704" t="n">
        <v>2022</v>
      </c>
      <c r="L18" s="702" t="n"/>
      <c r="M18" s="702" t="n"/>
      <c r="N18" s="713" t="n"/>
      <c r="O18" s="705" t="n">
        <v>7867</v>
      </c>
      <c r="P18" s="705" t="n">
        <v>20952</v>
      </c>
      <c r="Q18" s="702" t="n"/>
      <c r="R18" s="702" t="n"/>
      <c r="S18" s="702" t="n"/>
      <c r="T18" s="702" t="n"/>
      <c r="U18" s="702" t="n"/>
      <c r="V18" s="702" t="n"/>
      <c r="W18" s="702" t="n"/>
      <c r="X18" s="702" t="n"/>
      <c r="Y18" s="711" t="n"/>
      <c r="Z18" s="702" t="n"/>
      <c r="AA18" s="702" t="n"/>
      <c r="AB18" s="702" t="n"/>
      <c r="AC18" s="706" t="n">
        <v>112201</v>
      </c>
      <c r="AD18" s="702" t="n"/>
      <c r="AE18" s="702" t="n"/>
      <c r="AF18" s="706" t="n">
        <v>111968</v>
      </c>
      <c r="AG18" s="702" t="n"/>
      <c r="AH18" s="707" t="n">
        <v>252988</v>
      </c>
      <c r="AI18" s="707" t="n">
        <v>137142</v>
      </c>
      <c r="AJ18" s="707" t="n">
        <v>390130</v>
      </c>
      <c r="AK18" s="712" t="n"/>
      <c r="AL18" s="702" t="n"/>
      <c r="AM18" s="710" t="inlineStr">
        <is>
          <t>Income not available; expense-only from DYCO CAM history; RE Tax jumped from $84k to $137k (reval year)</t>
        </is>
      </c>
      <c r="AN18">
        <f>AND(B18=Subj_OccCode,Subj_BldgSF&gt;0,J18&gt;=Subj_BldgSF*(1-Subj_SizeTol),J18&lt;=Subj_BldgSF*(1+Subj_SizeTol))</f>
        <v/>
      </c>
    </row>
    <row r="19" ht="18" customHeight="1">
      <c r="A19" s="702" t="inlineStr">
        <is>
          <t>P006</t>
        </is>
      </c>
      <c r="B19" s="695" t="n">
        <v>210</v>
      </c>
      <c r="C19" s="703" t="inlineStr">
        <is>
          <t>R0062937</t>
        </is>
      </c>
      <c r="D19" s="702" t="inlineStr">
        <is>
          <t>8670 Wolff Ct (Sheridan Park 8)</t>
        </is>
      </c>
      <c r="E19" s="702" t="inlineStr">
        <is>
          <t>Westminster</t>
        </is>
      </c>
      <c r="F19" s="702" t="inlineStr">
        <is>
          <t>CO</t>
        </is>
      </c>
      <c r="G19" s="702" t="inlineStr">
        <is>
          <t>Office/Flex</t>
        </is>
      </c>
      <c r="H19" s="702" t="inlineStr">
        <is>
          <t>Multi-tenant</t>
        </is>
      </c>
      <c r="I19" s="704" t="n"/>
      <c r="J19" s="704" t="n">
        <v>37078</v>
      </c>
      <c r="K19" s="704" t="n">
        <v>2023</v>
      </c>
      <c r="L19" s="702" t="n"/>
      <c r="M19" s="702" t="n"/>
      <c r="N19" s="713" t="n"/>
      <c r="O19" s="705" t="n">
        <v>8654</v>
      </c>
      <c r="P19" s="705" t="n">
        <v>18000</v>
      </c>
      <c r="Q19" s="702" t="n"/>
      <c r="R19" s="702" t="n"/>
      <c r="S19" s="702" t="n"/>
      <c r="T19" s="702" t="n"/>
      <c r="U19" s="702" t="n"/>
      <c r="V19" s="702" t="n"/>
      <c r="W19" s="702" t="n"/>
      <c r="X19" s="702" t="n"/>
      <c r="Y19" s="711" t="n"/>
      <c r="Z19" s="702" t="n"/>
      <c r="AA19" s="702" t="n"/>
      <c r="AB19" s="702" t="n"/>
      <c r="AC19" s="706" t="n">
        <v>116495</v>
      </c>
      <c r="AD19" s="702" t="n"/>
      <c r="AE19" s="702" t="n"/>
      <c r="AF19" s="706" t="n">
        <v>111903</v>
      </c>
      <c r="AG19" s="702" t="n"/>
      <c r="AH19" s="707" t="n">
        <v>255052</v>
      </c>
      <c r="AI19" s="707" t="n">
        <v>131777</v>
      </c>
      <c r="AJ19" s="707" t="n">
        <v>386829</v>
      </c>
      <c r="AK19" s="712" t="n"/>
      <c r="AL19" s="702" t="n"/>
      <c r="AM19" s="710" t="inlineStr">
        <is>
          <t>Income not available; 2023 YTD annualized per DYCO</t>
        </is>
      </c>
      <c r="AN19">
        <f>AND(B19=Subj_OccCode,Subj_BldgSF&gt;0,J19&gt;=Subj_BldgSF*(1-Subj_SizeTol),J19&lt;=Subj_BldgSF*(1+Subj_SizeTol))</f>
        <v/>
      </c>
    </row>
    <row r="20" ht="18" customHeight="1">
      <c r="A20" s="702" t="inlineStr">
        <is>
          <t>P006</t>
        </is>
      </c>
      <c r="B20" s="695" t="n">
        <v>210</v>
      </c>
      <c r="C20" s="703" t="inlineStr">
        <is>
          <t>R0062937</t>
        </is>
      </c>
      <c r="D20" s="702" t="inlineStr">
        <is>
          <t>8670 Wolff Ct (Sheridan Park 8)</t>
        </is>
      </c>
      <c r="E20" s="702" t="inlineStr">
        <is>
          <t>Westminster</t>
        </is>
      </c>
      <c r="F20" s="702" t="inlineStr">
        <is>
          <t>CO</t>
        </is>
      </c>
      <c r="G20" s="702" t="inlineStr">
        <is>
          <t>Office/Flex</t>
        </is>
      </c>
      <c r="H20" s="702" t="inlineStr">
        <is>
          <t>Multi-tenant</t>
        </is>
      </c>
      <c r="I20" s="704" t="n"/>
      <c r="J20" s="704" t="n">
        <v>37078</v>
      </c>
      <c r="K20" s="704" t="n">
        <v>2024</v>
      </c>
      <c r="L20" s="702" t="n"/>
      <c r="M20" s="702" t="n"/>
      <c r="N20" s="713" t="n"/>
      <c r="O20" s="705" t="n">
        <v>8654</v>
      </c>
      <c r="P20" s="705" t="n">
        <v>21600</v>
      </c>
      <c r="Q20" s="702" t="n"/>
      <c r="R20" s="702" t="n"/>
      <c r="S20" s="702" t="n"/>
      <c r="T20" s="702" t="n"/>
      <c r="U20" s="702" t="n"/>
      <c r="V20" s="702" t="n"/>
      <c r="W20" s="702" t="n"/>
      <c r="X20" s="702" t="n"/>
      <c r="Y20" s="711" t="n"/>
      <c r="Z20" s="702" t="n"/>
      <c r="AA20" s="702" t="n"/>
      <c r="AB20" s="702" t="n"/>
      <c r="AC20" s="706" t="n">
        <v>139794</v>
      </c>
      <c r="AD20" s="702" t="n"/>
      <c r="AE20" s="702" t="n"/>
      <c r="AF20" s="706" t="n">
        <v>134284</v>
      </c>
      <c r="AG20" s="702" t="n"/>
      <c r="AH20" s="707" t="n">
        <v>304332</v>
      </c>
      <c r="AI20" s="707" t="n">
        <v>131777</v>
      </c>
      <c r="AJ20" s="707" t="n">
        <v>436109</v>
      </c>
      <c r="AK20" s="712" t="n"/>
      <c r="AL20" s="702" t="n"/>
      <c r="AM20" s="710" t="inlineStr">
        <is>
          <t>Income not available; 2024 actuals per DYCO CAM history</t>
        </is>
      </c>
      <c r="AN20">
        <f>AND(B20=Subj_OccCode,Subj_BldgSF&gt;0,J20&gt;=Subj_BldgSF*(1-Subj_SizeTol),J20&lt;=Subj_BldgSF*(1+Subj_SizeTol))</f>
        <v/>
      </c>
    </row>
    <row r="21" ht="18" customHeight="1">
      <c r="A21" s="702" t="inlineStr">
        <is>
          <t>P007</t>
        </is>
      </c>
      <c r="B21" s="695" t="n">
        <v>341</v>
      </c>
      <c r="C21" s="703" t="inlineStr">
        <is>
          <t>R0062944</t>
        </is>
      </c>
      <c r="D21" s="702" t="inlineStr">
        <is>
          <t>8787 (medical office complex)</t>
        </is>
      </c>
      <c r="E21" s="702" t="inlineStr">
        <is>
          <t>Adams County</t>
        </is>
      </c>
      <c r="F21" s="702" t="inlineStr">
        <is>
          <t>CO</t>
        </is>
      </c>
      <c r="G21" s="702" t="inlineStr">
        <is>
          <t>Medical Office</t>
        </is>
      </c>
      <c r="H21" s="702" t="inlineStr">
        <is>
          <t>Multi-tenant</t>
        </is>
      </c>
      <c r="I21" s="704" t="n"/>
      <c r="J21" s="704" t="n">
        <v>19430</v>
      </c>
      <c r="K21" s="704" t="n">
        <v>2023</v>
      </c>
      <c r="L21" s="702" t="n"/>
      <c r="M21" s="702" t="n"/>
      <c r="N21" s="709" t="n">
        <v>393809</v>
      </c>
      <c r="O21" s="705" t="n">
        <v>9485</v>
      </c>
      <c r="P21" s="705" t="n">
        <v>10200</v>
      </c>
      <c r="Q21" s="702" t="n"/>
      <c r="R21" s="702" t="n"/>
      <c r="S21" s="702" t="n"/>
      <c r="T21" s="702" t="n"/>
      <c r="U21" s="705" t="n">
        <v>21615</v>
      </c>
      <c r="V21" s="702" t="n"/>
      <c r="W21" s="702" t="n"/>
      <c r="X21" s="705" t="n">
        <v>26521</v>
      </c>
      <c r="Y21" s="706" t="n">
        <v>26521</v>
      </c>
      <c r="Z21" s="705" t="n">
        <v>2032</v>
      </c>
      <c r="AA21" s="705" t="n">
        <v>11685</v>
      </c>
      <c r="AB21" s="705" t="n">
        <v>6338</v>
      </c>
      <c r="AC21" s="706" t="n">
        <v>20055</v>
      </c>
      <c r="AD21" s="705" t="n">
        <v>7660</v>
      </c>
      <c r="AE21" s="705" t="n">
        <v>37676</v>
      </c>
      <c r="AF21" s="706" t="n">
        <v>45336</v>
      </c>
      <c r="AG21" s="705" t="n">
        <v>18144</v>
      </c>
      <c r="AH21" s="707" t="n">
        <v>151355</v>
      </c>
      <c r="AI21" s="707" t="n">
        <v>53397</v>
      </c>
      <c r="AJ21" s="707" t="n">
        <v>204752</v>
      </c>
      <c r="AK21" s="707" t="n">
        <v>189057</v>
      </c>
      <c r="AL21" s="702" t="n"/>
      <c r="AM21" s="710" t="inlineStr">
        <is>
          <t>HVAC maint $21,615 included in R&amp;M; janitorial $16,418 in Other; professional svcs $1,726 in Other; 2023 actuals</t>
        </is>
      </c>
      <c r="AN21">
        <f>AND(B21=Subj_OccCode,Subj_BldgSF&gt;0,J21&gt;=Subj_BldgSF*(1-Subj_SizeTol),J21&lt;=Subj_BldgSF*(1+Subj_SizeTol))</f>
        <v/>
      </c>
    </row>
    <row r="22" ht="18" customHeight="1">
      <c r="A22" s="702" t="inlineStr">
        <is>
          <t>P007</t>
        </is>
      </c>
      <c r="B22" s="695" t="n">
        <v>341</v>
      </c>
      <c r="C22" s="703" t="inlineStr">
        <is>
          <t>R0062944</t>
        </is>
      </c>
      <c r="D22" s="702" t="inlineStr">
        <is>
          <t>8787 (medical office complex)</t>
        </is>
      </c>
      <c r="E22" s="702" t="inlineStr">
        <is>
          <t>Adams County</t>
        </is>
      </c>
      <c r="F22" s="702" t="inlineStr">
        <is>
          <t>CO</t>
        </is>
      </c>
      <c r="G22" s="702" t="inlineStr">
        <is>
          <t>Medical Office</t>
        </is>
      </c>
      <c r="H22" s="702" t="inlineStr">
        <is>
          <t>Multi-tenant</t>
        </is>
      </c>
      <c r="I22" s="704" t="n"/>
      <c r="J22" s="704" t="n">
        <v>19430</v>
      </c>
      <c r="K22" s="704" t="n">
        <v>2024</v>
      </c>
      <c r="L22" s="702" t="n"/>
      <c r="M22" s="702" t="n"/>
      <c r="N22" s="709" t="n">
        <v>390497</v>
      </c>
      <c r="O22" s="705" t="n">
        <v>13960</v>
      </c>
      <c r="P22" s="705" t="n">
        <v>38622</v>
      </c>
      <c r="Q22" s="702" t="n"/>
      <c r="R22" s="702" t="n"/>
      <c r="S22" s="702" t="n"/>
      <c r="T22" s="702" t="n"/>
      <c r="U22" s="705" t="n">
        <v>13067</v>
      </c>
      <c r="V22" s="702" t="n"/>
      <c r="W22" s="702" t="n"/>
      <c r="X22" s="705" t="n">
        <v>25835</v>
      </c>
      <c r="Y22" s="706" t="n">
        <v>25835</v>
      </c>
      <c r="Z22" s="705" t="n">
        <v>1958</v>
      </c>
      <c r="AA22" s="705" t="n">
        <v>15696</v>
      </c>
      <c r="AB22" s="705" t="n">
        <v>5885</v>
      </c>
      <c r="AC22" s="706" t="n">
        <v>23539</v>
      </c>
      <c r="AD22" s="705" t="n">
        <v>6421</v>
      </c>
      <c r="AE22" s="705" t="n">
        <v>33074</v>
      </c>
      <c r="AF22" s="706" t="n">
        <v>39495</v>
      </c>
      <c r="AG22" s="705" t="n">
        <v>16022</v>
      </c>
      <c r="AH22" s="707" t="n">
        <v>170540</v>
      </c>
      <c r="AI22" s="707" t="n">
        <v>63200</v>
      </c>
      <c r="AJ22" s="707" t="n">
        <v>233740</v>
      </c>
      <c r="AK22" s="707" t="n">
        <v>156757</v>
      </c>
      <c r="AL22" s="702" t="n"/>
      <c r="AM22" s="710" t="inlineStr">
        <is>
          <t>Mgmt = CAM portion $10,600 + non-CAM $28,022; janitorial $16,022 in Other; HVAC $13,067 in R&amp;M; 2024 actuals</t>
        </is>
      </c>
      <c r="AN22">
        <f>AND(B22=Subj_OccCode,Subj_BldgSF&gt;0,J22&gt;=Subj_BldgSF*(1-Subj_SizeTol),J22&lt;=Subj_BldgSF*(1+Subj_SizeTol))</f>
        <v/>
      </c>
    </row>
    <row r="23" ht="18" customHeight="1">
      <c r="A23" s="702" t="inlineStr">
        <is>
          <t>P008</t>
        </is>
      </c>
      <c r="B23" s="695" t="n">
        <v>210</v>
      </c>
      <c r="C23" s="703" t="inlineStr">
        <is>
          <t>R0070622</t>
        </is>
      </c>
      <c r="D23" s="702" t="inlineStr">
        <is>
          <t>460-550 E. 76th Ave (WPC Corporate)</t>
        </is>
      </c>
      <c r="E23" s="702" t="inlineStr">
        <is>
          <t>Adams County</t>
        </is>
      </c>
      <c r="F23" s="702" t="inlineStr">
        <is>
          <t>CO</t>
        </is>
      </c>
      <c r="G23" s="702" t="inlineStr">
        <is>
          <t>Industrial</t>
        </is>
      </c>
      <c r="H23" s="702" t="inlineStr">
        <is>
          <t>Distribution/Flex Multi-tenant</t>
        </is>
      </c>
      <c r="I23" s="704" t="n"/>
      <c r="J23" s="704" t="n">
        <v>330935</v>
      </c>
      <c r="K23" s="704" t="n">
        <v>2024</v>
      </c>
      <c r="L23" s="702" t="n"/>
      <c r="M23" s="702" t="n"/>
      <c r="N23" s="709" t="n">
        <v>2750538</v>
      </c>
      <c r="O23" s="702" t="n"/>
      <c r="P23" s="702" t="n"/>
      <c r="Q23" s="702" t="n"/>
      <c r="R23" s="702" t="n"/>
      <c r="S23" s="702" t="n"/>
      <c r="T23" s="702" t="n"/>
      <c r="U23" s="702" t="n"/>
      <c r="V23" s="702" t="n"/>
      <c r="W23" s="702" t="n"/>
      <c r="X23" s="702" t="n"/>
      <c r="Y23" s="711" t="n"/>
      <c r="Z23" s="702" t="n"/>
      <c r="AA23" s="702" t="n"/>
      <c r="AB23" s="702" t="n"/>
      <c r="AC23" s="711" t="n"/>
      <c r="AD23" s="702" t="n"/>
      <c r="AE23" s="702" t="n"/>
      <c r="AF23" s="711" t="n"/>
      <c r="AG23" s="702" t="n"/>
      <c r="AH23" s="712" t="n"/>
      <c r="AI23" s="712" t="n"/>
      <c r="AJ23" s="707" t="n">
        <v>1338440</v>
      </c>
      <c r="AK23" s="707" t="n">
        <v>1412098</v>
      </c>
      <c r="AL23" s="702" t="n"/>
      <c r="AM23" s="710" t="inlineStr">
        <is>
          <t>2024 only; total OPX derived (EGI - NOI); limited line-item detail from scanned actuals; large multi-tenant industrial complex</t>
        </is>
      </c>
      <c r="AN23">
        <f>AND(B23=Subj_OccCode,Subj_BldgSF&gt;0,J23&gt;=Subj_BldgSF*(1-Subj_SizeTol),J23&lt;=Subj_BldgSF*(1+Subj_SizeTol))</f>
        <v/>
      </c>
    </row>
    <row r="24" ht="18" customHeight="1">
      <c r="A24" s="702" t="inlineStr">
        <is>
          <t>P009</t>
        </is>
      </c>
      <c r="B24" s="695" t="n">
        <v>407</v>
      </c>
      <c r="C24" s="703" t="inlineStr">
        <is>
          <t>R0075212</t>
        </is>
      </c>
      <c r="D24" s="702" t="inlineStr">
        <is>
          <t>10500 Havana Court</t>
        </is>
      </c>
      <c r="E24" s="702" t="inlineStr">
        <is>
          <t>Adams County</t>
        </is>
      </c>
      <c r="F24" s="702" t="inlineStr">
        <is>
          <t>CO</t>
        </is>
      </c>
      <c r="G24" s="702" t="inlineStr">
        <is>
          <t>Industrial</t>
        </is>
      </c>
      <c r="H24" s="702" t="inlineStr">
        <is>
          <t>NNN Single-tenant</t>
        </is>
      </c>
      <c r="I24" s="704" t="n"/>
      <c r="J24" s="704" t="n"/>
      <c r="K24" s="704" t="n">
        <v>2023</v>
      </c>
      <c r="L24" s="702" t="n"/>
      <c r="M24" s="702" t="n"/>
      <c r="N24" s="709" t="n">
        <v>332759</v>
      </c>
      <c r="O24" s="705" t="n">
        <v>22784</v>
      </c>
      <c r="P24" s="705" t="n">
        <v>4000</v>
      </c>
      <c r="Q24" s="702" t="n"/>
      <c r="R24" s="702" t="n"/>
      <c r="S24" s="702" t="n"/>
      <c r="T24" s="702" t="n"/>
      <c r="U24" s="702" t="n"/>
      <c r="V24" s="702" t="n"/>
      <c r="W24" s="702" t="n"/>
      <c r="X24" s="705" t="n">
        <v>12804</v>
      </c>
      <c r="Y24" s="706" t="n">
        <v>12804</v>
      </c>
      <c r="Z24" s="702" t="n"/>
      <c r="AA24" s="705" t="n">
        <v>6910</v>
      </c>
      <c r="AB24" s="705" t="n">
        <v>1800</v>
      </c>
      <c r="AC24" s="706" t="n">
        <v>8710</v>
      </c>
      <c r="AD24" s="705" t="n">
        <v>2209</v>
      </c>
      <c r="AE24" s="705" t="n">
        <v>1956</v>
      </c>
      <c r="AF24" s="706" t="n">
        <v>4165</v>
      </c>
      <c r="AG24" s="705" t="n">
        <v>8397</v>
      </c>
      <c r="AH24" s="707" t="n">
        <v>127005</v>
      </c>
      <c r="AI24" s="707" t="n">
        <v>60552</v>
      </c>
      <c r="AJ24" s="707" t="n">
        <v>187557</v>
      </c>
      <c r="AK24" s="707" t="n">
        <v>265550</v>
      </c>
      <c r="AL24" s="702" t="n"/>
      <c r="AM24" s="710" t="inlineStr">
        <is>
          <t>NNN; P&amp;L excludes depreciation ($68,209) and mortgage interest ($60,714) from NOI calc; acctg/legal/bank/dues in Other; 2023 actuals</t>
        </is>
      </c>
      <c r="AN24">
        <f>AND(B24=Subj_OccCode,Subj_BldgSF&gt;0,J24&gt;=Subj_BldgSF*(1-Subj_SizeTol),J24&lt;=Subj_BldgSF*(1+Subj_SizeTol))</f>
        <v/>
      </c>
    </row>
    <row r="25" ht="18" customHeight="1">
      <c r="A25" s="702" t="inlineStr">
        <is>
          <t>P009</t>
        </is>
      </c>
      <c r="B25" s="695" t="n">
        <v>407</v>
      </c>
      <c r="C25" s="703" t="inlineStr">
        <is>
          <t>R0075212</t>
        </is>
      </c>
      <c r="D25" s="702" t="inlineStr">
        <is>
          <t>10500 Havana Court</t>
        </is>
      </c>
      <c r="E25" s="702" t="inlineStr">
        <is>
          <t>Adams County</t>
        </is>
      </c>
      <c r="F25" s="702" t="inlineStr">
        <is>
          <t>CO</t>
        </is>
      </c>
      <c r="G25" s="702" t="inlineStr">
        <is>
          <t>Industrial</t>
        </is>
      </c>
      <c r="H25" s="702" t="inlineStr">
        <is>
          <t>NNN Single-tenant</t>
        </is>
      </c>
      <c r="I25" s="704" t="n"/>
      <c r="J25" s="704" t="n"/>
      <c r="K25" s="704" t="n">
        <v>2024</v>
      </c>
      <c r="L25" s="702" t="n"/>
      <c r="M25" s="702" t="n"/>
      <c r="N25" s="709" t="n">
        <v>359583</v>
      </c>
      <c r="O25" s="705" t="n">
        <v>27489</v>
      </c>
      <c r="P25" s="705" t="n">
        <v>6000</v>
      </c>
      <c r="Q25" s="702" t="n"/>
      <c r="R25" s="702" t="n"/>
      <c r="S25" s="702" t="n"/>
      <c r="T25" s="702" t="n"/>
      <c r="U25" s="702" t="n"/>
      <c r="V25" s="702" t="n"/>
      <c r="W25" s="702" t="n"/>
      <c r="X25" s="705" t="n">
        <v>9601</v>
      </c>
      <c r="Y25" s="706" t="n">
        <v>9601</v>
      </c>
      <c r="Z25" s="702" t="n"/>
      <c r="AA25" s="705" t="n">
        <v>3045</v>
      </c>
      <c r="AB25" s="705" t="n">
        <v>1960</v>
      </c>
      <c r="AC25" s="706" t="n">
        <v>5005</v>
      </c>
      <c r="AD25" s="705" t="n">
        <v>3555</v>
      </c>
      <c r="AE25" s="705" t="n">
        <v>1567</v>
      </c>
      <c r="AF25" s="706" t="n">
        <v>5122</v>
      </c>
      <c r="AG25" s="705" t="n">
        <v>10035</v>
      </c>
      <c r="AH25" s="707" t="n">
        <v>69350</v>
      </c>
      <c r="AI25" s="707" t="n">
        <v>101114</v>
      </c>
      <c r="AJ25" s="707" t="n">
        <v>170464</v>
      </c>
      <c r="AK25" s="707" t="n">
        <v>290993</v>
      </c>
      <c r="AL25" s="702" t="n"/>
      <c r="AM25" s="710" t="inlineStr">
        <is>
          <t>NNN; depreciation ($52,109) and mortgage interest ($58,574) excluded from NOI; Other includes acctg, dues, inspections; 2024 actuals</t>
        </is>
      </c>
      <c r="AN25">
        <f>AND(B25=Subj_OccCode,Subj_BldgSF&gt;0,J25&gt;=Subj_BldgSF*(1-Subj_SizeTol),J25&lt;=Subj_BldgSF*(1+Subj_SizeTol))</f>
        <v/>
      </c>
    </row>
    <row r="26" ht="18" customHeight="1">
      <c r="A26" s="702" t="inlineStr">
        <is>
          <t>P010</t>
        </is>
      </c>
      <c r="B26" s="695" t="n">
        <v>210</v>
      </c>
      <c r="C26" s="703" t="inlineStr">
        <is>
          <t>R0098225</t>
        </is>
      </c>
      <c r="D26" s="702" t="inlineStr">
        <is>
          <t>Broadway Business Center (7040B Broadway)</t>
        </is>
      </c>
      <c r="E26" s="702" t="inlineStr">
        <is>
          <t>Denver</t>
        </is>
      </c>
      <c r="F26" s="702" t="inlineStr">
        <is>
          <t>CO</t>
        </is>
      </c>
      <c r="G26" s="702" t="inlineStr">
        <is>
          <t>Flex/Industrial</t>
        </is>
      </c>
      <c r="H26" s="702" t="inlineStr">
        <is>
          <t>Multi-tenant CAM</t>
        </is>
      </c>
      <c r="I26" s="704" t="n"/>
      <c r="J26" s="704" t="n">
        <v>105000</v>
      </c>
      <c r="K26" s="704" t="n">
        <v>2023</v>
      </c>
      <c r="L26" s="705" t="n">
        <v>737984</v>
      </c>
      <c r="M26" s="705" t="n">
        <v>508740</v>
      </c>
      <c r="N26" s="709" t="n">
        <v>1246724</v>
      </c>
      <c r="O26" s="705" t="n">
        <v>48903</v>
      </c>
      <c r="P26" s="705" t="n">
        <v>104311</v>
      </c>
      <c r="Q26" s="702" t="n"/>
      <c r="R26" s="702" t="n"/>
      <c r="S26" s="702" t="n"/>
      <c r="T26" s="702" t="n"/>
      <c r="U26" s="702" t="n"/>
      <c r="V26" s="702" t="n"/>
      <c r="W26" s="702" t="n"/>
      <c r="X26" s="705" t="n">
        <v>66445</v>
      </c>
      <c r="Y26" s="706" t="n">
        <v>66445</v>
      </c>
      <c r="Z26" s="705" t="n">
        <v>49021</v>
      </c>
      <c r="AA26" s="705" t="n">
        <v>22802</v>
      </c>
      <c r="AB26" s="705" t="n">
        <v>58641</v>
      </c>
      <c r="AC26" s="706" t="n">
        <v>130464</v>
      </c>
      <c r="AD26" s="705" t="n">
        <v>53517</v>
      </c>
      <c r="AE26" s="702" t="n"/>
      <c r="AF26" s="706" t="n">
        <v>75845</v>
      </c>
      <c r="AG26" s="702" t="n"/>
      <c r="AH26" s="707" t="n">
        <v>484485</v>
      </c>
      <c r="AI26" s="707" t="n">
        <v>229515</v>
      </c>
      <c r="AJ26" s="707" t="n">
        <v>714000</v>
      </c>
      <c r="AK26" s="707" t="n">
        <v>533000</v>
      </c>
      <c r="AL26" s="702" t="n"/>
      <c r="AM26" s="710" t="inlineStr">
        <is>
          <t>CAM recovery structure; mgmt = prop mgmt fee $50,590 + recoverable mgmt $53,721; snow in contract; 2023 actuals; NOI estimated</t>
        </is>
      </c>
      <c r="AN26">
        <f>AND(B26=Subj_OccCode,Subj_BldgSF&gt;0,J26&gt;=Subj_BldgSF*(1-Subj_SizeTol),J26&lt;=Subj_BldgSF*(1+Subj_SizeTol))</f>
        <v/>
      </c>
    </row>
    <row r="27" ht="18" customHeight="1">
      <c r="A27" s="702" t="inlineStr">
        <is>
          <t>P010</t>
        </is>
      </c>
      <c r="B27" s="695" t="n">
        <v>210</v>
      </c>
      <c r="C27" s="703" t="inlineStr">
        <is>
          <t>R0098225</t>
        </is>
      </c>
      <c r="D27" s="702" t="inlineStr">
        <is>
          <t>Broadway Business Center (7040B Broadway)</t>
        </is>
      </c>
      <c r="E27" s="702" t="inlineStr">
        <is>
          <t>Denver</t>
        </is>
      </c>
      <c r="F27" s="702" t="inlineStr">
        <is>
          <t>CO</t>
        </is>
      </c>
      <c r="G27" s="702" t="inlineStr">
        <is>
          <t>Flex/Industrial</t>
        </is>
      </c>
      <c r="H27" s="702" t="inlineStr">
        <is>
          <t>Multi-tenant CAM</t>
        </is>
      </c>
      <c r="I27" s="704" t="n"/>
      <c r="J27" s="704" t="n">
        <v>105000</v>
      </c>
      <c r="K27" s="704" t="n">
        <v>2024</v>
      </c>
      <c r="L27" s="705" t="n">
        <v>902782</v>
      </c>
      <c r="M27" s="705" t="n">
        <v>784277</v>
      </c>
      <c r="N27" s="709" t="n">
        <v>1687059</v>
      </c>
      <c r="O27" s="705" t="n">
        <v>50508</v>
      </c>
      <c r="P27" s="705" t="n">
        <v>123399</v>
      </c>
      <c r="Q27" s="702" t="n"/>
      <c r="R27" s="702" t="n"/>
      <c r="S27" s="702" t="n"/>
      <c r="T27" s="702" t="n"/>
      <c r="U27" s="702" t="n"/>
      <c r="V27" s="702" t="n"/>
      <c r="W27" s="702" t="n"/>
      <c r="X27" s="705" t="n">
        <v>75128</v>
      </c>
      <c r="Y27" s="706" t="n">
        <v>75128</v>
      </c>
      <c r="Z27" s="705" t="n">
        <v>58998</v>
      </c>
      <c r="AA27" s="705" t="n">
        <v>18144</v>
      </c>
      <c r="AB27" s="705" t="n">
        <v>52328</v>
      </c>
      <c r="AC27" s="706" t="n">
        <v>129470</v>
      </c>
      <c r="AD27" s="705" t="n">
        <v>87196</v>
      </c>
      <c r="AE27" s="702" t="n"/>
      <c r="AF27" s="706" t="n">
        <v>100191</v>
      </c>
      <c r="AG27" s="702" t="n"/>
      <c r="AH27" s="707" t="n">
        <v>502686</v>
      </c>
      <c r="AI27" s="707" t="n">
        <v>544314</v>
      </c>
      <c r="AJ27" s="707" t="n">
        <v>1047000</v>
      </c>
      <c r="AK27" s="707" t="n">
        <v>640000</v>
      </c>
      <c r="AL27" s="702" t="n"/>
      <c r="AM27" s="710" t="inlineStr">
        <is>
          <t>2024 RE Tax inflated by $111,314 prior-yr catchup; normalized tax ~$425k; parking lot $52,328 in snow/contract; NOI estimated</t>
        </is>
      </c>
      <c r="AN27">
        <f>AND(B27=Subj_OccCode,Subj_BldgSF&gt;0,J27&gt;=Subj_BldgSF*(1-Subj_SizeTol),J27&lt;=Subj_BldgSF*(1+Subj_SizeTol))</f>
        <v/>
      </c>
    </row>
    <row r="28" ht="18" customHeight="1">
      <c r="A28" s="702" t="inlineStr">
        <is>
          <t>P011</t>
        </is>
      </c>
      <c r="B28" s="695" t="n">
        <v>210</v>
      </c>
      <c r="C28" s="703" t="inlineStr">
        <is>
          <t>R0103767</t>
        </is>
      </c>
      <c r="D28" s="702" t="inlineStr">
        <is>
          <t>5650 Washington St (Washington Business Park)</t>
        </is>
      </c>
      <c r="E28" s="702" t="inlineStr">
        <is>
          <t>Adams County</t>
        </is>
      </c>
      <c r="F28" s="702" t="inlineStr">
        <is>
          <t>CO</t>
        </is>
      </c>
      <c r="G28" s="702" t="inlineStr">
        <is>
          <t>Industrial/Flex</t>
        </is>
      </c>
      <c r="H28" s="702" t="inlineStr">
        <is>
          <t>Multi-tenant</t>
        </is>
      </c>
      <c r="I28" s="704" t="n"/>
      <c r="J28" s="704" t="n"/>
      <c r="K28" s="704" t="n">
        <v>2022</v>
      </c>
      <c r="L28" s="702" t="n"/>
      <c r="M28" s="702" t="n"/>
      <c r="N28" s="709" t="n">
        <v>502006</v>
      </c>
      <c r="O28" s="705" t="n">
        <v>16872</v>
      </c>
      <c r="P28" s="705" t="n">
        <v>54025</v>
      </c>
      <c r="Q28" s="702" t="n"/>
      <c r="R28" s="702" t="n"/>
      <c r="S28" s="702" t="n"/>
      <c r="T28" s="702" t="n"/>
      <c r="U28" s="702" t="n"/>
      <c r="V28" s="702" t="n"/>
      <c r="W28" s="702" t="n"/>
      <c r="X28" s="705" t="n">
        <v>71762</v>
      </c>
      <c r="Y28" s="706" t="n">
        <v>71762</v>
      </c>
      <c r="Z28" s="702" t="n"/>
      <c r="AA28" s="705" t="n">
        <v>6528</v>
      </c>
      <c r="AB28" s="702" t="n"/>
      <c r="AC28" s="706" t="n">
        <v>6528</v>
      </c>
      <c r="AD28" s="705" t="n">
        <v>4858</v>
      </c>
      <c r="AE28" s="705" t="n">
        <v>525</v>
      </c>
      <c r="AF28" s="706" t="n">
        <v>5383</v>
      </c>
      <c r="AG28" s="702" t="n"/>
      <c r="AH28" s="707" t="n">
        <v>209625</v>
      </c>
      <c r="AI28" s="707" t="n">
        <v>64792</v>
      </c>
      <c r="AJ28" s="707" t="n">
        <v>274417</v>
      </c>
      <c r="AK28" s="707" t="n">
        <v>227649</v>
      </c>
      <c r="AL28" s="702" t="n"/>
      <c r="AM28" s="710" t="inlineStr">
        <is>
          <t>Mgmt fee $54,025 (2022 only ? not in later years); R&amp;M = bldg maint + repairs + HVAC + plumbing; water/gas from operating stmt</t>
        </is>
      </c>
      <c r="AN28">
        <f>AND(B28=Subj_OccCode,Subj_BldgSF&gt;0,J28&gt;=Subj_BldgSF*(1-Subj_SizeTol),J28&lt;=Subj_BldgSF*(1+Subj_SizeTol))</f>
        <v/>
      </c>
    </row>
    <row r="29" ht="18" customHeight="1">
      <c r="A29" s="702" t="inlineStr">
        <is>
          <t>P011</t>
        </is>
      </c>
      <c r="B29" s="695" t="n">
        <v>210</v>
      </c>
      <c r="C29" s="703" t="inlineStr">
        <is>
          <t>R0103767</t>
        </is>
      </c>
      <c r="D29" s="702" t="inlineStr">
        <is>
          <t>5650 Washington St (Washington Business Park)</t>
        </is>
      </c>
      <c r="E29" s="702" t="inlineStr">
        <is>
          <t>Adams County</t>
        </is>
      </c>
      <c r="F29" s="702" t="inlineStr">
        <is>
          <t>CO</t>
        </is>
      </c>
      <c r="G29" s="702" t="inlineStr">
        <is>
          <t>Industrial/Flex</t>
        </is>
      </c>
      <c r="H29" s="702" t="inlineStr">
        <is>
          <t>Multi-tenant</t>
        </is>
      </c>
      <c r="I29" s="704" t="n"/>
      <c r="J29" s="704" t="n"/>
      <c r="K29" s="704" t="n">
        <v>2023</v>
      </c>
      <c r="L29" s="702" t="n"/>
      <c r="M29" s="702" t="n"/>
      <c r="N29" s="709" t="n">
        <v>532468</v>
      </c>
      <c r="O29" s="705" t="n">
        <v>15442</v>
      </c>
      <c r="P29" s="702" t="n"/>
      <c r="Q29" s="702" t="n"/>
      <c r="R29" s="702" t="n"/>
      <c r="S29" s="702" t="n"/>
      <c r="T29" s="702" t="n"/>
      <c r="U29" s="702" t="n"/>
      <c r="V29" s="702" t="n"/>
      <c r="W29" s="702" t="n"/>
      <c r="X29" s="705" t="n">
        <v>83293</v>
      </c>
      <c r="Y29" s="706" t="n">
        <v>83293</v>
      </c>
      <c r="Z29" s="702" t="n"/>
      <c r="AA29" s="705" t="n">
        <v>6029</v>
      </c>
      <c r="AB29" s="702" t="n"/>
      <c r="AC29" s="706" t="n">
        <v>6029</v>
      </c>
      <c r="AD29" s="705" t="n">
        <v>6487</v>
      </c>
      <c r="AE29" s="702" t="n"/>
      <c r="AF29" s="706" t="n">
        <v>6487</v>
      </c>
      <c r="AG29" s="702" t="n"/>
      <c r="AH29" s="707" t="n">
        <v>141304</v>
      </c>
      <c r="AI29" s="707" t="n">
        <v>63133</v>
      </c>
      <c r="AJ29" s="707" t="n">
        <v>204437</v>
      </c>
      <c r="AK29" s="707" t="n">
        <v>328030</v>
      </c>
      <c r="AL29" s="702" t="n"/>
      <c r="AM29" s="710" t="inlineStr">
        <is>
          <t>No mgmt fee in 2023; R&amp;M higher due to building repairs; gas negligible per statement; 2023 actuals</t>
        </is>
      </c>
      <c r="AN29">
        <f>AND(B29=Subj_OccCode,Subj_BldgSF&gt;0,J29&gt;=Subj_BldgSF*(1-Subj_SizeTol),J29&lt;=Subj_BldgSF*(1+Subj_SizeTol))</f>
        <v/>
      </c>
    </row>
    <row r="30" ht="18" customHeight="1">
      <c r="A30" s="702" t="inlineStr">
        <is>
          <t>P011</t>
        </is>
      </c>
      <c r="B30" s="695" t="n">
        <v>210</v>
      </c>
      <c r="C30" s="703" t="inlineStr">
        <is>
          <t>R0103767</t>
        </is>
      </c>
      <c r="D30" s="702" t="inlineStr">
        <is>
          <t>5650 Washington St (Washington Business Park)</t>
        </is>
      </c>
      <c r="E30" s="702" t="inlineStr">
        <is>
          <t>Adams County</t>
        </is>
      </c>
      <c r="F30" s="702" t="inlineStr">
        <is>
          <t>CO</t>
        </is>
      </c>
      <c r="G30" s="702" t="inlineStr">
        <is>
          <t>Industrial/Flex</t>
        </is>
      </c>
      <c r="H30" s="702" t="inlineStr">
        <is>
          <t>Multi-tenant</t>
        </is>
      </c>
      <c r="I30" s="704" t="n"/>
      <c r="J30" s="704" t="n"/>
      <c r="K30" s="704" t="n">
        <v>2024</v>
      </c>
      <c r="L30" s="702" t="n"/>
      <c r="M30" s="702" t="n"/>
      <c r="N30" s="709" t="n">
        <v>517234</v>
      </c>
      <c r="O30" s="705" t="n">
        <v>20795</v>
      </c>
      <c r="P30" s="702" t="n"/>
      <c r="Q30" s="702" t="n"/>
      <c r="R30" s="702" t="n"/>
      <c r="S30" s="702" t="n"/>
      <c r="T30" s="702" t="n"/>
      <c r="U30" s="702" t="n"/>
      <c r="V30" s="702" t="n"/>
      <c r="W30" s="702" t="n"/>
      <c r="X30" s="705" t="n">
        <v>32385</v>
      </c>
      <c r="Y30" s="706" t="n">
        <v>32385</v>
      </c>
      <c r="Z30" s="702" t="n"/>
      <c r="AA30" s="705" t="n">
        <v>4814</v>
      </c>
      <c r="AB30" s="702" t="n"/>
      <c r="AC30" s="706" t="n">
        <v>4814</v>
      </c>
      <c r="AD30" s="705" t="n">
        <v>5690</v>
      </c>
      <c r="AE30" s="702" t="n"/>
      <c r="AF30" s="706" t="n">
        <v>5690</v>
      </c>
      <c r="AG30" s="702" t="n"/>
      <c r="AH30" s="712" t="n"/>
      <c r="AI30" s="712" t="n"/>
      <c r="AJ30" s="707" t="n">
        <v>331645</v>
      </c>
      <c r="AK30" s="707" t="n">
        <v>185389</v>
      </c>
      <c r="AL30" s="702" t="n"/>
      <c r="AM30" s="710" t="inlineStr">
        <is>
          <t>RE Tax not separately identified in 2024 column of operating stmt; total OPX from actuals; NOI confirmed</t>
        </is>
      </c>
      <c r="AN30">
        <f>AND(B30=Subj_OccCode,Subj_BldgSF&gt;0,J30&gt;=Subj_BldgSF*(1-Subj_SizeTol),J30&lt;=Subj_BldgSF*(1+Subj_SizeTol))</f>
        <v/>
      </c>
    </row>
    <row r="31" ht="18" customHeight="1">
      <c r="A31" s="702" t="inlineStr">
        <is>
          <t>P012</t>
        </is>
      </c>
      <c r="B31" s="695" t="n">
        <v>344</v>
      </c>
      <c r="C31" s="703" t="inlineStr">
        <is>
          <t>R0124385</t>
        </is>
      </c>
      <c r="D31" s="702" t="inlineStr">
        <is>
          <t>Unknown (Tax District 555)</t>
        </is>
      </c>
      <c r="E31" s="702" t="inlineStr">
        <is>
          <t>Adams County</t>
        </is>
      </c>
      <c r="F31" s="702" t="inlineStr">
        <is>
          <t>CO</t>
        </is>
      </c>
      <c r="G31" s="702" t="inlineStr">
        <is>
          <t>Office</t>
        </is>
      </c>
      <c r="H31" s="702" t="inlineStr">
        <is>
          <t>Multi-tenant</t>
        </is>
      </c>
      <c r="I31" s="704" t="n"/>
      <c r="J31" s="704" t="n">
        <v>20170</v>
      </c>
      <c r="K31" s="704" t="n">
        <v>2023</v>
      </c>
      <c r="L31" s="702" t="n"/>
      <c r="M31" s="702" t="n"/>
      <c r="N31" s="709" t="n">
        <v>275740</v>
      </c>
      <c r="O31" s="702" t="n"/>
      <c r="P31" s="702" t="n"/>
      <c r="Q31" s="702" t="n"/>
      <c r="R31" s="702" t="n"/>
      <c r="S31" s="702" t="n"/>
      <c r="T31" s="702" t="n"/>
      <c r="U31" s="702" t="n"/>
      <c r="V31" s="702" t="n"/>
      <c r="W31" s="702" t="n"/>
      <c r="X31" s="702" t="n"/>
      <c r="Y31" s="711" t="n"/>
      <c r="Z31" s="702" t="n"/>
      <c r="AA31" s="702" t="n"/>
      <c r="AB31" s="702" t="n"/>
      <c r="AC31" s="711" t="n"/>
      <c r="AD31" s="702" t="n"/>
      <c r="AE31" s="702" t="n"/>
      <c r="AF31" s="711" t="n"/>
      <c r="AG31" s="702" t="n"/>
      <c r="AH31" s="707" t="n">
        <v>108096</v>
      </c>
      <c r="AI31" s="707" t="n">
        <v>45179</v>
      </c>
      <c r="AJ31" s="707" t="n">
        <v>153275</v>
      </c>
      <c r="AK31" s="707" t="n">
        <v>167644</v>
      </c>
      <c r="AL31" s="702" t="n"/>
      <c r="AM31" s="710" t="inlineStr">
        <is>
          <t>Limited line-item detail; totals from PROFORMA BASIS FOR OFFER.xlsx actuals section</t>
        </is>
      </c>
      <c r="AN31">
        <f>AND(B31=Subj_OccCode,Subj_BldgSF&gt;0,J31&gt;=Subj_BldgSF*(1-Subj_SizeTol),J31&lt;=Subj_BldgSF*(1+Subj_SizeTol))</f>
        <v/>
      </c>
    </row>
    <row r="32" ht="18" customHeight="1">
      <c r="A32" s="702" t="inlineStr">
        <is>
          <t>P012</t>
        </is>
      </c>
      <c r="B32" s="695" t="n">
        <v>344</v>
      </c>
      <c r="C32" s="703" t="inlineStr">
        <is>
          <t>R0124385</t>
        </is>
      </c>
      <c r="D32" s="702" t="inlineStr">
        <is>
          <t>Unknown (Tax District 555)</t>
        </is>
      </c>
      <c r="E32" s="702" t="inlineStr">
        <is>
          <t>Adams County</t>
        </is>
      </c>
      <c r="F32" s="702" t="inlineStr">
        <is>
          <t>CO</t>
        </is>
      </c>
      <c r="G32" s="702" t="inlineStr">
        <is>
          <t>Office</t>
        </is>
      </c>
      <c r="H32" s="702" t="inlineStr">
        <is>
          <t>Multi-tenant</t>
        </is>
      </c>
      <c r="I32" s="704" t="n"/>
      <c r="J32" s="704" t="n">
        <v>20170</v>
      </c>
      <c r="K32" s="704" t="n">
        <v>2024</v>
      </c>
      <c r="L32" s="702" t="n"/>
      <c r="M32" s="702" t="n"/>
      <c r="N32" s="709" t="n">
        <v>298556</v>
      </c>
      <c r="O32" s="702" t="n"/>
      <c r="P32" s="702" t="n"/>
      <c r="Q32" s="702" t="n"/>
      <c r="R32" s="702" t="n"/>
      <c r="S32" s="702" t="n"/>
      <c r="T32" s="702" t="n"/>
      <c r="U32" s="702" t="n"/>
      <c r="V32" s="702" t="n"/>
      <c r="W32" s="702" t="n"/>
      <c r="X32" s="702" t="n"/>
      <c r="Y32" s="711" t="n"/>
      <c r="Z32" s="702" t="n"/>
      <c r="AA32" s="702" t="n"/>
      <c r="AB32" s="702" t="n"/>
      <c r="AC32" s="711" t="n"/>
      <c r="AD32" s="702" t="n"/>
      <c r="AE32" s="702" t="n"/>
      <c r="AF32" s="711" t="n"/>
      <c r="AG32" s="702" t="n"/>
      <c r="AH32" s="707" t="n">
        <v>127491</v>
      </c>
      <c r="AI32" s="707" t="n">
        <v>43698</v>
      </c>
      <c r="AJ32" s="707" t="n">
        <v>185189</v>
      </c>
      <c r="AK32" s="707" t="n">
        <v>171065</v>
      </c>
      <c r="AL32" s="702" t="n"/>
      <c r="AM32" s="710" t="inlineStr">
        <is>
          <t>CapEx $14,000 non-recurring excluded from OPX; limited line-item detail</t>
        </is>
      </c>
      <c r="AN32">
        <f>AND(B32=Subj_OccCode,Subj_BldgSF&gt;0,J32&gt;=Subj_BldgSF*(1-Subj_SizeTol),J32&lt;=Subj_BldgSF*(1+Subj_SizeTol))</f>
        <v/>
      </c>
    </row>
    <row r="33" ht="18" customHeight="1">
      <c r="A33" s="702" t="inlineStr">
        <is>
          <t>P013</t>
        </is>
      </c>
      <c r="B33" s="695" t="n">
        <v>353</v>
      </c>
      <c r="C33" s="703" t="inlineStr">
        <is>
          <t>R0169176</t>
        </is>
      </c>
      <c r="D33" s="702" t="inlineStr">
        <is>
          <t>Unknown (new const., opened Oct 2023)</t>
        </is>
      </c>
      <c r="E33" s="702" t="inlineStr">
        <is>
          <t>Adams County</t>
        </is>
      </c>
      <c r="F33" s="702" t="inlineStr">
        <is>
          <t>CO</t>
        </is>
      </c>
      <c r="G33" s="702" t="inlineStr">
        <is>
          <t>Retail/Office</t>
        </is>
      </c>
      <c r="H33" s="702" t="inlineStr">
        <is>
          <t>Multi-tenant</t>
        </is>
      </c>
      <c r="I33" s="704" t="n">
        <v>2023</v>
      </c>
      <c r="J33" s="704" t="n"/>
      <c r="K33" s="704" t="n">
        <v>2023</v>
      </c>
      <c r="L33" s="705" t="n">
        <v>270793</v>
      </c>
      <c r="M33" s="705" t="n">
        <v>258323</v>
      </c>
      <c r="N33" s="709" t="n">
        <v>524533</v>
      </c>
      <c r="O33" s="705" t="n">
        <v>16865</v>
      </c>
      <c r="P33" s="705" t="n">
        <v>26496</v>
      </c>
      <c r="Q33" s="702" t="n"/>
      <c r="R33" s="702" t="n"/>
      <c r="S33" s="702" t="n"/>
      <c r="T33" s="702" t="n"/>
      <c r="U33" s="702" t="n"/>
      <c r="V33" s="702" t="n"/>
      <c r="W33" s="702" t="n"/>
      <c r="X33" s="705" t="n">
        <v>50972</v>
      </c>
      <c r="Y33" s="706" t="n">
        <v>50972</v>
      </c>
      <c r="Z33" s="702" t="n"/>
      <c r="AA33" s="705" t="n">
        <v>7543</v>
      </c>
      <c r="AB33" s="702" t="n"/>
      <c r="AC33" s="706" t="n">
        <v>7543</v>
      </c>
      <c r="AD33" s="705" t="n">
        <v>4602</v>
      </c>
      <c r="AE33" s="705" t="n">
        <v>51467</v>
      </c>
      <c r="AF33" s="706" t="n">
        <v>56069</v>
      </c>
      <c r="AG33" s="702" t="n"/>
      <c r="AH33" s="707" t="n">
        <v>157946</v>
      </c>
      <c r="AI33" s="707" t="n">
        <v>125577</v>
      </c>
      <c r="AJ33" s="707" t="n">
        <v>283523</v>
      </c>
      <c r="AK33" s="707" t="n">
        <v>241009</v>
      </c>
      <c r="AL33" s="702" t="n"/>
      <c r="AM33" s="710" t="inlineStr">
        <is>
          <t>2023 partial year (opened Oct 2023); RE Tax high for new construction; gas $3,877 + elec $47,590 in utilities</t>
        </is>
      </c>
      <c r="AN33">
        <f>AND(B33=Subj_OccCode,Subj_BldgSF&gt;0,J33&gt;=Subj_BldgSF*(1-Subj_SizeTol),J33&lt;=Subj_BldgSF*(1+Subj_SizeTol))</f>
        <v/>
      </c>
    </row>
    <row r="34" ht="18" customHeight="1">
      <c r="A34" s="702" t="inlineStr">
        <is>
          <t>P013</t>
        </is>
      </c>
      <c r="B34" s="695" t="n">
        <v>353</v>
      </c>
      <c r="C34" s="703" t="inlineStr">
        <is>
          <t>R0169176</t>
        </is>
      </c>
      <c r="D34" s="702" t="inlineStr">
        <is>
          <t>Unknown (new const., opened Oct 2023)</t>
        </is>
      </c>
      <c r="E34" s="702" t="inlineStr">
        <is>
          <t>Adams County</t>
        </is>
      </c>
      <c r="F34" s="702" t="inlineStr">
        <is>
          <t>CO</t>
        </is>
      </c>
      <c r="G34" s="702" t="inlineStr">
        <is>
          <t>Retail/Office</t>
        </is>
      </c>
      <c r="H34" s="702" t="inlineStr">
        <is>
          <t>Multi-tenant</t>
        </is>
      </c>
      <c r="I34" s="704" t="n">
        <v>2023</v>
      </c>
      <c r="J34" s="704" t="n"/>
      <c r="K34" s="704" t="n">
        <v>2024</v>
      </c>
      <c r="L34" s="705" t="n">
        <v>260040</v>
      </c>
      <c r="M34" s="705" t="n">
        <v>337015</v>
      </c>
      <c r="N34" s="709" t="n">
        <v>597056</v>
      </c>
      <c r="O34" s="705" t="n">
        <v>12437</v>
      </c>
      <c r="P34" s="705" t="n">
        <v>26717</v>
      </c>
      <c r="Q34" s="702" t="n"/>
      <c r="R34" s="702" t="n"/>
      <c r="S34" s="702" t="n"/>
      <c r="T34" s="702" t="n"/>
      <c r="U34" s="702" t="n"/>
      <c r="V34" s="702" t="n"/>
      <c r="W34" s="702" t="n"/>
      <c r="X34" s="705" t="n">
        <v>36931</v>
      </c>
      <c r="Y34" s="706" t="n">
        <v>36931</v>
      </c>
      <c r="Z34" s="702" t="n"/>
      <c r="AA34" s="705" t="n">
        <v>27159</v>
      </c>
      <c r="AB34" s="702" t="n"/>
      <c r="AC34" s="706" t="n">
        <v>27159</v>
      </c>
      <c r="AD34" s="705" t="n">
        <v>5043</v>
      </c>
      <c r="AE34" s="705" t="n">
        <v>54230</v>
      </c>
      <c r="AF34" s="706" t="n">
        <v>59273</v>
      </c>
      <c r="AG34" s="702" t="n"/>
      <c r="AH34" s="707" t="n">
        <v>162518</v>
      </c>
      <c r="AI34" s="707" t="n">
        <v>156074</v>
      </c>
      <c r="AJ34" s="707" t="n">
        <v>318592</v>
      </c>
      <c r="AK34" s="707" t="n">
        <v>278464</v>
      </c>
      <c r="AL34" s="702" t="n"/>
      <c r="AM34" s="710" t="inlineStr">
        <is>
          <t>Tax consultant $11,515 added to RE Tax line; HOA/exterior maint $27,159 in landscape; recoveries $336,319 + other $696</t>
        </is>
      </c>
      <c r="AN34">
        <f>AND(B34=Subj_OccCode,Subj_BldgSF&gt;0,J34&gt;=Subj_BldgSF*(1-Subj_SizeTol),J34&lt;=Subj_BldgSF*(1+Subj_SizeTol))</f>
        <v/>
      </c>
    </row>
    <row r="35" ht="18" customHeight="1">
      <c r="A35" s="702" t="inlineStr">
        <is>
          <t>P014</t>
        </is>
      </c>
      <c r="B35" s="695" t="n">
        <v>407</v>
      </c>
      <c r="C35" s="703" t="inlineStr">
        <is>
          <t>R0198530</t>
        </is>
      </c>
      <c r="D35" s="702" t="inlineStr">
        <is>
          <t>Amazon DEN7 Distribution Center</t>
        </is>
      </c>
      <c r="E35" s="702" t="inlineStr">
        <is>
          <t>Aurora</t>
        </is>
      </c>
      <c r="F35" s="702" t="inlineStr">
        <is>
          <t>CO</t>
        </is>
      </c>
      <c r="G35" s="702" t="inlineStr">
        <is>
          <t>Industrial/Distribution</t>
        </is>
      </c>
      <c r="H35" s="702" t="inlineStr">
        <is>
          <t>Single-tenant NNN</t>
        </is>
      </c>
      <c r="I35" s="704" t="n"/>
      <c r="J35" s="704" t="n">
        <v>555840</v>
      </c>
      <c r="K35" s="704" t="n">
        <v>2023</v>
      </c>
      <c r="L35" s="705" t="n">
        <v>3123377</v>
      </c>
      <c r="M35" s="702" t="n"/>
      <c r="N35" s="709" t="n">
        <v>3123377</v>
      </c>
      <c r="O35" s="705" t="n">
        <v>86084</v>
      </c>
      <c r="P35" s="705" t="n">
        <v>62468</v>
      </c>
      <c r="Q35" s="702" t="n"/>
      <c r="R35" s="702" t="n"/>
      <c r="S35" s="702" t="n"/>
      <c r="T35" s="702" t="n"/>
      <c r="U35" s="702" t="n"/>
      <c r="V35" s="702" t="n"/>
      <c r="W35" s="702" t="n"/>
      <c r="X35" s="702" t="n"/>
      <c r="Y35" s="711" t="n"/>
      <c r="Z35" s="702" t="n"/>
      <c r="AA35" s="702" t="n"/>
      <c r="AB35" s="702" t="n"/>
      <c r="AC35" s="706" t="n">
        <v>22360</v>
      </c>
      <c r="AD35" s="702" t="n"/>
      <c r="AE35" s="702" t="n"/>
      <c r="AF35" s="706" t="n">
        <v>1107</v>
      </c>
      <c r="AG35" s="702" t="n"/>
      <c r="AH35" s="707" t="n">
        <v>197351</v>
      </c>
      <c r="AI35" s="707" t="n">
        <v>1617282</v>
      </c>
      <c r="AJ35" s="707" t="n">
        <v>1814633</v>
      </c>
      <c r="AK35" s="712" t="n"/>
      <c r="AL35" s="702" t="n"/>
      <c r="AM35" s="710" t="inlineStr">
        <is>
          <t>NNN ? expenses = LL CAM billed to Amazon tenant; RE Tax $1.617M dominates; base rent $3.12M; 2023 CAM reconciliation</t>
        </is>
      </c>
      <c r="AN35">
        <f>AND(B35=Subj_OccCode,Subj_BldgSF&gt;0,J35&gt;=Subj_BldgSF*(1-Subj_SizeTol),J35&lt;=Subj_BldgSF*(1+Subj_SizeTol))</f>
        <v/>
      </c>
    </row>
    <row r="36" ht="18" customHeight="1">
      <c r="A36" s="702" t="inlineStr">
        <is>
          <t>P014</t>
        </is>
      </c>
      <c r="B36" s="695" t="n">
        <v>407</v>
      </c>
      <c r="C36" s="703" t="inlineStr">
        <is>
          <t>R0198530</t>
        </is>
      </c>
      <c r="D36" s="702" t="inlineStr">
        <is>
          <t>Amazon DEN7 Distribution Center</t>
        </is>
      </c>
      <c r="E36" s="702" t="inlineStr">
        <is>
          <t>Aurora</t>
        </is>
      </c>
      <c r="F36" s="702" t="inlineStr">
        <is>
          <t>CO</t>
        </is>
      </c>
      <c r="G36" s="702" t="inlineStr">
        <is>
          <t>Industrial/Distribution</t>
        </is>
      </c>
      <c r="H36" s="702" t="inlineStr">
        <is>
          <t>Single-tenant NNN</t>
        </is>
      </c>
      <c r="I36" s="704" t="n"/>
      <c r="J36" s="704" t="n">
        <v>555840</v>
      </c>
      <c r="K36" s="704" t="n">
        <v>2024</v>
      </c>
      <c r="L36" s="705" t="n">
        <v>3201462</v>
      </c>
      <c r="M36" s="702" t="n"/>
      <c r="N36" s="709" t="n">
        <v>3201462</v>
      </c>
      <c r="O36" s="705" t="n">
        <v>89809</v>
      </c>
      <c r="P36" s="705" t="n">
        <v>64029</v>
      </c>
      <c r="Q36" s="702" t="n"/>
      <c r="R36" s="702" t="n"/>
      <c r="S36" s="702" t="n"/>
      <c r="T36" s="702" t="n"/>
      <c r="U36" s="702" t="n"/>
      <c r="V36" s="702" t="n"/>
      <c r="W36" s="702" t="n"/>
      <c r="X36" s="702" t="n"/>
      <c r="Y36" s="711" t="n"/>
      <c r="Z36" s="702" t="n"/>
      <c r="AA36" s="702" t="n"/>
      <c r="AB36" s="705" t="n">
        <v>2110</v>
      </c>
      <c r="AC36" s="706" t="n">
        <v>17455</v>
      </c>
      <c r="AD36" s="702" t="n"/>
      <c r="AE36" s="702" t="n"/>
      <c r="AF36" s="706" t="n">
        <v>2024</v>
      </c>
      <c r="AG36" s="702" t="n"/>
      <c r="AH36" s="707" t="n">
        <v>154693</v>
      </c>
      <c r="AI36" s="707" t="n">
        <v>2161856</v>
      </c>
      <c r="AJ36" s="707" t="n">
        <v>2316549</v>
      </c>
      <c r="AK36" s="712" t="n"/>
      <c r="AL36" s="702" t="n"/>
      <c r="AM36" s="710" t="inlineStr">
        <is>
          <t>NNN; RE Tax $2.162M = $3.89/SF reflecting Adams County assessment increase (+34% YOY); 2024 CAM reconciliation</t>
        </is>
      </c>
      <c r="AN36">
        <f>AND(B36=Subj_OccCode,Subj_BldgSF&gt;0,J36&gt;=Subj_BldgSF*(1-Subj_SizeTol),J36&lt;=Subj_BldgSF*(1+Subj_SizeTol))</f>
        <v/>
      </c>
    </row>
    <row r="37">
      <c r="A37" s="703" t="inlineStr">
        <is>
          <t>P015</t>
        </is>
      </c>
      <c r="B37" s="695" t="n">
        <v>407</v>
      </c>
      <c r="C37" s="703" t="inlineStr">
        <is>
          <t>R0180894</t>
        </is>
      </c>
      <c r="D37" s="703" t="inlineStr">
        <is>
          <t>1910 N Gun Club Rd</t>
        </is>
      </c>
      <c r="E37" s="703" t="inlineStr">
        <is>
          <t>Aurora</t>
        </is>
      </c>
      <c r="F37" s="703" t="inlineStr">
        <is>
          <t>CO</t>
        </is>
      </c>
      <c r="G37" s="703" t="inlineStr">
        <is>
          <t>Industrial</t>
        </is>
      </c>
      <c r="H37" s="703" t="inlineStr">
        <is>
          <t>Distribution Warehouse Multi-Tenant NNN</t>
        </is>
      </c>
      <c r="I37" s="703" t="n">
        <v>2019</v>
      </c>
      <c r="J37" s="703" t="n">
        <v>163386</v>
      </c>
      <c r="K37" s="703" t="n">
        <v>2023</v>
      </c>
      <c r="L37" s="714" t="n">
        <v>2096086</v>
      </c>
      <c r="M37" s="703" t="n"/>
      <c r="N37" s="714" t="n">
        <v>2096086</v>
      </c>
      <c r="O37" s="714" t="n">
        <v>40706</v>
      </c>
      <c r="P37" s="714" t="n">
        <v>55071</v>
      </c>
      <c r="Q37" s="703" t="n"/>
      <c r="R37" s="703" t="n"/>
      <c r="S37" s="703" t="n"/>
      <c r="T37" s="703" t="n"/>
      <c r="U37" s="703" t="n"/>
      <c r="V37" s="703" t="n"/>
      <c r="W37" s="703" t="n"/>
      <c r="X37" s="703" t="n"/>
      <c r="Y37" s="714" t="n">
        <v>6447</v>
      </c>
      <c r="Z37" s="703" t="n"/>
      <c r="AA37" s="714" t="n">
        <v>14502</v>
      </c>
      <c r="AB37" s="714" t="n">
        <v>55450</v>
      </c>
      <c r="AC37" s="703" t="n"/>
      <c r="AD37" s="703" t="n"/>
      <c r="AE37" s="703" t="n"/>
      <c r="AF37" s="714" t="n">
        <v>43911</v>
      </c>
      <c r="AG37" s="714" t="n">
        <v>159500</v>
      </c>
      <c r="AH37" s="714" t="n">
        <v>379886</v>
      </c>
      <c r="AI37" s="714" t="n">
        <v>923586</v>
      </c>
      <c r="AJ37" s="714" t="n">
        <v>1303472</v>
      </c>
      <c r="AK37" s="714" t="n">
        <v>792614</v>
      </c>
      <c r="AL37" s="703" t="n"/>
      <c r="AM37" s="703" t="inlineStr">
        <is>
          <t>Actual accrual; security $159,500 in Other</t>
        </is>
      </c>
      <c r="AN37">
        <f>AND(B37=Subj_OccCode,Subj_BldgSF&gt;0,J37&gt;=Subj_BldgSF*(1-Subj_SizeTol),J37&lt;=Subj_BldgSF*(1+Subj_SizeTol))</f>
        <v/>
      </c>
    </row>
    <row r="38">
      <c r="A38" s="703" t="inlineStr">
        <is>
          <t>P015</t>
        </is>
      </c>
      <c r="B38" s="695" t="n">
        <v>407</v>
      </c>
      <c r="C38" s="703" t="inlineStr">
        <is>
          <t>R0180894</t>
        </is>
      </c>
      <c r="D38" s="703" t="inlineStr">
        <is>
          <t>1910 N Gun Club Rd</t>
        </is>
      </c>
      <c r="E38" s="703" t="inlineStr">
        <is>
          <t>Aurora</t>
        </is>
      </c>
      <c r="F38" s="703" t="inlineStr">
        <is>
          <t>CO</t>
        </is>
      </c>
      <c r="G38" s="703" t="inlineStr">
        <is>
          <t>Industrial</t>
        </is>
      </c>
      <c r="H38" s="703" t="inlineStr">
        <is>
          <t>Distribution Warehouse Multi-Tenant NNN</t>
        </is>
      </c>
      <c r="I38" s="703" t="n">
        <v>2019</v>
      </c>
      <c r="J38" s="703" t="n">
        <v>163386</v>
      </c>
      <c r="K38" s="703" t="n">
        <v>2024</v>
      </c>
      <c r="L38" s="714" t="n">
        <v>2154019</v>
      </c>
      <c r="M38" s="703" t="n"/>
      <c r="N38" s="714" t="n">
        <v>2154019</v>
      </c>
      <c r="O38" s="714" t="n">
        <v>48091</v>
      </c>
      <c r="P38" s="714" t="n">
        <v>74844</v>
      </c>
      <c r="Q38" s="703" t="n"/>
      <c r="R38" s="703" t="n"/>
      <c r="S38" s="703" t="n"/>
      <c r="T38" s="703" t="n"/>
      <c r="U38" s="703" t="n"/>
      <c r="V38" s="703" t="n"/>
      <c r="W38" s="703" t="n"/>
      <c r="X38" s="703" t="n"/>
      <c r="Y38" s="714" t="n">
        <v>5257</v>
      </c>
      <c r="Z38" s="703" t="n"/>
      <c r="AA38" s="714" t="n">
        <v>13438</v>
      </c>
      <c r="AB38" s="714" t="n">
        <v>46667</v>
      </c>
      <c r="AC38" s="703" t="n"/>
      <c r="AD38" s="703" t="n"/>
      <c r="AE38" s="703" t="n"/>
      <c r="AF38" s="714" t="n">
        <v>53895</v>
      </c>
      <c r="AG38" s="714" t="n">
        <v>132552</v>
      </c>
      <c r="AH38" s="714" t="n">
        <v>394495</v>
      </c>
      <c r="AI38" s="714" t="n">
        <v>912402</v>
      </c>
      <c r="AJ38" s="714" t="n">
        <v>1306897</v>
      </c>
      <c r="AK38" s="714" t="n">
        <v>847122</v>
      </c>
      <c r="AL38" s="703" t="n"/>
      <c r="AM38" s="703" t="inlineStr">
        <is>
          <t>Actual accrual; security $132,552 in Other</t>
        </is>
      </c>
      <c r="AN38">
        <f>AND(B38=Subj_OccCode,Subj_BldgSF&gt;0,J38&gt;=Subj_BldgSF*(1-Subj_SizeTol),J38&lt;=Subj_BldgSF*(1+Subj_SizeTol))</f>
        <v/>
      </c>
    </row>
    <row r="39">
      <c r="A39" s="703" t="inlineStr">
        <is>
          <t>P016</t>
        </is>
      </c>
      <c r="B39" s="695" t="n">
        <v>584</v>
      </c>
      <c r="C39" s="703" t="inlineStr">
        <is>
          <t>R0212546/R0212547</t>
        </is>
      </c>
      <c r="D39" s="703" t="inlineStr">
        <is>
          <t>2780 N Tower Rd</t>
        </is>
      </c>
      <c r="E39" s="703" t="inlineStr">
        <is>
          <t>Aurora</t>
        </is>
      </c>
      <c r="F39" s="703" t="inlineStr">
        <is>
          <t>CO</t>
        </is>
      </c>
      <c r="G39" s="703" t="inlineStr">
        <is>
          <t>Industrial</t>
        </is>
      </c>
      <c r="H39" s="703" t="inlineStr">
        <is>
          <t>Mega Warehouse NNN</t>
        </is>
      </c>
      <c r="I39" s="703" t="n">
        <v>1983</v>
      </c>
      <c r="J39" s="703" t="n">
        <v>384953</v>
      </c>
      <c r="K39" s="703" t="n">
        <v>2024</v>
      </c>
      <c r="L39" s="703" t="n"/>
      <c r="M39" s="703" t="n"/>
      <c r="N39" s="703" t="n"/>
      <c r="O39" s="703" t="n"/>
      <c r="P39" s="703" t="n"/>
      <c r="Q39" s="703" t="n"/>
      <c r="R39" s="703" t="n"/>
      <c r="S39" s="703" t="n"/>
      <c r="T39" s="703" t="n"/>
      <c r="U39" s="703" t="n"/>
      <c r="V39" s="703" t="n"/>
      <c r="W39" s="703" t="n"/>
      <c r="X39" s="703" t="n"/>
      <c r="Y39" s="703" t="n"/>
      <c r="Z39" s="703" t="n"/>
      <c r="AA39" s="703" t="n"/>
      <c r="AB39" s="703" t="n"/>
      <c r="AC39" s="703" t="n"/>
      <c r="AD39" s="703" t="n"/>
      <c r="AE39" s="703" t="n"/>
      <c r="AF39" s="703" t="n"/>
      <c r="AG39" s="703" t="n"/>
      <c r="AH39" s="703" t="n"/>
      <c r="AI39" s="703" t="n"/>
      <c r="AJ39" s="703" t="n"/>
      <c r="AK39" s="703" t="n"/>
      <c r="AL39" s="703" t="n"/>
      <c r="AM39" s="703" t="inlineStr">
        <is>
          <t>County proforma only; limited line-item detail available</t>
        </is>
      </c>
      <c r="AN39">
        <f>AND(B39=Subj_OccCode,Subj_BldgSF&gt;0,J39&gt;=Subj_BldgSF*(1-Subj_SizeTol),J39&lt;=Subj_BldgSF*(1+Subj_SizeTol))</f>
        <v/>
      </c>
    </row>
    <row r="40">
      <c r="A40" s="703" t="inlineStr">
        <is>
          <t>P017</t>
        </is>
      </c>
      <c r="B40" s="695" t="n">
        <v>210</v>
      </c>
      <c r="C40" s="703" t="inlineStr">
        <is>
          <t>R0098098</t>
        </is>
      </c>
      <c r="D40" s="703" t="inlineStr">
        <is>
          <t>1445 E 68th Ave</t>
        </is>
      </c>
      <c r="E40" s="703" t="inlineStr">
        <is>
          <t>Denver</t>
        </is>
      </c>
      <c r="F40" s="703" t="inlineStr">
        <is>
          <t>CO</t>
        </is>
      </c>
      <c r="G40" s="703" t="inlineStr">
        <is>
          <t>Industrial</t>
        </is>
      </c>
      <c r="H40" s="703" t="inlineStr">
        <is>
          <t>Industrial Office Mix</t>
        </is>
      </c>
      <c r="I40" s="703" t="n">
        <v>1972</v>
      </c>
      <c r="J40" s="703" t="n">
        <v>63348</v>
      </c>
      <c r="K40" s="703" t="n">
        <v>2024</v>
      </c>
      <c r="L40" s="703" t="n"/>
      <c r="M40" s="703" t="n"/>
      <c r="N40" s="703" t="n"/>
      <c r="O40" s="703" t="n"/>
      <c r="P40" s="703" t="n"/>
      <c r="Q40" s="703" t="n"/>
      <c r="R40" s="703" t="n"/>
      <c r="S40" s="703" t="n"/>
      <c r="T40" s="703" t="n"/>
      <c r="U40" s="703" t="n"/>
      <c r="V40" s="703" t="n"/>
      <c r="W40" s="703" t="n"/>
      <c r="X40" s="703" t="n"/>
      <c r="Y40" s="703" t="n"/>
      <c r="Z40" s="703" t="n"/>
      <c r="AA40" s="703" t="n"/>
      <c r="AB40" s="703" t="n"/>
      <c r="AC40" s="703" t="n"/>
      <c r="AD40" s="703" t="n"/>
      <c r="AE40" s="703" t="n"/>
      <c r="AF40" s="703" t="n"/>
      <c r="AG40" s="703" t="n"/>
      <c r="AH40" s="703" t="n"/>
      <c r="AI40" s="703" t="n"/>
      <c r="AJ40" s="703" t="n"/>
      <c r="AK40" s="703" t="n"/>
      <c r="AL40" s="703" t="n"/>
      <c r="AM40" s="703" t="inlineStr">
        <is>
          <t>County proforma 2024; YOC 1972/2006/2023 additions</t>
        </is>
      </c>
      <c r="AN40">
        <f>AND(B40=Subj_OccCode,Subj_BldgSF&gt;0,J40&gt;=Subj_BldgSF*(1-Subj_SizeTol),J40&lt;=Subj_BldgSF*(1+Subj_SizeTol))</f>
        <v/>
      </c>
    </row>
    <row r="41">
      <c r="A41" s="703" t="inlineStr">
        <is>
          <t>P018</t>
        </is>
      </c>
      <c r="B41" s="695" t="n">
        <v>406</v>
      </c>
      <c r="C41" s="703" t="inlineStr">
        <is>
          <t>R0103783</t>
        </is>
      </c>
      <c r="D41" s="703" t="inlineStr">
        <is>
          <t>2031 E 58th Ave</t>
        </is>
      </c>
      <c r="E41" s="703" t="inlineStr">
        <is>
          <t>Denver</t>
        </is>
      </c>
      <c r="F41" s="703" t="inlineStr">
        <is>
          <t>CO</t>
        </is>
      </c>
      <c r="G41" s="703" t="inlineStr">
        <is>
          <t>Industrial</t>
        </is>
      </c>
      <c r="H41" s="703" t="inlineStr">
        <is>
          <t>Storage Warehouse / Mod Office NNN</t>
        </is>
      </c>
      <c r="I41" s="703" t="n">
        <v>2004</v>
      </c>
      <c r="J41" s="703" t="n">
        <v>18720</v>
      </c>
      <c r="K41" s="703" t="n">
        <v>2024</v>
      </c>
      <c r="L41" s="714" t="n">
        <v>248796</v>
      </c>
      <c r="M41" s="703" t="n"/>
      <c r="N41" s="714" t="n">
        <v>299942</v>
      </c>
      <c r="O41" s="714" t="n">
        <v>3858</v>
      </c>
      <c r="P41" s="703" t="n"/>
      <c r="Q41" s="703" t="n"/>
      <c r="R41" s="703" t="n"/>
      <c r="S41" s="703" t="n"/>
      <c r="T41" s="703" t="n"/>
      <c r="U41" s="703" t="n"/>
      <c r="V41" s="703" t="n"/>
      <c r="W41" s="703" t="n"/>
      <c r="X41" s="703" t="n"/>
      <c r="Y41" s="703" t="n"/>
      <c r="Z41" s="703" t="n"/>
      <c r="AA41" s="703" t="n"/>
      <c r="AB41" s="703" t="n"/>
      <c r="AC41" s="714" t="n">
        <v>2427</v>
      </c>
      <c r="AD41" s="703" t="n"/>
      <c r="AE41" s="703" t="n"/>
      <c r="AF41" s="703" t="n"/>
      <c r="AG41" s="703" t="n"/>
      <c r="AH41" s="714" t="n">
        <v>6285</v>
      </c>
      <c r="AI41" s="714" t="n">
        <v>44860</v>
      </c>
      <c r="AJ41" s="714" t="n">
        <v>51145</v>
      </c>
      <c r="AK41" s="714" t="n">
        <v>248797</v>
      </c>
      <c r="AL41" s="703" t="n"/>
      <c r="AM41" s="703" t="inlineStr">
        <is>
          <t>NNN billed charges; EGI = base rent + NNN pass-throughs</t>
        </is>
      </c>
      <c r="AN41">
        <f>AND(B41=Subj_OccCode,Subj_BldgSF&gt;0,J41&gt;=Subj_BldgSF*(1-Subj_SizeTol),J41&lt;=Subj_BldgSF*(1+Subj_SizeTol))</f>
        <v/>
      </c>
    </row>
    <row r="42">
      <c r="A42" s="703" t="inlineStr">
        <is>
          <t>P018</t>
        </is>
      </c>
      <c r="B42" s="695" t="n">
        <v>406</v>
      </c>
      <c r="C42" s="703" t="inlineStr">
        <is>
          <t>R0103783</t>
        </is>
      </c>
      <c r="D42" s="703" t="inlineStr">
        <is>
          <t>2031 E 58th Ave</t>
        </is>
      </c>
      <c r="E42" s="703" t="inlineStr">
        <is>
          <t>Denver</t>
        </is>
      </c>
      <c r="F42" s="703" t="inlineStr">
        <is>
          <t>CO</t>
        </is>
      </c>
      <c r="G42" s="703" t="inlineStr">
        <is>
          <t>Industrial</t>
        </is>
      </c>
      <c r="H42" s="703" t="inlineStr">
        <is>
          <t>Storage Warehouse / Mod Office NNN</t>
        </is>
      </c>
      <c r="I42" s="703" t="n">
        <v>2004</v>
      </c>
      <c r="J42" s="703" t="n">
        <v>18720</v>
      </c>
      <c r="K42" s="703" t="n">
        <v>2023</v>
      </c>
      <c r="L42" s="714" t="n">
        <v>243918</v>
      </c>
      <c r="M42" s="703" t="n"/>
      <c r="N42" s="714" t="n">
        <v>295063</v>
      </c>
      <c r="O42" s="714" t="n">
        <v>3858</v>
      </c>
      <c r="P42" s="703" t="n"/>
      <c r="Q42" s="703" t="n"/>
      <c r="R42" s="703" t="n"/>
      <c r="S42" s="703" t="n"/>
      <c r="T42" s="703" t="n"/>
      <c r="U42" s="703" t="n"/>
      <c r="V42" s="703" t="n"/>
      <c r="W42" s="703" t="n"/>
      <c r="X42" s="703" t="n"/>
      <c r="Y42" s="703" t="n"/>
      <c r="Z42" s="703" t="n"/>
      <c r="AA42" s="703" t="n"/>
      <c r="AB42" s="703" t="n"/>
      <c r="AC42" s="714" t="n">
        <v>2427</v>
      </c>
      <c r="AD42" s="703" t="n"/>
      <c r="AE42" s="703" t="n"/>
      <c r="AF42" s="703" t="n"/>
      <c r="AG42" s="703" t="n"/>
      <c r="AH42" s="714" t="n">
        <v>6285</v>
      </c>
      <c r="AI42" s="714" t="n">
        <v>44860</v>
      </c>
      <c r="AJ42" s="714" t="n">
        <v>51145</v>
      </c>
      <c r="AK42" s="714" t="n">
        <v>243918</v>
      </c>
      <c r="AL42" s="703" t="n"/>
      <c r="AM42" s="703" t="inlineStr">
        <is>
          <t>NNN billed charges; EGI = base rent + NNN pass-throughs</t>
        </is>
      </c>
      <c r="AN42">
        <f>AND(B42=Subj_OccCode,Subj_BldgSF&gt;0,J42&gt;=Subj_BldgSF*(1-Subj_SizeTol),J42&lt;=Subj_BldgSF*(1+Subj_SizeTol))</f>
        <v/>
      </c>
    </row>
    <row r="43">
      <c r="A43" s="703" t="inlineStr">
        <is>
          <t>P019</t>
        </is>
      </c>
      <c r="B43" s="695" t="n">
        <v>407</v>
      </c>
      <c r="C43" s="703" t="inlineStr">
        <is>
          <t>R0210402/R0210403</t>
        </is>
      </c>
      <c r="D43" s="703" t="inlineStr">
        <is>
          <t>17190 E 85th Ave</t>
        </is>
      </c>
      <c r="E43" s="703" t="inlineStr">
        <is>
          <t>Commerce City</t>
        </is>
      </c>
      <c r="F43" s="703" t="inlineStr">
        <is>
          <t>CO</t>
        </is>
      </c>
      <c r="G43" s="703" t="inlineStr">
        <is>
          <t>Industrial</t>
        </is>
      </c>
      <c r="H43" s="703" t="inlineStr">
        <is>
          <t>Industrial Warehouse NNN</t>
        </is>
      </c>
      <c r="I43" s="703" t="n">
        <v>2021</v>
      </c>
      <c r="J43" s="703" t="n">
        <v>329940</v>
      </c>
      <c r="K43" s="703" t="n">
        <v>2024</v>
      </c>
      <c r="L43" s="703" t="n"/>
      <c r="M43" s="703" t="n"/>
      <c r="N43" s="703" t="n"/>
      <c r="O43" s="703" t="n"/>
      <c r="P43" s="703" t="n"/>
      <c r="Q43" s="703" t="n"/>
      <c r="R43" s="703" t="n"/>
      <c r="S43" s="703" t="n"/>
      <c r="T43" s="703" t="n"/>
      <c r="U43" s="703" t="n"/>
      <c r="V43" s="703" t="n"/>
      <c r="W43" s="703" t="n"/>
      <c r="X43" s="703" t="n"/>
      <c r="Y43" s="703" t="n"/>
      <c r="Z43" s="703" t="n"/>
      <c r="AA43" s="703" t="n"/>
      <c r="AB43" s="703" t="n"/>
      <c r="AC43" s="703" t="n"/>
      <c r="AD43" s="703" t="n"/>
      <c r="AE43" s="703" t="n"/>
      <c r="AF43" s="703" t="n"/>
      <c r="AG43" s="703" t="n"/>
      <c r="AH43" s="703" t="n"/>
      <c r="AI43" s="703" t="n"/>
      <c r="AJ43" s="703" t="n"/>
      <c r="AK43" s="703" t="n"/>
      <c r="AL43" s="703" t="n"/>
      <c r="AM43" s="703" t="inlineStr">
        <is>
          <t>Petitioner proforma 2024/25; limited line-item detail</t>
        </is>
      </c>
      <c r="AN43">
        <f>AND(B43=Subj_OccCode,Subj_BldgSF&gt;0,J43&gt;=Subj_BldgSF*(1-Subj_SizeTol),J43&lt;=Subj_BldgSF*(1+Subj_SizeTol))</f>
        <v/>
      </c>
    </row>
    <row r="44">
      <c r="A44" s="703" t="inlineStr">
        <is>
          <t>P020</t>
        </is>
      </c>
      <c r="B44" s="695" t="n">
        <v>584</v>
      </c>
      <c r="C44" s="703" t="inlineStr">
        <is>
          <t>R0209679</t>
        </is>
      </c>
      <c r="D44" s="703" t="inlineStr">
        <is>
          <t>17501 E 84th Ave</t>
        </is>
      </c>
      <c r="E44" s="703" t="inlineStr">
        <is>
          <t>Commerce City</t>
        </is>
      </c>
      <c r="F44" s="703" t="inlineStr">
        <is>
          <t>CO</t>
        </is>
      </c>
      <c r="G44" s="703" t="inlineStr">
        <is>
          <t>Industrial</t>
        </is>
      </c>
      <c r="H44" s="703" t="inlineStr">
        <is>
          <t>Mega Warehouse / Distribution Center NNN (Lowe's)</t>
        </is>
      </c>
      <c r="I44" s="703" t="n">
        <v>2021</v>
      </c>
      <c r="J44" s="703" t="n">
        <v>999780</v>
      </c>
      <c r="K44" s="703" t="n">
        <v>2023</v>
      </c>
      <c r="L44" s="714" t="n">
        <v>12396458</v>
      </c>
      <c r="M44" s="703" t="n"/>
      <c r="N44" s="714" t="n">
        <v>12396458</v>
      </c>
      <c r="O44" s="714" t="n">
        <v>150453</v>
      </c>
      <c r="P44" s="714" t="n">
        <v>100437</v>
      </c>
      <c r="Q44" s="703" t="n"/>
      <c r="R44" s="703" t="n"/>
      <c r="S44" s="703" t="n"/>
      <c r="T44" s="703" t="n"/>
      <c r="U44" s="703" t="n"/>
      <c r="V44" s="703" t="n"/>
      <c r="W44" s="703" t="n"/>
      <c r="X44" s="703" t="n"/>
      <c r="Y44" s="714" t="n">
        <v>53276</v>
      </c>
      <c r="Z44" s="703" t="n"/>
      <c r="AA44" s="714" t="n">
        <v>50764</v>
      </c>
      <c r="AB44" s="714" t="n">
        <v>117765</v>
      </c>
      <c r="AC44" s="703" t="n"/>
      <c r="AD44" s="703" t="n"/>
      <c r="AE44" s="703" t="n"/>
      <c r="AF44" s="703" t="n"/>
      <c r="AG44" s="714" t="n">
        <v>8384</v>
      </c>
      <c r="AH44" s="714" t="n">
        <v>1354674</v>
      </c>
      <c r="AI44" s="714" t="n">
        <v>4922300</v>
      </c>
      <c r="AJ44" s="714" t="n">
        <v>8277752</v>
      </c>
      <c r="AK44" s="714" t="n">
        <v>4118706</v>
      </c>
      <c r="AL44" s="703" t="n"/>
      <c r="AM44" s="703" t="inlineStr">
        <is>
          <t>Actual accrual; 2023 NOI inflated ~$2.8M by prior-yr RE tax adj; security in Other</t>
        </is>
      </c>
      <c r="AN44">
        <f>AND(B44=Subj_OccCode,Subj_BldgSF&gt;0,J44&gt;=Subj_BldgSF*(1-Subj_SizeTol),J44&lt;=Subj_BldgSF*(1+Subj_SizeTol))</f>
        <v/>
      </c>
    </row>
    <row r="45">
      <c r="A45" s="703" t="inlineStr">
        <is>
          <t>P020</t>
        </is>
      </c>
      <c r="B45" s="695" t="n">
        <v>584</v>
      </c>
      <c r="C45" s="703" t="inlineStr">
        <is>
          <t>R0209679</t>
        </is>
      </c>
      <c r="D45" s="703" t="inlineStr">
        <is>
          <t>17501 E 84th Ave</t>
        </is>
      </c>
      <c r="E45" s="703" t="inlineStr">
        <is>
          <t>Commerce City</t>
        </is>
      </c>
      <c r="F45" s="703" t="inlineStr">
        <is>
          <t>CO</t>
        </is>
      </c>
      <c r="G45" s="703" t="inlineStr">
        <is>
          <t>Industrial</t>
        </is>
      </c>
      <c r="H45" s="703" t="inlineStr">
        <is>
          <t>Mega Warehouse / Distribution Center NNN (Lowe's)</t>
        </is>
      </c>
      <c r="I45" s="703" t="n">
        <v>2021</v>
      </c>
      <c r="J45" s="703" t="n">
        <v>999780</v>
      </c>
      <c r="K45" s="703" t="n">
        <v>2024</v>
      </c>
      <c r="L45" s="714" t="n">
        <v>10000751</v>
      </c>
      <c r="M45" s="703" t="n"/>
      <c r="N45" s="714" t="n">
        <v>10000751</v>
      </c>
      <c r="O45" s="714" t="n">
        <v>171963</v>
      </c>
      <c r="P45" s="714" t="n">
        <v>101559</v>
      </c>
      <c r="Q45" s="703" t="n"/>
      <c r="R45" s="703" t="n"/>
      <c r="S45" s="703" t="n"/>
      <c r="T45" s="703" t="n"/>
      <c r="U45" s="703" t="n"/>
      <c r="V45" s="703" t="n"/>
      <c r="W45" s="703" t="n"/>
      <c r="X45" s="703" t="n"/>
      <c r="Y45" s="714" t="n">
        <v>120481</v>
      </c>
      <c r="Z45" s="703" t="n"/>
      <c r="AA45" s="714" t="n">
        <v>37766</v>
      </c>
      <c r="AB45" s="714" t="n">
        <v>131877</v>
      </c>
      <c r="AC45" s="703" t="n"/>
      <c r="AD45" s="703" t="n"/>
      <c r="AE45" s="703" t="n"/>
      <c r="AF45" s="703" t="n"/>
      <c r="AG45" s="714" t="n">
        <v>30799</v>
      </c>
      <c r="AH45" s="714" t="n">
        <v>797409</v>
      </c>
      <c r="AI45" s="714" t="n">
        <v>4996600</v>
      </c>
      <c r="AJ45" s="714" t="n">
        <v>5794009</v>
      </c>
      <c r="AK45" s="714" t="n">
        <v>4206742</v>
      </c>
      <c r="AL45" s="703" t="n"/>
      <c r="AM45" s="703" t="inlineStr">
        <is>
          <t>Actual accrual; security $30,799 in Other</t>
        </is>
      </c>
      <c r="AN45">
        <f>AND(B45=Subj_OccCode,Subj_BldgSF&gt;0,J45&gt;=Subj_BldgSF*(1-Subj_SizeTol),J45&lt;=Subj_BldgSF*(1+Subj_SizeTol))</f>
        <v/>
      </c>
    </row>
    <row r="46">
      <c r="A46" s="703" t="inlineStr">
        <is>
          <t>P021</t>
        </is>
      </c>
      <c r="B46" s="695" t="n">
        <v>210</v>
      </c>
      <c r="C46" s="703" t="inlineStr">
        <is>
          <t>R0091931</t>
        </is>
      </c>
      <c r="D46" s="703" t="inlineStr">
        <is>
          <t>6300 E. 58th Ave</t>
        </is>
      </c>
      <c r="E46" s="703" t="inlineStr">
        <is>
          <t>Commerce City</t>
        </is>
      </c>
      <c r="F46" s="703" t="inlineStr">
        <is>
          <t>CO</t>
        </is>
      </c>
      <c r="G46" s="703" t="inlineStr">
        <is>
          <t>Industrial</t>
        </is>
      </c>
      <c r="H46" s="703" t="inlineStr">
        <is>
          <t>Multi-Tenant Industrial/Flex</t>
        </is>
      </c>
      <c r="I46" s="703" t="n">
        <v>1999</v>
      </c>
      <c r="J46" s="703" t="n">
        <v>90000</v>
      </c>
      <c r="K46" s="703" t="n">
        <v>2023</v>
      </c>
      <c r="L46" s="714" t="n">
        <v>949132</v>
      </c>
      <c r="M46" s="703" t="n"/>
      <c r="N46" s="714" t="n">
        <v>1238350</v>
      </c>
      <c r="O46" s="714" t="n">
        <v>15839</v>
      </c>
      <c r="P46" s="714" t="n">
        <v>46438</v>
      </c>
      <c r="Q46" s="714" t="n">
        <v>3968</v>
      </c>
      <c r="R46" s="703" t="n"/>
      <c r="S46" s="714" t="n">
        <v>27292</v>
      </c>
      <c r="T46" s="714" t="n">
        <v>6577</v>
      </c>
      <c r="U46" s="703" t="n"/>
      <c r="V46" s="703" t="n"/>
      <c r="W46" s="703" t="n"/>
      <c r="X46" s="714" t="n">
        <v>23213</v>
      </c>
      <c r="Y46" s="714" t="n">
        <v>61050</v>
      </c>
      <c r="Z46" s="714" t="n">
        <v>930</v>
      </c>
      <c r="AA46" s="714" t="n">
        <v>4777</v>
      </c>
      <c r="AB46" s="714" t="n">
        <v>11271</v>
      </c>
      <c r="AC46" s="714" t="n">
        <v>16978</v>
      </c>
      <c r="AD46" s="714" t="n">
        <v>14167</v>
      </c>
      <c r="AE46" s="714" t="n">
        <v>5593</v>
      </c>
      <c r="AF46" s="714" t="n">
        <v>19760</v>
      </c>
      <c r="AG46" s="703" t="n"/>
      <c r="AH46" s="714" t="n">
        <v>162482</v>
      </c>
      <c r="AI46" s="714" t="n">
        <v>283603</v>
      </c>
      <c r="AJ46" s="714" t="n">
        <v>446085</v>
      </c>
      <c r="AK46" s="714" t="n">
        <v>792265</v>
      </c>
      <c r="AL46" s="703" t="n"/>
      <c r="AM46" s="703" t="inlineStr">
        <is>
          <t>Actual accrual; parking sweep in Trash; admin fees in Mgmt</t>
        </is>
      </c>
      <c r="AN46">
        <f>AND(B46=Subj_OccCode,Subj_BldgSF&gt;0,J46&gt;=Subj_BldgSF*(1-Subj_SizeTol),J46&lt;=Subj_BldgSF*(1+Subj_SizeTol))</f>
        <v/>
      </c>
    </row>
    <row r="47">
      <c r="A47" s="703" t="inlineStr">
        <is>
          <t>P021</t>
        </is>
      </c>
      <c r="B47" s="695" t="n">
        <v>210</v>
      </c>
      <c r="C47" s="703" t="inlineStr">
        <is>
          <t>R0091931</t>
        </is>
      </c>
      <c r="D47" s="703" t="inlineStr">
        <is>
          <t>6300 E. 58th Ave</t>
        </is>
      </c>
      <c r="E47" s="703" t="inlineStr">
        <is>
          <t>Commerce City</t>
        </is>
      </c>
      <c r="F47" s="703" t="inlineStr">
        <is>
          <t>CO</t>
        </is>
      </c>
      <c r="G47" s="703" t="inlineStr">
        <is>
          <t>Industrial</t>
        </is>
      </c>
      <c r="H47" s="703" t="inlineStr">
        <is>
          <t>Multi-Tenant Industrial/Flex</t>
        </is>
      </c>
      <c r="I47" s="703" t="n">
        <v>1999</v>
      </c>
      <c r="J47" s="703" t="n">
        <v>90000</v>
      </c>
      <c r="K47" s="703" t="n">
        <v>2024</v>
      </c>
      <c r="L47" s="714" t="n">
        <v>911911</v>
      </c>
      <c r="M47" s="703" t="n"/>
      <c r="N47" s="714" t="n">
        <v>1307178</v>
      </c>
      <c r="O47" s="714" t="n">
        <v>15815</v>
      </c>
      <c r="P47" s="714" t="n">
        <v>65253</v>
      </c>
      <c r="Q47" s="714" t="n">
        <v>620</v>
      </c>
      <c r="R47" s="703" t="n"/>
      <c r="S47" s="714" t="n">
        <v>35961</v>
      </c>
      <c r="T47" s="714" t="n">
        <v>7833</v>
      </c>
      <c r="U47" s="703" t="n"/>
      <c r="V47" s="703" t="n"/>
      <c r="W47" s="703" t="n"/>
      <c r="X47" s="714" t="n">
        <v>22008</v>
      </c>
      <c r="Y47" s="714" t="n">
        <v>66422</v>
      </c>
      <c r="Z47" s="714" t="n">
        <v>1176</v>
      </c>
      <c r="AA47" s="714" t="n">
        <v>4463</v>
      </c>
      <c r="AB47" s="714" t="n">
        <v>14953</v>
      </c>
      <c r="AC47" s="714" t="n">
        <v>20592</v>
      </c>
      <c r="AD47" s="714" t="n">
        <v>15736</v>
      </c>
      <c r="AE47" s="714" t="n">
        <v>5731</v>
      </c>
      <c r="AF47" s="714" t="n">
        <v>21467</v>
      </c>
      <c r="AG47" s="703" t="n"/>
      <c r="AH47" s="714" t="n">
        <v>158481</v>
      </c>
      <c r="AI47" s="714" t="n">
        <v>290988</v>
      </c>
      <c r="AJ47" s="714" t="n">
        <v>449469</v>
      </c>
      <c r="AK47" s="714" t="n">
        <v>842728</v>
      </c>
      <c r="AL47" s="703" t="n"/>
      <c r="AM47" s="703" t="inlineStr">
        <is>
          <t>Actual accrual; snow $14,953 also listed under ext R&amp;M; security/admin in ext maint</t>
        </is>
      </c>
      <c r="AN47">
        <f>AND(B47=Subj_OccCode,Subj_BldgSF&gt;0,J47&gt;=Subj_BldgSF*(1-Subj_SizeTol),J47&lt;=Subj_BldgSF*(1+Subj_SizeTol))</f>
        <v/>
      </c>
    </row>
    <row r="48">
      <c r="A48" s="703" t="inlineStr">
        <is>
          <t>P022</t>
        </is>
      </c>
      <c r="B48" s="695" t="n">
        <v>210</v>
      </c>
      <c r="C48" s="703" t="inlineStr">
        <is>
          <t>R0111559</t>
        </is>
      </c>
      <c r="D48" s="703" t="inlineStr">
        <is>
          <t>3590 N. Himalaya Rd (Bldg 6)</t>
        </is>
      </c>
      <c r="E48" s="703" t="inlineStr">
        <is>
          <t>Aurora</t>
        </is>
      </c>
      <c r="F48" s="703" t="inlineStr">
        <is>
          <t>CO</t>
        </is>
      </c>
      <c r="G48" s="703" t="inlineStr">
        <is>
          <t>Industrial</t>
        </is>
      </c>
      <c r="H48" s="703" t="inlineStr">
        <is>
          <t>Multi-Tenant Industrial/Flex NNN</t>
        </is>
      </c>
      <c r="I48" s="703" t="n"/>
      <c r="J48" s="703" t="n"/>
      <c r="K48" s="703" t="n">
        <v>2024</v>
      </c>
      <c r="L48" s="714" t="n">
        <v>548918</v>
      </c>
      <c r="M48" s="703" t="n"/>
      <c r="N48" s="714" t="n">
        <v>766859</v>
      </c>
      <c r="O48" s="714" t="n">
        <v>23025</v>
      </c>
      <c r="P48" s="703" t="n"/>
      <c r="Q48" s="703" t="n"/>
      <c r="R48" s="703" t="n"/>
      <c r="S48" s="703" t="n"/>
      <c r="T48" s="703" t="n"/>
      <c r="U48" s="703" t="n"/>
      <c r="V48" s="703" t="n"/>
      <c r="W48" s="703" t="n"/>
      <c r="X48" s="703" t="n"/>
      <c r="Y48" s="703" t="n"/>
      <c r="Z48" s="703" t="n"/>
      <c r="AA48" s="703" t="n"/>
      <c r="AB48" s="703" t="n"/>
      <c r="AC48" s="703" t="n"/>
      <c r="AD48" s="714" t="n">
        <v>7986</v>
      </c>
      <c r="AE48" s="714" t="n">
        <v>33669</v>
      </c>
      <c r="AF48" s="714" t="n">
        <v>41655</v>
      </c>
      <c r="AG48" s="703" t="n"/>
      <c r="AH48" s="703" t="n"/>
      <c r="AI48" s="714" t="n">
        <v>129107</v>
      </c>
      <c r="AJ48" s="714" t="n">
        <v>250157</v>
      </c>
      <c r="AK48" s="714" t="n">
        <v>374789</v>
      </c>
      <c r="AL48" s="703" t="n"/>
      <c r="AM48" s="703" t="inlineStr">
        <is>
          <t>2024 only – 2023 was transitional vacancy year; SF not confirmed; approx figures</t>
        </is>
      </c>
      <c r="AN48">
        <f>AND(B48=Subj_OccCode,Subj_BldgSF&gt;0,J48&gt;=Subj_BldgSF*(1-Subj_SizeTol),J48&lt;=Subj_BldgSF*(1+Subj_SizeTol))</f>
        <v/>
      </c>
    </row>
    <row r="49">
      <c r="A49" s="703" t="inlineStr">
        <is>
          <t>P023</t>
        </is>
      </c>
      <c r="B49" s="695" t="n">
        <v>407</v>
      </c>
      <c r="C49" s="703" t="inlineStr">
        <is>
          <t>R0191098</t>
        </is>
      </c>
      <c r="D49" s="703" t="inlineStr">
        <is>
          <t>19754 E. 35th Dr (Bldg 4)</t>
        </is>
      </c>
      <c r="E49" s="703" t="inlineStr">
        <is>
          <t>Aurora</t>
        </is>
      </c>
      <c r="F49" s="703" t="inlineStr">
        <is>
          <t>CO</t>
        </is>
      </c>
      <c r="G49" s="703" t="inlineStr">
        <is>
          <t>Industrial</t>
        </is>
      </c>
      <c r="H49" s="703" t="inlineStr">
        <is>
          <t>Single-Tenant Industrial NNN</t>
        </is>
      </c>
      <c r="I49" s="703" t="n"/>
      <c r="J49" s="703" t="n">
        <v>155033</v>
      </c>
      <c r="K49" s="703" t="n">
        <v>2023</v>
      </c>
      <c r="L49" s="714" t="n">
        <v>969912</v>
      </c>
      <c r="M49" s="703" t="n"/>
      <c r="N49" s="714" t="n">
        <v>968340</v>
      </c>
      <c r="O49" s="714" t="n">
        <v>20444</v>
      </c>
      <c r="P49" s="714" t="n">
        <v>29946</v>
      </c>
      <c r="Q49" s="703" t="n"/>
      <c r="R49" s="703" t="n"/>
      <c r="S49" s="703" t="n"/>
      <c r="T49" s="703" t="n"/>
      <c r="U49" s="703" t="n"/>
      <c r="V49" s="703" t="n"/>
      <c r="W49" s="703" t="n"/>
      <c r="X49" s="703" t="n"/>
      <c r="Y49" s="703" t="n"/>
      <c r="Z49" s="703" t="n"/>
      <c r="AA49" s="714" t="n">
        <v>3990</v>
      </c>
      <c r="AB49" s="703" t="n"/>
      <c r="AC49" s="703" t="n"/>
      <c r="AD49" s="714" t="n">
        <v>37966</v>
      </c>
      <c r="AE49" s="714" t="n">
        <v>13715</v>
      </c>
      <c r="AF49" s="714" t="n">
        <v>51681</v>
      </c>
      <c r="AG49" s="703" t="n"/>
      <c r="AH49" s="714" t="n">
        <v>295391</v>
      </c>
      <c r="AI49" s="714" t="n">
        <v>92518</v>
      </c>
      <c r="AJ49" s="714" t="n">
        <v>387909</v>
      </c>
      <c r="AK49" s="714" t="n">
        <v>580431</v>
      </c>
      <c r="AL49" s="703" t="n"/>
      <c r="AM49" s="703" t="inlineStr">
        <is>
          <t>NNN; tenant pays most R&amp;M directly; Quality Custom Distribution lease thru 12/31/2029</t>
        </is>
      </c>
      <c r="AN49">
        <f>AND(B49=Subj_OccCode,Subj_BldgSF&gt;0,J49&gt;=Subj_BldgSF*(1-Subj_SizeTol),J49&lt;=Subj_BldgSF*(1+Subj_SizeTol))</f>
        <v/>
      </c>
    </row>
    <row r="50">
      <c r="A50" s="703" t="inlineStr">
        <is>
          <t>P023</t>
        </is>
      </c>
      <c r="B50" s="695" t="n">
        <v>407</v>
      </c>
      <c r="C50" s="703" t="inlineStr">
        <is>
          <t>R0191098</t>
        </is>
      </c>
      <c r="D50" s="703" t="inlineStr">
        <is>
          <t>19754 E. 35th Dr (Bldg 4)</t>
        </is>
      </c>
      <c r="E50" s="703" t="inlineStr">
        <is>
          <t>Aurora</t>
        </is>
      </c>
      <c r="F50" s="703" t="inlineStr">
        <is>
          <t>CO</t>
        </is>
      </c>
      <c r="G50" s="703" t="inlineStr">
        <is>
          <t>Industrial</t>
        </is>
      </c>
      <c r="H50" s="703" t="inlineStr">
        <is>
          <t>Single-Tenant Industrial NNN</t>
        </is>
      </c>
      <c r="I50" s="703" t="n"/>
      <c r="J50" s="703" t="n">
        <v>155033</v>
      </c>
      <c r="K50" s="703" t="n">
        <v>2024</v>
      </c>
      <c r="L50" s="714" t="n">
        <v>1011167</v>
      </c>
      <c r="M50" s="703" t="n"/>
      <c r="N50" s="714" t="n">
        <v>1011168</v>
      </c>
      <c r="O50" s="714" t="n">
        <v>28366</v>
      </c>
      <c r="P50" s="714" t="n">
        <v>29365</v>
      </c>
      <c r="Q50" s="703" t="n"/>
      <c r="R50" s="703" t="n"/>
      <c r="S50" s="703" t="n"/>
      <c r="T50" s="703" t="n"/>
      <c r="U50" s="703" t="n"/>
      <c r="V50" s="703" t="n"/>
      <c r="W50" s="703" t="n"/>
      <c r="X50" s="703" t="n"/>
      <c r="Y50" s="703" t="n"/>
      <c r="Z50" s="703" t="n"/>
      <c r="AA50" s="703" t="n"/>
      <c r="AB50" s="703" t="n"/>
      <c r="AC50" s="703" t="n"/>
      <c r="AD50" s="714" t="n">
        <v>36662</v>
      </c>
      <c r="AE50" s="714" t="n">
        <v>27344</v>
      </c>
      <c r="AF50" s="714" t="n">
        <v>64006</v>
      </c>
      <c r="AG50" s="703" t="n"/>
      <c r="AH50" s="714" t="n">
        <v>264833</v>
      </c>
      <c r="AI50" s="714" t="n">
        <v>120903</v>
      </c>
      <c r="AJ50" s="714" t="n">
        <v>385736</v>
      </c>
      <c r="AK50" s="714" t="n">
        <v>625432</v>
      </c>
      <c r="AL50" s="703" t="n"/>
      <c r="AM50" s="703" t="inlineStr">
        <is>
          <t>NNN; tenant pays most R&amp;M directly</t>
        </is>
      </c>
      <c r="AN50">
        <f>AND(B50=Subj_OccCode,Subj_BldgSF&gt;0,J50&gt;=Subj_BldgSF*(1-Subj_SizeTol),J50&lt;=Subj_BldgSF*(1+Subj_SizeTol))</f>
        <v/>
      </c>
    </row>
    <row r="51">
      <c r="A51" s="703" t="inlineStr">
        <is>
          <t>P024</t>
        </is>
      </c>
      <c r="B51" s="695" t="n">
        <v>407</v>
      </c>
      <c r="C51" s="703" t="inlineStr">
        <is>
          <t>R0111560</t>
        </is>
      </c>
      <c r="D51" s="703" t="inlineStr">
        <is>
          <t>20320 E. 36th Dr (Bldg 7)</t>
        </is>
      </c>
      <c r="E51" s="703" t="inlineStr">
        <is>
          <t>Aurora</t>
        </is>
      </c>
      <c r="F51" s="703" t="inlineStr">
        <is>
          <t>CO</t>
        </is>
      </c>
      <c r="G51" s="703" t="inlineStr">
        <is>
          <t>Industrial</t>
        </is>
      </c>
      <c r="H51" s="703" t="inlineStr">
        <is>
          <t>Single-Tenant Industrial NNN</t>
        </is>
      </c>
      <c r="I51" s="703" t="n"/>
      <c r="J51" s="703" t="n">
        <v>200000</v>
      </c>
      <c r="K51" s="703" t="n">
        <v>2023</v>
      </c>
      <c r="L51" s="714" t="n">
        <v>1391167</v>
      </c>
      <c r="M51" s="703" t="n"/>
      <c r="N51" s="714" t="n">
        <v>1357167</v>
      </c>
      <c r="O51" s="714" t="n">
        <v>4008</v>
      </c>
      <c r="P51" s="703" t="n"/>
      <c r="Q51" s="703" t="n"/>
      <c r="R51" s="703" t="n"/>
      <c r="S51" s="703" t="n"/>
      <c r="T51" s="703" t="n"/>
      <c r="U51" s="703" t="n"/>
      <c r="V51" s="703" t="n"/>
      <c r="W51" s="703" t="n"/>
      <c r="X51" s="703" t="n"/>
      <c r="Y51" s="703" t="n"/>
      <c r="Z51" s="703" t="n"/>
      <c r="AA51" s="703" t="n"/>
      <c r="AB51" s="703" t="n"/>
      <c r="AC51" s="703" t="n"/>
      <c r="AD51" s="703" t="n"/>
      <c r="AE51" s="714" t="n">
        <v>2419</v>
      </c>
      <c r="AF51" s="714" t="n">
        <v>2419</v>
      </c>
      <c r="AG51" s="703" t="n"/>
      <c r="AH51" s="714" t="n">
        <v>235792</v>
      </c>
      <c r="AI51" s="714" t="n">
        <v>3481</v>
      </c>
      <c r="AJ51" s="714" t="n">
        <v>239273</v>
      </c>
      <c r="AK51" s="714" t="n">
        <v>1117893</v>
      </c>
      <c r="AL51" s="703" t="n"/>
      <c r="AM51" s="703" t="inlineStr">
        <is>
          <t>FedEx NNN thru 4/30/2024; tenant pays nearly all expenses; 2024 excluded (lease expiry vacancy)</t>
        </is>
      </c>
      <c r="AN51">
        <f>AND(B51=Subj_OccCode,Subj_BldgSF&gt;0,J51&gt;=Subj_BldgSF*(1-Subj_SizeTol),J51&lt;=Subj_BldgSF*(1+Subj_SizeTol))</f>
        <v/>
      </c>
    </row>
    <row r="52">
      <c r="A52" s="703" t="inlineStr">
        <is>
          <t>P025</t>
        </is>
      </c>
      <c r="B52" s="695" t="n">
        <v>210</v>
      </c>
      <c r="C52" s="703" t="inlineStr">
        <is>
          <t>R0191099</t>
        </is>
      </c>
      <c r="D52" s="703" t="inlineStr">
        <is>
          <t>3559 N. Himalaya Rd (Bldg 5)</t>
        </is>
      </c>
      <c r="E52" s="703" t="inlineStr">
        <is>
          <t>Aurora</t>
        </is>
      </c>
      <c r="F52" s="703" t="inlineStr">
        <is>
          <t>CO</t>
        </is>
      </c>
      <c r="G52" s="703" t="inlineStr">
        <is>
          <t>Industrial</t>
        </is>
      </c>
      <c r="H52" s="703" t="inlineStr">
        <is>
          <t>Multi-Tenant Industrial NNN</t>
        </is>
      </c>
      <c r="I52" s="703" t="n"/>
      <c r="J52" s="703" t="n">
        <v>159047</v>
      </c>
      <c r="K52" s="703" t="n">
        <v>2023</v>
      </c>
      <c r="L52" s="703" t="n"/>
      <c r="M52" s="703" t="n"/>
      <c r="N52" s="714" t="n">
        <v>2146251</v>
      </c>
      <c r="O52" s="703" t="n"/>
      <c r="P52" s="714" t="n">
        <v>5837</v>
      </c>
      <c r="Q52" s="703" t="n"/>
      <c r="R52" s="703" t="n"/>
      <c r="S52" s="703" t="n"/>
      <c r="T52" s="703" t="n"/>
      <c r="U52" s="703" t="n"/>
      <c r="V52" s="703" t="n"/>
      <c r="W52" s="703" t="n"/>
      <c r="X52" s="703" t="n"/>
      <c r="Y52" s="703" t="n"/>
      <c r="Z52" s="703" t="n"/>
      <c r="AA52" s="703" t="n"/>
      <c r="AB52" s="714" t="n">
        <v>2813</v>
      </c>
      <c r="AC52" s="703" t="n"/>
      <c r="AD52" s="703" t="n"/>
      <c r="AE52" s="703" t="n"/>
      <c r="AF52" s="703" t="n"/>
      <c r="AG52" s="703" t="n"/>
      <c r="AH52" s="703" t="n"/>
      <c r="AI52" s="703" t="n"/>
      <c r="AJ52" s="714" t="n">
        <v>1015103</v>
      </c>
      <c r="AK52" s="714" t="n">
        <v>1131148</v>
      </c>
      <c r="AL52" s="703" t="n"/>
      <c r="AM52" s="703" t="inlineStr">
        <is>
          <t>Multi-tenant NNN; limited expense detail available; approx figures</t>
        </is>
      </c>
      <c r="AN52">
        <f>AND(B52=Subj_OccCode,Subj_BldgSF&gt;0,J52&gt;=Subj_BldgSF*(1-Subj_SizeTol),J52&lt;=Subj_BldgSF*(1+Subj_SizeTol))</f>
        <v/>
      </c>
    </row>
    <row r="53">
      <c r="A53" s="703" t="inlineStr">
        <is>
          <t>P025</t>
        </is>
      </c>
      <c r="B53" s="695" t="n">
        <v>210</v>
      </c>
      <c r="C53" s="703" t="inlineStr">
        <is>
          <t>R0191099</t>
        </is>
      </c>
      <c r="D53" s="703" t="inlineStr">
        <is>
          <t>3559 N. Himalaya Rd (Bldg 5)</t>
        </is>
      </c>
      <c r="E53" s="703" t="inlineStr">
        <is>
          <t>Aurora</t>
        </is>
      </c>
      <c r="F53" s="703" t="inlineStr">
        <is>
          <t>CO</t>
        </is>
      </c>
      <c r="G53" s="703" t="inlineStr">
        <is>
          <t>Industrial</t>
        </is>
      </c>
      <c r="H53" s="703" t="inlineStr">
        <is>
          <t>Multi-Tenant Industrial NNN</t>
        </is>
      </c>
      <c r="I53" s="703" t="n"/>
      <c r="J53" s="703" t="n">
        <v>159047</v>
      </c>
      <c r="K53" s="703" t="n">
        <v>2024</v>
      </c>
      <c r="L53" s="703" t="n"/>
      <c r="M53" s="703" t="n"/>
      <c r="N53" s="714" t="n">
        <v>2148251</v>
      </c>
      <c r="O53" s="703" t="n"/>
      <c r="P53" s="703" t="n"/>
      <c r="Q53" s="703" t="n"/>
      <c r="R53" s="703" t="n"/>
      <c r="S53" s="703" t="n"/>
      <c r="T53" s="703" t="n"/>
      <c r="U53" s="703" t="n"/>
      <c r="V53" s="703" t="n"/>
      <c r="W53" s="703" t="n"/>
      <c r="X53" s="703" t="n"/>
      <c r="Y53" s="703" t="n"/>
      <c r="Z53" s="703" t="n"/>
      <c r="AA53" s="703" t="n"/>
      <c r="AB53" s="714" t="n">
        <v>2813</v>
      </c>
      <c r="AC53" s="703" t="n"/>
      <c r="AD53" s="703" t="n"/>
      <c r="AE53" s="703" t="n"/>
      <c r="AF53" s="703" t="n"/>
      <c r="AG53" s="703" t="n"/>
      <c r="AH53" s="703" t="n"/>
      <c r="AI53" s="703" t="n"/>
      <c r="AJ53" s="714" t="n">
        <v>1176766</v>
      </c>
      <c r="AK53" s="714" t="n">
        <v>971485</v>
      </c>
      <c r="AL53" s="703" t="n"/>
      <c r="AM53" s="703" t="inlineStr">
        <is>
          <t>Multi-tenant NNN; limited expense detail available; approx figures</t>
        </is>
      </c>
      <c r="AN53">
        <f>AND(B53=Subj_OccCode,Subj_BldgSF&gt;0,J53&gt;=Subj_BldgSF*(1-Subj_SizeTol),J53&lt;=Subj_BldgSF*(1+Subj_SizeTol))</f>
        <v/>
      </c>
    </row>
    <row r="54">
      <c r="A54" s="703" t="inlineStr">
        <is>
          <t>P026</t>
        </is>
      </c>
      <c r="B54" s="695" t="n">
        <v>406</v>
      </c>
      <c r="C54" s="703" t="inlineStr">
        <is>
          <t>R0092667</t>
        </is>
      </c>
      <c r="D54" s="703" t="inlineStr">
        <is>
          <t>4901 Locust St</t>
        </is>
      </c>
      <c r="E54" s="703" t="inlineStr">
        <is>
          <t>Commerce City</t>
        </is>
      </c>
      <c r="F54" s="703" t="inlineStr">
        <is>
          <t>CO</t>
        </is>
      </c>
      <c r="G54" s="703" t="inlineStr">
        <is>
          <t>Industrial</t>
        </is>
      </c>
      <c r="H54" s="703" t="inlineStr">
        <is>
          <t>Industrial Warehouse</t>
        </is>
      </c>
      <c r="I54" s="703" t="n"/>
      <c r="J54" s="703" t="n">
        <v>29512</v>
      </c>
      <c r="K54" s="703" t="n">
        <v>2024</v>
      </c>
      <c r="L54" s="703" t="n"/>
      <c r="M54" s="703" t="n"/>
      <c r="N54" s="714" t="n">
        <v>419456</v>
      </c>
      <c r="O54" s="714" t="n">
        <v>4427</v>
      </c>
      <c r="P54" s="714" t="n">
        <v>10486</v>
      </c>
      <c r="Q54" s="703" t="n"/>
      <c r="R54" s="703" t="n"/>
      <c r="S54" s="703" t="n"/>
      <c r="T54" s="703" t="n"/>
      <c r="U54" s="703" t="n"/>
      <c r="V54" s="703" t="n"/>
      <c r="W54" s="703" t="n"/>
      <c r="X54" s="714" t="n">
        <v>16232</v>
      </c>
      <c r="Y54" s="714" t="n">
        <v>16232</v>
      </c>
      <c r="Z54" s="703" t="n"/>
      <c r="AA54" s="703" t="n"/>
      <c r="AB54" s="703" t="n"/>
      <c r="AC54" s="703" t="n"/>
      <c r="AD54" s="703" t="n"/>
      <c r="AE54" s="703" t="n"/>
      <c r="AF54" s="714" t="n">
        <v>7378</v>
      </c>
      <c r="AG54" s="714" t="n">
        <v>14756</v>
      </c>
      <c r="AH54" s="714" t="n">
        <v>59181</v>
      </c>
      <c r="AI54" s="714" t="n">
        <v>97831</v>
      </c>
      <c r="AJ54" s="714" t="n">
        <v>157012</v>
      </c>
      <c r="AK54" s="714" t="n">
        <v>262444</v>
      </c>
      <c r="AL54" s="714" t="n">
        <v>5902</v>
      </c>
      <c r="AM54" s="703" t="inlineStr">
        <is>
          <t>Newmark stabilized proforma 6/30/2024; cap rate 7.00%; not actual historical</t>
        </is>
      </c>
      <c r="AN54">
        <f>AND(B54=Subj_OccCode,Subj_BldgSF&gt;0,J54&gt;=Subj_BldgSF*(1-Subj_SizeTol),J54&lt;=Subj_BldgSF*(1+Subj_SizeTol))</f>
        <v/>
      </c>
    </row>
    <row r="55">
      <c r="A55" s="703" t="inlineStr">
        <is>
          <t>P022</t>
        </is>
      </c>
      <c r="B55" s="695" t="n">
        <v>210</v>
      </c>
      <c r="C55" s="703" t="inlineStr">
        <is>
          <t>R0111559</t>
        </is>
      </c>
      <c r="D55" s="703" t="inlineStr">
        <is>
          <t>3590 N. Himalaya Rd (Bldg 6)</t>
        </is>
      </c>
      <c r="E55" s="703" t="inlineStr">
        <is>
          <t>Aurora</t>
        </is>
      </c>
      <c r="F55" s="703" t="inlineStr">
        <is>
          <t>CO</t>
        </is>
      </c>
      <c r="G55" s="703" t="inlineStr">
        <is>
          <t>Industrial</t>
        </is>
      </c>
      <c r="H55" s="703" t="inlineStr">
        <is>
          <t>Multi-Tenant Industrial/Flex NNN</t>
        </is>
      </c>
      <c r="I55" s="703" t="n">
        <v>1998</v>
      </c>
      <c r="J55" s="703" t="n">
        <v>123603</v>
      </c>
      <c r="K55" s="703" t="n">
        <v>2021</v>
      </c>
      <c r="L55" s="703" t="n"/>
      <c r="M55" s="703" t="n"/>
      <c r="N55" s="703" t="n"/>
      <c r="O55" s="714" t="n">
        <v>10376</v>
      </c>
      <c r="P55" s="714" t="n">
        <v>43384</v>
      </c>
      <c r="Q55" s="703" t="n"/>
      <c r="R55" s="703" t="n"/>
      <c r="S55" s="703" t="n"/>
      <c r="T55" s="703" t="n"/>
      <c r="U55" s="703" t="n"/>
      <c r="V55" s="703" t="n"/>
      <c r="W55" s="703" t="n"/>
      <c r="X55" s="703" t="n"/>
      <c r="Y55" s="703" t="n"/>
      <c r="Z55" s="703" t="n"/>
      <c r="AA55" s="703" t="n"/>
      <c r="AB55" s="703" t="n"/>
      <c r="AC55" s="714" t="n">
        <v>88626</v>
      </c>
      <c r="AD55" s="703" t="n"/>
      <c r="AE55" s="703" t="n"/>
      <c r="AF55" s="714" t="n">
        <v>37062</v>
      </c>
      <c r="AG55" s="703" t="n"/>
      <c r="AH55" s="714" t="n">
        <v>179448</v>
      </c>
      <c r="AI55" s="714" t="n">
        <v>289126</v>
      </c>
      <c r="AJ55" s="714" t="n">
        <v>468574</v>
      </c>
      <c r="AK55" s="703" t="n"/>
      <c r="AL55" s="703" t="n"/>
      <c r="AM55" s="703" t="inlineStr">
        <is>
          <t>NNN landlord expenses only; from AXG Whse Expenses PSF.xlsx</t>
        </is>
      </c>
      <c r="AN55">
        <f>AND(B55=Subj_OccCode,Subj_BldgSF&gt;0,J55&gt;=Subj_BldgSF*(1-Subj_SizeTol),J55&lt;=Subj_BldgSF*(1+Subj_SizeTol))</f>
        <v/>
      </c>
    </row>
    <row r="56">
      <c r="A56" s="703" t="inlineStr">
        <is>
          <t>P022</t>
        </is>
      </c>
      <c r="B56" s="695" t="n">
        <v>210</v>
      </c>
      <c r="C56" s="703" t="inlineStr">
        <is>
          <t>R0111559</t>
        </is>
      </c>
      <c r="D56" s="703" t="inlineStr">
        <is>
          <t>3590 N. Himalaya Rd (Bldg 6)</t>
        </is>
      </c>
      <c r="E56" s="703" t="inlineStr">
        <is>
          <t>Aurora</t>
        </is>
      </c>
      <c r="F56" s="703" t="inlineStr">
        <is>
          <t>CO</t>
        </is>
      </c>
      <c r="G56" s="703" t="inlineStr">
        <is>
          <t>Industrial</t>
        </is>
      </c>
      <c r="H56" s="703" t="inlineStr">
        <is>
          <t>Multi-Tenant Industrial/Flex NNN</t>
        </is>
      </c>
      <c r="I56" s="703" t="n">
        <v>1998</v>
      </c>
      <c r="J56" s="703" t="n">
        <v>123603</v>
      </c>
      <c r="K56" s="703" t="n">
        <v>2022</v>
      </c>
      <c r="L56" s="703" t="n"/>
      <c r="M56" s="703" t="n"/>
      <c r="N56" s="703" t="n"/>
      <c r="O56" s="714" t="n">
        <v>11039</v>
      </c>
      <c r="P56" s="714" t="n">
        <v>39811</v>
      </c>
      <c r="Q56" s="703" t="n"/>
      <c r="R56" s="703" t="n"/>
      <c r="S56" s="703" t="n"/>
      <c r="T56" s="703" t="n"/>
      <c r="U56" s="703" t="n"/>
      <c r="V56" s="703" t="n"/>
      <c r="W56" s="703" t="n"/>
      <c r="X56" s="703" t="n"/>
      <c r="Y56" s="703" t="n"/>
      <c r="Z56" s="703" t="n"/>
      <c r="AA56" s="703" t="n"/>
      <c r="AB56" s="703" t="n"/>
      <c r="AC56" s="714" t="n">
        <v>91945</v>
      </c>
      <c r="AD56" s="703" t="n"/>
      <c r="AE56" s="703" t="n"/>
      <c r="AF56" s="714" t="n">
        <v>38461</v>
      </c>
      <c r="AG56" s="703" t="n"/>
      <c r="AH56" s="714" t="n">
        <v>181256</v>
      </c>
      <c r="AI56" s="714" t="n">
        <v>318845</v>
      </c>
      <c r="AJ56" s="714" t="n">
        <v>500101</v>
      </c>
      <c r="AK56" s="703" t="n"/>
      <c r="AL56" s="703" t="n"/>
      <c r="AM56" s="703" t="inlineStr">
        <is>
          <t>NNN landlord expenses only; from AXG Whse Expenses PSF.xlsx</t>
        </is>
      </c>
      <c r="AN56">
        <f>AND(B56=Subj_OccCode,Subj_BldgSF&gt;0,J56&gt;=Subj_BldgSF*(1-Subj_SizeTol),J56&lt;=Subj_BldgSF*(1+Subj_SizeTol))</f>
        <v/>
      </c>
    </row>
    <row r="57">
      <c r="A57" s="703" t="inlineStr">
        <is>
          <t>P024</t>
        </is>
      </c>
      <c r="B57" s="695" t="n">
        <v>407</v>
      </c>
      <c r="C57" s="703" t="inlineStr">
        <is>
          <t>R0111560</t>
        </is>
      </c>
      <c r="D57" s="703" t="inlineStr">
        <is>
          <t>20320 E. 36th Dr (Bldg 7)</t>
        </is>
      </c>
      <c r="E57" s="703" t="inlineStr">
        <is>
          <t>Aurora</t>
        </is>
      </c>
      <c r="F57" s="703" t="inlineStr">
        <is>
          <t>CO</t>
        </is>
      </c>
      <c r="G57" s="703" t="inlineStr">
        <is>
          <t>Industrial</t>
        </is>
      </c>
      <c r="H57" s="703" t="inlineStr">
        <is>
          <t>Single-Tenant Industrial NNN</t>
        </is>
      </c>
      <c r="I57" s="703" t="n">
        <v>1998</v>
      </c>
      <c r="J57" s="703" t="n">
        <v>199962</v>
      </c>
      <c r="K57" s="703" t="n">
        <v>2019</v>
      </c>
      <c r="L57" s="703" t="n"/>
      <c r="M57" s="703" t="n"/>
      <c r="N57" s="703" t="n"/>
      <c r="O57" s="714" t="n">
        <v>8457</v>
      </c>
      <c r="P57" s="714" t="n">
        <v>26194</v>
      </c>
      <c r="Q57" s="703" t="n"/>
      <c r="R57" s="703" t="n"/>
      <c r="S57" s="703" t="n"/>
      <c r="T57" s="703" t="n"/>
      <c r="U57" s="703" t="n"/>
      <c r="V57" s="703" t="n"/>
      <c r="W57" s="703" t="n"/>
      <c r="X57" s="703" t="n"/>
      <c r="Y57" s="703" t="n"/>
      <c r="Z57" s="703" t="n"/>
      <c r="AA57" s="703" t="n"/>
      <c r="AB57" s="703" t="n"/>
      <c r="AC57" s="714" t="n">
        <v>261694</v>
      </c>
      <c r="AD57" s="703" t="n"/>
      <c r="AE57" s="703" t="n"/>
      <c r="AF57" s="703" t="n"/>
      <c r="AG57" s="703" t="n"/>
      <c r="AH57" s="714" t="n">
        <v>296345</v>
      </c>
      <c r="AI57" s="714" t="n">
        <v>494719</v>
      </c>
      <c r="AJ57" s="714" t="n">
        <v>791064</v>
      </c>
      <c r="AK57" s="703" t="n"/>
      <c r="AL57" s="703" t="n"/>
      <c r="AM57" s="703" t="inlineStr">
        <is>
          <t>NNN landlord expenses only; from AXG Whse Expenses PSF.xlsx</t>
        </is>
      </c>
      <c r="AN57">
        <f>AND(B57=Subj_OccCode,Subj_BldgSF&gt;0,J57&gt;=Subj_BldgSF*(1-Subj_SizeTol),J57&lt;=Subj_BldgSF*(1+Subj_SizeTol))</f>
        <v/>
      </c>
    </row>
    <row r="58">
      <c r="A58" s="703" t="inlineStr">
        <is>
          <t>P024</t>
        </is>
      </c>
      <c r="B58" s="695" t="n">
        <v>407</v>
      </c>
      <c r="C58" s="703" t="inlineStr">
        <is>
          <t>R0111560</t>
        </is>
      </c>
      <c r="D58" s="703" t="inlineStr">
        <is>
          <t>20320 E. 36th Dr (Bldg 7)</t>
        </is>
      </c>
      <c r="E58" s="703" t="inlineStr">
        <is>
          <t>Aurora</t>
        </is>
      </c>
      <c r="F58" s="703" t="inlineStr">
        <is>
          <t>CO</t>
        </is>
      </c>
      <c r="G58" s="703" t="inlineStr">
        <is>
          <t>Industrial</t>
        </is>
      </c>
      <c r="H58" s="703" t="inlineStr">
        <is>
          <t>Single-Tenant Industrial NNN</t>
        </is>
      </c>
      <c r="I58" s="703" t="n">
        <v>1998</v>
      </c>
      <c r="J58" s="703" t="n">
        <v>199962</v>
      </c>
      <c r="K58" s="703" t="n">
        <v>2020</v>
      </c>
      <c r="L58" s="703" t="n"/>
      <c r="M58" s="703" t="n"/>
      <c r="N58" s="703" t="n"/>
      <c r="O58" s="714" t="n">
        <v>9678</v>
      </c>
      <c r="P58" s="714" t="n">
        <v>26625</v>
      </c>
      <c r="Q58" s="703" t="n"/>
      <c r="R58" s="703" t="n"/>
      <c r="S58" s="703" t="n"/>
      <c r="T58" s="703" t="n"/>
      <c r="U58" s="703" t="n"/>
      <c r="V58" s="703" t="n"/>
      <c r="W58" s="703" t="n"/>
      <c r="X58" s="703" t="n"/>
      <c r="Y58" s="703" t="n"/>
      <c r="Z58" s="703" t="n"/>
      <c r="AA58" s="703" t="n"/>
      <c r="AB58" s="703" t="n"/>
      <c r="AC58" s="714" t="n">
        <v>144817</v>
      </c>
      <c r="AD58" s="703" t="n"/>
      <c r="AE58" s="703" t="n"/>
      <c r="AF58" s="703" t="n"/>
      <c r="AG58" s="703" t="n"/>
      <c r="AH58" s="714" t="n">
        <v>181120</v>
      </c>
      <c r="AI58" s="714" t="n">
        <v>415592</v>
      </c>
      <c r="AJ58" s="714" t="n">
        <v>596712</v>
      </c>
      <c r="AK58" s="703" t="n"/>
      <c r="AL58" s="703" t="n"/>
      <c r="AM58" s="703" t="inlineStr">
        <is>
          <t>NNN landlord expenses only; from AXG Whse Expenses PSF.xlsx</t>
        </is>
      </c>
      <c r="AN58">
        <f>AND(B58=Subj_OccCode,Subj_BldgSF&gt;0,J58&gt;=Subj_BldgSF*(1-Subj_SizeTol),J58&lt;=Subj_BldgSF*(1+Subj_SizeTol))</f>
        <v/>
      </c>
    </row>
    <row r="59">
      <c r="A59" s="703" t="inlineStr">
        <is>
          <t>P025</t>
        </is>
      </c>
      <c r="B59" s="695" t="n">
        <v>210</v>
      </c>
      <c r="C59" s="703" t="inlineStr">
        <is>
          <t>R0191099</t>
        </is>
      </c>
      <c r="D59" s="703" t="inlineStr">
        <is>
          <t>3559 N. Himalaya Rd (Bldg 5)</t>
        </is>
      </c>
      <c r="E59" s="703" t="inlineStr">
        <is>
          <t>Aurora</t>
        </is>
      </c>
      <c r="F59" s="703" t="inlineStr">
        <is>
          <t>CO</t>
        </is>
      </c>
      <c r="G59" s="703" t="inlineStr">
        <is>
          <t>Industrial</t>
        </is>
      </c>
      <c r="H59" s="703" t="inlineStr">
        <is>
          <t>Multi-Tenant Industrial NNN</t>
        </is>
      </c>
      <c r="I59" s="703" t="n">
        <v>2017</v>
      </c>
      <c r="J59" s="703" t="n">
        <v>159047</v>
      </c>
      <c r="K59" s="703" t="n">
        <v>2021</v>
      </c>
      <c r="L59" s="703" t="n"/>
      <c r="M59" s="703" t="n"/>
      <c r="N59" s="703" t="n"/>
      <c r="O59" s="714" t="n">
        <v>15209</v>
      </c>
      <c r="P59" s="714" t="n">
        <v>53747</v>
      </c>
      <c r="Q59" s="703" t="n"/>
      <c r="R59" s="703" t="n"/>
      <c r="S59" s="703" t="n"/>
      <c r="T59" s="703" t="n"/>
      <c r="U59" s="703" t="n"/>
      <c r="V59" s="703" t="n"/>
      <c r="W59" s="703" t="n"/>
      <c r="X59" s="703" t="n"/>
      <c r="Y59" s="703" t="n"/>
      <c r="Z59" s="703" t="n"/>
      <c r="AA59" s="703" t="n"/>
      <c r="AB59" s="703" t="n"/>
      <c r="AC59" s="714" t="n">
        <v>59915</v>
      </c>
      <c r="AD59" s="703" t="n"/>
      <c r="AE59" s="703" t="n"/>
      <c r="AF59" s="714" t="n">
        <v>46324</v>
      </c>
      <c r="AG59" s="703" t="n"/>
      <c r="AH59" s="714" t="n">
        <v>175195</v>
      </c>
      <c r="AI59" s="714" t="n">
        <v>554960</v>
      </c>
      <c r="AJ59" s="714" t="n">
        <v>730155</v>
      </c>
      <c r="AK59" s="703" t="n"/>
      <c r="AL59" s="703" t="n"/>
      <c r="AM59" s="703" t="inlineStr">
        <is>
          <t>NNN landlord expenses only; from AXG Whse Expenses PSF.xlsx</t>
        </is>
      </c>
      <c r="AN59">
        <f>AND(B59=Subj_OccCode,Subj_BldgSF&gt;0,J59&gt;=Subj_BldgSF*(1-Subj_SizeTol),J59&lt;=Subj_BldgSF*(1+Subj_SizeTol))</f>
        <v/>
      </c>
    </row>
    <row r="60">
      <c r="A60" s="703" t="inlineStr">
        <is>
          <t>P025</t>
        </is>
      </c>
      <c r="B60" s="695" t="n">
        <v>210</v>
      </c>
      <c r="C60" s="703" t="inlineStr">
        <is>
          <t>R0191099</t>
        </is>
      </c>
      <c r="D60" s="703" t="inlineStr">
        <is>
          <t>3559 N. Himalaya Rd (Bldg 5)</t>
        </is>
      </c>
      <c r="E60" s="703" t="inlineStr">
        <is>
          <t>Aurora</t>
        </is>
      </c>
      <c r="F60" s="703" t="inlineStr">
        <is>
          <t>CO</t>
        </is>
      </c>
      <c r="G60" s="703" t="inlineStr">
        <is>
          <t>Industrial</t>
        </is>
      </c>
      <c r="H60" s="703" t="inlineStr">
        <is>
          <t>Multi-Tenant Industrial NNN</t>
        </is>
      </c>
      <c r="I60" s="703" t="n">
        <v>2017</v>
      </c>
      <c r="J60" s="703" t="n">
        <v>159047</v>
      </c>
      <c r="K60" s="703" t="n">
        <v>2022</v>
      </c>
      <c r="L60" s="703" t="n"/>
      <c r="M60" s="703" t="n"/>
      <c r="N60" s="703" t="n"/>
      <c r="O60" s="714" t="n">
        <v>16181</v>
      </c>
      <c r="P60" s="714" t="n">
        <v>49338</v>
      </c>
      <c r="Q60" s="703" t="n"/>
      <c r="R60" s="703" t="n"/>
      <c r="S60" s="703" t="n"/>
      <c r="T60" s="703" t="n"/>
      <c r="U60" s="703" t="n"/>
      <c r="V60" s="703" t="n"/>
      <c r="W60" s="703" t="n"/>
      <c r="X60" s="703" t="n"/>
      <c r="Y60" s="703" t="n"/>
      <c r="Z60" s="703" t="n"/>
      <c r="AA60" s="703" t="n"/>
      <c r="AB60" s="703" t="n"/>
      <c r="AC60" s="714" t="n">
        <v>53323</v>
      </c>
      <c r="AD60" s="703" t="n"/>
      <c r="AE60" s="703" t="n"/>
      <c r="AF60" s="714" t="n">
        <v>51404</v>
      </c>
      <c r="AG60" s="703" t="n"/>
      <c r="AH60" s="714" t="n">
        <v>170246</v>
      </c>
      <c r="AI60" s="714" t="n">
        <v>468848</v>
      </c>
      <c r="AJ60" s="714" t="n">
        <v>639094</v>
      </c>
      <c r="AK60" s="703" t="n"/>
      <c r="AL60" s="703" t="n"/>
      <c r="AM60" s="703" t="inlineStr">
        <is>
          <t>NNN landlord expenses only; from AXG Whse Expenses PSF.xlsx</t>
        </is>
      </c>
      <c r="AN60">
        <f>AND(B60=Subj_OccCode,Subj_BldgSF&gt;0,J60&gt;=Subj_BldgSF*(1-Subj_SizeTol),J60&lt;=Subj_BldgSF*(1+Subj_SizeTol))</f>
        <v/>
      </c>
    </row>
    <row r="61">
      <c r="A61" s="703" t="inlineStr">
        <is>
          <t>P027</t>
        </is>
      </c>
      <c r="B61" s="695" t="n">
        <v>407</v>
      </c>
      <c r="C61" s="703" t="inlineStr">
        <is>
          <t>R0132030</t>
        </is>
      </c>
      <c r="D61" s="703" t="inlineStr">
        <is>
          <t>Majestic Commercenter (R0132030)</t>
        </is>
      </c>
      <c r="E61" s="703" t="inlineStr">
        <is>
          <t>Commerce City</t>
        </is>
      </c>
      <c r="F61" s="703" t="inlineStr">
        <is>
          <t>CO</t>
        </is>
      </c>
      <c r="G61" s="703" t="inlineStr">
        <is>
          <t>Industrial</t>
        </is>
      </c>
      <c r="H61" s="703" t="inlineStr">
        <is>
          <t>Warehouse NNN</t>
        </is>
      </c>
      <c r="I61" s="703" t="n">
        <v>2001</v>
      </c>
      <c r="J61" s="703" t="n">
        <v>200094</v>
      </c>
      <c r="K61" s="703" t="n">
        <v>2021</v>
      </c>
      <c r="L61" s="703" t="n"/>
      <c r="M61" s="703" t="n"/>
      <c r="N61" s="703" t="n"/>
      <c r="O61" s="714" t="n">
        <v>14313</v>
      </c>
      <c r="P61" s="714" t="n">
        <v>53036</v>
      </c>
      <c r="Q61" s="703" t="n"/>
      <c r="R61" s="703" t="n"/>
      <c r="S61" s="703" t="n"/>
      <c r="T61" s="703" t="n"/>
      <c r="U61" s="703" t="n"/>
      <c r="V61" s="703" t="n"/>
      <c r="W61" s="703" t="n"/>
      <c r="X61" s="703" t="n"/>
      <c r="Y61" s="703" t="n"/>
      <c r="Z61" s="703" t="n"/>
      <c r="AA61" s="703" t="n"/>
      <c r="AB61" s="703" t="n"/>
      <c r="AC61" s="714" t="n">
        <v>98037</v>
      </c>
      <c r="AD61" s="703" t="n"/>
      <c r="AE61" s="703" t="n"/>
      <c r="AF61" s="714" t="n">
        <v>70815</v>
      </c>
      <c r="AG61" s="703" t="n"/>
      <c r="AH61" s="714" t="n">
        <v>236201</v>
      </c>
      <c r="AI61" s="714" t="n">
        <v>570651</v>
      </c>
      <c r="AJ61" s="714" t="n">
        <v>806852</v>
      </c>
      <c r="AK61" s="703" t="n"/>
      <c r="AL61" s="703" t="n"/>
      <c r="AM61" s="703" t="inlineStr">
        <is>
          <t>NNN landlord expenses only; from AXG Whse Expenses PSF.xlsx (R0132030)</t>
        </is>
      </c>
      <c r="AN61">
        <f>AND(B61=Subj_OccCode,Subj_BldgSF&gt;0,J61&gt;=Subj_BldgSF*(1-Subj_SizeTol),J61&lt;=Subj_BldgSF*(1+Subj_SizeTol))</f>
        <v/>
      </c>
    </row>
    <row r="62">
      <c r="A62" s="703" t="inlineStr">
        <is>
          <t>P027</t>
        </is>
      </c>
      <c r="B62" s="695" t="n">
        <v>407</v>
      </c>
      <c r="C62" s="703" t="inlineStr">
        <is>
          <t>R0132030</t>
        </is>
      </c>
      <c r="D62" s="703" t="inlineStr">
        <is>
          <t>Majestic Commercenter (R0132030)</t>
        </is>
      </c>
      <c r="E62" s="703" t="inlineStr">
        <is>
          <t>Commerce City</t>
        </is>
      </c>
      <c r="F62" s="703" t="inlineStr">
        <is>
          <t>CO</t>
        </is>
      </c>
      <c r="G62" s="703" t="inlineStr">
        <is>
          <t>Industrial</t>
        </is>
      </c>
      <c r="H62" s="703" t="inlineStr">
        <is>
          <t>Warehouse NNN</t>
        </is>
      </c>
      <c r="I62" s="703" t="n">
        <v>2001</v>
      </c>
      <c r="J62" s="703" t="n">
        <v>200094</v>
      </c>
      <c r="K62" s="703" t="n">
        <v>2022</v>
      </c>
      <c r="L62" s="703" t="n"/>
      <c r="M62" s="703" t="n"/>
      <c r="N62" s="703" t="n"/>
      <c r="O62" s="714" t="n">
        <v>15228</v>
      </c>
      <c r="P62" s="714" t="n">
        <v>49506</v>
      </c>
      <c r="Q62" s="703" t="n"/>
      <c r="R62" s="703" t="n"/>
      <c r="S62" s="703" t="n"/>
      <c r="T62" s="703" t="n"/>
      <c r="U62" s="703" t="n"/>
      <c r="V62" s="703" t="n"/>
      <c r="W62" s="703" t="n"/>
      <c r="X62" s="703" t="n"/>
      <c r="Y62" s="703" t="n"/>
      <c r="Z62" s="703" t="n"/>
      <c r="AA62" s="703" t="n"/>
      <c r="AB62" s="703" t="n"/>
      <c r="AC62" s="714" t="n">
        <v>98037</v>
      </c>
      <c r="AD62" s="703" t="n"/>
      <c r="AE62" s="703" t="n"/>
      <c r="AF62" s="714" t="n">
        <v>70815</v>
      </c>
      <c r="AG62" s="703" t="n"/>
      <c r="AH62" s="714" t="n">
        <v>233586</v>
      </c>
      <c r="AI62" s="714" t="n">
        <v>451706</v>
      </c>
      <c r="AJ62" s="714" t="n">
        <v>685292</v>
      </c>
      <c r="AK62" s="703" t="n"/>
      <c r="AL62" s="703" t="n"/>
      <c r="AM62" s="703" t="inlineStr">
        <is>
          <t>NNN landlord expenses only; from AXG Whse Expenses PSF.xlsx (R0132030)</t>
        </is>
      </c>
      <c r="AN62">
        <f>AND(B62=Subj_OccCode,Subj_BldgSF&gt;0,J62&gt;=Subj_BldgSF*(1-Subj_SizeTol),J62&lt;=Subj_BldgSF*(1+Subj_SizeTol))</f>
        <v/>
      </c>
    </row>
    <row r="63">
      <c r="A63" s="703" t="inlineStr">
        <is>
          <t>P028</t>
        </is>
      </c>
      <c r="B63" s="695" t="n">
        <v>407</v>
      </c>
      <c r="C63" s="703" t="inlineStr">
        <is>
          <t>R0084040</t>
        </is>
      </c>
      <c r="D63" s="703" t="inlineStr">
        <is>
          <t>Majestic Commercenter (R0084040)</t>
        </is>
      </c>
      <c r="E63" s="703" t="inlineStr">
        <is>
          <t>Commerce City</t>
        </is>
      </c>
      <c r="F63" s="703" t="inlineStr">
        <is>
          <t>CO</t>
        </is>
      </c>
      <c r="G63" s="703" t="inlineStr">
        <is>
          <t>Industrial</t>
        </is>
      </c>
      <c r="H63" s="703" t="inlineStr">
        <is>
          <t>Warehouse NNN</t>
        </is>
      </c>
      <c r="I63" s="703" t="n">
        <v>1997</v>
      </c>
      <c r="J63" s="703" t="n">
        <v>177736</v>
      </c>
      <c r="K63" s="703" t="n">
        <v>2021</v>
      </c>
      <c r="L63" s="703" t="n"/>
      <c r="M63" s="703" t="n"/>
      <c r="N63" s="703" t="n"/>
      <c r="O63" s="714" t="n">
        <v>13073</v>
      </c>
      <c r="P63" s="714" t="n">
        <v>55346</v>
      </c>
      <c r="Q63" s="703" t="n"/>
      <c r="R63" s="703" t="n"/>
      <c r="S63" s="703" t="n"/>
      <c r="T63" s="703" t="n"/>
      <c r="U63" s="703" t="n"/>
      <c r="V63" s="703" t="n"/>
      <c r="W63" s="703" t="n"/>
      <c r="X63" s="703" t="n"/>
      <c r="Y63" s="703" t="n"/>
      <c r="Z63" s="703" t="n"/>
      <c r="AA63" s="703" t="n"/>
      <c r="AB63" s="703" t="n"/>
      <c r="AC63" s="714" t="n">
        <v>98118</v>
      </c>
      <c r="AD63" s="703" t="n"/>
      <c r="AE63" s="703" t="n"/>
      <c r="AF63" s="714" t="n">
        <v>51405</v>
      </c>
      <c r="AG63" s="703" t="n"/>
      <c r="AH63" s="714" t="n">
        <v>217942</v>
      </c>
      <c r="AI63" s="714" t="n">
        <v>483220</v>
      </c>
      <c r="AJ63" s="714" t="n">
        <v>701162</v>
      </c>
      <c r="AK63" s="703" t="n"/>
      <c r="AL63" s="703" t="n"/>
      <c r="AM63" s="703" t="inlineStr">
        <is>
          <t>NNN landlord expenses only; from AXG Whse Expenses PSF.xlsx (R0084040)</t>
        </is>
      </c>
      <c r="AN63">
        <f>AND(B63=Subj_OccCode,Subj_BldgSF&gt;0,J63&gt;=Subj_BldgSF*(1-Subj_SizeTol),J63&lt;=Subj_BldgSF*(1+Subj_SizeTol))</f>
        <v/>
      </c>
    </row>
    <row r="64">
      <c r="A64" s="703" t="inlineStr">
        <is>
          <t>P028</t>
        </is>
      </c>
      <c r="B64" s="695" t="n">
        <v>407</v>
      </c>
      <c r="C64" s="703" t="inlineStr">
        <is>
          <t>R0084040</t>
        </is>
      </c>
      <c r="D64" s="703" t="inlineStr">
        <is>
          <t>Majestic Commercenter (R0084040)</t>
        </is>
      </c>
      <c r="E64" s="703" t="inlineStr">
        <is>
          <t>Commerce City</t>
        </is>
      </c>
      <c r="F64" s="703" t="inlineStr">
        <is>
          <t>CO</t>
        </is>
      </c>
      <c r="G64" s="703" t="inlineStr">
        <is>
          <t>Industrial</t>
        </is>
      </c>
      <c r="H64" s="703" t="inlineStr">
        <is>
          <t>Warehouse NNN</t>
        </is>
      </c>
      <c r="I64" s="703" t="n">
        <v>1997</v>
      </c>
      <c r="J64" s="703" t="n">
        <v>177736</v>
      </c>
      <c r="K64" s="703" t="n">
        <v>2022</v>
      </c>
      <c r="L64" s="703" t="n"/>
      <c r="M64" s="703" t="n"/>
      <c r="N64" s="703" t="n"/>
      <c r="O64" s="714" t="n">
        <v>13909</v>
      </c>
      <c r="P64" s="714" t="n">
        <v>55347</v>
      </c>
      <c r="Q64" s="703" t="n"/>
      <c r="R64" s="703" t="n"/>
      <c r="S64" s="703" t="n"/>
      <c r="T64" s="703" t="n"/>
      <c r="U64" s="703" t="n"/>
      <c r="V64" s="703" t="n"/>
      <c r="W64" s="703" t="n"/>
      <c r="X64" s="703" t="n"/>
      <c r="Y64" s="703" t="n"/>
      <c r="Z64" s="703" t="n"/>
      <c r="AA64" s="703" t="n"/>
      <c r="AB64" s="703" t="n"/>
      <c r="AC64" s="714" t="n">
        <v>117141</v>
      </c>
      <c r="AD64" s="703" t="n"/>
      <c r="AE64" s="703" t="n"/>
      <c r="AF64" s="714" t="n">
        <v>63264</v>
      </c>
      <c r="AG64" s="703" t="n"/>
      <c r="AH64" s="714" t="n">
        <v>249661</v>
      </c>
      <c r="AI64" s="714" t="n">
        <v>506747</v>
      </c>
      <c r="AJ64" s="714" t="n">
        <v>756408</v>
      </c>
      <c r="AK64" s="703" t="n"/>
      <c r="AL64" s="703" t="n"/>
      <c r="AM64" s="703" t="inlineStr">
        <is>
          <t>NNN landlord expenses only; from AXG Whse Expenses PSF.xlsx (R0084040)</t>
        </is>
      </c>
      <c r="AN64">
        <f>AND(B64=Subj_OccCode,Subj_BldgSF&gt;0,J64&gt;=Subj_BldgSF*(1-Subj_SizeTol),J64&lt;=Subj_BldgSF*(1+Subj_SizeTol))</f>
        <v/>
      </c>
    </row>
    <row r="65">
      <c r="A65" s="703" t="inlineStr">
        <is>
          <t>P029</t>
        </is>
      </c>
      <c r="B65" s="695" t="n">
        <v>407</v>
      </c>
      <c r="C65" s="703" t="inlineStr">
        <is>
          <t>R0084041</t>
        </is>
      </c>
      <c r="D65" s="703" t="inlineStr">
        <is>
          <t>Majestic Commercenter (R0084041)</t>
        </is>
      </c>
      <c r="E65" s="703" t="inlineStr">
        <is>
          <t>Commerce City</t>
        </is>
      </c>
      <c r="F65" s="703" t="inlineStr">
        <is>
          <t>CO</t>
        </is>
      </c>
      <c r="G65" s="703" t="inlineStr">
        <is>
          <t>Industrial</t>
        </is>
      </c>
      <c r="H65" s="703" t="inlineStr">
        <is>
          <t>Warehouse NNN</t>
        </is>
      </c>
      <c r="I65" s="703" t="n">
        <v>1997</v>
      </c>
      <c r="J65" s="703" t="n">
        <v>200371</v>
      </c>
      <c r="K65" s="703" t="n">
        <v>2021</v>
      </c>
      <c r="L65" s="703" t="n"/>
      <c r="M65" s="703" t="n"/>
      <c r="N65" s="703" t="n"/>
      <c r="O65" s="714" t="n">
        <v>13750</v>
      </c>
      <c r="P65" s="714" t="n">
        <v>32155</v>
      </c>
      <c r="Q65" s="703" t="n"/>
      <c r="R65" s="703" t="n"/>
      <c r="S65" s="703" t="n"/>
      <c r="T65" s="703" t="n"/>
      <c r="U65" s="703" t="n"/>
      <c r="V65" s="703" t="n"/>
      <c r="W65" s="703" t="n"/>
      <c r="X65" s="703" t="n"/>
      <c r="Y65" s="703" t="n"/>
      <c r="Z65" s="703" t="n"/>
      <c r="AA65" s="703" t="n"/>
      <c r="AB65" s="703" t="n"/>
      <c r="AC65" s="714" t="n">
        <v>117597</v>
      </c>
      <c r="AD65" s="703" t="n"/>
      <c r="AE65" s="703" t="n"/>
      <c r="AF65" s="703" t="n"/>
      <c r="AG65" s="703" t="n"/>
      <c r="AH65" s="714" t="n">
        <v>163502</v>
      </c>
      <c r="AI65" s="714" t="n">
        <v>499309</v>
      </c>
      <c r="AJ65" s="714" t="n">
        <v>662811</v>
      </c>
      <c r="AK65" s="703" t="n"/>
      <c r="AL65" s="703" t="n"/>
      <c r="AM65" s="703" t="inlineStr">
        <is>
          <t>NNN landlord expenses only; from AXG Whse Expenses PSF.xlsx (R0084041)</t>
        </is>
      </c>
      <c r="AN65">
        <f>AND(B65=Subj_OccCode,Subj_BldgSF&gt;0,J65&gt;=Subj_BldgSF*(1-Subj_SizeTol),J65&lt;=Subj_BldgSF*(1+Subj_SizeTol))</f>
        <v/>
      </c>
    </row>
    <row r="66">
      <c r="A66" s="703" t="inlineStr">
        <is>
          <t>P029</t>
        </is>
      </c>
      <c r="B66" s="695" t="n">
        <v>407</v>
      </c>
      <c r="C66" s="703" t="inlineStr">
        <is>
          <t>R0084041</t>
        </is>
      </c>
      <c r="D66" s="703" t="inlineStr">
        <is>
          <t>Majestic Commercenter (R0084041)</t>
        </is>
      </c>
      <c r="E66" s="703" t="inlineStr">
        <is>
          <t>Commerce City</t>
        </is>
      </c>
      <c r="F66" s="703" t="inlineStr">
        <is>
          <t>CO</t>
        </is>
      </c>
      <c r="G66" s="703" t="inlineStr">
        <is>
          <t>Industrial</t>
        </is>
      </c>
      <c r="H66" s="703" t="inlineStr">
        <is>
          <t>Warehouse NNN</t>
        </is>
      </c>
      <c r="I66" s="703" t="n">
        <v>1997</v>
      </c>
      <c r="J66" s="703" t="n">
        <v>200371</v>
      </c>
      <c r="K66" s="703" t="n">
        <v>2022</v>
      </c>
      <c r="L66" s="703" t="n"/>
      <c r="M66" s="703" t="n"/>
      <c r="N66" s="703" t="n"/>
      <c r="O66" s="714" t="n">
        <v>14629</v>
      </c>
      <c r="P66" s="714" t="n">
        <v>29974</v>
      </c>
      <c r="Q66" s="703" t="n"/>
      <c r="R66" s="703" t="n"/>
      <c r="S66" s="703" t="n"/>
      <c r="T66" s="703" t="n"/>
      <c r="U66" s="703" t="n"/>
      <c r="V66" s="703" t="n"/>
      <c r="W66" s="703" t="n"/>
      <c r="X66" s="703" t="n"/>
      <c r="Y66" s="703" t="n"/>
      <c r="Z66" s="703" t="n"/>
      <c r="AA66" s="703" t="n"/>
      <c r="AB66" s="703" t="n"/>
      <c r="AC66" s="714" t="n">
        <v>103927</v>
      </c>
      <c r="AD66" s="703" t="n"/>
      <c r="AE66" s="703" t="n"/>
      <c r="AF66" s="703" t="n"/>
      <c r="AG66" s="703" t="n"/>
      <c r="AH66" s="714" t="n">
        <v>148530</v>
      </c>
      <c r="AI66" s="714" t="n">
        <v>518816</v>
      </c>
      <c r="AJ66" s="714" t="n">
        <v>667346</v>
      </c>
      <c r="AK66" s="703" t="n"/>
      <c r="AL66" s="703" t="n"/>
      <c r="AM66" s="703" t="inlineStr">
        <is>
          <t>NNN landlord expenses only; from AXG Whse Expenses PSF.xlsx (R0084041)</t>
        </is>
      </c>
      <c r="AN66">
        <f>AND(B66=Subj_OccCode,Subj_BldgSF&gt;0,J66&gt;=Subj_BldgSF*(1-Subj_SizeTol),J66&lt;=Subj_BldgSF*(1+Subj_SizeTol))</f>
        <v/>
      </c>
    </row>
    <row r="67">
      <c r="A67" s="703" t="inlineStr">
        <is>
          <t>P030</t>
        </is>
      </c>
      <c r="B67" s="695" t="n">
        <v>584</v>
      </c>
      <c r="C67" s="703" t="inlineStr">
        <is>
          <t>R0217015</t>
        </is>
      </c>
      <c r="D67" s="703" t="inlineStr">
        <is>
          <t>Majestic Commercenter (R0217015)</t>
        </is>
      </c>
      <c r="E67" s="703" t="inlineStr">
        <is>
          <t>Commerce City</t>
        </is>
      </c>
      <c r="F67" s="703" t="inlineStr">
        <is>
          <t>CO</t>
        </is>
      </c>
      <c r="G67" s="703" t="inlineStr">
        <is>
          <t>Industrial</t>
        </is>
      </c>
      <c r="H67" s="703" t="inlineStr">
        <is>
          <t>Warehouse NNN</t>
        </is>
      </c>
      <c r="I67" s="703" t="n">
        <v>2021</v>
      </c>
      <c r="J67" s="703" t="n">
        <v>548510</v>
      </c>
      <c r="K67" s="703" t="n">
        <v>2022</v>
      </c>
      <c r="L67" s="703" t="n"/>
      <c r="M67" s="703" t="n"/>
      <c r="N67" s="703" t="n"/>
      <c r="O67" s="714" t="n">
        <v>64009</v>
      </c>
      <c r="P67" s="714" t="n">
        <v>58266</v>
      </c>
      <c r="Q67" s="703" t="n"/>
      <c r="R67" s="703" t="n"/>
      <c r="S67" s="703" t="n"/>
      <c r="T67" s="703" t="n"/>
      <c r="U67" s="703" t="n"/>
      <c r="V67" s="703" t="n"/>
      <c r="W67" s="703" t="n"/>
      <c r="X67" s="703" t="n"/>
      <c r="Y67" s="703" t="n"/>
      <c r="Z67" s="703" t="n"/>
      <c r="AA67" s="703" t="n"/>
      <c r="AB67" s="703" t="n"/>
      <c r="AC67" s="714" t="n">
        <v>96936</v>
      </c>
      <c r="AD67" s="703" t="n"/>
      <c r="AE67" s="703" t="n"/>
      <c r="AF67" s="714" t="n">
        <v>20844</v>
      </c>
      <c r="AG67" s="703" t="n"/>
      <c r="AH67" s="714" t="n">
        <v>240055</v>
      </c>
      <c r="AI67" s="714" t="n">
        <v>1245681</v>
      </c>
      <c r="AJ67" s="714" t="n">
        <v>1485736</v>
      </c>
      <c r="AK67" s="703" t="n"/>
      <c r="AL67" s="703" t="n"/>
      <c r="AM67" s="703" t="inlineStr">
        <is>
          <t>NNN landlord expenses only; from AXG Whse Expenses PSF.xlsx (R0217015)</t>
        </is>
      </c>
      <c r="AN67">
        <f>AND(B67=Subj_OccCode,Subj_BldgSF&gt;0,J67&gt;=Subj_BldgSF*(1-Subj_SizeTol),J67&lt;=Subj_BldgSF*(1+Subj_SizeTol))</f>
        <v/>
      </c>
    </row>
    <row r="68">
      <c r="A68" s="703" t="inlineStr">
        <is>
          <t>P031</t>
        </is>
      </c>
      <c r="B68" s="695" t="n">
        <v>407</v>
      </c>
      <c r="C68" s="703" t="inlineStr">
        <is>
          <t>R0111562</t>
        </is>
      </c>
      <c r="D68" s="703" t="inlineStr">
        <is>
          <t>Majestic Commercenter (R0111562)</t>
        </is>
      </c>
      <c r="E68" s="703" t="inlineStr">
        <is>
          <t>Commerce City</t>
        </is>
      </c>
      <c r="F68" s="703" t="inlineStr">
        <is>
          <t>CO</t>
        </is>
      </c>
      <c r="G68" s="703" t="inlineStr">
        <is>
          <t>Industrial</t>
        </is>
      </c>
      <c r="H68" s="703" t="inlineStr">
        <is>
          <t>Warehouse NNN</t>
        </is>
      </c>
      <c r="I68" s="703" t="n">
        <v>2000</v>
      </c>
      <c r="J68" s="703" t="n">
        <v>149175</v>
      </c>
      <c r="K68" s="703" t="n">
        <v>2019</v>
      </c>
      <c r="L68" s="703" t="n"/>
      <c r="M68" s="703" t="n"/>
      <c r="N68" s="703" t="n"/>
      <c r="O68" s="714" t="n">
        <v>6519</v>
      </c>
      <c r="P68" s="714" t="n">
        <v>22700</v>
      </c>
      <c r="Q68" s="703" t="n"/>
      <c r="R68" s="703" t="n"/>
      <c r="S68" s="703" t="n"/>
      <c r="T68" s="703" t="n"/>
      <c r="U68" s="703" t="n"/>
      <c r="V68" s="703" t="n"/>
      <c r="W68" s="703" t="n"/>
      <c r="X68" s="703" t="n"/>
      <c r="Y68" s="703" t="n"/>
      <c r="Z68" s="703" t="n"/>
      <c r="AA68" s="703" t="n"/>
      <c r="AB68" s="703" t="n"/>
      <c r="AC68" s="714" t="n">
        <v>101769</v>
      </c>
      <c r="AD68" s="703" t="n"/>
      <c r="AE68" s="703" t="n"/>
      <c r="AF68" s="703" t="n"/>
      <c r="AG68" s="703" t="n"/>
      <c r="AH68" s="714" t="n">
        <v>130988</v>
      </c>
      <c r="AI68" s="714" t="n">
        <v>281972</v>
      </c>
      <c r="AJ68" s="714" t="n">
        <v>412960</v>
      </c>
      <c r="AK68" s="703" t="n"/>
      <c r="AL68" s="703" t="n"/>
      <c r="AM68" s="703" t="inlineStr">
        <is>
          <t>NNN landlord expenses only; from AXG Whse Expenses PSF.xlsx (R0111562)</t>
        </is>
      </c>
      <c r="AN68">
        <f>AND(B68=Subj_OccCode,Subj_BldgSF&gt;0,J68&gt;=Subj_BldgSF*(1-Subj_SizeTol),J68&lt;=Subj_BldgSF*(1+Subj_SizeTol))</f>
        <v/>
      </c>
    </row>
    <row r="69">
      <c r="A69" s="703" t="inlineStr">
        <is>
          <t>P031</t>
        </is>
      </c>
      <c r="B69" s="695" t="n">
        <v>407</v>
      </c>
      <c r="C69" s="703" t="inlineStr">
        <is>
          <t>R0111562</t>
        </is>
      </c>
      <c r="D69" s="703" t="inlineStr">
        <is>
          <t>Majestic Commercenter (R0111562)</t>
        </is>
      </c>
      <c r="E69" s="703" t="inlineStr">
        <is>
          <t>Commerce City</t>
        </is>
      </c>
      <c r="F69" s="703" t="inlineStr">
        <is>
          <t>CO</t>
        </is>
      </c>
      <c r="G69" s="703" t="inlineStr">
        <is>
          <t>Industrial</t>
        </is>
      </c>
      <c r="H69" s="703" t="inlineStr">
        <is>
          <t>Warehouse NNN</t>
        </is>
      </c>
      <c r="I69" s="703" t="n">
        <v>2000</v>
      </c>
      <c r="J69" s="703" t="n">
        <v>149175</v>
      </c>
      <c r="K69" s="703" t="n">
        <v>2020</v>
      </c>
      <c r="L69" s="703" t="n"/>
      <c r="M69" s="703" t="n"/>
      <c r="N69" s="703" t="n"/>
      <c r="O69" s="714" t="n">
        <v>7450</v>
      </c>
      <c r="P69" s="714" t="n">
        <v>3942</v>
      </c>
      <c r="Q69" s="703" t="n"/>
      <c r="R69" s="703" t="n"/>
      <c r="S69" s="703" t="n"/>
      <c r="T69" s="703" t="n"/>
      <c r="U69" s="703" t="n"/>
      <c r="V69" s="703" t="n"/>
      <c r="W69" s="703" t="n"/>
      <c r="X69" s="703" t="n"/>
      <c r="Y69" s="703" t="n"/>
      <c r="Z69" s="703" t="n"/>
      <c r="AA69" s="703" t="n"/>
      <c r="AB69" s="703" t="n"/>
      <c r="AC69" s="714" t="n">
        <v>23921</v>
      </c>
      <c r="AD69" s="703" t="n"/>
      <c r="AE69" s="703" t="n"/>
      <c r="AF69" s="714" t="n">
        <v>165141</v>
      </c>
      <c r="AG69" s="703" t="n"/>
      <c r="AH69" s="714" t="n">
        <v>200454</v>
      </c>
      <c r="AI69" s="714" t="n">
        <v>282989</v>
      </c>
      <c r="AJ69" s="714" t="n">
        <v>483443</v>
      </c>
      <c r="AK69" s="703" t="n"/>
      <c r="AL69" s="703" t="n"/>
      <c r="AM69" s="703" t="inlineStr">
        <is>
          <t>NNN landlord expenses only; from AXG Whse Expenses PSF.xlsx (R0111562)</t>
        </is>
      </c>
      <c r="AN69">
        <f>AND(B69=Subj_OccCode,Subj_BldgSF&gt;0,J69&gt;=Subj_BldgSF*(1-Subj_SizeTol),J69&lt;=Subj_BldgSF*(1+Subj_SizeTol))</f>
        <v/>
      </c>
    </row>
    <row r="70">
      <c r="A70" s="703" t="inlineStr">
        <is>
          <t>P032</t>
        </is>
      </c>
      <c r="B70" s="695" t="n">
        <v>407</v>
      </c>
      <c r="C70" s="703" t="inlineStr">
        <is>
          <t>R0118875</t>
        </is>
      </c>
      <c r="D70" s="703" t="inlineStr">
        <is>
          <t>Majestic Commercenter (R0118875)</t>
        </is>
      </c>
      <c r="E70" s="703" t="inlineStr">
        <is>
          <t>Commerce City</t>
        </is>
      </c>
      <c r="F70" s="703" t="inlineStr">
        <is>
          <t>CO</t>
        </is>
      </c>
      <c r="G70" s="703" t="inlineStr">
        <is>
          <t>Industrial</t>
        </is>
      </c>
      <c r="H70" s="703" t="inlineStr">
        <is>
          <t>Warehouse NNN</t>
        </is>
      </c>
      <c r="I70" s="703" t="n">
        <v>1999</v>
      </c>
      <c r="J70" s="703" t="n">
        <v>279640</v>
      </c>
      <c r="K70" s="703" t="n">
        <v>2021</v>
      </c>
      <c r="L70" s="703" t="n"/>
      <c r="M70" s="703" t="n"/>
      <c r="N70" s="703" t="n"/>
      <c r="O70" s="714" t="n">
        <v>24629</v>
      </c>
      <c r="P70" s="714" t="n">
        <v>62870</v>
      </c>
      <c r="Q70" s="703" t="n"/>
      <c r="R70" s="703" t="n"/>
      <c r="S70" s="703" t="n"/>
      <c r="T70" s="703" t="n"/>
      <c r="U70" s="703" t="n"/>
      <c r="V70" s="703" t="n"/>
      <c r="W70" s="703" t="n"/>
      <c r="X70" s="703" t="n"/>
      <c r="Y70" s="703" t="n"/>
      <c r="Z70" s="703" t="n"/>
      <c r="AA70" s="703" t="n"/>
      <c r="AB70" s="703" t="n"/>
      <c r="AC70" s="714" t="n">
        <v>100363</v>
      </c>
      <c r="AD70" s="703" t="n"/>
      <c r="AE70" s="703" t="n"/>
      <c r="AF70" s="703" t="n"/>
      <c r="AG70" s="703" t="n"/>
      <c r="AH70" s="714" t="n">
        <v>187862</v>
      </c>
      <c r="AI70" s="714" t="n">
        <v>640886</v>
      </c>
      <c r="AJ70" s="714" t="n">
        <v>828748</v>
      </c>
      <c r="AK70" s="703" t="n"/>
      <c r="AL70" s="703" t="n"/>
      <c r="AM70" s="703" t="inlineStr">
        <is>
          <t>NNN landlord expenses only; from AXG Whse Expenses PSF.xlsx (R0118875)</t>
        </is>
      </c>
      <c r="AN70">
        <f>AND(B70=Subj_OccCode,Subj_BldgSF&gt;0,J70&gt;=Subj_BldgSF*(1-Subj_SizeTol),J70&lt;=Subj_BldgSF*(1+Subj_SizeTol))</f>
        <v/>
      </c>
    </row>
    <row r="71">
      <c r="A71" s="703" t="inlineStr">
        <is>
          <t>P032</t>
        </is>
      </c>
      <c r="B71" s="695" t="n">
        <v>407</v>
      </c>
      <c r="C71" s="703" t="inlineStr">
        <is>
          <t>R0118875</t>
        </is>
      </c>
      <c r="D71" s="703" t="inlineStr">
        <is>
          <t>Majestic Commercenter (R0118875)</t>
        </is>
      </c>
      <c r="E71" s="703" t="inlineStr">
        <is>
          <t>Commerce City</t>
        </is>
      </c>
      <c r="F71" s="703" t="inlineStr">
        <is>
          <t>CO</t>
        </is>
      </c>
      <c r="G71" s="703" t="inlineStr">
        <is>
          <t>Industrial</t>
        </is>
      </c>
      <c r="H71" s="703" t="inlineStr">
        <is>
          <t>Warehouse NNN</t>
        </is>
      </c>
      <c r="I71" s="703" t="n">
        <v>1999</v>
      </c>
      <c r="J71" s="703" t="n">
        <v>279640</v>
      </c>
      <c r="K71" s="703" t="n">
        <v>2022</v>
      </c>
      <c r="L71" s="703" t="n"/>
      <c r="M71" s="703" t="n"/>
      <c r="N71" s="703" t="n"/>
      <c r="O71" s="714" t="n">
        <v>26204</v>
      </c>
      <c r="P71" s="714" t="n">
        <v>63433</v>
      </c>
      <c r="Q71" s="703" t="n"/>
      <c r="R71" s="703" t="n"/>
      <c r="S71" s="703" t="n"/>
      <c r="T71" s="703" t="n"/>
      <c r="U71" s="703" t="n"/>
      <c r="V71" s="703" t="n"/>
      <c r="W71" s="703" t="n"/>
      <c r="X71" s="703" t="n"/>
      <c r="Y71" s="703" t="n"/>
      <c r="Z71" s="703" t="n"/>
      <c r="AA71" s="703" t="n"/>
      <c r="AB71" s="703" t="n"/>
      <c r="AC71" s="714" t="n">
        <v>18197</v>
      </c>
      <c r="AD71" s="703" t="n"/>
      <c r="AE71" s="703" t="n"/>
      <c r="AF71" s="703" t="n"/>
      <c r="AG71" s="703" t="n"/>
      <c r="AH71" s="714" t="n">
        <v>107834</v>
      </c>
      <c r="AI71" s="714" t="n">
        <v>657060</v>
      </c>
      <c r="AJ71" s="714" t="n">
        <v>764894</v>
      </c>
      <c r="AK71" s="703" t="n"/>
      <c r="AL71" s="703" t="n"/>
      <c r="AM71" s="703" t="inlineStr">
        <is>
          <t>NNN landlord expenses only; from AXG Whse Expenses PSF.xlsx (R0118875)</t>
        </is>
      </c>
      <c r="AN71">
        <f>AND(B71=Subj_OccCode,Subj_BldgSF&gt;0,J71&gt;=Subj_BldgSF*(1-Subj_SizeTol),J71&lt;=Subj_BldgSF*(1+Subj_SizeTol))</f>
        <v/>
      </c>
    </row>
    <row r="72">
      <c r="A72" s="703" t="inlineStr">
        <is>
          <t>P033</t>
        </is>
      </c>
      <c r="B72" s="695" t="n">
        <v>407</v>
      </c>
      <c r="C72" s="703" t="inlineStr">
        <is>
          <t>R0132031</t>
        </is>
      </c>
      <c r="D72" s="703" t="inlineStr">
        <is>
          <t>Majestic Commercenter (R0132031)</t>
        </is>
      </c>
      <c r="E72" s="703" t="inlineStr">
        <is>
          <t>Commerce City</t>
        </is>
      </c>
      <c r="F72" s="703" t="inlineStr">
        <is>
          <t>CO</t>
        </is>
      </c>
      <c r="G72" s="703" t="inlineStr">
        <is>
          <t>Industrial</t>
        </is>
      </c>
      <c r="H72" s="703" t="inlineStr">
        <is>
          <t>Warehouse NNN</t>
        </is>
      </c>
      <c r="I72" s="703" t="n">
        <v>2002</v>
      </c>
      <c r="J72" s="703" t="n">
        <v>280098</v>
      </c>
      <c r="K72" s="703" t="n">
        <v>2021</v>
      </c>
      <c r="L72" s="703" t="n"/>
      <c r="M72" s="703" t="n"/>
      <c r="N72" s="703" t="n"/>
      <c r="O72" s="714" t="n">
        <v>19984</v>
      </c>
      <c r="P72" s="714" t="n">
        <v>64701</v>
      </c>
      <c r="Q72" s="703" t="n"/>
      <c r="R72" s="703" t="n"/>
      <c r="S72" s="703" t="n"/>
      <c r="T72" s="703" t="n"/>
      <c r="U72" s="703" t="n"/>
      <c r="V72" s="703" t="n"/>
      <c r="W72" s="703" t="n"/>
      <c r="X72" s="703" t="n"/>
      <c r="Y72" s="703" t="n"/>
      <c r="Z72" s="703" t="n"/>
      <c r="AA72" s="703" t="n"/>
      <c r="AB72" s="703" t="n"/>
      <c r="AC72" s="714" t="n">
        <v>73763</v>
      </c>
      <c r="AD72" s="703" t="n"/>
      <c r="AE72" s="703" t="n"/>
      <c r="AF72" s="714" t="n">
        <v>85895</v>
      </c>
      <c r="AG72" s="703" t="n"/>
      <c r="AH72" s="714" t="n">
        <v>244343</v>
      </c>
      <c r="AI72" s="714" t="n">
        <v>639063</v>
      </c>
      <c r="AJ72" s="714" t="n">
        <v>883406</v>
      </c>
      <c r="AK72" s="703" t="n"/>
      <c r="AL72" s="703" t="n"/>
      <c r="AM72" s="703" t="inlineStr">
        <is>
          <t>NNN landlord expenses only; from AXG Whse Expenses PSF.xlsx (R0132031)</t>
        </is>
      </c>
      <c r="AN72">
        <f>AND(B72=Subj_OccCode,Subj_BldgSF&gt;0,J72&gt;=Subj_BldgSF*(1-Subj_SizeTol),J72&lt;=Subj_BldgSF*(1+Subj_SizeTol))</f>
        <v/>
      </c>
    </row>
    <row r="73">
      <c r="A73" s="703" t="inlineStr">
        <is>
          <t>P033</t>
        </is>
      </c>
      <c r="B73" s="695" t="n">
        <v>407</v>
      </c>
      <c r="C73" s="703" t="inlineStr">
        <is>
          <t>R0132031</t>
        </is>
      </c>
      <c r="D73" s="703" t="inlineStr">
        <is>
          <t>Majestic Commercenter (R0132031)</t>
        </is>
      </c>
      <c r="E73" s="703" t="inlineStr">
        <is>
          <t>Commerce City</t>
        </is>
      </c>
      <c r="F73" s="703" t="inlineStr">
        <is>
          <t>CO</t>
        </is>
      </c>
      <c r="G73" s="703" t="inlineStr">
        <is>
          <t>Industrial</t>
        </is>
      </c>
      <c r="H73" s="703" t="inlineStr">
        <is>
          <t>Warehouse NNN</t>
        </is>
      </c>
      <c r="I73" s="703" t="n">
        <v>2002</v>
      </c>
      <c r="J73" s="703" t="n">
        <v>280098</v>
      </c>
      <c r="K73" s="703" t="n">
        <v>2022</v>
      </c>
      <c r="L73" s="703" t="n"/>
      <c r="M73" s="703" t="n"/>
      <c r="N73" s="703" t="n"/>
      <c r="O73" s="714" t="n">
        <v>21261</v>
      </c>
      <c r="P73" s="714" t="n">
        <v>59067</v>
      </c>
      <c r="Q73" s="703" t="n"/>
      <c r="R73" s="703" t="n"/>
      <c r="S73" s="703" t="n"/>
      <c r="T73" s="703" t="n"/>
      <c r="U73" s="703" t="n"/>
      <c r="V73" s="703" t="n"/>
      <c r="W73" s="703" t="n"/>
      <c r="X73" s="703" t="n"/>
      <c r="Y73" s="703" t="n"/>
      <c r="Z73" s="703" t="n"/>
      <c r="AA73" s="703" t="n"/>
      <c r="AB73" s="703" t="n"/>
      <c r="AC73" s="714" t="n">
        <v>120936</v>
      </c>
      <c r="AD73" s="703" t="n"/>
      <c r="AE73" s="703" t="n"/>
      <c r="AF73" s="714" t="n">
        <v>94786</v>
      </c>
      <c r="AG73" s="703" t="n"/>
      <c r="AH73" s="714" t="n">
        <v>296050</v>
      </c>
      <c r="AI73" s="714" t="n">
        <v>669090</v>
      </c>
      <c r="AJ73" s="714" t="n">
        <v>965140</v>
      </c>
      <c r="AK73" s="703" t="n"/>
      <c r="AL73" s="703" t="n"/>
      <c r="AM73" s="703" t="inlineStr">
        <is>
          <t>NNN landlord expenses only; from AXG Whse Expenses PSF.xlsx (R0132031)</t>
        </is>
      </c>
      <c r="AN73">
        <f>AND(B73=Subj_OccCode,Subj_BldgSF&gt;0,J73&gt;=Subj_BldgSF*(1-Subj_SizeTol),J73&lt;=Subj_BldgSF*(1+Subj_SizeTol))</f>
        <v/>
      </c>
    </row>
    <row r="74">
      <c r="A74" s="703" t="inlineStr">
        <is>
          <t>P034</t>
        </is>
      </c>
      <c r="B74" s="695" t="n">
        <v>407</v>
      </c>
      <c r="C74" s="703" t="inlineStr">
        <is>
          <t>R0172865</t>
        </is>
      </c>
      <c r="D74" s="703" t="inlineStr">
        <is>
          <t>Majestic Commercenter (R0172865)</t>
        </is>
      </c>
      <c r="E74" s="703" t="inlineStr">
        <is>
          <t>Commerce City</t>
        </is>
      </c>
      <c r="F74" s="703" t="inlineStr">
        <is>
          <t>CO</t>
        </is>
      </c>
      <c r="G74" s="703" t="inlineStr">
        <is>
          <t>Industrial</t>
        </is>
      </c>
      <c r="H74" s="703" t="inlineStr">
        <is>
          <t>Warehouse NNN</t>
        </is>
      </c>
      <c r="I74" s="703" t="n">
        <v>2008</v>
      </c>
      <c r="J74" s="703" t="n">
        <v>215461</v>
      </c>
      <c r="K74" s="703" t="n">
        <v>2021</v>
      </c>
      <c r="L74" s="703" t="n"/>
      <c r="M74" s="703" t="n"/>
      <c r="N74" s="703" t="n"/>
      <c r="O74" s="714" t="n">
        <v>17428</v>
      </c>
      <c r="P74" s="714" t="n">
        <v>65798</v>
      </c>
      <c r="Q74" s="703" t="n"/>
      <c r="R74" s="703" t="n"/>
      <c r="S74" s="703" t="n"/>
      <c r="T74" s="703" t="n"/>
      <c r="U74" s="703" t="n"/>
      <c r="V74" s="703" t="n"/>
      <c r="W74" s="703" t="n"/>
      <c r="X74" s="703" t="n"/>
      <c r="Y74" s="703" t="n"/>
      <c r="Z74" s="703" t="n"/>
      <c r="AA74" s="703" t="n"/>
      <c r="AB74" s="703" t="n"/>
      <c r="AC74" s="714" t="n">
        <v>100975</v>
      </c>
      <c r="AD74" s="703" t="n"/>
      <c r="AE74" s="703" t="n"/>
      <c r="AF74" s="714" t="n">
        <v>73139</v>
      </c>
      <c r="AG74" s="703" t="n"/>
      <c r="AH74" s="714" t="n">
        <v>257340</v>
      </c>
      <c r="AI74" s="714" t="n">
        <v>614041</v>
      </c>
      <c r="AJ74" s="714" t="n">
        <v>871381</v>
      </c>
      <c r="AK74" s="703" t="n"/>
      <c r="AL74" s="703" t="n"/>
      <c r="AM74" s="703" t="inlineStr">
        <is>
          <t>NNN landlord expenses only; from AXG Whse Expenses PSF.xlsx (R0172865)</t>
        </is>
      </c>
      <c r="AN74">
        <f>AND(B74=Subj_OccCode,Subj_BldgSF&gt;0,J74&gt;=Subj_BldgSF*(1-Subj_SizeTol),J74&lt;=Subj_BldgSF*(1+Subj_SizeTol))</f>
        <v/>
      </c>
    </row>
    <row r="75">
      <c r="A75" s="703" t="inlineStr">
        <is>
          <t>P034</t>
        </is>
      </c>
      <c r="B75" s="695" t="n">
        <v>407</v>
      </c>
      <c r="C75" s="703" t="inlineStr">
        <is>
          <t>R0172865</t>
        </is>
      </c>
      <c r="D75" s="703" t="inlineStr">
        <is>
          <t>Majestic Commercenter (R0172865)</t>
        </is>
      </c>
      <c r="E75" s="703" t="inlineStr">
        <is>
          <t>Commerce City</t>
        </is>
      </c>
      <c r="F75" s="703" t="inlineStr">
        <is>
          <t>CO</t>
        </is>
      </c>
      <c r="G75" s="703" t="inlineStr">
        <is>
          <t>Industrial</t>
        </is>
      </c>
      <c r="H75" s="703" t="inlineStr">
        <is>
          <t>Warehouse NNN</t>
        </is>
      </c>
      <c r="I75" s="703" t="n">
        <v>2008</v>
      </c>
      <c r="J75" s="703" t="n">
        <v>215461</v>
      </c>
      <c r="K75" s="703" t="n">
        <v>2022</v>
      </c>
      <c r="L75" s="703" t="n"/>
      <c r="M75" s="703" t="n"/>
      <c r="N75" s="703" t="n"/>
      <c r="O75" s="714" t="n">
        <v>18350</v>
      </c>
      <c r="P75" s="714" t="n">
        <v>62443</v>
      </c>
      <c r="Q75" s="703" t="n"/>
      <c r="R75" s="703" t="n"/>
      <c r="S75" s="703" t="n"/>
      <c r="T75" s="703" t="n"/>
      <c r="U75" s="703" t="n"/>
      <c r="V75" s="703" t="n"/>
      <c r="W75" s="703" t="n"/>
      <c r="X75" s="703" t="n"/>
      <c r="Y75" s="703" t="n"/>
      <c r="Z75" s="703" t="n"/>
      <c r="AA75" s="703" t="n"/>
      <c r="AB75" s="703" t="n"/>
      <c r="AC75" s="714" t="n">
        <v>73459</v>
      </c>
      <c r="AD75" s="703" t="n"/>
      <c r="AE75" s="703" t="n"/>
      <c r="AF75" s="714" t="n">
        <v>74975</v>
      </c>
      <c r="AG75" s="703" t="n"/>
      <c r="AH75" s="714" t="n">
        <v>229227</v>
      </c>
      <c r="AI75" s="714" t="n">
        <v>590782</v>
      </c>
      <c r="AJ75" s="714" t="n">
        <v>820009</v>
      </c>
      <c r="AK75" s="703" t="n"/>
      <c r="AL75" s="703" t="n"/>
      <c r="AM75" s="703" t="inlineStr">
        <is>
          <t>NNN landlord expenses only; from AXG Whse Expenses PSF.xlsx (R0172865)</t>
        </is>
      </c>
      <c r="AN75">
        <f>AND(B75=Subj_OccCode,Subj_BldgSF&gt;0,J75&gt;=Subj_BldgSF*(1-Subj_SizeTol),J75&lt;=Subj_BldgSF*(1+Subj_SizeTol))</f>
        <v/>
      </c>
    </row>
    <row r="76">
      <c r="A76" s="703" t="inlineStr">
        <is>
          <t>P035</t>
        </is>
      </c>
      <c r="B76" s="695" t="n">
        <v>407</v>
      </c>
      <c r="C76" s="703" t="inlineStr">
        <is>
          <t>R0172867</t>
        </is>
      </c>
      <c r="D76" s="703" t="inlineStr">
        <is>
          <t>Majestic Commercenter (R0172867)</t>
        </is>
      </c>
      <c r="E76" s="703" t="inlineStr">
        <is>
          <t>Commerce City</t>
        </is>
      </c>
      <c r="F76" s="703" t="inlineStr">
        <is>
          <t>CO</t>
        </is>
      </c>
      <c r="G76" s="703" t="inlineStr">
        <is>
          <t>Industrial</t>
        </is>
      </c>
      <c r="H76" s="703" t="inlineStr">
        <is>
          <t>Warehouse NNN</t>
        </is>
      </c>
      <c r="I76" s="703" t="n">
        <v>2007</v>
      </c>
      <c r="J76" s="703" t="n">
        <v>215560</v>
      </c>
      <c r="K76" s="703" t="n">
        <v>2021</v>
      </c>
      <c r="L76" s="703" t="n"/>
      <c r="M76" s="703" t="n"/>
      <c r="N76" s="703" t="n"/>
      <c r="O76" s="714" t="n">
        <v>21017</v>
      </c>
      <c r="P76" s="714" t="n">
        <v>52362</v>
      </c>
      <c r="Q76" s="703" t="n"/>
      <c r="R76" s="703" t="n"/>
      <c r="S76" s="703" t="n"/>
      <c r="T76" s="703" t="n"/>
      <c r="U76" s="703" t="n"/>
      <c r="V76" s="703" t="n"/>
      <c r="W76" s="703" t="n"/>
      <c r="X76" s="703" t="n"/>
      <c r="Y76" s="703" t="n"/>
      <c r="Z76" s="703" t="n"/>
      <c r="AA76" s="703" t="n"/>
      <c r="AB76" s="703" t="n"/>
      <c r="AC76" s="714" t="n">
        <v>64218</v>
      </c>
      <c r="AD76" s="703" t="n"/>
      <c r="AE76" s="703" t="n"/>
      <c r="AF76" s="714" t="n">
        <v>67129</v>
      </c>
      <c r="AG76" s="703" t="n"/>
      <c r="AH76" s="714" t="n">
        <v>204726</v>
      </c>
      <c r="AI76" s="714" t="n">
        <v>537207</v>
      </c>
      <c r="AJ76" s="714" t="n">
        <v>741933</v>
      </c>
      <c r="AK76" s="703" t="n"/>
      <c r="AL76" s="703" t="n"/>
      <c r="AM76" s="703" t="inlineStr">
        <is>
          <t>NNN landlord expenses only; from AXG Whse Expenses PSF.xlsx (R0172867)</t>
        </is>
      </c>
      <c r="AN76">
        <f>AND(B76=Subj_OccCode,Subj_BldgSF&gt;0,J76&gt;=Subj_BldgSF*(1-Subj_SizeTol),J76&lt;=Subj_BldgSF*(1+Subj_SizeTol))</f>
        <v/>
      </c>
    </row>
    <row r="77">
      <c r="A77" s="703" t="inlineStr">
        <is>
          <t>P035</t>
        </is>
      </c>
      <c r="B77" s="695" t="n">
        <v>407</v>
      </c>
      <c r="C77" s="703" t="inlineStr">
        <is>
          <t>R0172867</t>
        </is>
      </c>
      <c r="D77" s="703" t="inlineStr">
        <is>
          <t>Majestic Commercenter (R0172867)</t>
        </is>
      </c>
      <c r="E77" s="703" t="inlineStr">
        <is>
          <t>Commerce City</t>
        </is>
      </c>
      <c r="F77" s="703" t="inlineStr">
        <is>
          <t>CO</t>
        </is>
      </c>
      <c r="G77" s="703" t="inlineStr">
        <is>
          <t>Industrial</t>
        </is>
      </c>
      <c r="H77" s="703" t="inlineStr">
        <is>
          <t>Warehouse NNN</t>
        </is>
      </c>
      <c r="I77" s="703" t="n">
        <v>2007</v>
      </c>
      <c r="J77" s="703" t="n">
        <v>215560</v>
      </c>
      <c r="K77" s="703" t="n">
        <v>2022</v>
      </c>
      <c r="L77" s="703" t="n"/>
      <c r="M77" s="703" t="n"/>
      <c r="N77" s="703" t="n"/>
      <c r="O77" s="714" t="n">
        <v>22360</v>
      </c>
      <c r="P77" s="714" t="n">
        <v>55092</v>
      </c>
      <c r="Q77" s="703" t="n"/>
      <c r="R77" s="703" t="n"/>
      <c r="S77" s="703" t="n"/>
      <c r="T77" s="703" t="n"/>
      <c r="U77" s="703" t="n"/>
      <c r="V77" s="703" t="n"/>
      <c r="W77" s="703" t="n"/>
      <c r="X77" s="703" t="n"/>
      <c r="Y77" s="703" t="n"/>
      <c r="Z77" s="703" t="n"/>
      <c r="AA77" s="703" t="n"/>
      <c r="AB77" s="703" t="n"/>
      <c r="AC77" s="714" t="n">
        <v>67277</v>
      </c>
      <c r="AD77" s="703" t="n"/>
      <c r="AE77" s="703" t="n"/>
      <c r="AF77" s="714" t="n">
        <v>72040</v>
      </c>
      <c r="AG77" s="703" t="n"/>
      <c r="AH77" s="714" t="n">
        <v>216769</v>
      </c>
      <c r="AI77" s="714" t="n">
        <v>558214</v>
      </c>
      <c r="AJ77" s="714" t="n">
        <v>774983</v>
      </c>
      <c r="AK77" s="703" t="n"/>
      <c r="AL77" s="703" t="n"/>
      <c r="AM77" s="703" t="inlineStr">
        <is>
          <t>NNN landlord expenses only; from AXG Whse Expenses PSF.xlsx (R0172867)</t>
        </is>
      </c>
      <c r="AN77">
        <f>AND(B77=Subj_OccCode,Subj_BldgSF&gt;0,J77&gt;=Subj_BldgSF*(1-Subj_SizeTol),J77&lt;=Subj_BldgSF*(1+Subj_SizeTol))</f>
        <v/>
      </c>
    </row>
    <row r="78">
      <c r="A78" s="703" t="inlineStr">
        <is>
          <t>P036</t>
        </is>
      </c>
      <c r="B78" s="695" t="n">
        <v>407</v>
      </c>
      <c r="C78" s="703" t="inlineStr">
        <is>
          <t>R0172868</t>
        </is>
      </c>
      <c r="D78" s="703" t="inlineStr">
        <is>
          <t>Majestic Commercenter (R0172868)</t>
        </is>
      </c>
      <c r="E78" s="703" t="inlineStr">
        <is>
          <t>Commerce City</t>
        </is>
      </c>
      <c r="F78" s="703" t="inlineStr">
        <is>
          <t>CO</t>
        </is>
      </c>
      <c r="G78" s="703" t="inlineStr">
        <is>
          <t>Industrial</t>
        </is>
      </c>
      <c r="H78" s="703" t="inlineStr">
        <is>
          <t>Warehouse NNN</t>
        </is>
      </c>
      <c r="I78" s="703" t="n">
        <v>2007</v>
      </c>
      <c r="J78" s="703" t="n">
        <v>202091</v>
      </c>
      <c r="K78" s="703" t="n">
        <v>2021</v>
      </c>
      <c r="L78" s="703" t="n"/>
      <c r="M78" s="703" t="n"/>
      <c r="N78" s="703" t="n"/>
      <c r="O78" s="714" t="n">
        <v>17434</v>
      </c>
      <c r="P78" s="714" t="n">
        <v>31149</v>
      </c>
      <c r="Q78" s="703" t="n"/>
      <c r="R78" s="703" t="n"/>
      <c r="S78" s="703" t="n"/>
      <c r="T78" s="703" t="n"/>
      <c r="U78" s="703" t="n"/>
      <c r="V78" s="703" t="n"/>
      <c r="W78" s="703" t="n"/>
      <c r="X78" s="703" t="n"/>
      <c r="Y78" s="703" t="n"/>
      <c r="Z78" s="703" t="n"/>
      <c r="AA78" s="703" t="n"/>
      <c r="AB78" s="703" t="n"/>
      <c r="AC78" s="714" t="n">
        <v>83142</v>
      </c>
      <c r="AD78" s="703" t="n"/>
      <c r="AE78" s="703" t="n"/>
      <c r="AF78" s="703" t="n"/>
      <c r="AG78" s="703" t="n"/>
      <c r="AH78" s="714" t="n">
        <v>131725</v>
      </c>
      <c r="AI78" s="714" t="n">
        <v>499000</v>
      </c>
      <c r="AJ78" s="714" t="n">
        <v>630725</v>
      </c>
      <c r="AK78" s="703" t="n"/>
      <c r="AL78" s="703" t="n"/>
      <c r="AM78" s="703" t="inlineStr">
        <is>
          <t>NNN landlord expenses only; from AXG Whse Expenses PSF.xlsx (R0172868)</t>
        </is>
      </c>
      <c r="AN78">
        <f>AND(B78=Subj_OccCode,Subj_BldgSF&gt;0,J78&gt;=Subj_BldgSF*(1-Subj_SizeTol),J78&lt;=Subj_BldgSF*(1+Subj_SizeTol))</f>
        <v/>
      </c>
    </row>
    <row r="79">
      <c r="A79" s="703" t="inlineStr">
        <is>
          <t>P036</t>
        </is>
      </c>
      <c r="B79" s="695" t="n">
        <v>407</v>
      </c>
      <c r="C79" s="703" t="inlineStr">
        <is>
          <t>R0172868</t>
        </is>
      </c>
      <c r="D79" s="703" t="inlineStr">
        <is>
          <t>Majestic Commercenter (R0172868)</t>
        </is>
      </c>
      <c r="E79" s="703" t="inlineStr">
        <is>
          <t>Commerce City</t>
        </is>
      </c>
      <c r="F79" s="703" t="inlineStr">
        <is>
          <t>CO</t>
        </is>
      </c>
      <c r="G79" s="703" t="inlineStr">
        <is>
          <t>Industrial</t>
        </is>
      </c>
      <c r="H79" s="703" t="inlineStr">
        <is>
          <t>Warehouse NNN</t>
        </is>
      </c>
      <c r="I79" s="703" t="n">
        <v>2007</v>
      </c>
      <c r="J79" s="703" t="n">
        <v>202091</v>
      </c>
      <c r="K79" s="703" t="n">
        <v>2022</v>
      </c>
      <c r="L79" s="703" t="n"/>
      <c r="M79" s="703" t="n"/>
      <c r="N79" s="703" t="n"/>
      <c r="O79" s="714" t="n">
        <v>18548</v>
      </c>
      <c r="P79" s="714" t="n">
        <v>27554</v>
      </c>
      <c r="Q79" s="703" t="n"/>
      <c r="R79" s="703" t="n"/>
      <c r="S79" s="703" t="n"/>
      <c r="T79" s="703" t="n"/>
      <c r="U79" s="703" t="n"/>
      <c r="V79" s="703" t="n"/>
      <c r="W79" s="703" t="n"/>
      <c r="X79" s="703" t="n"/>
      <c r="Y79" s="703" t="n"/>
      <c r="Z79" s="703" t="n"/>
      <c r="AA79" s="703" t="n"/>
      <c r="AB79" s="703" t="n"/>
      <c r="AC79" s="714" t="n">
        <v>66184</v>
      </c>
      <c r="AD79" s="703" t="n"/>
      <c r="AE79" s="703" t="n"/>
      <c r="AF79" s="703" t="n"/>
      <c r="AG79" s="703" t="n"/>
      <c r="AH79" s="714" t="n">
        <v>112286</v>
      </c>
      <c r="AI79" s="714" t="n">
        <v>509649</v>
      </c>
      <c r="AJ79" s="714" t="n">
        <v>621935</v>
      </c>
      <c r="AK79" s="703" t="n"/>
      <c r="AL79" s="703" t="n"/>
      <c r="AM79" s="703" t="inlineStr">
        <is>
          <t>NNN landlord expenses only; from AXG Whse Expenses PSF.xlsx (R0172868)</t>
        </is>
      </c>
      <c r="AN79">
        <f>AND(B79=Subj_OccCode,Subj_BldgSF&gt;0,J79&gt;=Subj_BldgSF*(1-Subj_SizeTol),J79&lt;=Subj_BldgSF*(1+Subj_SizeTol))</f>
        <v/>
      </c>
    </row>
    <row r="80">
      <c r="A80" s="703" t="inlineStr">
        <is>
          <t>P037</t>
        </is>
      </c>
      <c r="B80" s="695" t="n">
        <v>407</v>
      </c>
      <c r="C80" s="703" t="inlineStr">
        <is>
          <t>R0145680</t>
        </is>
      </c>
      <c r="D80" s="703" t="inlineStr">
        <is>
          <t>Majestic Commercenter (R0145680)</t>
        </is>
      </c>
      <c r="E80" s="703" t="inlineStr">
        <is>
          <t>Commerce City</t>
        </is>
      </c>
      <c r="F80" s="703" t="inlineStr">
        <is>
          <t>CO</t>
        </is>
      </c>
      <c r="G80" s="703" t="inlineStr">
        <is>
          <t>Industrial</t>
        </is>
      </c>
      <c r="H80" s="703" t="inlineStr">
        <is>
          <t>Warehouse NNN</t>
        </is>
      </c>
      <c r="I80" s="703" t="n">
        <v>2001</v>
      </c>
      <c r="J80" s="703" t="n">
        <v>150027</v>
      </c>
      <c r="K80" s="703" t="n">
        <v>2021</v>
      </c>
      <c r="L80" s="703" t="n"/>
      <c r="M80" s="703" t="n"/>
      <c r="N80" s="703" t="n"/>
      <c r="O80" s="714" t="n">
        <v>11682</v>
      </c>
      <c r="P80" s="714" t="n">
        <v>41521</v>
      </c>
      <c r="Q80" s="703" t="n"/>
      <c r="R80" s="703" t="n"/>
      <c r="S80" s="703" t="n"/>
      <c r="T80" s="703" t="n"/>
      <c r="U80" s="703" t="n"/>
      <c r="V80" s="703" t="n"/>
      <c r="W80" s="703" t="n"/>
      <c r="X80" s="703" t="n"/>
      <c r="Y80" s="703" t="n"/>
      <c r="Z80" s="703" t="n"/>
      <c r="AA80" s="703" t="n"/>
      <c r="AB80" s="703" t="n"/>
      <c r="AC80" s="714" t="n">
        <v>49834</v>
      </c>
      <c r="AD80" s="703" t="n"/>
      <c r="AE80" s="703" t="n"/>
      <c r="AF80" s="703" t="n"/>
      <c r="AG80" s="703" t="n"/>
      <c r="AH80" s="714" t="n">
        <v>103037</v>
      </c>
      <c r="AI80" s="714" t="n">
        <v>427951</v>
      </c>
      <c r="AJ80" s="714" t="n">
        <v>530988</v>
      </c>
      <c r="AK80" s="703" t="n"/>
      <c r="AL80" s="703" t="n"/>
      <c r="AM80" s="703" t="inlineStr">
        <is>
          <t>NNN landlord expenses only; from AXG Whse Expenses PSF.xlsx (R0145680)</t>
        </is>
      </c>
      <c r="AN80">
        <f>AND(B80=Subj_OccCode,Subj_BldgSF&gt;0,J80&gt;=Subj_BldgSF*(1-Subj_SizeTol),J80&lt;=Subj_BldgSF*(1+Subj_SizeTol))</f>
        <v/>
      </c>
    </row>
    <row r="81">
      <c r="A81" s="703" t="inlineStr">
        <is>
          <t>P037</t>
        </is>
      </c>
      <c r="B81" s="695" t="n">
        <v>407</v>
      </c>
      <c r="C81" s="703" t="inlineStr">
        <is>
          <t>R0145680</t>
        </is>
      </c>
      <c r="D81" s="703" t="inlineStr">
        <is>
          <t>Majestic Commercenter (R0145680)</t>
        </is>
      </c>
      <c r="E81" s="703" t="inlineStr">
        <is>
          <t>Commerce City</t>
        </is>
      </c>
      <c r="F81" s="703" t="inlineStr">
        <is>
          <t>CO</t>
        </is>
      </c>
      <c r="G81" s="703" t="inlineStr">
        <is>
          <t>Industrial</t>
        </is>
      </c>
      <c r="H81" s="703" t="inlineStr">
        <is>
          <t>Warehouse NNN</t>
        </is>
      </c>
      <c r="I81" s="703" t="n">
        <v>2001</v>
      </c>
      <c r="J81" s="703" t="n">
        <v>150027</v>
      </c>
      <c r="K81" s="703" t="n">
        <v>2022</v>
      </c>
      <c r="L81" s="703" t="n"/>
      <c r="M81" s="703" t="n"/>
      <c r="N81" s="703" t="n"/>
      <c r="O81" s="714" t="n">
        <v>12428</v>
      </c>
      <c r="P81" s="714" t="n">
        <v>34409</v>
      </c>
      <c r="Q81" s="703" t="n"/>
      <c r="R81" s="703" t="n"/>
      <c r="S81" s="703" t="n"/>
      <c r="T81" s="703" t="n"/>
      <c r="U81" s="703" t="n"/>
      <c r="V81" s="703" t="n"/>
      <c r="W81" s="703" t="n"/>
      <c r="X81" s="703" t="n"/>
      <c r="Y81" s="703" t="n"/>
      <c r="Z81" s="703" t="n"/>
      <c r="AA81" s="703" t="n"/>
      <c r="AB81" s="703" t="n"/>
      <c r="AC81" s="714" t="n">
        <v>54262</v>
      </c>
      <c r="AD81" s="703" t="n"/>
      <c r="AE81" s="703" t="n"/>
      <c r="AF81" s="703" t="n"/>
      <c r="AG81" s="703" t="n"/>
      <c r="AH81" s="714" t="n">
        <v>101099</v>
      </c>
      <c r="AI81" s="714" t="n">
        <v>410892</v>
      </c>
      <c r="AJ81" s="714" t="n">
        <v>511991</v>
      </c>
      <c r="AK81" s="703" t="n"/>
      <c r="AL81" s="703" t="n"/>
      <c r="AM81" s="703" t="inlineStr">
        <is>
          <t>NNN landlord expenses only; from AXG Whse Expenses PSF.xlsx (R0145680)</t>
        </is>
      </c>
      <c r="AN81">
        <f>AND(B81=Subj_OccCode,Subj_BldgSF&gt;0,J81&gt;=Subj_BldgSF*(1-Subj_SizeTol),J81&lt;=Subj_BldgSF*(1+Subj_SizeTol))</f>
        <v/>
      </c>
    </row>
    <row r="82">
      <c r="A82" s="703" t="inlineStr">
        <is>
          <t>P038</t>
        </is>
      </c>
      <c r="B82" s="695" t="n">
        <v>584</v>
      </c>
      <c r="C82" s="703" t="inlineStr">
        <is>
          <t>R0181787</t>
        </is>
      </c>
      <c r="D82" s="703" t="inlineStr">
        <is>
          <t>Majestic Commercenter (R0181787)</t>
        </is>
      </c>
      <c r="E82" s="703" t="inlineStr">
        <is>
          <t>Commerce City</t>
        </is>
      </c>
      <c r="F82" s="703" t="inlineStr">
        <is>
          <t>CO</t>
        </is>
      </c>
      <c r="G82" s="703" t="inlineStr">
        <is>
          <t>Industrial</t>
        </is>
      </c>
      <c r="H82" s="703" t="inlineStr">
        <is>
          <t>Warehouse NNN</t>
        </is>
      </c>
      <c r="I82" s="703" t="n">
        <v>2013</v>
      </c>
      <c r="J82" s="703" t="n">
        <v>500358</v>
      </c>
      <c r="K82" s="703" t="n">
        <v>2021</v>
      </c>
      <c r="L82" s="703" t="n"/>
      <c r="M82" s="703" t="n"/>
      <c r="N82" s="703" t="n"/>
      <c r="O82" s="714" t="n">
        <v>37172</v>
      </c>
      <c r="P82" s="714" t="n">
        <v>117764</v>
      </c>
      <c r="Q82" s="703" t="n"/>
      <c r="R82" s="703" t="n"/>
      <c r="S82" s="703" t="n"/>
      <c r="T82" s="703" t="n"/>
      <c r="U82" s="703" t="n"/>
      <c r="V82" s="703" t="n"/>
      <c r="W82" s="703" t="n"/>
      <c r="X82" s="703" t="n"/>
      <c r="Y82" s="703" t="n"/>
      <c r="Z82" s="703" t="n"/>
      <c r="AA82" s="703" t="n"/>
      <c r="AB82" s="703" t="n"/>
      <c r="AC82" s="714" t="n">
        <v>156518</v>
      </c>
      <c r="AD82" s="703" t="n"/>
      <c r="AE82" s="703" t="n"/>
      <c r="AF82" s="714" t="n">
        <v>117148</v>
      </c>
      <c r="AG82" s="703" t="n"/>
      <c r="AH82" s="714" t="n">
        <v>428602</v>
      </c>
      <c r="AI82" s="714" t="n">
        <v>1142695</v>
      </c>
      <c r="AJ82" s="714" t="n">
        <v>1571297</v>
      </c>
      <c r="AK82" s="703" t="n"/>
      <c r="AL82" s="703" t="n"/>
      <c r="AM82" s="703" t="inlineStr">
        <is>
          <t>NNN landlord expenses only; from AXG Whse Expenses PSF.xlsx (R0181787)</t>
        </is>
      </c>
      <c r="AN82">
        <f>AND(B82=Subj_OccCode,Subj_BldgSF&gt;0,J82&gt;=Subj_BldgSF*(1-Subj_SizeTol),J82&lt;=Subj_BldgSF*(1+Subj_SizeTol))</f>
        <v/>
      </c>
    </row>
    <row r="83">
      <c r="A83" s="703" t="inlineStr">
        <is>
          <t>P038</t>
        </is>
      </c>
      <c r="B83" s="695" t="n">
        <v>584</v>
      </c>
      <c r="C83" s="703" t="inlineStr">
        <is>
          <t>R0181787</t>
        </is>
      </c>
      <c r="D83" s="703" t="inlineStr">
        <is>
          <t>Majestic Commercenter (R0181787)</t>
        </is>
      </c>
      <c r="E83" s="703" t="inlineStr">
        <is>
          <t>Commerce City</t>
        </is>
      </c>
      <c r="F83" s="703" t="inlineStr">
        <is>
          <t>CO</t>
        </is>
      </c>
      <c r="G83" s="703" t="inlineStr">
        <is>
          <t>Industrial</t>
        </is>
      </c>
      <c r="H83" s="703" t="inlineStr">
        <is>
          <t>Warehouse NNN</t>
        </is>
      </c>
      <c r="I83" s="703" t="n">
        <v>2013</v>
      </c>
      <c r="J83" s="703" t="n">
        <v>500358</v>
      </c>
      <c r="K83" s="703" t="n">
        <v>2022</v>
      </c>
      <c r="L83" s="703" t="n"/>
      <c r="M83" s="703" t="n"/>
      <c r="N83" s="703" t="n"/>
      <c r="O83" s="714" t="n">
        <v>39548</v>
      </c>
      <c r="P83" s="714" t="n">
        <v>100791</v>
      </c>
      <c r="Q83" s="703" t="n"/>
      <c r="R83" s="703" t="n"/>
      <c r="S83" s="703" t="n"/>
      <c r="T83" s="703" t="n"/>
      <c r="U83" s="703" t="n"/>
      <c r="V83" s="703" t="n"/>
      <c r="W83" s="703" t="n"/>
      <c r="X83" s="703" t="n"/>
      <c r="Y83" s="703" t="n"/>
      <c r="Z83" s="703" t="n"/>
      <c r="AA83" s="703" t="n"/>
      <c r="AB83" s="703" t="n"/>
      <c r="AC83" s="714" t="n">
        <v>116474</v>
      </c>
      <c r="AD83" s="703" t="n"/>
      <c r="AE83" s="703" t="n"/>
      <c r="AF83" s="714" t="n">
        <v>113231</v>
      </c>
      <c r="AG83" s="703" t="n"/>
      <c r="AH83" s="714" t="n">
        <v>370044</v>
      </c>
      <c r="AI83" s="714" t="n">
        <v>1270807</v>
      </c>
      <c r="AJ83" s="714" t="n">
        <v>1640851</v>
      </c>
      <c r="AK83" s="703" t="n"/>
      <c r="AL83" s="703" t="n"/>
      <c r="AM83" s="703" t="inlineStr">
        <is>
          <t>NNN landlord expenses only; from AXG Whse Expenses PSF.xlsx (R0181787)</t>
        </is>
      </c>
      <c r="AN83">
        <f>AND(B83=Subj_OccCode,Subj_BldgSF&gt;0,J83&gt;=Subj_BldgSF*(1-Subj_SizeTol),J83&lt;=Subj_BldgSF*(1+Subj_SizeTol))</f>
        <v/>
      </c>
    </row>
    <row r="84">
      <c r="A84" s="703" t="inlineStr">
        <is>
          <t>P039</t>
        </is>
      </c>
      <c r="B84" s="695" t="n">
        <v>584</v>
      </c>
      <c r="C84" s="703" t="inlineStr">
        <is>
          <t>R0191101</t>
        </is>
      </c>
      <c r="D84" s="703" t="inlineStr">
        <is>
          <t>Majestic Commercenter (R0191101)</t>
        </is>
      </c>
      <c r="E84" s="703" t="inlineStr">
        <is>
          <t>Commerce City</t>
        </is>
      </c>
      <c r="F84" s="703" t="inlineStr">
        <is>
          <t>CO</t>
        </is>
      </c>
      <c r="G84" s="703" t="inlineStr">
        <is>
          <t>Industrial</t>
        </is>
      </c>
      <c r="H84" s="703" t="inlineStr">
        <is>
          <t>Warehouse NNN</t>
        </is>
      </c>
      <c r="I84" s="703" t="n">
        <v>2017</v>
      </c>
      <c r="J84" s="703" t="n">
        <v>522120</v>
      </c>
      <c r="K84" s="703" t="n">
        <v>2021</v>
      </c>
      <c r="L84" s="703" t="n"/>
      <c r="M84" s="703" t="n"/>
      <c r="N84" s="703" t="n"/>
      <c r="O84" s="714" t="n">
        <v>42908</v>
      </c>
      <c r="P84" s="714" t="n">
        <v>134812</v>
      </c>
      <c r="Q84" s="703" t="n"/>
      <c r="R84" s="703" t="n"/>
      <c r="S84" s="703" t="n"/>
      <c r="T84" s="703" t="n"/>
      <c r="U84" s="703" t="n"/>
      <c r="V84" s="703" t="n"/>
      <c r="W84" s="703" t="n"/>
      <c r="X84" s="703" t="n"/>
      <c r="Y84" s="703" t="n"/>
      <c r="Z84" s="703" t="n"/>
      <c r="AA84" s="703" t="n"/>
      <c r="AB84" s="703" t="n"/>
      <c r="AC84" s="714" t="n">
        <v>147507</v>
      </c>
      <c r="AD84" s="703" t="n"/>
      <c r="AE84" s="703" t="n"/>
      <c r="AF84" s="714" t="n">
        <v>93640</v>
      </c>
      <c r="AG84" s="703" t="n"/>
      <c r="AH84" s="714" t="n">
        <v>418867</v>
      </c>
      <c r="AI84" s="714" t="n">
        <v>1137439</v>
      </c>
      <c r="AJ84" s="714" t="n">
        <v>1556306</v>
      </c>
      <c r="AK84" s="703" t="n"/>
      <c r="AL84" s="703" t="n"/>
      <c r="AM84" s="703" t="inlineStr">
        <is>
          <t>NNN landlord expenses only; from AXG Whse Expenses PSF.xlsx (R0191101)</t>
        </is>
      </c>
      <c r="AN84">
        <f>AND(B84=Subj_OccCode,Subj_BldgSF&gt;0,J84&gt;=Subj_BldgSF*(1-Subj_SizeTol),J84&lt;=Subj_BldgSF*(1+Subj_SizeTol))</f>
        <v/>
      </c>
    </row>
    <row r="85">
      <c r="A85" s="703" t="inlineStr">
        <is>
          <t>P039</t>
        </is>
      </c>
      <c r="B85" s="695" t="n">
        <v>584</v>
      </c>
      <c r="C85" s="703" t="inlineStr">
        <is>
          <t>R0191101</t>
        </is>
      </c>
      <c r="D85" s="703" t="inlineStr">
        <is>
          <t>Majestic Commercenter (R0191101)</t>
        </is>
      </c>
      <c r="E85" s="703" t="inlineStr">
        <is>
          <t>Commerce City</t>
        </is>
      </c>
      <c r="F85" s="703" t="inlineStr">
        <is>
          <t>CO</t>
        </is>
      </c>
      <c r="G85" s="703" t="inlineStr">
        <is>
          <t>Industrial</t>
        </is>
      </c>
      <c r="H85" s="703" t="inlineStr">
        <is>
          <t>Warehouse NNN</t>
        </is>
      </c>
      <c r="I85" s="703" t="n">
        <v>2017</v>
      </c>
      <c r="J85" s="703" t="n">
        <v>522120</v>
      </c>
      <c r="K85" s="703" t="n">
        <v>2022</v>
      </c>
      <c r="L85" s="703" t="n"/>
      <c r="M85" s="703" t="n"/>
      <c r="N85" s="703" t="n"/>
      <c r="O85" s="714" t="n">
        <v>45651</v>
      </c>
      <c r="P85" s="714" t="n">
        <v>115853</v>
      </c>
      <c r="Q85" s="703" t="n"/>
      <c r="R85" s="703" t="n"/>
      <c r="S85" s="703" t="n"/>
      <c r="T85" s="703" t="n"/>
      <c r="U85" s="703" t="n"/>
      <c r="V85" s="703" t="n"/>
      <c r="W85" s="703" t="n"/>
      <c r="X85" s="703" t="n"/>
      <c r="Y85" s="703" t="n"/>
      <c r="Z85" s="703" t="n"/>
      <c r="AA85" s="703" t="n"/>
      <c r="AB85" s="703" t="n"/>
      <c r="AC85" s="714" t="n">
        <v>89739</v>
      </c>
      <c r="AD85" s="703" t="n"/>
      <c r="AE85" s="703" t="n"/>
      <c r="AF85" s="714" t="n">
        <v>90763</v>
      </c>
      <c r="AG85" s="703" t="n"/>
      <c r="AH85" s="714" t="n">
        <v>342006</v>
      </c>
      <c r="AI85" s="714" t="n">
        <v>1169645</v>
      </c>
      <c r="AJ85" s="714" t="n">
        <v>1511651</v>
      </c>
      <c r="AK85" s="703" t="n"/>
      <c r="AL85" s="703" t="n"/>
      <c r="AM85" s="703" t="inlineStr">
        <is>
          <t>NNN landlord expenses only; from AXG Whse Expenses PSF.xlsx (R0191101)</t>
        </is>
      </c>
      <c r="AN85">
        <f>AND(B85=Subj_OccCode,Subj_BldgSF&gt;0,J85&gt;=Subj_BldgSF*(1-Subj_SizeTol),J85&lt;=Subj_BldgSF*(1+Subj_SizeTol))</f>
        <v/>
      </c>
    </row>
    <row r="86">
      <c r="A86" s="703" t="inlineStr">
        <is>
          <t>P040</t>
        </is>
      </c>
      <c r="B86" s="695" t="n">
        <v>407</v>
      </c>
      <c r="C86" s="703" t="inlineStr">
        <is>
          <t>R0202874</t>
        </is>
      </c>
      <c r="D86" s="703" t="inlineStr">
        <is>
          <t>900 E 128th Ave</t>
        </is>
      </c>
      <c r="E86" s="703" t="inlineStr">
        <is>
          <t>Henderson</t>
        </is>
      </c>
      <c r="F86" s="703" t="inlineStr">
        <is>
          <t>CO</t>
        </is>
      </c>
      <c r="G86" s="703" t="inlineStr">
        <is>
          <t>Industrial</t>
        </is>
      </c>
      <c r="H86" s="703" t="inlineStr">
        <is>
          <t>Last-Mile Distribution NNN</t>
        </is>
      </c>
      <c r="I86" s="703" t="n"/>
      <c r="J86" s="703" t="n"/>
      <c r="K86" s="703" t="n">
        <v>2021</v>
      </c>
      <c r="L86" s="714" t="n">
        <v>2633716</v>
      </c>
      <c r="M86" s="703" t="n"/>
      <c r="N86" s="714" t="n">
        <v>3256403</v>
      </c>
      <c r="O86" s="714" t="n">
        <v>56624</v>
      </c>
      <c r="P86" s="703" t="n"/>
      <c r="Q86" s="714" t="n">
        <v>300</v>
      </c>
      <c r="R86" s="703" t="n"/>
      <c r="S86" s="703" t="n"/>
      <c r="T86" s="703" t="n"/>
      <c r="U86" s="703" t="n"/>
      <c r="V86" s="703" t="n"/>
      <c r="W86" s="703" t="n"/>
      <c r="X86" s="714" t="n">
        <v>29535</v>
      </c>
      <c r="Y86" s="714" t="n">
        <v>30138</v>
      </c>
      <c r="Z86" s="703" t="n"/>
      <c r="AA86" s="714" t="n">
        <v>54136</v>
      </c>
      <c r="AB86" s="714" t="n">
        <v>127274</v>
      </c>
      <c r="AC86" s="703" t="n"/>
      <c r="AD86" s="703" t="n"/>
      <c r="AE86" s="703" t="n"/>
      <c r="AF86" s="714" t="n">
        <v>18748</v>
      </c>
      <c r="AG86" s="703" t="n"/>
      <c r="AH86" s="714" t="n">
        <v>731951</v>
      </c>
      <c r="AI86" s="703" t="n"/>
      <c r="AJ86" s="703" t="n"/>
      <c r="AK86" s="714" t="n">
        <v>2524452</v>
      </c>
      <c r="AL86" s="703" t="n"/>
      <c r="AM86" s="703" t="inlineStr">
        <is>
          <t>Amazon AMZL Site 51812; SF not extracted; RE Tax not broken out in 2021</t>
        </is>
      </c>
      <c r="AN86">
        <f>AND(B86=Subj_OccCode,Subj_BldgSF&gt;0,J86&gt;=Subj_BldgSF*(1-Subj_SizeTol),J86&lt;=Subj_BldgSF*(1+Subj_SizeTol))</f>
        <v/>
      </c>
    </row>
    <row r="87">
      <c r="A87" s="703" t="inlineStr">
        <is>
          <t>P040</t>
        </is>
      </c>
      <c r="B87" s="695" t="n">
        <v>407</v>
      </c>
      <c r="C87" s="703" t="inlineStr">
        <is>
          <t>R0202874</t>
        </is>
      </c>
      <c r="D87" s="703" t="inlineStr">
        <is>
          <t>900 E 128th Ave</t>
        </is>
      </c>
      <c r="E87" s="703" t="inlineStr">
        <is>
          <t>Henderson</t>
        </is>
      </c>
      <c r="F87" s="703" t="inlineStr">
        <is>
          <t>CO</t>
        </is>
      </c>
      <c r="G87" s="703" t="inlineStr">
        <is>
          <t>Industrial</t>
        </is>
      </c>
      <c r="H87" s="703" t="inlineStr">
        <is>
          <t>Last-Mile Distribution NNN</t>
        </is>
      </c>
      <c r="I87" s="703" t="n"/>
      <c r="J87" s="703" t="n"/>
      <c r="K87" s="703" t="n">
        <v>2022</v>
      </c>
      <c r="L87" s="703" t="n"/>
      <c r="M87" s="703" t="n"/>
      <c r="N87" s="703" t="n"/>
      <c r="O87" s="703" t="n"/>
      <c r="P87" s="714" t="n">
        <v>69999</v>
      </c>
      <c r="Q87" s="703" t="n"/>
      <c r="R87" s="703" t="n"/>
      <c r="S87" s="703" t="n"/>
      <c r="T87" s="703" t="n"/>
      <c r="U87" s="703" t="n"/>
      <c r="V87" s="703" t="n"/>
      <c r="W87" s="703" t="n"/>
      <c r="X87" s="703" t="n"/>
      <c r="Y87" s="703" t="n"/>
      <c r="Z87" s="703" t="n"/>
      <c r="AA87" s="703" t="n"/>
      <c r="AB87" s="703" t="n"/>
      <c r="AC87" s="703" t="n"/>
      <c r="AD87" s="703" t="n"/>
      <c r="AE87" s="703" t="n"/>
      <c r="AF87" s="703" t="n"/>
      <c r="AG87" s="703" t="n"/>
      <c r="AH87" s="703" t="n"/>
      <c r="AI87" s="714" t="n">
        <v>1080500</v>
      </c>
      <c r="AJ87" s="714" t="n">
        <v>1527913</v>
      </c>
      <c r="AK87" s="714" t="n">
        <v>2475461</v>
      </c>
      <c r="AL87" s="703" t="n"/>
      <c r="AM87" s="703" t="inlineStr">
        <is>
          <t>Amazon AMZL Site 51812; 2022 dominated by RE Tax $1.08M; asset mgmt fee $70k</t>
        </is>
      </c>
      <c r="AN87">
        <f>AND(B87=Subj_OccCode,Subj_BldgSF&gt;0,J87&gt;=Subj_BldgSF*(1-Subj_SizeTol),J87&lt;=Subj_BldgSF*(1+Subj_SizeTol))</f>
        <v/>
      </c>
    </row>
    <row r="88">
      <c r="A88" s="703" t="inlineStr">
        <is>
          <t>P041</t>
        </is>
      </c>
      <c r="B88" s="695" t="n">
        <v>386</v>
      </c>
      <c r="C88" s="703" t="inlineStr">
        <is>
          <t>R0189384</t>
        </is>
      </c>
      <c r="D88" s="703" t="inlineStr">
        <is>
          <t>1101 Colorado Blvd</t>
        </is>
      </c>
      <c r="E88" s="703" t="inlineStr">
        <is>
          <t>Thornton</t>
        </is>
      </c>
      <c r="F88" s="703" t="inlineStr">
        <is>
          <t>CO</t>
        </is>
      </c>
      <c r="G88" s="703" t="inlineStr">
        <is>
          <t>Self-Storage</t>
        </is>
      </c>
      <c r="H88" s="703" t="inlineStr">
        <is>
          <t>Climate-Controlled</t>
        </is>
      </c>
      <c r="I88" s="703" t="n"/>
      <c r="J88" s="703" t="n">
        <v>65766</v>
      </c>
      <c r="K88" s="703" t="n">
        <v>2021</v>
      </c>
      <c r="L88" s="703" t="n"/>
      <c r="M88" s="703" t="n"/>
      <c r="N88" s="714" t="n">
        <v>879992</v>
      </c>
      <c r="O88" s="703" t="n"/>
      <c r="P88" s="703" t="n"/>
      <c r="Q88" s="703" t="n"/>
      <c r="R88" s="703" t="n"/>
      <c r="S88" s="703" t="n"/>
      <c r="T88" s="703" t="n"/>
      <c r="U88" s="703" t="n"/>
      <c r="V88" s="703" t="n"/>
      <c r="W88" s="703" t="n"/>
      <c r="X88" s="703" t="n"/>
      <c r="Y88" s="703" t="n"/>
      <c r="Z88" s="703" t="n"/>
      <c r="AA88" s="703" t="n"/>
      <c r="AB88" s="703" t="n"/>
      <c r="AC88" s="703" t="n"/>
      <c r="AD88" s="703" t="n"/>
      <c r="AE88" s="703" t="n"/>
      <c r="AF88" s="703" t="n"/>
      <c r="AG88" s="703" t="n"/>
      <c r="AH88" s="703" t="n"/>
      <c r="AI88" s="703" t="n"/>
      <c r="AJ88" s="714" t="n">
        <v>418098</v>
      </c>
      <c r="AK88" s="714" t="n">
        <v>461894</v>
      </c>
      <c r="AL88" s="703" t="n"/>
      <c r="AM88" s="703" t="inlineStr">
        <is>
          <t>Actual SS P&amp;L; mgmt=off-site+on-site combined; admin+adv in Other</t>
        </is>
      </c>
      <c r="AN88">
        <f>AND(B88=Subj_OccCode,Subj_BldgSF&gt;0,J88&gt;=Subj_BldgSF*(1-Subj_SizeTol),J88&lt;=Subj_BldgSF*(1+Subj_SizeTol))</f>
        <v/>
      </c>
    </row>
    <row r="89">
      <c r="A89" s="703" t="inlineStr">
        <is>
          <t>P041</t>
        </is>
      </c>
      <c r="B89" s="695" t="n">
        <v>386</v>
      </c>
      <c r="C89" s="703" t="inlineStr">
        <is>
          <t>R0189384</t>
        </is>
      </c>
      <c r="D89" s="703" t="inlineStr">
        <is>
          <t>1101 Colorado Blvd</t>
        </is>
      </c>
      <c r="E89" s="703" t="inlineStr">
        <is>
          <t>Thornton</t>
        </is>
      </c>
      <c r="F89" s="703" t="inlineStr">
        <is>
          <t>CO</t>
        </is>
      </c>
      <c r="G89" s="703" t="inlineStr">
        <is>
          <t>Self-Storage</t>
        </is>
      </c>
      <c r="H89" s="703" t="inlineStr">
        <is>
          <t>Climate-Controlled</t>
        </is>
      </c>
      <c r="I89" s="703" t="n"/>
      <c r="J89" s="703" t="n">
        <v>65766</v>
      </c>
      <c r="K89" s="703" t="n">
        <v>2022</v>
      </c>
      <c r="L89" s="703" t="n"/>
      <c r="M89" s="703" t="n"/>
      <c r="N89" s="714" t="n">
        <v>924824</v>
      </c>
      <c r="O89" s="703" t="n"/>
      <c r="P89" s="703" t="n"/>
      <c r="Q89" s="703" t="n"/>
      <c r="R89" s="703" t="n"/>
      <c r="S89" s="703" t="n"/>
      <c r="T89" s="703" t="n"/>
      <c r="U89" s="703" t="n"/>
      <c r="V89" s="703" t="n"/>
      <c r="W89" s="703" t="n"/>
      <c r="X89" s="703" t="n"/>
      <c r="Y89" s="703" t="n"/>
      <c r="Z89" s="703" t="n"/>
      <c r="AA89" s="703" t="n"/>
      <c r="AB89" s="703" t="n"/>
      <c r="AC89" s="703" t="n"/>
      <c r="AD89" s="703" t="n"/>
      <c r="AE89" s="703" t="n"/>
      <c r="AF89" s="703" t="n"/>
      <c r="AG89" s="703" t="n"/>
      <c r="AH89" s="703" t="n"/>
      <c r="AI89" s="703" t="n"/>
      <c r="AJ89" s="714" t="n">
        <v>455769</v>
      </c>
      <c r="AK89" s="714" t="n">
        <v>469055</v>
      </c>
      <c r="AL89" s="703" t="n"/>
      <c r="AM89" s="703" t="inlineStr">
        <is>
          <t>Actual SS P&amp;L; mgmt=off-site+on-site combined; admin+adv in Other</t>
        </is>
      </c>
      <c r="AN89">
        <f>AND(B89=Subj_OccCode,Subj_BldgSF&gt;0,J89&gt;=Subj_BldgSF*(1-Subj_SizeTol),J89&lt;=Subj_BldgSF*(1+Subj_SizeTol))</f>
        <v/>
      </c>
    </row>
    <row r="90">
      <c r="A90" s="703" t="inlineStr">
        <is>
          <t>P041</t>
        </is>
      </c>
      <c r="B90" s="695" t="n">
        <v>386</v>
      </c>
      <c r="C90" s="703" t="inlineStr">
        <is>
          <t>R0189384</t>
        </is>
      </c>
      <c r="D90" s="703" t="inlineStr">
        <is>
          <t>1101 Colorado Blvd</t>
        </is>
      </c>
      <c r="E90" s="703" t="inlineStr">
        <is>
          <t>Thornton</t>
        </is>
      </c>
      <c r="F90" s="703" t="inlineStr">
        <is>
          <t>CO</t>
        </is>
      </c>
      <c r="G90" s="703" t="inlineStr">
        <is>
          <t>Self-Storage</t>
        </is>
      </c>
      <c r="H90" s="703" t="inlineStr">
        <is>
          <t>Climate-Controlled</t>
        </is>
      </c>
      <c r="I90" s="703" t="n"/>
      <c r="J90" s="703" t="n">
        <v>65766</v>
      </c>
      <c r="K90" s="703" t="n">
        <v>2023</v>
      </c>
      <c r="L90" s="703" t="n"/>
      <c r="M90" s="703" t="n"/>
      <c r="N90" s="714" t="n">
        <v>931247</v>
      </c>
      <c r="O90" s="714" t="n">
        <v>41471</v>
      </c>
      <c r="P90" s="714" t="n">
        <v>104101</v>
      </c>
      <c r="Q90" s="703" t="n"/>
      <c r="R90" s="703" t="n"/>
      <c r="S90" s="703" t="n"/>
      <c r="T90" s="703" t="n"/>
      <c r="U90" s="703" t="n"/>
      <c r="V90" s="703" t="n"/>
      <c r="W90" s="703" t="n"/>
      <c r="X90" s="703" t="n"/>
      <c r="Y90" s="714" t="n">
        <v>15564</v>
      </c>
      <c r="Z90" s="703" t="n"/>
      <c r="AA90" s="703" t="n"/>
      <c r="AB90" s="703" t="n"/>
      <c r="AC90" s="703" t="n"/>
      <c r="AD90" s="703" t="n"/>
      <c r="AE90" s="703" t="n"/>
      <c r="AF90" s="714" t="n">
        <v>37120</v>
      </c>
      <c r="AG90" s="703" t="n"/>
      <c r="AH90" s="714" t="n">
        <v>294563</v>
      </c>
      <c r="AI90" s="714" t="n">
        <v>179920</v>
      </c>
      <c r="AJ90" s="714" t="n">
        <v>474483</v>
      </c>
      <c r="AK90" s="714" t="n">
        <v>469746</v>
      </c>
      <c r="AL90" s="703" t="n"/>
      <c r="AM90" s="703" t="inlineStr">
        <is>
          <t>Actual SS P&amp;L; mgmt=off-site+on-site combined; admin+adv in Other</t>
        </is>
      </c>
      <c r="AN90">
        <f>AND(B90=Subj_OccCode,Subj_BldgSF&gt;0,J90&gt;=Subj_BldgSF*(1-Subj_SizeTol),J90&lt;=Subj_BldgSF*(1+Subj_SizeTol))</f>
        <v/>
      </c>
    </row>
    <row r="91">
      <c r="A91" s="703" t="inlineStr">
        <is>
          <t>P042</t>
        </is>
      </c>
      <c r="B91" s="695" t="n">
        <v>386</v>
      </c>
      <c r="C91" s="703" t="inlineStr">
        <is>
          <t>R0126235</t>
        </is>
      </c>
      <c r="D91" s="703" t="inlineStr">
        <is>
          <t>15024 Laroy Drive</t>
        </is>
      </c>
      <c r="E91" s="703" t="inlineStr">
        <is>
          <t>Northglenn</t>
        </is>
      </c>
      <c r="F91" s="703" t="inlineStr">
        <is>
          <t>CO</t>
        </is>
      </c>
      <c r="G91" s="703" t="inlineStr">
        <is>
          <t>Self-Storage</t>
        </is>
      </c>
      <c r="H91" s="703" t="inlineStr">
        <is>
          <t>Climate-Controlled</t>
        </is>
      </c>
      <c r="I91" s="703" t="n"/>
      <c r="J91" s="703" t="n">
        <v>79950</v>
      </c>
      <c r="K91" s="703" t="n">
        <v>2021</v>
      </c>
      <c r="L91" s="703" t="n"/>
      <c r="M91" s="703" t="n"/>
      <c r="N91" s="714" t="n">
        <v>956337</v>
      </c>
      <c r="O91" s="703" t="n"/>
      <c r="P91" s="703" t="n"/>
      <c r="Q91" s="703" t="n"/>
      <c r="R91" s="703" t="n"/>
      <c r="S91" s="703" t="n"/>
      <c r="T91" s="703" t="n"/>
      <c r="U91" s="703" t="n"/>
      <c r="V91" s="703" t="n"/>
      <c r="W91" s="703" t="n"/>
      <c r="X91" s="703" t="n"/>
      <c r="Y91" s="703" t="n"/>
      <c r="Z91" s="703" t="n"/>
      <c r="AA91" s="703" t="n"/>
      <c r="AB91" s="703" t="n"/>
      <c r="AC91" s="703" t="n"/>
      <c r="AD91" s="703" t="n"/>
      <c r="AE91" s="703" t="n"/>
      <c r="AF91" s="703" t="n"/>
      <c r="AG91" s="703" t="n"/>
      <c r="AH91" s="703" t="n"/>
      <c r="AI91" s="703" t="n"/>
      <c r="AJ91" s="714" t="n">
        <v>481614</v>
      </c>
      <c r="AK91" s="714" t="n">
        <v>514723</v>
      </c>
      <c r="AL91" s="703" t="n"/>
      <c r="AM91" s="703" t="inlineStr">
        <is>
          <t>Actual SS P&amp;L; mgmt=off-site+on-site combined</t>
        </is>
      </c>
      <c r="AN91">
        <f>AND(B91=Subj_OccCode,Subj_BldgSF&gt;0,J91&gt;=Subj_BldgSF*(1-Subj_SizeTol),J91&lt;=Subj_BldgSF*(1+Subj_SizeTol))</f>
        <v/>
      </c>
    </row>
    <row r="92">
      <c r="A92" s="703" t="inlineStr">
        <is>
          <t>P042</t>
        </is>
      </c>
      <c r="B92" s="695" t="n">
        <v>386</v>
      </c>
      <c r="C92" s="703" t="inlineStr">
        <is>
          <t>R0126235</t>
        </is>
      </c>
      <c r="D92" s="703" t="inlineStr">
        <is>
          <t>15024 Laroy Drive</t>
        </is>
      </c>
      <c r="E92" s="703" t="inlineStr">
        <is>
          <t>Northglenn</t>
        </is>
      </c>
      <c r="F92" s="703" t="inlineStr">
        <is>
          <t>CO</t>
        </is>
      </c>
      <c r="G92" s="703" t="inlineStr">
        <is>
          <t>Self-Storage</t>
        </is>
      </c>
      <c r="H92" s="703" t="inlineStr">
        <is>
          <t>Climate-Controlled</t>
        </is>
      </c>
      <c r="I92" s="703" t="n"/>
      <c r="J92" s="703" t="n">
        <v>79950</v>
      </c>
      <c r="K92" s="703" t="n">
        <v>2022</v>
      </c>
      <c r="L92" s="703" t="n"/>
      <c r="M92" s="703" t="n"/>
      <c r="N92" s="714" t="n">
        <v>1017929</v>
      </c>
      <c r="O92" s="703" t="n"/>
      <c r="P92" s="703" t="n"/>
      <c r="Q92" s="703" t="n"/>
      <c r="R92" s="703" t="n"/>
      <c r="S92" s="703" t="n"/>
      <c r="T92" s="703" t="n"/>
      <c r="U92" s="703" t="n"/>
      <c r="V92" s="703" t="n"/>
      <c r="W92" s="703" t="n"/>
      <c r="X92" s="703" t="n"/>
      <c r="Y92" s="703" t="n"/>
      <c r="Z92" s="703" t="n"/>
      <c r="AA92" s="703" t="n"/>
      <c r="AB92" s="703" t="n"/>
      <c r="AC92" s="703" t="n"/>
      <c r="AD92" s="703" t="n"/>
      <c r="AE92" s="703" t="n"/>
      <c r="AF92" s="703" t="n"/>
      <c r="AG92" s="703" t="n"/>
      <c r="AH92" s="703" t="n"/>
      <c r="AI92" s="703" t="n"/>
      <c r="AJ92" s="714" t="n">
        <v>432239</v>
      </c>
      <c r="AK92" s="714" t="n">
        <v>585690</v>
      </c>
      <c r="AL92" s="703" t="n"/>
      <c r="AM92" s="703" t="inlineStr">
        <is>
          <t>Actual SS P&amp;L; mgmt=off-site+on-site combined</t>
        </is>
      </c>
      <c r="AN92">
        <f>AND(B92=Subj_OccCode,Subj_BldgSF&gt;0,J92&gt;=Subj_BldgSF*(1-Subj_SizeTol),J92&lt;=Subj_BldgSF*(1+Subj_SizeTol))</f>
        <v/>
      </c>
    </row>
    <row r="93">
      <c r="A93" s="703" t="inlineStr">
        <is>
          <t>P042</t>
        </is>
      </c>
      <c r="B93" s="695" t="n">
        <v>386</v>
      </c>
      <c r="C93" s="703" t="inlineStr">
        <is>
          <t>R0126235</t>
        </is>
      </c>
      <c r="D93" s="703" t="inlineStr">
        <is>
          <t>15024 Laroy Drive</t>
        </is>
      </c>
      <c r="E93" s="703" t="inlineStr">
        <is>
          <t>Northglenn</t>
        </is>
      </c>
      <c r="F93" s="703" t="inlineStr">
        <is>
          <t>CO</t>
        </is>
      </c>
      <c r="G93" s="703" t="inlineStr">
        <is>
          <t>Self-Storage</t>
        </is>
      </c>
      <c r="H93" s="703" t="inlineStr">
        <is>
          <t>Climate-Controlled</t>
        </is>
      </c>
      <c r="I93" s="703" t="n"/>
      <c r="J93" s="703" t="n">
        <v>79950</v>
      </c>
      <c r="K93" s="703" t="n">
        <v>2023</v>
      </c>
      <c r="L93" s="703" t="n"/>
      <c r="M93" s="703" t="n"/>
      <c r="N93" s="714" t="n">
        <v>954605</v>
      </c>
      <c r="O93" s="714" t="n">
        <v>40815</v>
      </c>
      <c r="P93" s="714" t="n">
        <v>108523</v>
      </c>
      <c r="Q93" s="703" t="n"/>
      <c r="R93" s="703" t="n"/>
      <c r="S93" s="703" t="n"/>
      <c r="T93" s="703" t="n"/>
      <c r="U93" s="703" t="n"/>
      <c r="V93" s="703" t="n"/>
      <c r="W93" s="703" t="n"/>
      <c r="X93" s="703" t="n"/>
      <c r="Y93" s="714" t="n">
        <v>24068</v>
      </c>
      <c r="Z93" s="703" t="n"/>
      <c r="AA93" s="703" t="n"/>
      <c r="AB93" s="703" t="n"/>
      <c r="AC93" s="703" t="n"/>
      <c r="AD93" s="703" t="n"/>
      <c r="AE93" s="703" t="n"/>
      <c r="AF93" s="714" t="n">
        <v>20683</v>
      </c>
      <c r="AG93" s="703" t="n"/>
      <c r="AH93" s="714" t="n">
        <v>274666</v>
      </c>
      <c r="AI93" s="714" t="n">
        <v>244725</v>
      </c>
      <c r="AJ93" s="714" t="n">
        <v>519391</v>
      </c>
      <c r="AK93" s="714" t="n">
        <v>435215</v>
      </c>
      <c r="AL93" s="703" t="n"/>
      <c r="AM93" s="703" t="inlineStr">
        <is>
          <t>Actual SS P&amp;L; mgmt=off-site+on-site combined</t>
        </is>
      </c>
      <c r="AN93">
        <f>AND(B93=Subj_OccCode,Subj_BldgSF&gt;0,J93&gt;=Subj_BldgSF*(1-Subj_SizeTol),J93&lt;=Subj_BldgSF*(1+Subj_SizeTol))</f>
        <v/>
      </c>
    </row>
    <row r="94">
      <c r="A94" s="703" t="inlineStr">
        <is>
          <t>P043</t>
        </is>
      </c>
      <c r="B94" s="695" t="n">
        <v>386</v>
      </c>
      <c r="C94" s="703" t="inlineStr">
        <is>
          <t>R0126234</t>
        </is>
      </c>
      <c r="D94" s="703" t="inlineStr">
        <is>
          <t>715 W 112th Ave</t>
        </is>
      </c>
      <c r="E94" s="703" t="inlineStr">
        <is>
          <t>Northglenn</t>
        </is>
      </c>
      <c r="F94" s="703" t="inlineStr">
        <is>
          <t>CO</t>
        </is>
      </c>
      <c r="G94" s="703" t="inlineStr">
        <is>
          <t>Self-Storage</t>
        </is>
      </c>
      <c r="H94" s="703" t="inlineStr">
        <is>
          <t>Drive-Up/Drop-Off</t>
        </is>
      </c>
      <c r="I94" s="703" t="n"/>
      <c r="J94" s="703" t="n">
        <v>83756</v>
      </c>
      <c r="K94" s="703" t="n">
        <v>2021</v>
      </c>
      <c r="L94" s="703" t="n"/>
      <c r="M94" s="703" t="n"/>
      <c r="N94" s="714" t="n">
        <v>814763</v>
      </c>
      <c r="O94" s="703" t="n"/>
      <c r="P94" s="703" t="n"/>
      <c r="Q94" s="703" t="n"/>
      <c r="R94" s="703" t="n"/>
      <c r="S94" s="703" t="n"/>
      <c r="T94" s="703" t="n"/>
      <c r="U94" s="703" t="n"/>
      <c r="V94" s="703" t="n"/>
      <c r="W94" s="703" t="n"/>
      <c r="X94" s="703" t="n"/>
      <c r="Y94" s="703" t="n"/>
      <c r="Z94" s="703" t="n"/>
      <c r="AA94" s="703" t="n"/>
      <c r="AB94" s="703" t="n"/>
      <c r="AC94" s="703" t="n"/>
      <c r="AD94" s="703" t="n"/>
      <c r="AE94" s="703" t="n"/>
      <c r="AF94" s="703" t="n"/>
      <c r="AG94" s="703" t="n"/>
      <c r="AH94" s="703" t="n"/>
      <c r="AI94" s="703" t="n"/>
      <c r="AJ94" s="714" t="n">
        <v>436596</v>
      </c>
      <c r="AK94" s="714" t="n">
        <v>378167</v>
      </c>
      <c r="AL94" s="703" t="n"/>
      <c r="AM94" s="703" t="inlineStr">
        <is>
          <t>Actual SS P&amp;L; mgmt=off-site+on-site combined</t>
        </is>
      </c>
      <c r="AN94">
        <f>AND(B94=Subj_OccCode,Subj_BldgSF&gt;0,J94&gt;=Subj_BldgSF*(1-Subj_SizeTol),J94&lt;=Subj_BldgSF*(1+Subj_SizeTol))</f>
        <v/>
      </c>
    </row>
    <row r="95">
      <c r="A95" s="703" t="inlineStr">
        <is>
          <t>P043</t>
        </is>
      </c>
      <c r="B95" s="695" t="n">
        <v>386</v>
      </c>
      <c r="C95" s="703" t="inlineStr">
        <is>
          <t>R0126234</t>
        </is>
      </c>
      <c r="D95" s="703" t="inlineStr">
        <is>
          <t>715 W 112th Ave</t>
        </is>
      </c>
      <c r="E95" s="703" t="inlineStr">
        <is>
          <t>Northglenn</t>
        </is>
      </c>
      <c r="F95" s="703" t="inlineStr">
        <is>
          <t>CO</t>
        </is>
      </c>
      <c r="G95" s="703" t="inlineStr">
        <is>
          <t>Self-Storage</t>
        </is>
      </c>
      <c r="H95" s="703" t="inlineStr">
        <is>
          <t>Drive-Up/Drop-Off</t>
        </is>
      </c>
      <c r="I95" s="703" t="n"/>
      <c r="J95" s="703" t="n">
        <v>83756</v>
      </c>
      <c r="K95" s="703" t="n">
        <v>2022</v>
      </c>
      <c r="L95" s="703" t="n"/>
      <c r="M95" s="703" t="n"/>
      <c r="N95" s="714" t="n">
        <v>980798</v>
      </c>
      <c r="O95" s="703" t="n"/>
      <c r="P95" s="703" t="n"/>
      <c r="Q95" s="703" t="n"/>
      <c r="R95" s="703" t="n"/>
      <c r="S95" s="703" t="n"/>
      <c r="T95" s="703" t="n"/>
      <c r="U95" s="703" t="n"/>
      <c r="V95" s="703" t="n"/>
      <c r="W95" s="703" t="n"/>
      <c r="X95" s="703" t="n"/>
      <c r="Y95" s="703" t="n"/>
      <c r="Z95" s="703" t="n"/>
      <c r="AA95" s="703" t="n"/>
      <c r="AB95" s="703" t="n"/>
      <c r="AC95" s="703" t="n"/>
      <c r="AD95" s="703" t="n"/>
      <c r="AE95" s="703" t="n"/>
      <c r="AF95" s="703" t="n"/>
      <c r="AG95" s="703" t="n"/>
      <c r="AH95" s="703" t="n"/>
      <c r="AI95" s="703" t="n"/>
      <c r="AJ95" s="714" t="n">
        <v>455854</v>
      </c>
      <c r="AK95" s="714" t="n">
        <v>524944</v>
      </c>
      <c r="AL95" s="703" t="n"/>
      <c r="AM95" s="703" t="inlineStr">
        <is>
          <t>Actual SS P&amp;L; mgmt=off-site+on-site combined</t>
        </is>
      </c>
      <c r="AN95">
        <f>AND(B95=Subj_OccCode,Subj_BldgSF&gt;0,J95&gt;=Subj_BldgSF*(1-Subj_SizeTol),J95&lt;=Subj_BldgSF*(1+Subj_SizeTol))</f>
        <v/>
      </c>
    </row>
    <row r="96">
      <c r="A96" s="703" t="inlineStr">
        <is>
          <t>P043</t>
        </is>
      </c>
      <c r="B96" s="695" t="n">
        <v>386</v>
      </c>
      <c r="C96" s="703" t="inlineStr">
        <is>
          <t>R0126234</t>
        </is>
      </c>
      <c r="D96" s="703" t="inlineStr">
        <is>
          <t>715 W 112th Ave</t>
        </is>
      </c>
      <c r="E96" s="703" t="inlineStr">
        <is>
          <t>Northglenn</t>
        </is>
      </c>
      <c r="F96" s="703" t="inlineStr">
        <is>
          <t>CO</t>
        </is>
      </c>
      <c r="G96" s="703" t="inlineStr">
        <is>
          <t>Self-Storage</t>
        </is>
      </c>
      <c r="H96" s="703" t="inlineStr">
        <is>
          <t>Drive-Up/Drop-Off</t>
        </is>
      </c>
      <c r="I96" s="703" t="n"/>
      <c r="J96" s="703" t="n">
        <v>83756</v>
      </c>
      <c r="K96" s="703" t="n">
        <v>2023</v>
      </c>
      <c r="L96" s="703" t="n"/>
      <c r="M96" s="703" t="n"/>
      <c r="N96" s="714" t="n">
        <v>1011950</v>
      </c>
      <c r="O96" s="714" t="n">
        <v>47107</v>
      </c>
      <c r="P96" s="714" t="n">
        <v>111748</v>
      </c>
      <c r="Q96" s="703" t="n"/>
      <c r="R96" s="703" t="n"/>
      <c r="S96" s="703" t="n"/>
      <c r="T96" s="703" t="n"/>
      <c r="U96" s="703" t="n"/>
      <c r="V96" s="703" t="n"/>
      <c r="W96" s="703" t="n"/>
      <c r="X96" s="703" t="n"/>
      <c r="Y96" s="714" t="n">
        <v>10236</v>
      </c>
      <c r="Z96" s="703" t="n"/>
      <c r="AA96" s="703" t="n"/>
      <c r="AB96" s="703" t="n"/>
      <c r="AC96" s="703" t="n"/>
      <c r="AD96" s="703" t="n"/>
      <c r="AE96" s="703" t="n"/>
      <c r="AF96" s="714" t="n">
        <v>15944</v>
      </c>
      <c r="AG96" s="703" t="n"/>
      <c r="AH96" s="714" t="n">
        <v>257858</v>
      </c>
      <c r="AI96" s="714" t="n">
        <v>202686</v>
      </c>
      <c r="AJ96" s="714" t="n">
        <v>460544</v>
      </c>
      <c r="AK96" s="714" t="n">
        <v>551606</v>
      </c>
      <c r="AL96" s="703" t="n"/>
      <c r="AM96" s="703" t="inlineStr">
        <is>
          <t>Actual SS P&amp;L; mgmt=off-site+on-site combined</t>
        </is>
      </c>
      <c r="AN96">
        <f>AND(B96=Subj_OccCode,Subj_BldgSF&gt;0,J96&gt;=Subj_BldgSF*(1-Subj_SizeTol),J96&lt;=Subj_BldgSF*(1+Subj_SizeTol))</f>
        <v/>
      </c>
    </row>
    <row r="97">
      <c r="A97" s="703" t="inlineStr">
        <is>
          <t>P044</t>
        </is>
      </c>
      <c r="B97" s="695" t="n">
        <v>386</v>
      </c>
      <c r="C97" s="703" t="inlineStr">
        <is>
          <t>R0027089/R0178319</t>
        </is>
      </c>
      <c r="D97" s="703" t="inlineStr">
        <is>
          <t>2290 E 120th Ave</t>
        </is>
      </c>
      <c r="E97" s="703" t="inlineStr">
        <is>
          <t>Thornton</t>
        </is>
      </c>
      <c r="F97" s="703" t="inlineStr">
        <is>
          <t>CO</t>
        </is>
      </c>
      <c r="G97" s="703" t="inlineStr">
        <is>
          <t>Self-Storage</t>
        </is>
      </c>
      <c r="H97" s="703" t="inlineStr">
        <is>
          <t>Drive-Up/Drop-Off</t>
        </is>
      </c>
      <c r="I97" s="703" t="n"/>
      <c r="J97" s="703" t="n">
        <v>71909</v>
      </c>
      <c r="K97" s="703" t="n">
        <v>2021</v>
      </c>
      <c r="L97" s="703" t="n"/>
      <c r="M97" s="703" t="n"/>
      <c r="N97" s="714" t="n">
        <v>837430</v>
      </c>
      <c r="O97" s="703" t="n"/>
      <c r="P97" s="703" t="n"/>
      <c r="Q97" s="703" t="n"/>
      <c r="R97" s="703" t="n"/>
      <c r="S97" s="703" t="n"/>
      <c r="T97" s="703" t="n"/>
      <c r="U97" s="703" t="n"/>
      <c r="V97" s="703" t="n"/>
      <c r="W97" s="703" t="n"/>
      <c r="X97" s="703" t="n"/>
      <c r="Y97" s="703" t="n"/>
      <c r="Z97" s="703" t="n"/>
      <c r="AA97" s="703" t="n"/>
      <c r="AB97" s="703" t="n"/>
      <c r="AC97" s="703" t="n"/>
      <c r="AD97" s="703" t="n"/>
      <c r="AE97" s="703" t="n"/>
      <c r="AF97" s="703" t="n"/>
      <c r="AG97" s="703" t="n"/>
      <c r="AH97" s="703" t="n"/>
      <c r="AI97" s="703" t="n"/>
      <c r="AJ97" s="714" t="n">
        <v>445701</v>
      </c>
      <c r="AK97" s="714" t="n">
        <v>391729</v>
      </c>
      <c r="AL97" s="703" t="n"/>
      <c r="AM97" s="703" t="inlineStr">
        <is>
          <t>Actual SS P&amp;L; combined parcels R0027089+R0178319; mgmt=off-site+on-site</t>
        </is>
      </c>
      <c r="AN97">
        <f>AND(B97=Subj_OccCode,Subj_BldgSF&gt;0,J97&gt;=Subj_BldgSF*(1-Subj_SizeTol),J97&lt;=Subj_BldgSF*(1+Subj_SizeTol))</f>
        <v/>
      </c>
    </row>
    <row r="98">
      <c r="A98" s="703" t="inlineStr">
        <is>
          <t>P044</t>
        </is>
      </c>
      <c r="B98" s="695" t="n">
        <v>386</v>
      </c>
      <c r="C98" s="703" t="inlineStr">
        <is>
          <t>R0027089/R0178319</t>
        </is>
      </c>
      <c r="D98" s="703" t="inlineStr">
        <is>
          <t>2290 E 120th Ave</t>
        </is>
      </c>
      <c r="E98" s="703" t="inlineStr">
        <is>
          <t>Thornton</t>
        </is>
      </c>
      <c r="F98" s="703" t="inlineStr">
        <is>
          <t>CO</t>
        </is>
      </c>
      <c r="G98" s="703" t="inlineStr">
        <is>
          <t>Self-Storage</t>
        </is>
      </c>
      <c r="H98" s="703" t="inlineStr">
        <is>
          <t>Drive-Up/Drop-Off</t>
        </is>
      </c>
      <c r="I98" s="703" t="n"/>
      <c r="J98" s="703" t="n">
        <v>71909</v>
      </c>
      <c r="K98" s="703" t="n">
        <v>2022</v>
      </c>
      <c r="L98" s="703" t="n"/>
      <c r="M98" s="703" t="n"/>
      <c r="N98" s="714" t="n">
        <v>945562</v>
      </c>
      <c r="O98" s="703" t="n"/>
      <c r="P98" s="703" t="n"/>
      <c r="Q98" s="703" t="n"/>
      <c r="R98" s="703" t="n"/>
      <c r="S98" s="703" t="n"/>
      <c r="T98" s="703" t="n"/>
      <c r="U98" s="703" t="n"/>
      <c r="V98" s="703" t="n"/>
      <c r="W98" s="703" t="n"/>
      <c r="X98" s="703" t="n"/>
      <c r="Y98" s="703" t="n"/>
      <c r="Z98" s="703" t="n"/>
      <c r="AA98" s="703" t="n"/>
      <c r="AB98" s="703" t="n"/>
      <c r="AC98" s="703" t="n"/>
      <c r="AD98" s="703" t="n"/>
      <c r="AE98" s="703" t="n"/>
      <c r="AF98" s="703" t="n"/>
      <c r="AG98" s="703" t="n"/>
      <c r="AH98" s="703" t="n"/>
      <c r="AI98" s="703" t="n"/>
      <c r="AJ98" s="714" t="n">
        <v>445701</v>
      </c>
      <c r="AK98" s="714" t="n">
        <v>466302</v>
      </c>
      <c r="AL98" s="703" t="n"/>
      <c r="AM98" s="703" t="inlineStr">
        <is>
          <t>Actual SS P&amp;L; combined parcels R0027089+R0178319; mgmt=off-site+on-site</t>
        </is>
      </c>
      <c r="AN98">
        <f>AND(B98=Subj_OccCode,Subj_BldgSF&gt;0,J98&gt;=Subj_BldgSF*(1-Subj_SizeTol),J98&lt;=Subj_BldgSF*(1+Subj_SizeTol))</f>
        <v/>
      </c>
    </row>
    <row r="99">
      <c r="A99" s="703" t="inlineStr">
        <is>
          <t>P044</t>
        </is>
      </c>
      <c r="B99" s="695" t="n">
        <v>386</v>
      </c>
      <c r="C99" s="703" t="inlineStr">
        <is>
          <t>R0027089/R0178319</t>
        </is>
      </c>
      <c r="D99" s="703" t="inlineStr">
        <is>
          <t>2290 E 120th Ave</t>
        </is>
      </c>
      <c r="E99" s="703" t="inlineStr">
        <is>
          <t>Thornton</t>
        </is>
      </c>
      <c r="F99" s="703" t="inlineStr">
        <is>
          <t>CO</t>
        </is>
      </c>
      <c r="G99" s="703" t="inlineStr">
        <is>
          <t>Self-Storage</t>
        </is>
      </c>
      <c r="H99" s="703" t="inlineStr">
        <is>
          <t>Drive-Up/Drop-Off</t>
        </is>
      </c>
      <c r="I99" s="703" t="n"/>
      <c r="J99" s="703" t="n">
        <v>71909</v>
      </c>
      <c r="K99" s="703" t="n">
        <v>2023</v>
      </c>
      <c r="L99" s="703" t="n"/>
      <c r="M99" s="703" t="n"/>
      <c r="N99" s="714" t="n">
        <v>980778</v>
      </c>
      <c r="O99" s="714" t="n">
        <v>43407</v>
      </c>
      <c r="P99" s="714" t="n">
        <v>141702</v>
      </c>
      <c r="Q99" s="703" t="n"/>
      <c r="R99" s="703" t="n"/>
      <c r="S99" s="703" t="n"/>
      <c r="T99" s="703" t="n"/>
      <c r="U99" s="703" t="n"/>
      <c r="V99" s="703" t="n"/>
      <c r="W99" s="703" t="n"/>
      <c r="X99" s="703" t="n"/>
      <c r="Y99" s="714" t="n">
        <v>17835</v>
      </c>
      <c r="Z99" s="703" t="n"/>
      <c r="AA99" s="703" t="n"/>
      <c r="AB99" s="703" t="n"/>
      <c r="AC99" s="703" t="n"/>
      <c r="AD99" s="703" t="n"/>
      <c r="AE99" s="703" t="n"/>
      <c r="AF99" s="714" t="n">
        <v>21431</v>
      </c>
      <c r="AG99" s="703" t="n"/>
      <c r="AH99" s="714" t="n">
        <v>298955</v>
      </c>
      <c r="AI99" s="714" t="n">
        <v>186365</v>
      </c>
      <c r="AJ99" s="714" t="n">
        <v>485320</v>
      </c>
      <c r="AK99" s="714" t="n">
        <v>492300</v>
      </c>
      <c r="AL99" s="703" t="n"/>
      <c r="AM99" s="703" t="inlineStr">
        <is>
          <t>Actual SS P&amp;L; combined parcels R0027089+R0178319; mgmt=off-site+on-site</t>
        </is>
      </c>
      <c r="AN99">
        <f>AND(B99=Subj_OccCode,Subj_BldgSF&gt;0,J99&gt;=Subj_BldgSF*(1-Subj_SizeTol),J99&lt;=Subj_BldgSF*(1+Subj_SizeTol))</f>
        <v/>
      </c>
    </row>
    <row r="100">
      <c r="A100" s="703" t="inlineStr">
        <is>
          <t>P045</t>
        </is>
      </c>
      <c r="B100" s="695" t="n">
        <v>386</v>
      </c>
      <c r="C100" s="703" t="inlineStr">
        <is>
          <t>R0043569</t>
        </is>
      </c>
      <c r="D100" s="703" t="inlineStr">
        <is>
          <t>40131 Quivas St</t>
        </is>
      </c>
      <c r="E100" s="703" t="inlineStr">
        <is>
          <t>Thornton</t>
        </is>
      </c>
      <c r="F100" s="703" t="inlineStr">
        <is>
          <t>CO</t>
        </is>
      </c>
      <c r="G100" s="703" t="inlineStr">
        <is>
          <t>Self-Storage</t>
        </is>
      </c>
      <c r="H100" s="703" t="inlineStr">
        <is>
          <t>Drive-Up/Drop-Off</t>
        </is>
      </c>
      <c r="I100" s="703" t="n"/>
      <c r="J100" s="703" t="n">
        <v>41900</v>
      </c>
      <c r="K100" s="703" t="n">
        <v>2024</v>
      </c>
      <c r="L100" s="703" t="n"/>
      <c r="M100" s="703" t="n"/>
      <c r="N100" s="714" t="n">
        <v>718060</v>
      </c>
      <c r="O100" s="714" t="n">
        <v>19037</v>
      </c>
      <c r="P100" s="714" t="n">
        <v>93975</v>
      </c>
      <c r="Q100" s="703" t="n"/>
      <c r="R100" s="703" t="n"/>
      <c r="S100" s="703" t="n"/>
      <c r="T100" s="703" t="n"/>
      <c r="U100" s="703" t="n"/>
      <c r="V100" s="703" t="n"/>
      <c r="W100" s="703" t="n"/>
      <c r="X100" s="703" t="n"/>
      <c r="Y100" s="714" t="n">
        <v>11768</v>
      </c>
      <c r="Z100" s="703" t="n"/>
      <c r="AA100" s="703" t="n"/>
      <c r="AB100" s="703" t="n"/>
      <c r="AC100" s="703" t="n"/>
      <c r="AD100" s="703" t="n"/>
      <c r="AE100" s="703" t="n"/>
      <c r="AF100" s="714" t="n">
        <v>5417</v>
      </c>
      <c r="AG100" s="703" t="n"/>
      <c r="AH100" s="714" t="n">
        <v>208790</v>
      </c>
      <c r="AI100" s="714" t="n">
        <v>176524</v>
      </c>
      <c r="AJ100" s="714" t="n">
        <v>385314</v>
      </c>
      <c r="AK100" s="714" t="n">
        <v>332746</v>
      </c>
      <c r="AL100" s="703" t="n"/>
      <c r="AM100" s="703" t="inlineStr">
        <is>
          <t>Actual FY2024 P&amp;L; mgmt=off-site $42,964+on-site $51,011; RE Tax est from matrix</t>
        </is>
      </c>
      <c r="AN100">
        <f>AND(B100=Subj_OccCode,Subj_BldgSF&gt;0,J100&gt;=Subj_BldgSF*(1-Subj_SizeTol),J100&lt;=Subj_BldgSF*(1+Subj_SizeTol))</f>
        <v/>
      </c>
    </row>
    <row r="101">
      <c r="A101" s="703" t="inlineStr">
        <is>
          <t>P046</t>
        </is>
      </c>
      <c r="B101" s="695" t="n">
        <v>386</v>
      </c>
      <c r="C101" s="703" t="inlineStr">
        <is>
          <t>R0193009</t>
        </is>
      </c>
      <c r="D101" s="703" t="inlineStr">
        <is>
          <t>Address unknown – see R0193009</t>
        </is>
      </c>
      <c r="E101" s="703" t="inlineStr">
        <is>
          <t>Adams County</t>
        </is>
      </c>
      <c r="F101" s="703" t="inlineStr">
        <is>
          <t>CO</t>
        </is>
      </c>
      <c r="G101" s="703" t="inlineStr">
        <is>
          <t>Self-Storage</t>
        </is>
      </c>
      <c r="H101" s="703" t="inlineStr">
        <is>
          <t>Climate-Controlled</t>
        </is>
      </c>
      <c r="I101" s="703" t="n"/>
      <c r="J101" s="703" t="n">
        <v>94736</v>
      </c>
      <c r="K101" s="703" t="n"/>
      <c r="L101" s="703" t="n"/>
      <c r="M101" s="703" t="n"/>
      <c r="N101" s="714" t="n">
        <v>1582087</v>
      </c>
      <c r="O101" s="714" t="n">
        <v>39625</v>
      </c>
      <c r="P101" s="714" t="n">
        <v>167356</v>
      </c>
      <c r="Q101" s="703" t="n"/>
      <c r="R101" s="703" t="n"/>
      <c r="S101" s="703" t="n"/>
      <c r="T101" s="703" t="n"/>
      <c r="U101" s="703" t="n"/>
      <c r="V101" s="703" t="n"/>
      <c r="W101" s="703" t="n"/>
      <c r="X101" s="703" t="n"/>
      <c r="Y101" s="714" t="n">
        <v>38582</v>
      </c>
      <c r="Z101" s="703" t="n"/>
      <c r="AA101" s="703" t="n"/>
      <c r="AB101" s="703" t="n"/>
      <c r="AC101" s="703" t="n"/>
      <c r="AD101" s="703" t="n"/>
      <c r="AE101" s="703" t="n"/>
      <c r="AF101" s="714" t="n">
        <v>19609</v>
      </c>
      <c r="AG101" s="703" t="n"/>
      <c r="AH101" s="714" t="n">
        <v>349253</v>
      </c>
      <c r="AI101" s="714" t="n">
        <v>423847</v>
      </c>
      <c r="AJ101" s="714" t="n">
        <v>773100</v>
      </c>
      <c r="AK101" s="714" t="n">
        <v>808987</v>
      </c>
      <c r="AL101" s="703" t="n"/>
      <c r="AM101" s="703" t="inlineStr">
        <is>
          <t>AXG SS Expense Matrix; year not specified (~2022/23); R0193009</t>
        </is>
      </c>
      <c r="AN101">
        <f>AND(B101=Subj_OccCode,Subj_BldgSF&gt;0,J101&gt;=Subj_BldgSF*(1-Subj_SizeTol),J101&lt;=Subj_BldgSF*(1+Subj_SizeTol))</f>
        <v/>
      </c>
    </row>
    <row r="102">
      <c r="A102" s="703" t="inlineStr">
        <is>
          <t>P047</t>
        </is>
      </c>
      <c r="B102" s="695" t="n">
        <v>386</v>
      </c>
      <c r="C102" s="703" t="inlineStr">
        <is>
          <t>R0099616</t>
        </is>
      </c>
      <c r="D102" s="703" t="inlineStr">
        <is>
          <t>Address unknown – see R0099616</t>
        </is>
      </c>
      <c r="E102" s="703" t="inlineStr">
        <is>
          <t>Adams County</t>
        </is>
      </c>
      <c r="F102" s="703" t="inlineStr">
        <is>
          <t>CO</t>
        </is>
      </c>
      <c r="G102" s="703" t="inlineStr">
        <is>
          <t>Self-Storage</t>
        </is>
      </c>
      <c r="H102" s="703" t="inlineStr">
        <is>
          <t>Drive-Up/Drop-Off</t>
        </is>
      </c>
      <c r="I102" s="703" t="n"/>
      <c r="J102" s="703" t="n">
        <v>73500</v>
      </c>
      <c r="K102" s="703" t="n"/>
      <c r="L102" s="703" t="n"/>
      <c r="M102" s="703" t="n"/>
      <c r="N102" s="714" t="n">
        <v>834358</v>
      </c>
      <c r="O102" s="714" t="n">
        <v>18408</v>
      </c>
      <c r="P102" s="714" t="n">
        <v>65010</v>
      </c>
      <c r="Q102" s="703" t="n"/>
      <c r="R102" s="703" t="n"/>
      <c r="S102" s="703" t="n"/>
      <c r="T102" s="703" t="n"/>
      <c r="U102" s="703" t="n"/>
      <c r="V102" s="703" t="n"/>
      <c r="W102" s="703" t="n"/>
      <c r="X102" s="703" t="n"/>
      <c r="Y102" s="714" t="n">
        <v>24753</v>
      </c>
      <c r="Z102" s="703" t="n"/>
      <c r="AA102" s="703" t="n"/>
      <c r="AB102" s="703" t="n"/>
      <c r="AC102" s="703" t="n"/>
      <c r="AD102" s="703" t="n"/>
      <c r="AE102" s="703" t="n"/>
      <c r="AF102" s="714" t="n">
        <v>17255</v>
      </c>
      <c r="AG102" s="703" t="n"/>
      <c r="AH102" s="714" t="n">
        <v>198623</v>
      </c>
      <c r="AI102" s="714" t="n">
        <v>157582</v>
      </c>
      <c r="AJ102" s="714" t="n">
        <v>356205</v>
      </c>
      <c r="AK102" s="714" t="n">
        <v>478153</v>
      </c>
      <c r="AL102" s="703" t="n"/>
      <c r="AM102" s="703" t="inlineStr">
        <is>
          <t>AXG SS Expense Matrix; year not specified (~2022/23); R0099616</t>
        </is>
      </c>
      <c r="AN102">
        <f>AND(B102=Subj_OccCode,Subj_BldgSF&gt;0,J102&gt;=Subj_BldgSF*(1-Subj_SizeTol),J102&lt;=Subj_BldgSF*(1+Subj_SizeTol))</f>
        <v/>
      </c>
    </row>
    <row r="103">
      <c r="A103" s="703" t="inlineStr">
        <is>
          <t>P048</t>
        </is>
      </c>
      <c r="B103" s="695" t="n">
        <v>386</v>
      </c>
      <c r="C103" s="703" t="inlineStr">
        <is>
          <t>R0098019</t>
        </is>
      </c>
      <c r="D103" s="703" t="inlineStr">
        <is>
          <t>Address unknown – see R0098019</t>
        </is>
      </c>
      <c r="E103" s="703" t="inlineStr">
        <is>
          <t>Adams County</t>
        </is>
      </c>
      <c r="F103" s="703" t="inlineStr">
        <is>
          <t>CO</t>
        </is>
      </c>
      <c r="G103" s="703" t="inlineStr">
        <is>
          <t>Self-Storage</t>
        </is>
      </c>
      <c r="H103" s="703" t="inlineStr">
        <is>
          <t>Drive-Up/Drop-Off</t>
        </is>
      </c>
      <c r="I103" s="703" t="n"/>
      <c r="J103" s="703" t="n">
        <v>44975</v>
      </c>
      <c r="K103" s="703" t="n"/>
      <c r="L103" s="703" t="n"/>
      <c r="M103" s="703" t="n"/>
      <c r="N103" s="714" t="n">
        <v>588827</v>
      </c>
      <c r="O103" s="714" t="n">
        <v>22185</v>
      </c>
      <c r="P103" s="714" t="n">
        <v>38503</v>
      </c>
      <c r="Q103" s="703" t="n"/>
      <c r="R103" s="703" t="n"/>
      <c r="S103" s="703" t="n"/>
      <c r="T103" s="703" t="n"/>
      <c r="U103" s="703" t="n"/>
      <c r="V103" s="703" t="n"/>
      <c r="W103" s="703" t="n"/>
      <c r="X103" s="703" t="n"/>
      <c r="Y103" s="714" t="n">
        <v>38667</v>
      </c>
      <c r="Z103" s="703" t="n"/>
      <c r="AA103" s="703" t="n"/>
      <c r="AB103" s="703" t="n"/>
      <c r="AC103" s="703" t="n"/>
      <c r="AD103" s="703" t="n"/>
      <c r="AE103" s="703" t="n"/>
      <c r="AF103" s="714" t="n">
        <v>31243</v>
      </c>
      <c r="AG103" s="703" t="n"/>
      <c r="AH103" s="714" t="n">
        <v>143905</v>
      </c>
      <c r="AI103" s="714" t="n">
        <v>128521</v>
      </c>
      <c r="AJ103" s="714" t="n">
        <v>272426</v>
      </c>
      <c r="AK103" s="714" t="n">
        <v>316401</v>
      </c>
      <c r="AL103" s="703" t="n"/>
      <c r="AM103" s="703" t="inlineStr">
        <is>
          <t>AXG SS Expense Matrix; year not specified (~2022/23); R0098019</t>
        </is>
      </c>
      <c r="AN103">
        <f>AND(B103=Subj_OccCode,Subj_BldgSF&gt;0,J103&gt;=Subj_BldgSF*(1-Subj_SizeTol),J103&lt;=Subj_BldgSF*(1+Subj_SizeTol))</f>
        <v/>
      </c>
    </row>
    <row r="104">
      <c r="A104" s="703" t="inlineStr">
        <is>
          <t>P049</t>
        </is>
      </c>
      <c r="B104" s="695" t="n">
        <v>386</v>
      </c>
      <c r="C104" s="703" t="inlineStr">
        <is>
          <t>R0102989</t>
        </is>
      </c>
      <c r="D104" s="703" t="inlineStr">
        <is>
          <t>Address unknown – see R0102989</t>
        </is>
      </c>
      <c r="E104" s="703" t="inlineStr">
        <is>
          <t>Adams County</t>
        </is>
      </c>
      <c r="F104" s="703" t="inlineStr">
        <is>
          <t>CO</t>
        </is>
      </c>
      <c r="G104" s="703" t="inlineStr">
        <is>
          <t>Self-Storage</t>
        </is>
      </c>
      <c r="H104" s="703" t="inlineStr">
        <is>
          <t>Climate-Controlled</t>
        </is>
      </c>
      <c r="I104" s="703" t="n"/>
      <c r="J104" s="703" t="n">
        <v>94797</v>
      </c>
      <c r="K104" s="703" t="n"/>
      <c r="L104" s="703" t="n"/>
      <c r="M104" s="703" t="n"/>
      <c r="N104" s="714" t="n">
        <v>1184503</v>
      </c>
      <c r="O104" s="714" t="n">
        <v>25293</v>
      </c>
      <c r="P104" s="714" t="n">
        <v>206702</v>
      </c>
      <c r="Q104" s="703" t="n"/>
      <c r="R104" s="703" t="n"/>
      <c r="S104" s="703" t="n"/>
      <c r="T104" s="703" t="n"/>
      <c r="U104" s="703" t="n"/>
      <c r="V104" s="703" t="n"/>
      <c r="W104" s="703" t="n"/>
      <c r="X104" s="703" t="n"/>
      <c r="Y104" s="714" t="n">
        <v>28562</v>
      </c>
      <c r="Z104" s="703" t="n"/>
      <c r="AA104" s="703" t="n"/>
      <c r="AB104" s="703" t="n"/>
      <c r="AC104" s="703" t="n"/>
      <c r="AD104" s="703" t="n"/>
      <c r="AE104" s="703" t="n"/>
      <c r="AF104" s="714" t="n">
        <v>49493</v>
      </c>
      <c r="AG104" s="703" t="n"/>
      <c r="AH104" s="714" t="n">
        <v>434049</v>
      </c>
      <c r="AI104" s="714" t="n">
        <v>259535</v>
      </c>
      <c r="AJ104" s="714" t="n">
        <v>693584</v>
      </c>
      <c r="AK104" s="714" t="n">
        <v>490919</v>
      </c>
      <c r="AL104" s="703" t="n"/>
      <c r="AM104" s="703" t="inlineStr">
        <is>
          <t>AXG SS Expense Matrix; year not specified (~2022/23); R0102989</t>
        </is>
      </c>
      <c r="AN104">
        <f>AND(B104=Subj_OccCode,Subj_BldgSF&gt;0,J104&gt;=Subj_BldgSF*(1-Subj_SizeTol),J104&lt;=Subj_BldgSF*(1+Subj_SizeTol))</f>
        <v/>
      </c>
    </row>
    <row r="105">
      <c r="A105" s="703" t="inlineStr">
        <is>
          <t>P050</t>
        </is>
      </c>
      <c r="B105" s="695" t="n">
        <v>386</v>
      </c>
      <c r="C105" s="703" t="inlineStr">
        <is>
          <t>R0085523</t>
        </is>
      </c>
      <c r="D105" s="703" t="inlineStr">
        <is>
          <t>Address unknown – see R0085523</t>
        </is>
      </c>
      <c r="E105" s="703" t="inlineStr">
        <is>
          <t>Adams County</t>
        </is>
      </c>
      <c r="F105" s="703" t="inlineStr">
        <is>
          <t>CO</t>
        </is>
      </c>
      <c r="G105" s="703" t="inlineStr">
        <is>
          <t>Self-Storage</t>
        </is>
      </c>
      <c r="H105" s="703" t="inlineStr">
        <is>
          <t>Drive-Up/Drop-Off</t>
        </is>
      </c>
      <c r="I105" s="703" t="n"/>
      <c r="J105" s="703" t="n">
        <v>39525</v>
      </c>
      <c r="K105" s="703" t="n"/>
      <c r="L105" s="703" t="n"/>
      <c r="M105" s="703" t="n"/>
      <c r="N105" s="714" t="n">
        <v>541974</v>
      </c>
      <c r="O105" s="714" t="n">
        <v>8307</v>
      </c>
      <c r="P105" s="714" t="n">
        <v>94279</v>
      </c>
      <c r="Q105" s="703" t="n"/>
      <c r="R105" s="703" t="n"/>
      <c r="S105" s="703" t="n"/>
      <c r="T105" s="703" t="n"/>
      <c r="U105" s="703" t="n"/>
      <c r="V105" s="703" t="n"/>
      <c r="W105" s="703" t="n"/>
      <c r="X105" s="703" t="n"/>
      <c r="Y105" s="714" t="n">
        <v>21292</v>
      </c>
      <c r="Z105" s="703" t="n"/>
      <c r="AA105" s="703" t="n"/>
      <c r="AB105" s="703" t="n"/>
      <c r="AC105" s="703" t="n"/>
      <c r="AD105" s="703" t="n"/>
      <c r="AE105" s="703" t="n"/>
      <c r="AF105" s="714" t="n">
        <v>16489</v>
      </c>
      <c r="AG105" s="703" t="n"/>
      <c r="AH105" s="714" t="n">
        <v>149627</v>
      </c>
      <c r="AI105" s="714" t="n">
        <v>209139</v>
      </c>
      <c r="AJ105" s="714" t="n">
        <v>358766</v>
      </c>
      <c r="AK105" s="714" t="n">
        <v>183208</v>
      </c>
      <c r="AL105" s="703" t="n"/>
      <c r="AM105" s="703" t="inlineStr">
        <is>
          <t>AXG SS Expense Matrix; year not specified (~2022/23); R0085523</t>
        </is>
      </c>
      <c r="AN105">
        <f>AND(B105=Subj_OccCode,Subj_BldgSF&gt;0,J105&gt;=Subj_BldgSF*(1-Subj_SizeTol),J105&lt;=Subj_BldgSF*(1+Subj_SizeTol))</f>
        <v/>
      </c>
    </row>
    <row r="106">
      <c r="A106" s="703" t="inlineStr">
        <is>
          <t>P051</t>
        </is>
      </c>
      <c r="B106" s="695" t="n">
        <v>386</v>
      </c>
      <c r="C106" s="703" t="inlineStr">
        <is>
          <t>R0174860</t>
        </is>
      </c>
      <c r="D106" s="703" t="inlineStr">
        <is>
          <t>Address unknown – see R0174860</t>
        </is>
      </c>
      <c r="E106" s="703" t="inlineStr">
        <is>
          <t>Adams County</t>
        </is>
      </c>
      <c r="F106" s="703" t="inlineStr">
        <is>
          <t>CO</t>
        </is>
      </c>
      <c r="G106" s="703" t="inlineStr">
        <is>
          <t>Self-Storage</t>
        </is>
      </c>
      <c r="H106" s="703" t="inlineStr">
        <is>
          <t>Drive-Up/Drop-Off (containers)</t>
        </is>
      </c>
      <c r="I106" s="703" t="n"/>
      <c r="J106" s="703" t="n">
        <v>45980</v>
      </c>
      <c r="K106" s="703" t="n"/>
      <c r="L106" s="703" t="n"/>
      <c r="M106" s="703" t="n"/>
      <c r="N106" s="714" t="n">
        <v>646496</v>
      </c>
      <c r="O106" s="714" t="n">
        <v>4989</v>
      </c>
      <c r="P106" s="714" t="n">
        <v>70000</v>
      </c>
      <c r="Q106" s="703" t="n"/>
      <c r="R106" s="703" t="n"/>
      <c r="S106" s="703" t="n"/>
      <c r="T106" s="703" t="n"/>
      <c r="U106" s="703" t="n"/>
      <c r="V106" s="703" t="n"/>
      <c r="W106" s="703" t="n"/>
      <c r="X106" s="703" t="n"/>
      <c r="Y106" s="714" t="n">
        <v>12000</v>
      </c>
      <c r="Z106" s="703" t="n"/>
      <c r="AA106" s="703" t="n"/>
      <c r="AB106" s="703" t="n"/>
      <c r="AC106" s="703" t="n"/>
      <c r="AD106" s="703" t="n"/>
      <c r="AE106" s="703" t="n"/>
      <c r="AF106" s="714" t="n">
        <v>11972</v>
      </c>
      <c r="AG106" s="703" t="n"/>
      <c r="AH106" s="714" t="n">
        <v>146795</v>
      </c>
      <c r="AI106" s="714" t="n">
        <v>83042</v>
      </c>
      <c r="AJ106" s="714" t="n">
        <v>229837</v>
      </c>
      <c r="AK106" s="714" t="n">
        <v>416659</v>
      </c>
      <c r="AL106" s="703" t="n"/>
      <c r="AM106" s="703" t="inlineStr">
        <is>
          <t>AXG SS Expense Matrix; year not specified (~2022/23); R0174860</t>
        </is>
      </c>
      <c r="AN106">
        <f>AND(B106=Subj_OccCode,Subj_BldgSF&gt;0,J106&gt;=Subj_BldgSF*(1-Subj_SizeTol),J106&lt;=Subj_BldgSF*(1+Subj_SizeTol))</f>
        <v/>
      </c>
    </row>
    <row r="107">
      <c r="A107" s="703" t="inlineStr">
        <is>
          <t>P052</t>
        </is>
      </c>
      <c r="B107" s="695" t="n">
        <v>386</v>
      </c>
      <c r="C107" s="703" t="inlineStr">
        <is>
          <t>R0161412</t>
        </is>
      </c>
      <c r="D107" s="703" t="inlineStr">
        <is>
          <t>Address unknown – see R0161412</t>
        </is>
      </c>
      <c r="E107" s="703" t="inlineStr">
        <is>
          <t>Adams County</t>
        </is>
      </c>
      <c r="F107" s="703" t="inlineStr">
        <is>
          <t>CO</t>
        </is>
      </c>
      <c r="G107" s="703" t="inlineStr">
        <is>
          <t>Self-Storage</t>
        </is>
      </c>
      <c r="H107" s="703" t="inlineStr">
        <is>
          <t>Drive-Up/Drop-Off</t>
        </is>
      </c>
      <c r="I107" s="703" t="n"/>
      <c r="J107" s="703" t="n">
        <v>88043</v>
      </c>
      <c r="K107" s="703" t="n"/>
      <c r="L107" s="703" t="n"/>
      <c r="M107" s="703" t="n"/>
      <c r="N107" s="714" t="n">
        <v>1206603</v>
      </c>
      <c r="O107" s="714" t="n">
        <v>12478</v>
      </c>
      <c r="P107" s="714" t="n">
        <v>179092</v>
      </c>
      <c r="Q107" s="703" t="n"/>
      <c r="R107" s="703" t="n"/>
      <c r="S107" s="703" t="n"/>
      <c r="T107" s="703" t="n"/>
      <c r="U107" s="703" t="n"/>
      <c r="V107" s="703" t="n"/>
      <c r="W107" s="703" t="n"/>
      <c r="X107" s="703" t="n"/>
      <c r="Y107" s="714" t="n">
        <v>20272</v>
      </c>
      <c r="Z107" s="703" t="n"/>
      <c r="AA107" s="703" t="n"/>
      <c r="AB107" s="703" t="n"/>
      <c r="AC107" s="703" t="n"/>
      <c r="AD107" s="703" t="n"/>
      <c r="AE107" s="703" t="n"/>
      <c r="AF107" s="714" t="n">
        <v>16957</v>
      </c>
      <c r="AG107" s="703" t="n"/>
      <c r="AH107" s="714" t="n">
        <v>284089</v>
      </c>
      <c r="AI107" s="714" t="n">
        <v>389500</v>
      </c>
      <c r="AJ107" s="714" t="n">
        <v>673589</v>
      </c>
      <c r="AK107" s="714" t="n">
        <v>533014</v>
      </c>
      <c r="AL107" s="703" t="n"/>
      <c r="AM107" s="703" t="inlineStr">
        <is>
          <t>AXG SS Expense Matrix; year not specified (~2022/23); R0161412</t>
        </is>
      </c>
      <c r="AN107">
        <f>AND(B107=Subj_OccCode,Subj_BldgSF&gt;0,J107&gt;=Subj_BldgSF*(1-Subj_SizeTol),J107&lt;=Subj_BldgSF*(1+Subj_SizeTol))</f>
        <v/>
      </c>
    </row>
    <row r="108">
      <c r="A108" s="703" t="inlineStr">
        <is>
          <t>P053</t>
        </is>
      </c>
      <c r="B108" s="695" t="n">
        <v>386</v>
      </c>
      <c r="C108" s="703" t="inlineStr">
        <is>
          <t>R0169115</t>
        </is>
      </c>
      <c r="D108" s="703" t="inlineStr">
        <is>
          <t>Address unknown – see R0169115</t>
        </is>
      </c>
      <c r="E108" s="703" t="inlineStr">
        <is>
          <t>Adams County</t>
        </is>
      </c>
      <c r="F108" s="703" t="inlineStr">
        <is>
          <t>CO</t>
        </is>
      </c>
      <c r="G108" s="703" t="inlineStr">
        <is>
          <t>Self-Storage</t>
        </is>
      </c>
      <c r="H108" s="703" t="inlineStr">
        <is>
          <t>Drive-Up/Drop-Off</t>
        </is>
      </c>
      <c r="I108" s="703" t="n"/>
      <c r="J108" s="703" t="n">
        <v>41764</v>
      </c>
      <c r="K108" s="703" t="n"/>
      <c r="L108" s="703" t="n"/>
      <c r="M108" s="703" t="n"/>
      <c r="N108" s="714" t="n">
        <v>787364</v>
      </c>
      <c r="O108" s="714" t="n">
        <v>9652</v>
      </c>
      <c r="P108" s="714" t="n">
        <v>83320</v>
      </c>
      <c r="Q108" s="703" t="n"/>
      <c r="R108" s="703" t="n"/>
      <c r="S108" s="703" t="n"/>
      <c r="T108" s="703" t="n"/>
      <c r="U108" s="703" t="n"/>
      <c r="V108" s="703" t="n"/>
      <c r="W108" s="703" t="n"/>
      <c r="X108" s="703" t="n"/>
      <c r="Y108" s="714" t="n">
        <v>25639</v>
      </c>
      <c r="Z108" s="703" t="n"/>
      <c r="AA108" s="703" t="n"/>
      <c r="AB108" s="703" t="n"/>
      <c r="AC108" s="703" t="n"/>
      <c r="AD108" s="703" t="n"/>
      <c r="AE108" s="703" t="n"/>
      <c r="AF108" s="714" t="n">
        <v>15956</v>
      </c>
      <c r="AG108" s="703" t="n"/>
      <c r="AH108" s="714" t="n">
        <v>192632</v>
      </c>
      <c r="AI108" s="714" t="n">
        <v>203116</v>
      </c>
      <c r="AJ108" s="714" t="n">
        <v>395748</v>
      </c>
      <c r="AK108" s="714" t="n">
        <v>391616</v>
      </c>
      <c r="AL108" s="703" t="n"/>
      <c r="AM108" s="703" t="inlineStr">
        <is>
          <t>AXG SS Expense Matrix; year not specified (~2022/23); R0169115</t>
        </is>
      </c>
      <c r="AN108">
        <f>AND(B108=Subj_OccCode,Subj_BldgSF&gt;0,J108&gt;=Subj_BldgSF*(1-Subj_SizeTol),J108&lt;=Subj_BldgSF*(1+Subj_SizeTol))</f>
        <v/>
      </c>
    </row>
    <row r="109">
      <c r="A109" s="703" t="inlineStr">
        <is>
          <t>P016</t>
        </is>
      </c>
      <c r="B109" s="695" t="n">
        <v>584</v>
      </c>
      <c r="C109" s="703" t="inlineStr">
        <is>
          <t>R0212546/R0212547</t>
        </is>
      </c>
      <c r="D109" s="703" t="inlineStr">
        <is>
          <t>2780 N Tower Rd</t>
        </is>
      </c>
      <c r="E109" s="703" t="inlineStr">
        <is>
          <t>Aurora</t>
        </is>
      </c>
      <c r="F109" s="703" t="inlineStr">
        <is>
          <t>CO</t>
        </is>
      </c>
      <c r="G109" s="703" t="inlineStr">
        <is>
          <t>Industrial</t>
        </is>
      </c>
      <c r="H109" s="703" t="inlineStr">
        <is>
          <t>Mega Warehouse NNN</t>
        </is>
      </c>
      <c r="I109" s="703" t="n">
        <v>1983</v>
      </c>
      <c r="J109" s="703" t="n">
        <v>377729</v>
      </c>
      <c r="K109" s="703" t="n">
        <v>2023</v>
      </c>
      <c r="L109" s="714" t="n">
        <v>2979661</v>
      </c>
      <c r="M109" s="703" t="n"/>
      <c r="N109" s="714" t="n">
        <v>2979661</v>
      </c>
      <c r="O109" s="703" t="n"/>
      <c r="P109" s="714" t="n">
        <v>3855</v>
      </c>
      <c r="Q109" s="703" t="n"/>
      <c r="R109" s="703" t="n"/>
      <c r="S109" s="703" t="n"/>
      <c r="T109" s="703" t="n"/>
      <c r="U109" s="703" t="n"/>
      <c r="V109" s="703" t="n"/>
      <c r="W109" s="703" t="n"/>
      <c r="X109" s="703" t="n"/>
      <c r="Y109" s="703" t="n"/>
      <c r="Z109" s="703" t="n"/>
      <c r="AA109" s="703" t="n"/>
      <c r="AB109" s="703" t="n"/>
      <c r="AC109" s="703" t="n"/>
      <c r="AD109" s="703" t="n"/>
      <c r="AE109" s="703" t="n"/>
      <c r="AF109" s="703" t="n"/>
      <c r="AG109" s="714" t="n">
        <v>7775</v>
      </c>
      <c r="AH109" s="714" t="n">
        <v>41363</v>
      </c>
      <c r="AI109" s="714" t="n">
        <v>0</v>
      </c>
      <c r="AJ109" s="714" t="n">
        <v>41363</v>
      </c>
      <c r="AK109" s="714" t="n">
        <v>2938298</v>
      </c>
      <c r="AL109" s="703" t="n"/>
      <c r="AM109" s="703" t="inlineStr">
        <is>
          <t>Absolute NNN; tenant pays ALL RE tax, ins, CAM; owner opex = admin only (excl D&amp;A $456k); supersedes proforma row</t>
        </is>
      </c>
      <c r="AN109">
        <f>AND(B109=Subj_OccCode,Subj_BldgSF&gt;0,J109&gt;=Subj_BldgSF*(1-Subj_SizeTol),J109&lt;=Subj_BldgSF*(1+Subj_SizeTol))</f>
        <v/>
      </c>
    </row>
    <row r="110">
      <c r="A110" s="703" t="inlineStr">
        <is>
          <t>P016</t>
        </is>
      </c>
      <c r="B110" s="695" t="n">
        <v>584</v>
      </c>
      <c r="C110" s="703" t="inlineStr">
        <is>
          <t>R0212546/R0212547</t>
        </is>
      </c>
      <c r="D110" s="703" t="inlineStr">
        <is>
          <t>2780 N Tower Rd</t>
        </is>
      </c>
      <c r="E110" s="703" t="inlineStr">
        <is>
          <t>Aurora</t>
        </is>
      </c>
      <c r="F110" s="703" t="inlineStr">
        <is>
          <t>CO</t>
        </is>
      </c>
      <c r="G110" s="703" t="inlineStr">
        <is>
          <t>Industrial</t>
        </is>
      </c>
      <c r="H110" s="703" t="inlineStr">
        <is>
          <t>Mega Warehouse NNN</t>
        </is>
      </c>
      <c r="I110" s="703" t="n">
        <v>1983</v>
      </c>
      <c r="J110" s="703" t="n">
        <v>377729</v>
      </c>
      <c r="K110" s="703" t="n">
        <v>2024</v>
      </c>
      <c r="L110" s="714" t="n">
        <v>3047376</v>
      </c>
      <c r="M110" s="703" t="n"/>
      <c r="N110" s="714" t="n">
        <v>3047376</v>
      </c>
      <c r="O110" s="703" t="n"/>
      <c r="P110" s="714" t="n">
        <v>4000</v>
      </c>
      <c r="Q110" s="703" t="n"/>
      <c r="R110" s="703" t="n"/>
      <c r="S110" s="703" t="n"/>
      <c r="T110" s="703" t="n"/>
      <c r="U110" s="703" t="n"/>
      <c r="V110" s="703" t="n"/>
      <c r="W110" s="703" t="n"/>
      <c r="X110" s="703" t="n"/>
      <c r="Y110" s="703" t="n"/>
      <c r="Z110" s="703" t="n"/>
      <c r="AA110" s="703" t="n"/>
      <c r="AB110" s="703" t="n"/>
      <c r="AC110" s="703" t="n"/>
      <c r="AD110" s="703" t="n"/>
      <c r="AE110" s="703" t="n"/>
      <c r="AF110" s="703" t="n"/>
      <c r="AG110" s="714" t="n">
        <v>25863</v>
      </c>
      <c r="AH110" s="714" t="n">
        <v>58863</v>
      </c>
      <c r="AI110" s="714" t="n">
        <v>0</v>
      </c>
      <c r="AJ110" s="714" t="n">
        <v>58863</v>
      </c>
      <c r="AK110" s="714" t="n">
        <v>2988513</v>
      </c>
      <c r="AL110" s="703" t="n"/>
      <c r="AM110" s="703" t="inlineStr">
        <is>
          <t>Absolute NNN; tenant pays ALL RE tax, ins, CAM; owner opex = admin only (excl D&amp;A $456k); supersedes proforma row</t>
        </is>
      </c>
      <c r="AN110">
        <f>AND(B110=Subj_OccCode,Subj_BldgSF&gt;0,J110&gt;=Subj_BldgSF*(1-Subj_SizeTol),J110&lt;=Subj_BldgSF*(1+Subj_SizeTol))</f>
        <v/>
      </c>
    </row>
    <row r="111">
      <c r="A111" s="703" t="inlineStr">
        <is>
          <t>P034</t>
        </is>
      </c>
      <c r="B111" s="695" t="n">
        <v>407</v>
      </c>
      <c r="C111" s="703" t="inlineStr">
        <is>
          <t>R0172865</t>
        </is>
      </c>
      <c r="D111" s="703" t="inlineStr">
        <is>
          <t>Majestic Commercenter (R0172865)</t>
        </is>
      </c>
      <c r="E111" s="703" t="inlineStr">
        <is>
          <t>Commerce City</t>
        </is>
      </c>
      <c r="F111" s="703" t="inlineStr">
        <is>
          <t>CO</t>
        </is>
      </c>
      <c r="G111" s="703" t="inlineStr">
        <is>
          <t>Industrial</t>
        </is>
      </c>
      <c r="H111" s="703" t="inlineStr">
        <is>
          <t>Warehouse NNN</t>
        </is>
      </c>
      <c r="I111" s="703" t="n">
        <v>2008</v>
      </c>
      <c r="J111" s="703" t="n">
        <v>215461</v>
      </c>
      <c r="K111" s="703" t="n">
        <v>2024</v>
      </c>
      <c r="L111" s="714" t="n">
        <v>1540283</v>
      </c>
      <c r="M111" s="703" t="n"/>
      <c r="N111" s="714" t="n">
        <v>1540283</v>
      </c>
      <c r="O111" s="703" t="n"/>
      <c r="P111" s="703" t="n"/>
      <c r="Q111" s="703" t="n"/>
      <c r="R111" s="703" t="n"/>
      <c r="S111" s="703" t="n"/>
      <c r="T111" s="703" t="n"/>
      <c r="U111" s="703" t="n"/>
      <c r="V111" s="703" t="n"/>
      <c r="W111" s="703" t="n"/>
      <c r="X111" s="703" t="n"/>
      <c r="Y111" s="703" t="n"/>
      <c r="Z111" s="703" t="n"/>
      <c r="AA111" s="714" t="n">
        <v>9880</v>
      </c>
      <c r="AB111" s="714" t="n">
        <v>29880</v>
      </c>
      <c r="AC111" s="703" t="n"/>
      <c r="AD111" s="703" t="n"/>
      <c r="AE111" s="703" t="n"/>
      <c r="AF111" s="703" t="n"/>
      <c r="AG111" s="703" t="n"/>
      <c r="AH111" s="703" t="n"/>
      <c r="AI111" s="703" t="n"/>
      <c r="AJ111" s="703" t="n"/>
      <c r="AK111" s="703" t="n"/>
      <c r="AL111" s="703" t="n"/>
      <c r="AM111" s="703" t="inlineStr">
        <is>
          <t>2024 actual 12-month P&amp;L; NOI est. per expense ratio; from 08_2025 Review</t>
        </is>
      </c>
      <c r="AN111">
        <f>AND(B111=Subj_OccCode,Subj_BldgSF&gt;0,J111&gt;=Subj_BldgSF*(1-Subj_SizeTol),J111&lt;=Subj_BldgSF*(1+Subj_SizeTol))</f>
        <v/>
      </c>
    </row>
    <row r="112">
      <c r="A112" s="703" t="inlineStr">
        <is>
          <t>P036</t>
        </is>
      </c>
      <c r="B112" s="695" t="n">
        <v>407</v>
      </c>
      <c r="C112" s="703" t="inlineStr">
        <is>
          <t>R0172868</t>
        </is>
      </c>
      <c r="D112" s="703" t="inlineStr">
        <is>
          <t>Majestic Commercenter (R0172868)</t>
        </is>
      </c>
      <c r="E112" s="703" t="inlineStr">
        <is>
          <t>Commerce City</t>
        </is>
      </c>
      <c r="F112" s="703" t="inlineStr">
        <is>
          <t>CO</t>
        </is>
      </c>
      <c r="G112" s="703" t="inlineStr">
        <is>
          <t>Industrial</t>
        </is>
      </c>
      <c r="H112" s="703" t="inlineStr">
        <is>
          <t>Warehouse NNN</t>
        </is>
      </c>
      <c r="I112" s="703" t="n">
        <v>2007</v>
      </c>
      <c r="J112" s="703" t="n">
        <v>202091</v>
      </c>
      <c r="K112" s="703" t="n">
        <v>2024</v>
      </c>
      <c r="L112" s="703" t="n"/>
      <c r="M112" s="703" t="n"/>
      <c r="N112" s="714" t="n">
        <v>1057537</v>
      </c>
      <c r="O112" s="703" t="n"/>
      <c r="P112" s="703" t="n"/>
      <c r="Q112" s="703" t="n"/>
      <c r="R112" s="703" t="n"/>
      <c r="S112" s="703" t="n"/>
      <c r="T112" s="703" t="n"/>
      <c r="U112" s="703" t="n"/>
      <c r="V112" s="703" t="n"/>
      <c r="W112" s="703" t="n"/>
      <c r="X112" s="703" t="n"/>
      <c r="Y112" s="703" t="n"/>
      <c r="Z112" s="703" t="n"/>
      <c r="AA112" s="703" t="n"/>
      <c r="AB112" s="703" t="n"/>
      <c r="AC112" s="703" t="n"/>
      <c r="AD112" s="703" t="n"/>
      <c r="AE112" s="703" t="n"/>
      <c r="AF112" s="703" t="n"/>
      <c r="AG112" s="703" t="n"/>
      <c r="AH112" s="714" t="n">
        <v>722093</v>
      </c>
      <c r="AI112" s="703" t="n"/>
      <c r="AJ112" s="714" t="n">
        <v>722093</v>
      </c>
      <c r="AK112" s="714" t="n">
        <v>335444</v>
      </c>
      <c r="AL112" s="703" t="n"/>
      <c r="AM112" s="703" t="inlineStr">
        <is>
          <t>2024 actual 12-month P&amp;L; from 08_2025 Review</t>
        </is>
      </c>
      <c r="AN112">
        <f>AND(B112=Subj_OccCode,Subj_BldgSF&gt;0,J112&gt;=Subj_BldgSF*(1-Subj_SizeTol),J112&lt;=Subj_BldgSF*(1+Subj_SizeTol))</f>
        <v/>
      </c>
    </row>
    <row r="113">
      <c r="A113" s="703" t="inlineStr">
        <is>
          <t>P054</t>
        </is>
      </c>
      <c r="B113" s="695" t="n">
        <v>210</v>
      </c>
      <c r="C113" s="703" t="inlineStr">
        <is>
          <t>R0180551</t>
        </is>
      </c>
      <c r="D113" s="703" t="inlineStr">
        <is>
          <t>1953 N Gun Club Rd</t>
        </is>
      </c>
      <c r="E113" s="703" t="inlineStr">
        <is>
          <t>Aurora</t>
        </is>
      </c>
      <c r="F113" s="703" t="inlineStr">
        <is>
          <t>CO</t>
        </is>
      </c>
      <c r="G113" s="703" t="inlineStr">
        <is>
          <t>Industrial</t>
        </is>
      </c>
      <c r="H113" s="703" t="inlineStr">
        <is>
          <t>Multi-Tenant Industrial/Office NNN</t>
        </is>
      </c>
      <c r="I113" s="703" t="n"/>
      <c r="J113" s="703" t="n"/>
      <c r="K113" s="703" t="n">
        <v>2023</v>
      </c>
      <c r="L113" s="703" t="n"/>
      <c r="M113" s="703" t="n"/>
      <c r="N113" s="714" t="n">
        <v>2454080</v>
      </c>
      <c r="O113" s="714" t="n">
        <v>41179</v>
      </c>
      <c r="P113" s="714" t="n">
        <v>58394</v>
      </c>
      <c r="Q113" s="703" t="n"/>
      <c r="R113" s="703" t="n"/>
      <c r="S113" s="714" t="n">
        <v>36166</v>
      </c>
      <c r="T113" s="714" t="n">
        <v>1942</v>
      </c>
      <c r="U113" s="703" t="n"/>
      <c r="V113" s="703" t="n"/>
      <c r="W113" s="703" t="n"/>
      <c r="X113" s="714" t="n">
        <v>549</v>
      </c>
      <c r="Y113" s="714" t="n">
        <v>38657</v>
      </c>
      <c r="Z113" s="703" t="n"/>
      <c r="AA113" s="714" t="n">
        <v>15068</v>
      </c>
      <c r="AB113" s="714" t="n">
        <v>55875</v>
      </c>
      <c r="AC113" s="714" t="n">
        <v>70943</v>
      </c>
      <c r="AD113" s="714" t="n">
        <v>25682</v>
      </c>
      <c r="AE113" s="703" t="n"/>
      <c r="AF113" s="714" t="n">
        <v>25682</v>
      </c>
      <c r="AG113" s="714" t="n">
        <v>1654</v>
      </c>
      <c r="AH113" s="714" t="n">
        <v>220784</v>
      </c>
      <c r="AI113" s="714" t="n">
        <v>1347168</v>
      </c>
      <c r="AJ113" s="714" t="n">
        <v>1568172</v>
      </c>
      <c r="AK113" s="714" t="n">
        <v>885908</v>
      </c>
      <c r="AL113" s="703" t="n"/>
      <c r="AM113" s="703" t="inlineStr">
        <is>
          <t>Actual accrual; base rent $880k; recovery $1.59M; prior-yr adj included</t>
        </is>
      </c>
      <c r="AN113">
        <f>AND(B113=Subj_OccCode,Subj_BldgSF&gt;0,J113&gt;=Subj_BldgSF*(1-Subj_SizeTol),J113&lt;=Subj_BldgSF*(1+Subj_SizeTol))</f>
        <v/>
      </c>
    </row>
    <row r="114">
      <c r="A114" s="703" t="inlineStr">
        <is>
          <t>P054</t>
        </is>
      </c>
      <c r="B114" s="695" t="n">
        <v>210</v>
      </c>
      <c r="C114" s="703" t="inlineStr">
        <is>
          <t>R0180551</t>
        </is>
      </c>
      <c r="D114" s="703" t="inlineStr">
        <is>
          <t>1953 N Gun Club Rd</t>
        </is>
      </c>
      <c r="E114" s="703" t="inlineStr">
        <is>
          <t>Aurora</t>
        </is>
      </c>
      <c r="F114" s="703" t="inlineStr">
        <is>
          <t>CO</t>
        </is>
      </c>
      <c r="G114" s="703" t="inlineStr">
        <is>
          <t>Industrial</t>
        </is>
      </c>
      <c r="H114" s="703" t="inlineStr">
        <is>
          <t>Multi-Tenant Industrial/Office NNN</t>
        </is>
      </c>
      <c r="I114" s="703" t="n"/>
      <c r="J114" s="703" t="n"/>
      <c r="K114" s="703" t="n">
        <v>2024</v>
      </c>
      <c r="L114" s="703" t="n"/>
      <c r="M114" s="703" t="n"/>
      <c r="N114" s="714" t="n">
        <v>2720117</v>
      </c>
      <c r="O114" s="714" t="n">
        <v>53324</v>
      </c>
      <c r="P114" s="714" t="n">
        <v>85426</v>
      </c>
      <c r="Q114" s="703" t="n"/>
      <c r="R114" s="703" t="n"/>
      <c r="S114" s="714" t="n">
        <v>10052</v>
      </c>
      <c r="T114" s="714" t="n">
        <v>12752</v>
      </c>
      <c r="U114" s="703" t="n"/>
      <c r="V114" s="703" t="n"/>
      <c r="W114" s="703" t="n"/>
      <c r="X114" s="714" t="n">
        <v>789</v>
      </c>
      <c r="Y114" s="714" t="n">
        <v>23593</v>
      </c>
      <c r="Z114" s="703" t="n"/>
      <c r="AA114" s="714" t="n">
        <v>16126</v>
      </c>
      <c r="AB114" s="714" t="n">
        <v>57314</v>
      </c>
      <c r="AC114" s="714" t="n">
        <v>73440</v>
      </c>
      <c r="AD114" s="714" t="n">
        <v>21725</v>
      </c>
      <c r="AE114" s="703" t="n"/>
      <c r="AF114" s="714" t="n">
        <v>21725</v>
      </c>
      <c r="AG114" s="714" t="n">
        <v>2601</v>
      </c>
      <c r="AH114" s="714" t="n">
        <v>265585</v>
      </c>
      <c r="AI114" s="714" t="n">
        <v>1331347</v>
      </c>
      <c r="AJ114" s="714" t="n">
        <v>1596932</v>
      </c>
      <c r="AK114" s="714" t="n">
        <v>1123184</v>
      </c>
      <c r="AL114" s="703" t="n"/>
      <c r="AM114" s="703" t="inlineStr">
        <is>
          <t>Actual accrual; base rent $1.09M stepped; recovery $1.62M</t>
        </is>
      </c>
      <c r="AN114">
        <f>AND(B114=Subj_OccCode,Subj_BldgSF&gt;0,J114&gt;=Subj_BldgSF*(1-Subj_SizeTol),J114&lt;=Subj_BldgSF*(1+Subj_SizeTol))</f>
        <v/>
      </c>
    </row>
    <row r="115">
      <c r="A115" s="703" t="inlineStr">
        <is>
          <t>P055</t>
        </is>
      </c>
      <c r="B115" s="695" t="n">
        <v>407</v>
      </c>
      <c r="C115" s="703" t="inlineStr">
        <is>
          <t>R0211072/R0211073/R0211074</t>
        </is>
      </c>
      <c r="D115" s="703" t="inlineStr">
        <is>
          <t>Park 76 Distribution Center</t>
        </is>
      </c>
      <c r="E115" s="703" t="inlineStr">
        <is>
          <t>Aurora</t>
        </is>
      </c>
      <c r="F115" s="703" t="inlineStr">
        <is>
          <t>CO</t>
        </is>
      </c>
      <c r="G115" s="703" t="inlineStr">
        <is>
          <t>Industrial</t>
        </is>
      </c>
      <c r="H115" s="703" t="inlineStr">
        <is>
          <t>Industrial Warehouse NNN</t>
        </is>
      </c>
      <c r="I115" s="703" t="n"/>
      <c r="J115" s="703" t="n"/>
      <c r="K115" s="703" t="n">
        <v>2023</v>
      </c>
      <c r="L115" s="714" t="n">
        <v>1865903</v>
      </c>
      <c r="M115" s="703" t="n"/>
      <c r="N115" s="714" t="n">
        <v>2819460</v>
      </c>
      <c r="O115" s="714" t="n">
        <v>30551</v>
      </c>
      <c r="P115" s="714" t="n">
        <v>174961</v>
      </c>
      <c r="Q115" s="703" t="n"/>
      <c r="R115" s="703" t="n"/>
      <c r="S115" s="714" t="n">
        <v>38995</v>
      </c>
      <c r="T115" s="714" t="n">
        <v>27460</v>
      </c>
      <c r="U115" s="703" t="n"/>
      <c r="V115" s="703" t="n"/>
      <c r="W115" s="703" t="n"/>
      <c r="X115" s="714" t="n">
        <v>2475</v>
      </c>
      <c r="Y115" s="714" t="n">
        <v>68930</v>
      </c>
      <c r="Z115" s="703" t="n"/>
      <c r="AA115" s="714" t="n">
        <v>18672</v>
      </c>
      <c r="AB115" s="714" t="n">
        <v>19945</v>
      </c>
      <c r="AC115" s="714" t="n">
        <v>38617</v>
      </c>
      <c r="AD115" s="703" t="n"/>
      <c r="AE115" s="703" t="n"/>
      <c r="AF115" s="714" t="n">
        <v>58172</v>
      </c>
      <c r="AG115" s="714" t="n">
        <v>18488</v>
      </c>
      <c r="AH115" s="714" t="n">
        <v>379535</v>
      </c>
      <c r="AI115" s="714" t="n">
        <v>895967</v>
      </c>
      <c r="AJ115" s="714" t="n">
        <v>1013502</v>
      </c>
      <c r="AK115" s="714" t="n">
        <v>1805958</v>
      </c>
      <c r="AL115" s="703" t="n"/>
      <c r="AM115" s="703" t="inlineStr">
        <is>
          <t>3-bldg campus; actual accrual; base rent $1.87M; recovery $992k; prior-yr tax credit ($186k) netted</t>
        </is>
      </c>
      <c r="AN115">
        <f>AND(B115=Subj_OccCode,Subj_BldgSF&gt;0,J115&gt;=Subj_BldgSF*(1-Subj_SizeTol),J115&lt;=Subj_BldgSF*(1+Subj_SizeTol))</f>
        <v/>
      </c>
    </row>
    <row r="116">
      <c r="A116" s="703" t="inlineStr">
        <is>
          <t>P055</t>
        </is>
      </c>
      <c r="B116" s="695" t="n">
        <v>407</v>
      </c>
      <c r="C116" s="703" t="inlineStr">
        <is>
          <t>R0211072/R0211073/R0211074</t>
        </is>
      </c>
      <c r="D116" s="703" t="inlineStr">
        <is>
          <t>Park 76 Distribution Center</t>
        </is>
      </c>
      <c r="E116" s="703" t="inlineStr">
        <is>
          <t>Aurora</t>
        </is>
      </c>
      <c r="F116" s="703" t="inlineStr">
        <is>
          <t>CO</t>
        </is>
      </c>
      <c r="G116" s="703" t="inlineStr">
        <is>
          <t>Industrial</t>
        </is>
      </c>
      <c r="H116" s="703" t="inlineStr">
        <is>
          <t>Industrial Warehouse NNN</t>
        </is>
      </c>
      <c r="I116" s="703" t="n"/>
      <c r="J116" s="703" t="n"/>
      <c r="K116" s="703" t="n">
        <v>2024</v>
      </c>
      <c r="L116" s="714" t="n">
        <v>2075908</v>
      </c>
      <c r="M116" s="703" t="n"/>
      <c r="N116" s="714" t="n">
        <v>3348615</v>
      </c>
      <c r="O116" s="714" t="n">
        <v>35750</v>
      </c>
      <c r="P116" s="714" t="n">
        <v>200286</v>
      </c>
      <c r="Q116" s="703" t="n"/>
      <c r="R116" s="703" t="n"/>
      <c r="S116" s="714" t="n">
        <v>22119</v>
      </c>
      <c r="T116" s="714" t="n">
        <v>33962</v>
      </c>
      <c r="U116" s="703" t="n"/>
      <c r="V116" s="703" t="n"/>
      <c r="W116" s="703" t="n"/>
      <c r="X116" s="714" t="n">
        <v>3333</v>
      </c>
      <c r="Y116" s="714" t="n">
        <v>59414</v>
      </c>
      <c r="Z116" s="703" t="n"/>
      <c r="AA116" s="714" t="n">
        <v>26689</v>
      </c>
      <c r="AB116" s="714" t="n">
        <v>56296</v>
      </c>
      <c r="AC116" s="714" t="n">
        <v>82985</v>
      </c>
      <c r="AD116" s="703" t="n"/>
      <c r="AE116" s="703" t="n"/>
      <c r="AF116" s="714" t="n">
        <v>34195</v>
      </c>
      <c r="AG116" s="714" t="n">
        <v>4284</v>
      </c>
      <c r="AH116" s="714" t="n">
        <v>341787</v>
      </c>
      <c r="AI116" s="714" t="n">
        <v>989805</v>
      </c>
      <c r="AJ116" s="714" t="n">
        <v>1331592</v>
      </c>
      <c r="AK116" s="714" t="n">
        <v>2017023</v>
      </c>
      <c r="AL116" s="703" t="n"/>
      <c r="AM116" s="703" t="inlineStr">
        <is>
          <t>3-bldg campus; actual accrual; near-stabilized; base rent $2.08M; recovery $1.23M</t>
        </is>
      </c>
      <c r="AN116">
        <f>AND(B116=Subj_OccCode,Subj_BldgSF&gt;0,J116&gt;=Subj_BldgSF*(1-Subj_SizeTol),J116&lt;=Subj_BldgSF*(1+Subj_SizeTol))</f>
        <v/>
      </c>
    </row>
    <row r="117">
      <c r="A117" s="703" t="inlineStr">
        <is>
          <t>P056</t>
        </is>
      </c>
      <c r="B117" s="695" t="n">
        <v>407</v>
      </c>
      <c r="C117" s="703" t="inlineStr">
        <is>
          <t>R0210485</t>
        </is>
      </c>
      <c r="D117" s="703" t="inlineStr">
        <is>
          <t>1101 E 126th Ave (Bldg A)</t>
        </is>
      </c>
      <c r="E117" s="703" t="inlineStr">
        <is>
          <t>Thornton</t>
        </is>
      </c>
      <c r="F117" s="703" t="inlineStr">
        <is>
          <t>CO</t>
        </is>
      </c>
      <c r="G117" s="703" t="inlineStr">
        <is>
          <t>Industrial</t>
        </is>
      </c>
      <c r="H117" s="703" t="inlineStr">
        <is>
          <t>Industrial Warehouse NNN</t>
        </is>
      </c>
      <c r="I117" s="703" t="n">
        <v>2022</v>
      </c>
      <c r="J117" s="703" t="n"/>
      <c r="K117" s="703" t="n">
        <v>2024</v>
      </c>
      <c r="L117" s="714" t="n">
        <v>646186</v>
      </c>
      <c r="M117" s="703" t="n"/>
      <c r="N117" s="714" t="n">
        <v>839307</v>
      </c>
      <c r="O117" s="714" t="n">
        <v>11813</v>
      </c>
      <c r="P117" s="714" t="n">
        <v>47295</v>
      </c>
      <c r="Q117" s="703" t="n"/>
      <c r="R117" s="703" t="n"/>
      <c r="S117" s="703" t="n"/>
      <c r="T117" s="714" t="n">
        <v>9156</v>
      </c>
      <c r="U117" s="703" t="n"/>
      <c r="V117" s="703" t="n"/>
      <c r="W117" s="703" t="n"/>
      <c r="X117" s="714" t="n">
        <v>3898</v>
      </c>
      <c r="Y117" s="714" t="n">
        <v>13054</v>
      </c>
      <c r="Z117" s="703" t="n"/>
      <c r="AA117" s="714" t="n">
        <v>11343</v>
      </c>
      <c r="AB117" s="714" t="n">
        <v>24799</v>
      </c>
      <c r="AC117" s="714" t="n">
        <v>36142</v>
      </c>
      <c r="AD117" s="703" t="n"/>
      <c r="AE117" s="703" t="n"/>
      <c r="AF117" s="714" t="n">
        <v>27895</v>
      </c>
      <c r="AG117" s="703" t="n"/>
      <c r="AH117" s="714" t="n">
        <v>146517</v>
      </c>
      <c r="AI117" s="714" t="n">
        <v>558285</v>
      </c>
      <c r="AJ117" s="714" t="n">
        <v>705154</v>
      </c>
      <c r="AK117" s="714" t="n">
        <v>134153</v>
      </c>
      <c r="AL117" s="703" t="n"/>
      <c r="AM117" s="703" t="inlineStr">
        <is>
          <t>New (YOC ~2022); 2024 near-stabilized; 2023 excluded (lease-up, negative NOI)</t>
        </is>
      </c>
      <c r="AN117">
        <f>AND(B117=Subj_OccCode,Subj_BldgSF&gt;0,J117&gt;=Subj_BldgSF*(1-Subj_SizeTol),J117&lt;=Subj_BldgSF*(1+Subj_SizeTol))</f>
        <v/>
      </c>
    </row>
    <row r="118">
      <c r="A118" s="703" t="inlineStr">
        <is>
          <t>P057</t>
        </is>
      </c>
      <c r="B118" s="695" t="n">
        <v>407</v>
      </c>
      <c r="C118" s="703" t="inlineStr">
        <is>
          <t>R0210486</t>
        </is>
      </c>
      <c r="D118" s="703" t="inlineStr">
        <is>
          <t>12625 Lafayette St (Bldg B)</t>
        </is>
      </c>
      <c r="E118" s="703" t="inlineStr">
        <is>
          <t>Thornton</t>
        </is>
      </c>
      <c r="F118" s="703" t="inlineStr">
        <is>
          <t>CO</t>
        </is>
      </c>
      <c r="G118" s="703" t="inlineStr">
        <is>
          <t>Industrial</t>
        </is>
      </c>
      <c r="H118" s="703" t="inlineStr">
        <is>
          <t>Industrial Warehouse NNN</t>
        </is>
      </c>
      <c r="I118" s="703" t="n">
        <v>2022</v>
      </c>
      <c r="J118" s="703" t="n"/>
      <c r="K118" s="703" t="n">
        <v>2024</v>
      </c>
      <c r="L118" s="714" t="n">
        <v>898845</v>
      </c>
      <c r="M118" s="703" t="n"/>
      <c r="N118" s="714" t="n">
        <v>1373599</v>
      </c>
      <c r="O118" s="714" t="n">
        <v>21888</v>
      </c>
      <c r="P118" s="714" t="n">
        <v>72220</v>
      </c>
      <c r="Q118" s="703" t="n"/>
      <c r="R118" s="703" t="n"/>
      <c r="S118" s="703" t="n"/>
      <c r="T118" s="714" t="n">
        <v>8438</v>
      </c>
      <c r="U118" s="703" t="n"/>
      <c r="V118" s="703" t="n"/>
      <c r="W118" s="703" t="n"/>
      <c r="X118" s="714" t="n">
        <v>5773</v>
      </c>
      <c r="Y118" s="714" t="n">
        <v>14211</v>
      </c>
      <c r="Z118" s="703" t="n"/>
      <c r="AA118" s="714" t="n">
        <v>21287</v>
      </c>
      <c r="AB118" s="714" t="n">
        <v>29625</v>
      </c>
      <c r="AC118" s="714" t="n">
        <v>50912</v>
      </c>
      <c r="AD118" s="703" t="n"/>
      <c r="AE118" s="703" t="n"/>
      <c r="AF118" s="714" t="n">
        <v>51235</v>
      </c>
      <c r="AG118" s="703" t="n"/>
      <c r="AH118" s="714" t="n">
        <v>209004</v>
      </c>
      <c r="AI118" s="714" t="n">
        <v>762465</v>
      </c>
      <c r="AJ118" s="714" t="n">
        <v>971469</v>
      </c>
      <c r="AK118" s="714" t="n">
        <v>402131</v>
      </c>
      <c r="AL118" s="703" t="n"/>
      <c r="AM118" s="703" t="inlineStr">
        <is>
          <t>New (YOC ~2022); 2024 near-stabilized; 2023 excluded (lease-up, negative NOI)</t>
        </is>
      </c>
      <c r="AN118">
        <f>AND(B118=Subj_OccCode,Subj_BldgSF&gt;0,J118&gt;=Subj_BldgSF*(1-Subj_SizeTol),J118&lt;=Subj_BldgSF*(1+Subj_SizeTol))</f>
        <v/>
      </c>
    </row>
    <row r="119">
      <c r="A119" s="703" t="inlineStr">
        <is>
          <t>P058</t>
        </is>
      </c>
      <c r="B119" s="695" t="n">
        <v>407</v>
      </c>
      <c r="C119" s="703" t="inlineStr">
        <is>
          <t>R0091934</t>
        </is>
      </c>
      <c r="D119" s="703" t="inlineStr">
        <is>
          <t>350 Park Industrial (5759)</t>
        </is>
      </c>
      <c r="E119" s="703" t="inlineStr">
        <is>
          <t>Aurora</t>
        </is>
      </c>
      <c r="F119" s="703" t="inlineStr">
        <is>
          <t>CO</t>
        </is>
      </c>
      <c r="G119" s="703" t="inlineStr">
        <is>
          <t>Industrial</t>
        </is>
      </c>
      <c r="H119" s="703" t="inlineStr">
        <is>
          <t>Multi-Tenant Industrial 407</t>
        </is>
      </c>
      <c r="I119" s="703" t="n">
        <v>1995</v>
      </c>
      <c r="J119" s="703" t="n">
        <v>32600</v>
      </c>
      <c r="K119" s="703" t="n">
        <v>2023</v>
      </c>
      <c r="L119" s="714" t="n">
        <v>296766</v>
      </c>
      <c r="M119" s="703" t="n"/>
      <c r="N119" s="714" t="n">
        <v>449003</v>
      </c>
      <c r="O119" s="714" t="n">
        <v>5808</v>
      </c>
      <c r="P119" s="714" t="n">
        <v>16857</v>
      </c>
      <c r="Q119" s="714" t="n">
        <v>1204</v>
      </c>
      <c r="R119" s="703" t="n"/>
      <c r="S119" s="714" t="n">
        <v>10015</v>
      </c>
      <c r="T119" s="714" t="n">
        <v>500</v>
      </c>
      <c r="U119" s="703" t="n"/>
      <c r="V119" s="703" t="n"/>
      <c r="W119" s="703" t="n"/>
      <c r="X119" s="714" t="n">
        <v>7760</v>
      </c>
      <c r="Y119" s="714" t="n">
        <v>19479</v>
      </c>
      <c r="Z119" s="714" t="n">
        <v>1359</v>
      </c>
      <c r="AA119" s="703" t="n"/>
      <c r="AB119" s="703" t="n"/>
      <c r="AC119" s="714" t="n">
        <v>1359</v>
      </c>
      <c r="AD119" s="714" t="n">
        <v>6103</v>
      </c>
      <c r="AE119" s="703" t="n"/>
      <c r="AF119" s="714" t="n">
        <v>6103</v>
      </c>
      <c r="AG119" s="714" t="n">
        <v>7749</v>
      </c>
      <c r="AH119" s="714" t="n">
        <v>57071</v>
      </c>
      <c r="AI119" s="714" t="n">
        <v>102701</v>
      </c>
      <c r="AJ119" s="714" t="n">
        <v>159537</v>
      </c>
      <c r="AK119" s="714" t="n">
        <v>289466</v>
      </c>
      <c r="AL119" s="703" t="n"/>
      <c r="AM119" s="703" t="inlineStr">
        <is>
          <t>Actual accrual; 3 tenants; multi-tenant industrial</t>
        </is>
      </c>
      <c r="AN119">
        <f>AND(B119=Subj_OccCode,Subj_BldgSF&gt;0,J119&gt;=Subj_BldgSF*(1-Subj_SizeTol),J119&lt;=Subj_BldgSF*(1+Subj_SizeTol))</f>
        <v/>
      </c>
    </row>
    <row r="120">
      <c r="A120" s="703" t="inlineStr">
        <is>
          <t>P058</t>
        </is>
      </c>
      <c r="B120" s="695" t="n">
        <v>407</v>
      </c>
      <c r="C120" s="703" t="inlineStr">
        <is>
          <t>R0091934</t>
        </is>
      </c>
      <c r="D120" s="703" t="inlineStr">
        <is>
          <t>350 Park Industrial (5759)</t>
        </is>
      </c>
      <c r="E120" s="703" t="inlineStr">
        <is>
          <t>Aurora</t>
        </is>
      </c>
      <c r="F120" s="703" t="inlineStr">
        <is>
          <t>CO</t>
        </is>
      </c>
      <c r="G120" s="703" t="inlineStr">
        <is>
          <t>Industrial</t>
        </is>
      </c>
      <c r="H120" s="703" t="inlineStr">
        <is>
          <t>Multi-Tenant Industrial 407</t>
        </is>
      </c>
      <c r="I120" s="703" t="n">
        <v>1995</v>
      </c>
      <c r="J120" s="703" t="n">
        <v>32600</v>
      </c>
      <c r="K120" s="703" t="n">
        <v>2024</v>
      </c>
      <c r="L120" s="714" t="n">
        <v>312397</v>
      </c>
      <c r="M120" s="703" t="n"/>
      <c r="N120" s="714" t="n">
        <v>497987</v>
      </c>
      <c r="O120" s="714" t="n">
        <v>5897</v>
      </c>
      <c r="P120" s="714" t="n">
        <v>18574</v>
      </c>
      <c r="Q120" s="714" t="n">
        <v>1251</v>
      </c>
      <c r="R120" s="703" t="n"/>
      <c r="S120" s="714" t="n">
        <v>7535</v>
      </c>
      <c r="T120" s="714" t="n">
        <v>1222</v>
      </c>
      <c r="U120" s="703" t="n"/>
      <c r="V120" s="703" t="n"/>
      <c r="W120" s="703" t="n"/>
      <c r="X120" s="714" t="n">
        <v>7269</v>
      </c>
      <c r="Y120" s="714" t="n">
        <v>17277</v>
      </c>
      <c r="Z120" s="714" t="n">
        <v>1376</v>
      </c>
      <c r="AA120" s="703" t="n"/>
      <c r="AB120" s="703" t="n"/>
      <c r="AC120" s="714" t="n">
        <v>1376</v>
      </c>
      <c r="AD120" s="714" t="n">
        <v>6829</v>
      </c>
      <c r="AE120" s="703" t="n"/>
      <c r="AF120" s="714" t="n">
        <v>6829</v>
      </c>
      <c r="AG120" s="714" t="n">
        <v>25153</v>
      </c>
      <c r="AH120" s="714" t="n">
        <v>69242</v>
      </c>
      <c r="AI120" s="714" t="n">
        <v>105852</v>
      </c>
      <c r="AJ120" s="714" t="n">
        <v>172094</v>
      </c>
      <c r="AK120" s="714" t="n">
        <v>325893</v>
      </c>
      <c r="AL120" s="703" t="n"/>
      <c r="AM120" s="703" t="inlineStr">
        <is>
          <t>Actual accrual; 3 tenants</t>
        </is>
      </c>
      <c r="AN120">
        <f>AND(B120=Subj_OccCode,Subj_BldgSF&gt;0,J120&gt;=Subj_BldgSF*(1-Subj_SizeTol),J120&lt;=Subj_BldgSF*(1+Subj_SizeTol))</f>
        <v/>
      </c>
    </row>
    <row r="121">
      <c r="A121" s="703" t="inlineStr">
        <is>
          <t>P059</t>
        </is>
      </c>
      <c r="B121" s="695" t="n">
        <v>407</v>
      </c>
      <c r="C121" s="703" t="inlineStr">
        <is>
          <t>R0093111</t>
        </is>
      </c>
      <c r="D121" s="703" t="inlineStr">
        <is>
          <t>Industrial Property (R0093111)</t>
        </is>
      </c>
      <c r="E121" s="703" t="inlineStr">
        <is>
          <t>Aurora</t>
        </is>
      </c>
      <c r="F121" s="703" t="inlineStr">
        <is>
          <t>CO</t>
        </is>
      </c>
      <c r="G121" s="703" t="inlineStr">
        <is>
          <t>Industrial</t>
        </is>
      </c>
      <c r="H121" s="703" t="inlineStr">
        <is>
          <t>Multi-Tenant Industrial 407</t>
        </is>
      </c>
      <c r="I121" s="703" t="n"/>
      <c r="J121" s="703" t="n"/>
      <c r="K121" s="703" t="n">
        <v>2023</v>
      </c>
      <c r="L121" s="714" t="n">
        <v>340825</v>
      </c>
      <c r="M121" s="703" t="n"/>
      <c r="N121" s="714" t="n">
        <v>817280</v>
      </c>
      <c r="O121" s="714" t="n">
        <v>396</v>
      </c>
      <c r="P121" s="714" t="n">
        <v>24226</v>
      </c>
      <c r="Q121" s="714" t="n">
        <v>2790</v>
      </c>
      <c r="R121" s="703" t="n"/>
      <c r="S121" s="714" t="n">
        <v>17586</v>
      </c>
      <c r="T121" s="703" t="n"/>
      <c r="U121" s="703" t="n"/>
      <c r="V121" s="703" t="n"/>
      <c r="W121" s="703" t="n"/>
      <c r="X121" s="714" t="n">
        <v>1690</v>
      </c>
      <c r="Y121" s="714" t="n">
        <v>22066</v>
      </c>
      <c r="Z121" s="714" t="n">
        <v>1690</v>
      </c>
      <c r="AA121" s="714" t="n">
        <v>10029</v>
      </c>
      <c r="AB121" s="714" t="n">
        <v>13406</v>
      </c>
      <c r="AC121" s="714" t="n">
        <v>15096</v>
      </c>
      <c r="AD121" s="714" t="n">
        <v>8414</v>
      </c>
      <c r="AE121" s="703" t="n"/>
      <c r="AF121" s="714" t="n">
        <v>8414</v>
      </c>
      <c r="AG121" s="714" t="n">
        <v>7749</v>
      </c>
      <c r="AH121" s="714" t="n">
        <v>82990</v>
      </c>
      <c r="AI121" s="714" t="n">
        <v>262422</v>
      </c>
      <c r="AJ121" s="714" t="n">
        <v>345412</v>
      </c>
      <c r="AK121" s="714" t="n">
        <v>471868</v>
      </c>
      <c r="AL121" s="703" t="n"/>
      <c r="AM121" s="703" t="inlineStr">
        <is>
          <t>Actual; RE tax heavy due to NNN recovery; SF not confirmed</t>
        </is>
      </c>
      <c r="AN121">
        <f>AND(B121=Subj_OccCode,Subj_BldgSF&gt;0,J121&gt;=Subj_BldgSF*(1-Subj_SizeTol),J121&lt;=Subj_BldgSF*(1+Subj_SizeTol))</f>
        <v/>
      </c>
    </row>
    <row r="122">
      <c r="A122" s="703" t="inlineStr">
        <is>
          <t>P059</t>
        </is>
      </c>
      <c r="B122" s="695" t="n">
        <v>407</v>
      </c>
      <c r="C122" s="703" t="inlineStr">
        <is>
          <t>R0093111</t>
        </is>
      </c>
      <c r="D122" s="703" t="inlineStr">
        <is>
          <t>Industrial Property (R0093111)</t>
        </is>
      </c>
      <c r="E122" s="703" t="inlineStr">
        <is>
          <t>Aurora</t>
        </is>
      </c>
      <c r="F122" s="703" t="inlineStr">
        <is>
          <t>CO</t>
        </is>
      </c>
      <c r="G122" s="703" t="inlineStr">
        <is>
          <t>Industrial</t>
        </is>
      </c>
      <c r="H122" s="703" t="inlineStr">
        <is>
          <t>Multi-Tenant Industrial 407</t>
        </is>
      </c>
      <c r="I122" s="703" t="n"/>
      <c r="J122" s="703" t="n"/>
      <c r="K122" s="703" t="n">
        <v>2024</v>
      </c>
      <c r="L122" s="714" t="n">
        <v>343350</v>
      </c>
      <c r="M122" s="703" t="n"/>
      <c r="N122" s="714" t="n">
        <v>632272</v>
      </c>
      <c r="O122" s="714" t="n">
        <v>9737</v>
      </c>
      <c r="P122" s="703" t="n"/>
      <c r="Q122" s="703" t="n"/>
      <c r="R122" s="703" t="n"/>
      <c r="S122" s="703" t="n"/>
      <c r="T122" s="703" t="n"/>
      <c r="U122" s="703" t="n"/>
      <c r="V122" s="703" t="n"/>
      <c r="W122" s="703" t="n"/>
      <c r="X122" s="703" t="n"/>
      <c r="Y122" s="703" t="n"/>
      <c r="Z122" s="703" t="n"/>
      <c r="AA122" s="703" t="n"/>
      <c r="AB122" s="703" t="n"/>
      <c r="AC122" s="703" t="n"/>
      <c r="AD122" s="703" t="n"/>
      <c r="AE122" s="703" t="n"/>
      <c r="AF122" s="703" t="n"/>
      <c r="AG122" s="703" t="n"/>
      <c r="AH122" s="714" t="n">
        <v>119649</v>
      </c>
      <c r="AI122" s="714" t="n">
        <v>159461</v>
      </c>
      <c r="AJ122" s="714" t="n">
        <v>279110</v>
      </c>
      <c r="AK122" s="714" t="n">
        <v>353163</v>
      </c>
      <c r="AL122" s="703" t="n"/>
      <c r="AM122" s="703" t="inlineStr">
        <is>
          <t>2024 summary data; limited line-item detail; SF not confirmed</t>
        </is>
      </c>
      <c r="AN122">
        <f>AND(B122=Subj_OccCode,Subj_BldgSF&gt;0,J122&gt;=Subj_BldgSF*(1-Subj_SizeTol),J122&lt;=Subj_BldgSF*(1+Subj_SizeTol))</f>
        <v/>
      </c>
    </row>
    <row r="123">
      <c r="A123" s="703" t="inlineStr">
        <is>
          <t>P060</t>
        </is>
      </c>
      <c r="B123" s="695" t="n">
        <v>407</v>
      </c>
      <c r="C123" s="703" t="inlineStr">
        <is>
          <t>R0100104</t>
        </is>
      </c>
      <c r="D123" s="703" t="inlineStr">
        <is>
          <t>312 Kew West</t>
        </is>
      </c>
      <c r="E123" s="703" t="inlineStr">
        <is>
          <t>Aurora</t>
        </is>
      </c>
      <c r="F123" s="703" t="inlineStr">
        <is>
          <t>CO</t>
        </is>
      </c>
      <c r="G123" s="703" t="inlineStr">
        <is>
          <t>Industrial</t>
        </is>
      </c>
      <c r="H123" s="703" t="inlineStr">
        <is>
          <t>Multi-Tenant Industrial 407</t>
        </is>
      </c>
      <c r="I123" s="703" t="n"/>
      <c r="J123" s="703" t="n"/>
      <c r="K123" s="703" t="n">
        <v>2023</v>
      </c>
      <c r="L123" s="714" t="n">
        <v>246837</v>
      </c>
      <c r="M123" s="703" t="n"/>
      <c r="N123" s="714" t="n">
        <v>340193</v>
      </c>
      <c r="O123" s="714" t="n">
        <v>7355</v>
      </c>
      <c r="P123" s="714" t="n">
        <v>12734</v>
      </c>
      <c r="Q123" s="714" t="n">
        <v>1711</v>
      </c>
      <c r="R123" s="703" t="n"/>
      <c r="S123" s="714" t="n">
        <v>24740</v>
      </c>
      <c r="T123" s="714" t="n">
        <v>6577</v>
      </c>
      <c r="U123" s="703" t="n"/>
      <c r="V123" s="703" t="n"/>
      <c r="W123" s="703" t="n"/>
      <c r="X123" s="714" t="n">
        <v>10612</v>
      </c>
      <c r="Y123" s="714" t="n">
        <v>43640</v>
      </c>
      <c r="Z123" s="714" t="n">
        <v>2451</v>
      </c>
      <c r="AA123" s="714" t="n">
        <v>2474</v>
      </c>
      <c r="AB123" s="714" t="n">
        <v>9457</v>
      </c>
      <c r="AC123" s="714" t="n">
        <v>14382</v>
      </c>
      <c r="AD123" s="714" t="n">
        <v>4092</v>
      </c>
      <c r="AE123" s="703" t="n"/>
      <c r="AF123" s="714" t="n">
        <v>4092</v>
      </c>
      <c r="AG123" s="703" t="n"/>
      <c r="AH123" s="714" t="n">
        <v>68233</v>
      </c>
      <c r="AI123" s="714" t="n">
        <v>92861</v>
      </c>
      <c r="AJ123" s="714" t="n">
        <v>161094</v>
      </c>
      <c r="AK123" s="714" t="n">
        <v>179099</v>
      </c>
      <c r="AL123" s="703" t="n"/>
      <c r="AM123" s="703" t="inlineStr">
        <is>
          <t>Actual accrual; SF not confirmed</t>
        </is>
      </c>
      <c r="AN123">
        <f>AND(B123=Subj_OccCode,Subj_BldgSF&gt;0,J123&gt;=Subj_BldgSF*(1-Subj_SizeTol),J123&lt;=Subj_BldgSF*(1+Subj_SizeTol))</f>
        <v/>
      </c>
    </row>
    <row r="124">
      <c r="A124" s="703" t="inlineStr">
        <is>
          <t>P060</t>
        </is>
      </c>
      <c r="B124" s="695" t="n">
        <v>407</v>
      </c>
      <c r="C124" s="703" t="inlineStr">
        <is>
          <t>R0100104</t>
        </is>
      </c>
      <c r="D124" s="703" t="inlineStr">
        <is>
          <t>312 Kew West</t>
        </is>
      </c>
      <c r="E124" s="703" t="inlineStr">
        <is>
          <t>Aurora</t>
        </is>
      </c>
      <c r="F124" s="703" t="inlineStr">
        <is>
          <t>CO</t>
        </is>
      </c>
      <c r="G124" s="703" t="inlineStr">
        <is>
          <t>Industrial</t>
        </is>
      </c>
      <c r="H124" s="703" t="inlineStr">
        <is>
          <t>Multi-Tenant Industrial 407</t>
        </is>
      </c>
      <c r="I124" s="703" t="n"/>
      <c r="J124" s="703" t="n"/>
      <c r="K124" s="703" t="n">
        <v>2024</v>
      </c>
      <c r="L124" s="714" t="n">
        <v>239823</v>
      </c>
      <c r="M124" s="703" t="n"/>
      <c r="N124" s="714" t="n">
        <v>375845</v>
      </c>
      <c r="O124" s="714" t="n">
        <v>7287</v>
      </c>
      <c r="P124" s="714" t="n">
        <v>18575</v>
      </c>
      <c r="Q124" s="714" t="n">
        <v>816</v>
      </c>
      <c r="R124" s="703" t="n"/>
      <c r="S124" s="714" t="n">
        <v>25607</v>
      </c>
      <c r="T124" s="714" t="n">
        <v>7834</v>
      </c>
      <c r="U124" s="703" t="n"/>
      <c r="V124" s="703" t="n"/>
      <c r="W124" s="703" t="n"/>
      <c r="X124" s="714" t="n">
        <v>8752</v>
      </c>
      <c r="Y124" s="714" t="n">
        <v>42009</v>
      </c>
      <c r="Z124" s="714" t="n">
        <v>2982</v>
      </c>
      <c r="AA124" s="714" t="n">
        <v>2720</v>
      </c>
      <c r="AB124" s="714" t="n">
        <v>10994</v>
      </c>
      <c r="AC124" s="714" t="n">
        <v>16696</v>
      </c>
      <c r="AD124" s="714" t="n">
        <v>4502</v>
      </c>
      <c r="AE124" s="703" t="n"/>
      <c r="AF124" s="714" t="n">
        <v>4502</v>
      </c>
      <c r="AG124" s="703" t="n"/>
      <c r="AH124" s="714" t="n">
        <v>69570</v>
      </c>
      <c r="AI124" s="714" t="n">
        <v>102524</v>
      </c>
      <c r="AJ124" s="714" t="n">
        <v>172094</v>
      </c>
      <c r="AK124" s="714" t="n">
        <v>203752</v>
      </c>
      <c r="AL124" s="703" t="n"/>
      <c r="AM124" s="703" t="inlineStr">
        <is>
          <t>Actual accrual; SF not confirmed</t>
        </is>
      </c>
      <c r="AN124">
        <f>AND(B124=Subj_OccCode,Subj_BldgSF&gt;0,J124&gt;=Subj_BldgSF*(1-Subj_SizeTol),J124&lt;=Subj_BldgSF*(1+Subj_SizeTol))</f>
        <v/>
      </c>
    </row>
    <row r="125">
      <c r="A125" s="703" t="inlineStr">
        <is>
          <t>P061</t>
        </is>
      </c>
      <c r="B125" s="695" t="n">
        <v>584</v>
      </c>
      <c r="C125" s="703" t="inlineStr">
        <is>
          <t>R0083935</t>
        </is>
      </c>
      <c r="D125" s="703" t="inlineStr">
        <is>
          <t>20101 E 36th Ave</t>
        </is>
      </c>
      <c r="E125" s="703" t="inlineStr">
        <is>
          <t>Aurora</t>
        </is>
      </c>
      <c r="F125" s="703" t="inlineStr">
        <is>
          <t>CO</t>
        </is>
      </c>
      <c r="G125" s="703" t="inlineStr">
        <is>
          <t>Industrial</t>
        </is>
      </c>
      <c r="H125" s="703" t="inlineStr">
        <is>
          <t>Mega Warehouse NNN</t>
        </is>
      </c>
      <c r="I125" s="703" t="n"/>
      <c r="J125" s="703" t="n">
        <v>278538</v>
      </c>
      <c r="K125" s="703" t="n">
        <v>2024</v>
      </c>
      <c r="L125" s="714" t="n">
        <v>1242512</v>
      </c>
      <c r="M125" s="703" t="n"/>
      <c r="N125" s="714" t="n">
        <v>2952901</v>
      </c>
      <c r="O125" s="703" t="n"/>
      <c r="P125" s="703" t="n"/>
      <c r="Q125" s="703" t="n"/>
      <c r="R125" s="703" t="n"/>
      <c r="S125" s="703" t="n"/>
      <c r="T125" s="703" t="n"/>
      <c r="U125" s="703" t="n"/>
      <c r="V125" s="703" t="n"/>
      <c r="W125" s="703" t="n"/>
      <c r="X125" s="703" t="n"/>
      <c r="Y125" s="703" t="n"/>
      <c r="Z125" s="703" t="n"/>
      <c r="AA125" s="703" t="n"/>
      <c r="AB125" s="703" t="n"/>
      <c r="AC125" s="703" t="n"/>
      <c r="AD125" s="703" t="n"/>
      <c r="AE125" s="703" t="n"/>
      <c r="AF125" s="714" t="n">
        <v>195945</v>
      </c>
      <c r="AG125" s="703" t="n"/>
      <c r="AH125" s="703" t="n"/>
      <c r="AI125" s="703" t="n"/>
      <c r="AJ125" s="703" t="n"/>
      <c r="AK125" s="703" t="n"/>
      <c r="AL125" s="703" t="n"/>
      <c r="AM125" s="703" t="inlineStr">
        <is>
          <t>NNN; partial data; CBRE income statement; tenant RK Industries; rent $4.47/SF NNN; RE tax recovery ~$860k</t>
        </is>
      </c>
      <c r="AN125">
        <f>AND(B125=Subj_OccCode,Subj_BldgSF&gt;0,J125&gt;=Subj_BldgSF*(1-Subj_SizeTol),J125&lt;=Subj_BldgSF*(1+Subj_SizeTol))</f>
        <v/>
      </c>
    </row>
    <row r="126">
      <c r="A126" s="703" t="inlineStr">
        <is>
          <t>P062</t>
        </is>
      </c>
      <c r="B126" s="695" t="n">
        <v>407</v>
      </c>
      <c r="C126" s="703" t="inlineStr">
        <is>
          <t>R0200721</t>
        </is>
      </c>
      <c r="D126" s="703" t="inlineStr">
        <is>
          <t>3420 N Lisbon St</t>
        </is>
      </c>
      <c r="E126" s="703" t="inlineStr">
        <is>
          <t>Aurora</t>
        </is>
      </c>
      <c r="F126" s="703" t="inlineStr">
        <is>
          <t>CO</t>
        </is>
      </c>
      <c r="G126" s="703" t="inlineStr">
        <is>
          <t>Industrial</t>
        </is>
      </c>
      <c r="H126" s="703" t="inlineStr">
        <is>
          <t>Single-Tenant Industrial NNN</t>
        </is>
      </c>
      <c r="I126" s="703" t="n">
        <v>2019</v>
      </c>
      <c r="J126" s="703" t="n">
        <v>36212</v>
      </c>
      <c r="K126" s="703" t="n">
        <v>2023</v>
      </c>
      <c r="L126" s="714" t="n">
        <v>272278</v>
      </c>
      <c r="M126" s="703" t="n"/>
      <c r="N126" s="714" t="n">
        <v>272278</v>
      </c>
      <c r="O126" s="703" t="n"/>
      <c r="P126" s="703" t="n"/>
      <c r="Q126" s="703" t="n"/>
      <c r="R126" s="703" t="n"/>
      <c r="S126" s="703" t="n"/>
      <c r="T126" s="703" t="n"/>
      <c r="U126" s="703" t="n"/>
      <c r="V126" s="703" t="n"/>
      <c r="W126" s="703" t="n"/>
      <c r="X126" s="703" t="n"/>
      <c r="Y126" s="703" t="n"/>
      <c r="Z126" s="703" t="n"/>
      <c r="AA126" s="703" t="n"/>
      <c r="AB126" s="703" t="n"/>
      <c r="AC126" s="703" t="n"/>
      <c r="AD126" s="703" t="n"/>
      <c r="AE126" s="703" t="n"/>
      <c r="AF126" s="703" t="n"/>
      <c r="AG126" s="703" t="n"/>
      <c r="AH126" s="703" t="n"/>
      <c r="AI126" s="703" t="n"/>
      <c r="AJ126" s="703" t="n"/>
      <c r="AK126" s="703" t="n"/>
      <c r="AL126" s="703" t="n"/>
      <c r="AM126" s="703" t="inlineStr">
        <is>
          <t>NNN absolute; tenant pays all opex; owner income = rent only; $7.52/SF</t>
        </is>
      </c>
      <c r="AN126">
        <f>AND(B126=Subj_OccCode,Subj_BldgSF&gt;0,J126&gt;=Subj_BldgSF*(1-Subj_SizeTol),J126&lt;=Subj_BldgSF*(1+Subj_SizeTol))</f>
        <v/>
      </c>
    </row>
    <row r="127">
      <c r="A127" s="703" t="inlineStr">
        <is>
          <t>P062</t>
        </is>
      </c>
      <c r="B127" s="695" t="n">
        <v>407</v>
      </c>
      <c r="C127" s="703" t="inlineStr">
        <is>
          <t>R0200721</t>
        </is>
      </c>
      <c r="D127" s="703" t="inlineStr">
        <is>
          <t>3420 N Lisbon St</t>
        </is>
      </c>
      <c r="E127" s="703" t="inlineStr">
        <is>
          <t>Aurora</t>
        </is>
      </c>
      <c r="F127" s="703" t="inlineStr">
        <is>
          <t>CO</t>
        </is>
      </c>
      <c r="G127" s="703" t="inlineStr">
        <is>
          <t>Industrial</t>
        </is>
      </c>
      <c r="H127" s="703" t="inlineStr">
        <is>
          <t>Single-Tenant Industrial NNN</t>
        </is>
      </c>
      <c r="I127" s="703" t="n">
        <v>2019</v>
      </c>
      <c r="J127" s="703" t="n">
        <v>36212</v>
      </c>
      <c r="K127" s="703" t="n">
        <v>2024</v>
      </c>
      <c r="L127" s="714" t="n">
        <v>280448</v>
      </c>
      <c r="M127" s="703" t="n"/>
      <c r="N127" s="714" t="n">
        <v>280448</v>
      </c>
      <c r="O127" s="703" t="n"/>
      <c r="P127" s="703" t="n"/>
      <c r="Q127" s="703" t="n"/>
      <c r="R127" s="703" t="n"/>
      <c r="S127" s="703" t="n"/>
      <c r="T127" s="703" t="n"/>
      <c r="U127" s="703" t="n"/>
      <c r="V127" s="703" t="n"/>
      <c r="W127" s="703" t="n"/>
      <c r="X127" s="703" t="n"/>
      <c r="Y127" s="703" t="n"/>
      <c r="Z127" s="703" t="n"/>
      <c r="AA127" s="703" t="n"/>
      <c r="AB127" s="703" t="n"/>
      <c r="AC127" s="703" t="n"/>
      <c r="AD127" s="703" t="n"/>
      <c r="AE127" s="703" t="n"/>
      <c r="AF127" s="703" t="n"/>
      <c r="AG127" s="703" t="n"/>
      <c r="AH127" s="703" t="n"/>
      <c r="AI127" s="703" t="n"/>
      <c r="AJ127" s="703" t="n"/>
      <c r="AK127" s="703" t="n"/>
      <c r="AL127" s="703" t="n"/>
      <c r="AM127" s="703" t="inlineStr">
        <is>
          <t>NNN absolute; tenant pays all opex; owner income = rent only; $7.75/SF</t>
        </is>
      </c>
      <c r="AN127">
        <f>AND(B127=Subj_OccCode,Subj_BldgSF&gt;0,J127&gt;=Subj_BldgSF*(1-Subj_SizeTol),J127&lt;=Subj_BldgSF*(1+Subj_SizeTol))</f>
        <v/>
      </c>
    </row>
    <row r="128">
      <c r="A128" s="703" t="inlineStr">
        <is>
          <t>P063</t>
        </is>
      </c>
      <c r="B128" s="695" t="n">
        <v>344</v>
      </c>
      <c r="C128" s="703" t="inlineStr">
        <is>
          <t>R0040581</t>
        </is>
      </c>
      <c r="D128" s="703" t="inlineStr">
        <is>
          <t>2090 E 104th Ave</t>
        </is>
      </c>
      <c r="E128" s="703" t="inlineStr">
        <is>
          <t>Thornton</t>
        </is>
      </c>
      <c r="F128" s="703" t="inlineStr">
        <is>
          <t>CO</t>
        </is>
      </c>
      <c r="G128" s="703" t="inlineStr">
        <is>
          <t>Office</t>
        </is>
      </c>
      <c r="H128" s="703" t="inlineStr">
        <is>
          <t>Multi-Tenant Office</t>
        </is>
      </c>
      <c r="I128" s="703" t="n"/>
      <c r="J128" s="703" t="n">
        <v>19764</v>
      </c>
      <c r="K128" s="703" t="n">
        <v>2023</v>
      </c>
      <c r="L128" s="703" t="n"/>
      <c r="M128" s="703" t="n"/>
      <c r="N128" s="703" t="n"/>
      <c r="O128" s="714" t="n">
        <v>3132</v>
      </c>
      <c r="P128" s="714" t="n">
        <v>9187</v>
      </c>
      <c r="Q128" s="703" t="n"/>
      <c r="R128" s="703" t="n"/>
      <c r="S128" s="703" t="n"/>
      <c r="T128" s="703" t="n"/>
      <c r="U128" s="703" t="n"/>
      <c r="V128" s="703" t="n"/>
      <c r="W128" s="703" t="n"/>
      <c r="X128" s="714" t="n">
        <v>48128</v>
      </c>
      <c r="Y128" s="714" t="n">
        <v>48128</v>
      </c>
      <c r="Z128" s="703" t="n"/>
      <c r="AA128" s="714" t="n">
        <v>9835</v>
      </c>
      <c r="AB128" s="703" t="n"/>
      <c r="AC128" s="714" t="n">
        <v>9835</v>
      </c>
      <c r="AD128" s="703" t="n"/>
      <c r="AE128" s="703" t="n"/>
      <c r="AF128" s="714" t="n">
        <v>37547</v>
      </c>
      <c r="AG128" s="714" t="n">
        <v>8244</v>
      </c>
      <c r="AH128" s="714" t="n">
        <v>133351</v>
      </c>
      <c r="AI128" s="714" t="n">
        <v>40716</v>
      </c>
      <c r="AJ128" s="714" t="n">
        <v>174067</v>
      </c>
      <c r="AK128" s="714" t="n">
        <v>54413</v>
      </c>
      <c r="AL128" s="703" t="n"/>
      <c r="AM128" s="703" t="inlineStr">
        <is>
          <t>Office; expenses only; GRI est. ~$228k at $11.56/SF 100% occ</t>
        </is>
      </c>
      <c r="AN128">
        <f>AND(B128=Subj_OccCode,Subj_BldgSF&gt;0,J128&gt;=Subj_BldgSF*(1-Subj_SizeTol),J128&lt;=Subj_BldgSF*(1+Subj_SizeTol))</f>
        <v/>
      </c>
    </row>
    <row r="129">
      <c r="A129" s="703" t="inlineStr">
        <is>
          <t>P063</t>
        </is>
      </c>
      <c r="B129" s="695" t="n">
        <v>344</v>
      </c>
      <c r="C129" s="703" t="inlineStr">
        <is>
          <t>R0040581</t>
        </is>
      </c>
      <c r="D129" s="703" t="inlineStr">
        <is>
          <t>2090 E 104th Ave</t>
        </is>
      </c>
      <c r="E129" s="703" t="inlineStr">
        <is>
          <t>Thornton</t>
        </is>
      </c>
      <c r="F129" s="703" t="inlineStr">
        <is>
          <t>CO</t>
        </is>
      </c>
      <c r="G129" s="703" t="inlineStr">
        <is>
          <t>Office</t>
        </is>
      </c>
      <c r="H129" s="703" t="inlineStr">
        <is>
          <t>Multi-Tenant Office</t>
        </is>
      </c>
      <c r="I129" s="703" t="n"/>
      <c r="J129" s="703" t="n">
        <v>19764</v>
      </c>
      <c r="K129" s="703" t="n">
        <v>2024</v>
      </c>
      <c r="L129" s="703" t="n"/>
      <c r="M129" s="703" t="n"/>
      <c r="N129" s="703" t="n"/>
      <c r="O129" s="714" t="n">
        <v>11171</v>
      </c>
      <c r="P129" s="714" t="n">
        <v>9000</v>
      </c>
      <c r="Q129" s="703" t="n"/>
      <c r="R129" s="703" t="n"/>
      <c r="S129" s="703" t="n"/>
      <c r="T129" s="703" t="n"/>
      <c r="U129" s="703" t="n"/>
      <c r="V129" s="703" t="n"/>
      <c r="W129" s="703" t="n"/>
      <c r="X129" s="714" t="n">
        <v>48665</v>
      </c>
      <c r="Y129" s="714" t="n">
        <v>48665</v>
      </c>
      <c r="Z129" s="703" t="n"/>
      <c r="AA129" s="714" t="n">
        <v>11638</v>
      </c>
      <c r="AB129" s="703" t="n"/>
      <c r="AC129" s="714" t="n">
        <v>11638</v>
      </c>
      <c r="AD129" s="703" t="n"/>
      <c r="AE129" s="703" t="n"/>
      <c r="AF129" s="714" t="n">
        <v>47748</v>
      </c>
      <c r="AG129" s="714" t="n">
        <v>6178</v>
      </c>
      <c r="AH129" s="714" t="n">
        <v>134405</v>
      </c>
      <c r="AI129" s="714" t="n">
        <v>40064</v>
      </c>
      <c r="AJ129" s="714" t="n">
        <v>174469</v>
      </c>
      <c r="AK129" s="714" t="n">
        <v>54011</v>
      </c>
      <c r="AL129" s="703" t="n"/>
      <c r="AM129" s="703" t="inlineStr">
        <is>
          <t>Office; expenses only; GRI est. ~$228k</t>
        </is>
      </c>
      <c r="AN129">
        <f>AND(B129=Subj_OccCode,Subj_BldgSF&gt;0,J129&gt;=Subj_BldgSF*(1-Subj_SizeTol),J129&lt;=Subj_BldgSF*(1+Subj_SizeTol))</f>
        <v/>
      </c>
    </row>
    <row r="130">
      <c r="A130" s="703" t="inlineStr">
        <is>
          <t>P064</t>
        </is>
      </c>
      <c r="B130" s="695" t="n">
        <v>344</v>
      </c>
      <c r="C130" s="703" t="inlineStr">
        <is>
          <t>R0050977</t>
        </is>
      </c>
      <c r="D130" s="703" t="inlineStr">
        <is>
          <t>9351 Grant St</t>
        </is>
      </c>
      <c r="E130" s="703" t="inlineStr">
        <is>
          <t>Thornton</t>
        </is>
      </c>
      <c r="F130" s="703" t="inlineStr">
        <is>
          <t>CO</t>
        </is>
      </c>
      <c r="G130" s="703" t="inlineStr">
        <is>
          <t>Office</t>
        </is>
      </c>
      <c r="H130" s="703" t="inlineStr">
        <is>
          <t>Multi-Tenant Office</t>
        </is>
      </c>
      <c r="I130" s="703" t="n"/>
      <c r="J130" s="703" t="n"/>
      <c r="K130" s="703" t="n">
        <v>2023</v>
      </c>
      <c r="L130" s="714" t="n">
        <v>2011958</v>
      </c>
      <c r="M130" s="703" t="n"/>
      <c r="N130" s="714" t="n">
        <v>2239234</v>
      </c>
      <c r="O130" s="703" t="n"/>
      <c r="P130" s="703" t="n"/>
      <c r="Q130" s="703" t="n"/>
      <c r="R130" s="703" t="n"/>
      <c r="S130" s="703" t="n"/>
      <c r="T130" s="703" t="n"/>
      <c r="U130" s="703" t="n"/>
      <c r="V130" s="703" t="n"/>
      <c r="W130" s="703" t="n"/>
      <c r="X130" s="714" t="n">
        <v>144543</v>
      </c>
      <c r="Y130" s="714" t="n">
        <v>144543</v>
      </c>
      <c r="Z130" s="703" t="n"/>
      <c r="AA130" s="703" t="n"/>
      <c r="AB130" s="703" t="n"/>
      <c r="AC130" s="703" t="n"/>
      <c r="AD130" s="703" t="n"/>
      <c r="AE130" s="703" t="n"/>
      <c r="AF130" s="714" t="n">
        <v>240350</v>
      </c>
      <c r="AG130" s="714" t="n">
        <v>279549</v>
      </c>
      <c r="AH130" s="714" t="n">
        <v>719555</v>
      </c>
      <c r="AI130" s="714" t="n">
        <v>497852</v>
      </c>
      <c r="AJ130" s="714" t="n">
        <v>1217407</v>
      </c>
      <c r="AK130" s="714" t="n">
        <v>1021827</v>
      </c>
      <c r="AL130" s="703" t="n"/>
      <c r="AM130" s="703" t="inlineStr">
        <is>
          <t>Actual P&amp;L; Crown RE Group; RE Tax + Ins combined in $497,852 line; large office property</t>
        </is>
      </c>
      <c r="AN130">
        <f>AND(B130=Subj_OccCode,Subj_BldgSF&gt;0,J130&gt;=Subj_BldgSF*(1-Subj_SizeTol),J130&lt;=Subj_BldgSF*(1+Subj_SizeTol))</f>
        <v/>
      </c>
    </row>
    <row r="131">
      <c r="A131" s="703" t="inlineStr">
        <is>
          <t>P065</t>
        </is>
      </c>
      <c r="B131" s="695" t="n">
        <v>344</v>
      </c>
      <c r="C131" s="703" t="inlineStr">
        <is>
          <t>R0069041</t>
        </is>
      </c>
      <c r="D131" s="703" t="inlineStr">
        <is>
          <t>7475 Dakin St (Turnpike Tower)</t>
        </is>
      </c>
      <c r="E131" s="703" t="inlineStr">
        <is>
          <t>Denver</t>
        </is>
      </c>
      <c r="F131" s="703" t="inlineStr">
        <is>
          <t>CO</t>
        </is>
      </c>
      <c r="G131" s="703" t="inlineStr">
        <is>
          <t>Office</t>
        </is>
      </c>
      <c r="H131" s="703" t="inlineStr">
        <is>
          <t>Multi-Tenant Office</t>
        </is>
      </c>
      <c r="I131" s="703" t="n"/>
      <c r="J131" s="703" t="n">
        <v>114843</v>
      </c>
      <c r="K131" s="703" t="n">
        <v>2023</v>
      </c>
      <c r="L131" s="703" t="n"/>
      <c r="M131" s="703" t="n"/>
      <c r="N131" s="714" t="n">
        <v>618988</v>
      </c>
      <c r="O131" s="703" t="n"/>
      <c r="P131" s="703" t="n"/>
      <c r="Q131" s="703" t="n"/>
      <c r="R131" s="703" t="n"/>
      <c r="S131" s="703" t="n"/>
      <c r="T131" s="703" t="n"/>
      <c r="U131" s="703" t="n"/>
      <c r="V131" s="703" t="n"/>
      <c r="W131" s="703" t="n"/>
      <c r="X131" s="703" t="n"/>
      <c r="Y131" s="703" t="n"/>
      <c r="Z131" s="703" t="n"/>
      <c r="AA131" s="714" t="n">
        <v>10029</v>
      </c>
      <c r="AB131" s="703" t="n"/>
      <c r="AC131" s="703" t="n"/>
      <c r="AD131" s="703" t="n"/>
      <c r="AE131" s="703" t="n"/>
      <c r="AF131" s="703" t="n"/>
      <c r="AG131" s="703" t="n"/>
      <c r="AH131" s="714" t="n">
        <v>303578</v>
      </c>
      <c r="AI131" s="714" t="n">
        <v>262422</v>
      </c>
      <c r="AJ131" s="714" t="n">
        <v>566000</v>
      </c>
      <c r="AK131" s="714" t="n">
        <v>53141</v>
      </c>
      <c r="AL131" s="703" t="n"/>
      <c r="AM131" s="703" t="inlineStr">
        <is>
          <t>Actual; 87.7% occ; NNN/Modified leases; RE Tax heavy; approx figures</t>
        </is>
      </c>
      <c r="AN131">
        <f>AND(B131=Subj_OccCode,Subj_BldgSF&gt;0,J131&gt;=Subj_BldgSF*(1-Subj_SizeTol),J131&lt;=Subj_BldgSF*(1+Subj_SizeTol))</f>
        <v/>
      </c>
    </row>
    <row r="132">
      <c r="A132" s="703" t="inlineStr">
        <is>
          <t>P065</t>
        </is>
      </c>
      <c r="B132" s="695" t="n">
        <v>344</v>
      </c>
      <c r="C132" s="703" t="inlineStr">
        <is>
          <t>R0069041</t>
        </is>
      </c>
      <c r="D132" s="703" t="inlineStr">
        <is>
          <t>7475 Dakin St (Turnpike Tower)</t>
        </is>
      </c>
      <c r="E132" s="703" t="inlineStr">
        <is>
          <t>Denver</t>
        </is>
      </c>
      <c r="F132" s="703" t="inlineStr">
        <is>
          <t>CO</t>
        </is>
      </c>
      <c r="G132" s="703" t="inlineStr">
        <is>
          <t>Office</t>
        </is>
      </c>
      <c r="H132" s="703" t="inlineStr">
        <is>
          <t>Multi-Tenant Office</t>
        </is>
      </c>
      <c r="I132" s="703" t="n"/>
      <c r="J132" s="703" t="n">
        <v>114843</v>
      </c>
      <c r="K132" s="703" t="n">
        <v>2024</v>
      </c>
      <c r="L132" s="703" t="n"/>
      <c r="M132" s="703" t="n"/>
      <c r="N132" s="714" t="n">
        <v>1353745</v>
      </c>
      <c r="O132" s="703" t="n"/>
      <c r="P132" s="703" t="n"/>
      <c r="Q132" s="703" t="n"/>
      <c r="R132" s="703" t="n"/>
      <c r="S132" s="703" t="n"/>
      <c r="T132" s="703" t="n"/>
      <c r="U132" s="703" t="n"/>
      <c r="V132" s="703" t="n"/>
      <c r="W132" s="703" t="n"/>
      <c r="X132" s="703" t="n"/>
      <c r="Y132" s="703" t="n"/>
      <c r="Z132" s="703" t="n"/>
      <c r="AA132" s="703" t="n"/>
      <c r="AB132" s="703" t="n"/>
      <c r="AC132" s="703" t="n"/>
      <c r="AD132" s="703" t="n"/>
      <c r="AE132" s="703" t="n"/>
      <c r="AF132" s="703" t="n"/>
      <c r="AG132" s="703" t="n"/>
      <c r="AH132" s="714" t="n">
        <v>1025000</v>
      </c>
      <c r="AI132" s="703" t="n"/>
      <c r="AJ132" s="714" t="n">
        <v>1287000</v>
      </c>
      <c r="AK132" s="714" t="n">
        <v>66677</v>
      </c>
      <c r="AL132" s="703" t="n"/>
      <c r="AM132" s="703" t="inlineStr">
        <is>
          <t>Actual 2024; approx figures; RE Tax est. ~$262k</t>
        </is>
      </c>
      <c r="AN132">
        <f>AND(B132=Subj_OccCode,Subj_BldgSF&gt;0,J132&gt;=Subj_BldgSF*(1-Subj_SizeTol),J132&lt;=Subj_BldgSF*(1+Subj_SizeTol))</f>
        <v/>
      </c>
    </row>
    <row r="133">
      <c r="A133" s="703" t="inlineStr">
        <is>
          <t>P066</t>
        </is>
      </c>
      <c r="B133" s="695" t="n">
        <v>344</v>
      </c>
      <c r="C133" s="703" t="inlineStr">
        <is>
          <t>R0079409</t>
        </is>
      </c>
      <c r="D133" s="703" t="inlineStr">
        <is>
          <t>6401 E 72nd Ave</t>
        </is>
      </c>
      <c r="E133" s="703" t="inlineStr">
        <is>
          <t>Commerce City</t>
        </is>
      </c>
      <c r="F133" s="703" t="inlineStr">
        <is>
          <t>CO</t>
        </is>
      </c>
      <c r="G133" s="703" t="inlineStr">
        <is>
          <t>Office</t>
        </is>
      </c>
      <c r="H133" s="703" t="inlineStr">
        <is>
          <t>Multi-Tenant Office</t>
        </is>
      </c>
      <c r="I133" s="703" t="n"/>
      <c r="J133" s="703" t="n">
        <v>8218</v>
      </c>
      <c r="K133" s="703" t="n">
        <v>2023</v>
      </c>
      <c r="L133" s="714" t="n">
        <v>96674</v>
      </c>
      <c r="M133" s="703" t="n"/>
      <c r="N133" s="714" t="n">
        <v>109164</v>
      </c>
      <c r="O133" s="714" t="n">
        <v>2384</v>
      </c>
      <c r="P133" s="714" t="n">
        <v>5400</v>
      </c>
      <c r="Q133" s="703" t="n"/>
      <c r="R133" s="703" t="n"/>
      <c r="S133" s="703" t="n"/>
      <c r="T133" s="703" t="n"/>
      <c r="U133" s="703" t="n"/>
      <c r="V133" s="703" t="n"/>
      <c r="W133" s="703" t="n"/>
      <c r="X133" s="714" t="n">
        <v>18169</v>
      </c>
      <c r="Y133" s="714" t="n">
        <v>18169</v>
      </c>
      <c r="Z133" s="703" t="n"/>
      <c r="AA133" s="703" t="n"/>
      <c r="AB133" s="703" t="n"/>
      <c r="AC133" s="703" t="n"/>
      <c r="AD133" s="703" t="n"/>
      <c r="AE133" s="703" t="n"/>
      <c r="AF133" s="714" t="n">
        <v>12971</v>
      </c>
      <c r="AG133" s="714" t="n">
        <v>4012</v>
      </c>
      <c r="AH133" s="714" t="n">
        <v>39724</v>
      </c>
      <c r="AI133" s="714" t="n">
        <v>16276</v>
      </c>
      <c r="AJ133" s="714" t="n">
        <v>56000</v>
      </c>
      <c r="AK133" s="714" t="n">
        <v>53000</v>
      </c>
      <c r="AL133" s="703" t="n"/>
      <c r="AM133" s="703" t="inlineStr">
        <is>
          <t>Actual 2023; 9 tenants small multi-tenant office; approx total OPX/NOI</t>
        </is>
      </c>
      <c r="AN133">
        <f>AND(B133=Subj_OccCode,Subj_BldgSF&gt;0,J133&gt;=Subj_BldgSF*(1-Subj_SizeTol),J133&lt;=Subj_BldgSF*(1+Subj_SizeTol))</f>
        <v/>
      </c>
    </row>
    <row r="134">
      <c r="A134" s="703" t="inlineStr">
        <is>
          <t>P067</t>
        </is>
      </c>
      <c r="B134" s="695" t="n">
        <v>344</v>
      </c>
      <c r="C134" s="703" t="inlineStr">
        <is>
          <t>R0189338</t>
        </is>
      </c>
      <c r="D134" s="703" t="inlineStr">
        <is>
          <t>203 Telluride St</t>
        </is>
      </c>
      <c r="E134" s="703" t="inlineStr">
        <is>
          <t>Aurora</t>
        </is>
      </c>
      <c r="F134" s="703" t="inlineStr">
        <is>
          <t>CO</t>
        </is>
      </c>
      <c r="G134" s="703" t="inlineStr">
        <is>
          <t>Office</t>
        </is>
      </c>
      <c r="H134" s="703" t="inlineStr">
        <is>
          <t>Multi-Tenant Office</t>
        </is>
      </c>
      <c r="I134" s="703" t="n"/>
      <c r="J134" s="703" t="n"/>
      <c r="K134" s="703" t="n">
        <v>2023</v>
      </c>
      <c r="L134" s="714" t="n">
        <v>326779</v>
      </c>
      <c r="M134" s="703" t="n"/>
      <c r="N134" s="714" t="n">
        <v>315661</v>
      </c>
      <c r="O134" s="703" t="n"/>
      <c r="P134" s="703" t="n"/>
      <c r="Q134" s="703" t="n"/>
      <c r="R134" s="703" t="n"/>
      <c r="S134" s="703" t="n"/>
      <c r="T134" s="703" t="n"/>
      <c r="U134" s="703" t="n"/>
      <c r="V134" s="703" t="n"/>
      <c r="W134" s="703" t="n"/>
      <c r="X134" s="703" t="n"/>
      <c r="Y134" s="703" t="n"/>
      <c r="Z134" s="703" t="n"/>
      <c r="AA134" s="714" t="n">
        <v>16009</v>
      </c>
      <c r="AB134" s="703" t="n"/>
      <c r="AC134" s="703" t="n"/>
      <c r="AD134" s="703" t="n"/>
      <c r="AE134" s="703" t="n"/>
      <c r="AF134" s="703" t="n"/>
      <c r="AG134" s="703" t="n"/>
      <c r="AH134" s="714" t="n">
        <v>78034</v>
      </c>
      <c r="AI134" s="714" t="n">
        <v>66966</v>
      </c>
      <c r="AJ134" s="714" t="n">
        <v>145000</v>
      </c>
      <c r="AK134" s="714" t="n">
        <v>170661</v>
      </c>
      <c r="AL134" s="703" t="n"/>
      <c r="AM134" s="703" t="inlineStr">
        <is>
          <t>Actual 2023; SF not stated; approx total OPX</t>
        </is>
      </c>
      <c r="AN134">
        <f>AND(B134=Subj_OccCode,Subj_BldgSF&gt;0,J134&gt;=Subj_BldgSF*(1-Subj_SizeTol),J134&lt;=Subj_BldgSF*(1+Subj_SizeTol))</f>
        <v/>
      </c>
    </row>
    <row r="135">
      <c r="A135" s="703" t="inlineStr">
        <is>
          <t>P067</t>
        </is>
      </c>
      <c r="B135" s="695" t="n">
        <v>344</v>
      </c>
      <c r="C135" s="703" t="inlineStr">
        <is>
          <t>R0189338</t>
        </is>
      </c>
      <c r="D135" s="703" t="inlineStr">
        <is>
          <t>203 Telluride St</t>
        </is>
      </c>
      <c r="E135" s="703" t="inlineStr">
        <is>
          <t>Aurora</t>
        </is>
      </c>
      <c r="F135" s="703" t="inlineStr">
        <is>
          <t>CO</t>
        </is>
      </c>
      <c r="G135" s="703" t="inlineStr">
        <is>
          <t>Office</t>
        </is>
      </c>
      <c r="H135" s="703" t="inlineStr">
        <is>
          <t>Multi-Tenant Office</t>
        </is>
      </c>
      <c r="I135" s="703" t="n"/>
      <c r="J135" s="703" t="n"/>
      <c r="K135" s="703" t="n">
        <v>2024</v>
      </c>
      <c r="L135" s="714" t="n">
        <v>357674</v>
      </c>
      <c r="M135" s="703" t="n"/>
      <c r="N135" s="714" t="n">
        <v>335977</v>
      </c>
      <c r="O135" s="714" t="n">
        <v>9791</v>
      </c>
      <c r="P135" s="714" t="n">
        <v>7884</v>
      </c>
      <c r="Q135" s="703" t="n"/>
      <c r="R135" s="703" t="n"/>
      <c r="S135" s="703" t="n"/>
      <c r="T135" s="703" t="n"/>
      <c r="U135" s="703" t="n"/>
      <c r="V135" s="703" t="n"/>
      <c r="W135" s="703" t="n"/>
      <c r="X135" s="714" t="n">
        <v>41510</v>
      </c>
      <c r="Y135" s="714" t="n">
        <v>41510</v>
      </c>
      <c r="Z135" s="703" t="n"/>
      <c r="AA135" s="714" t="n">
        <v>12092</v>
      </c>
      <c r="AB135" s="703" t="n"/>
      <c r="AC135" s="703" t="n"/>
      <c r="AD135" s="703" t="n"/>
      <c r="AE135" s="703" t="n"/>
      <c r="AF135" s="714" t="n">
        <v>9302</v>
      </c>
      <c r="AG135" s="714" t="n">
        <v>10772</v>
      </c>
      <c r="AH135" s="714" t="n">
        <v>109544</v>
      </c>
      <c r="AI135" s="714" t="n">
        <v>68307</v>
      </c>
      <c r="AJ135" s="714" t="n">
        <v>177851</v>
      </c>
      <c r="AK135" s="714" t="n">
        <v>158126</v>
      </c>
      <c r="AL135" s="703" t="n"/>
      <c r="AM135" s="703" t="inlineStr">
        <is>
          <t>Actual 2024; SF not stated</t>
        </is>
      </c>
      <c r="AN135">
        <f>AND(B135=Subj_OccCode,Subj_BldgSF&gt;0,J135&gt;=Subj_BldgSF*(1-Subj_SizeTol),J135&lt;=Subj_BldgSF*(1+Subj_SizeTol))</f>
        <v/>
      </c>
    </row>
    <row r="136">
      <c r="A136" s="703" t="inlineStr">
        <is>
          <t>P068</t>
        </is>
      </c>
      <c r="B136" s="695" t="n">
        <v>344</v>
      </c>
      <c r="C136" s="703" t="inlineStr">
        <is>
          <t>R0193830</t>
        </is>
      </c>
      <c r="D136" s="703" t="inlineStr">
        <is>
          <t>Justice Center Office Plaza</t>
        </is>
      </c>
      <c r="E136" s="703" t="inlineStr">
        <is>
          <t>Denver</t>
        </is>
      </c>
      <c r="F136" s="703" t="inlineStr">
        <is>
          <t>CO</t>
        </is>
      </c>
      <c r="G136" s="703" t="inlineStr">
        <is>
          <t>Office</t>
        </is>
      </c>
      <c r="H136" s="703" t="inlineStr">
        <is>
          <t>Multi-Tenant Office NNN</t>
        </is>
      </c>
      <c r="I136" s="703" t="n"/>
      <c r="J136" s="703" t="n">
        <v>41979</v>
      </c>
      <c r="K136" s="703" t="n">
        <v>2023</v>
      </c>
      <c r="L136" s="714" t="n">
        <v>975573</v>
      </c>
      <c r="M136" s="703" t="n"/>
      <c r="N136" s="714" t="n">
        <v>1351329</v>
      </c>
      <c r="O136" s="714" t="n">
        <v>30649</v>
      </c>
      <c r="P136" s="714" t="n">
        <v>86480</v>
      </c>
      <c r="Q136" s="703" t="n"/>
      <c r="R136" s="703" t="n"/>
      <c r="S136" s="703" t="n"/>
      <c r="T136" s="703" t="n"/>
      <c r="U136" s="703" t="n"/>
      <c r="V136" s="703" t="n"/>
      <c r="W136" s="703" t="n"/>
      <c r="X136" s="714" t="n">
        <v>136077</v>
      </c>
      <c r="Y136" s="714" t="n">
        <v>136077</v>
      </c>
      <c r="Z136" s="703" t="n"/>
      <c r="AA136" s="703" t="n"/>
      <c r="AB136" s="703" t="n"/>
      <c r="AC136" s="703" t="n"/>
      <c r="AD136" s="703" t="n"/>
      <c r="AE136" s="703" t="n"/>
      <c r="AF136" s="714" t="n">
        <v>144650</v>
      </c>
      <c r="AG136" s="714" t="n">
        <v>24922</v>
      </c>
      <c r="AH136" s="714" t="n">
        <v>422677</v>
      </c>
      <c r="AI136" s="714" t="n">
        <v>86236</v>
      </c>
      <c r="AJ136" s="714" t="n">
        <v>508913</v>
      </c>
      <c r="AK136" s="714" t="n">
        <v>842416</v>
      </c>
      <c r="AL136" s="703" t="n"/>
      <c r="AM136" s="703" t="inlineStr">
        <is>
          <t>Actual accrual; govt tenants; 100% occ NNN; special assessments in Other</t>
        </is>
      </c>
      <c r="AN136">
        <f>AND(B136=Subj_OccCode,Subj_BldgSF&gt;0,J136&gt;=Subj_BldgSF*(1-Subj_SizeTol),J136&lt;=Subj_BldgSF*(1+Subj_SizeTol))</f>
        <v/>
      </c>
    </row>
    <row r="137">
      <c r="A137" s="703" t="inlineStr">
        <is>
          <t>P068</t>
        </is>
      </c>
      <c r="B137" s="695" t="n">
        <v>344</v>
      </c>
      <c r="C137" s="703" t="inlineStr">
        <is>
          <t>R0193830</t>
        </is>
      </c>
      <c r="D137" s="703" t="inlineStr">
        <is>
          <t>Justice Center Office Plaza</t>
        </is>
      </c>
      <c r="E137" s="703" t="inlineStr">
        <is>
          <t>Denver</t>
        </is>
      </c>
      <c r="F137" s="703" t="inlineStr">
        <is>
          <t>CO</t>
        </is>
      </c>
      <c r="G137" s="703" t="inlineStr">
        <is>
          <t>Office</t>
        </is>
      </c>
      <c r="H137" s="703" t="inlineStr">
        <is>
          <t>Multi-Tenant Office NNN</t>
        </is>
      </c>
      <c r="I137" s="703" t="n"/>
      <c r="J137" s="703" t="n">
        <v>41979</v>
      </c>
      <c r="K137" s="703" t="n">
        <v>2024</v>
      </c>
      <c r="L137" s="714" t="n">
        <v>858704</v>
      </c>
      <c r="M137" s="703" t="n"/>
      <c r="N137" s="714" t="n">
        <v>1393201</v>
      </c>
      <c r="O137" s="714" t="n">
        <v>34798</v>
      </c>
      <c r="P137" s="714" t="n">
        <v>89439</v>
      </c>
      <c r="Q137" s="703" t="n"/>
      <c r="R137" s="703" t="n"/>
      <c r="S137" s="703" t="n"/>
      <c r="T137" s="703" t="n"/>
      <c r="U137" s="703" t="n"/>
      <c r="V137" s="703" t="n"/>
      <c r="W137" s="703" t="n"/>
      <c r="X137" s="714" t="n">
        <v>116522</v>
      </c>
      <c r="Y137" s="714" t="n">
        <v>116522</v>
      </c>
      <c r="Z137" s="703" t="n"/>
      <c r="AA137" s="703" t="n"/>
      <c r="AB137" s="703" t="n"/>
      <c r="AC137" s="703" t="n"/>
      <c r="AD137" s="703" t="n"/>
      <c r="AE137" s="703" t="n"/>
      <c r="AF137" s="714" t="n">
        <v>150007</v>
      </c>
      <c r="AG137" s="714" t="n">
        <v>29708</v>
      </c>
      <c r="AH137" s="714" t="n">
        <v>425475</v>
      </c>
      <c r="AI137" s="714" t="n">
        <v>86738</v>
      </c>
      <c r="AJ137" s="714" t="n">
        <v>512213</v>
      </c>
      <c r="AK137" s="714" t="n">
        <v>880988</v>
      </c>
      <c r="AL137" s="703" t="n"/>
      <c r="AM137" s="703" t="inlineStr">
        <is>
          <t>Actual accrual; govt tenants; 100% occ NNN; special assessments in Other</t>
        </is>
      </c>
      <c r="AN137">
        <f>AND(B137=Subj_OccCode,Subj_BldgSF&gt;0,J137&gt;=Subj_BldgSF*(1-Subj_SizeTol),J137&lt;=Subj_BldgSF*(1+Subj_SizeTol))</f>
        <v/>
      </c>
    </row>
    <row r="138">
      <c r="A138" s="703" t="inlineStr">
        <is>
          <t>P069</t>
        </is>
      </c>
      <c r="B138" s="695" t="n">
        <v>210</v>
      </c>
      <c r="C138" s="703" t="inlineStr">
        <is>
          <t>R0098223</t>
        </is>
      </c>
      <c r="D138" s="703" t="inlineStr">
        <is>
          <t>Washington Commerce Center</t>
        </is>
      </c>
      <c r="E138" s="703" t="inlineStr">
        <is>
          <t>Commerce City</t>
        </is>
      </c>
      <c r="F138" s="703" t="inlineStr">
        <is>
          <t>CO</t>
        </is>
      </c>
      <c r="G138" s="703" t="inlineStr">
        <is>
          <t>Office/Industrial</t>
        </is>
      </c>
      <c r="H138" s="703" t="inlineStr">
        <is>
          <t>Multi-Tenant Office/Industrial</t>
        </is>
      </c>
      <c r="I138" s="703" t="n"/>
      <c r="J138" s="703" t="n">
        <v>278538</v>
      </c>
      <c r="K138" s="703" t="n">
        <v>2023</v>
      </c>
      <c r="L138" s="714" t="n">
        <v>1636029</v>
      </c>
      <c r="M138" s="703" t="n"/>
      <c r="N138" s="714" t="n">
        <v>1610567</v>
      </c>
      <c r="O138" s="714" t="n">
        <v>5093</v>
      </c>
      <c r="P138" s="714" t="n">
        <v>21945</v>
      </c>
      <c r="Q138" s="703" t="n"/>
      <c r="R138" s="703" t="n"/>
      <c r="S138" s="703" t="n"/>
      <c r="T138" s="703" t="n"/>
      <c r="U138" s="703" t="n"/>
      <c r="V138" s="703" t="n"/>
      <c r="W138" s="703" t="n"/>
      <c r="X138" s="714" t="n">
        <v>256338</v>
      </c>
      <c r="Y138" s="714" t="n">
        <v>256338</v>
      </c>
      <c r="Z138" s="703" t="n"/>
      <c r="AA138" s="714" t="n">
        <v>58025</v>
      </c>
      <c r="AB138" s="714" t="n">
        <v>3239</v>
      </c>
      <c r="AC138" s="714" t="n">
        <v>61264</v>
      </c>
      <c r="AD138" s="703" t="n"/>
      <c r="AE138" s="703" t="n"/>
      <c r="AF138" s="714" t="n">
        <v>31915</v>
      </c>
      <c r="AG138" s="703" t="n"/>
      <c r="AH138" s="714" t="n">
        <v>375619</v>
      </c>
      <c r="AI138" s="714" t="n">
        <v>0</v>
      </c>
      <c r="AJ138" s="714" t="n">
        <v>375619</v>
      </c>
      <c r="AK138" s="714" t="n">
        <v>76629</v>
      </c>
      <c r="AL138" s="703" t="n"/>
      <c r="AM138" s="703" t="inlineStr">
        <is>
          <t>Actual; tenants pay RE tax; high R&amp;M 2023 ($127k major maint); SF est.</t>
        </is>
      </c>
      <c r="AN138">
        <f>AND(B138=Subj_OccCode,Subj_BldgSF&gt;0,J138&gt;=Subj_BldgSF*(1-Subj_SizeTol),J138&lt;=Subj_BldgSF*(1+Subj_SizeTol))</f>
        <v/>
      </c>
    </row>
    <row r="139">
      <c r="A139" s="703" t="inlineStr">
        <is>
          <t>P069</t>
        </is>
      </c>
      <c r="B139" s="695" t="n">
        <v>210</v>
      </c>
      <c r="C139" s="703" t="inlineStr">
        <is>
          <t>R0098223</t>
        </is>
      </c>
      <c r="D139" s="703" t="inlineStr">
        <is>
          <t>Washington Commerce Center</t>
        </is>
      </c>
      <c r="E139" s="703" t="inlineStr">
        <is>
          <t>Commerce City</t>
        </is>
      </c>
      <c r="F139" s="703" t="inlineStr">
        <is>
          <t>CO</t>
        </is>
      </c>
      <c r="G139" s="703" t="inlineStr">
        <is>
          <t>Office/Industrial</t>
        </is>
      </c>
      <c r="H139" s="703" t="inlineStr">
        <is>
          <t>Multi-Tenant Office/Industrial</t>
        </is>
      </c>
      <c r="I139" s="703" t="n"/>
      <c r="J139" s="703" t="n">
        <v>278538</v>
      </c>
      <c r="K139" s="703" t="n">
        <v>2024</v>
      </c>
      <c r="L139" s="714" t="n">
        <v>1520916</v>
      </c>
      <c r="M139" s="703" t="n"/>
      <c r="N139" s="714" t="n">
        <v>1520916</v>
      </c>
      <c r="O139" s="714" t="n">
        <v>8912</v>
      </c>
      <c r="P139" s="714" t="n">
        <v>25573</v>
      </c>
      <c r="Q139" s="703" t="n"/>
      <c r="R139" s="703" t="n"/>
      <c r="S139" s="703" t="n"/>
      <c r="T139" s="703" t="n"/>
      <c r="U139" s="703" t="n"/>
      <c r="V139" s="703" t="n"/>
      <c r="W139" s="703" t="n"/>
      <c r="X139" s="714" t="n">
        <v>125263</v>
      </c>
      <c r="Y139" s="714" t="n">
        <v>125263</v>
      </c>
      <c r="Z139" s="703" t="n"/>
      <c r="AA139" s="714" t="n">
        <v>58025</v>
      </c>
      <c r="AB139" s="714" t="n">
        <v>9957</v>
      </c>
      <c r="AC139" s="714" t="n">
        <v>67982</v>
      </c>
      <c r="AD139" s="703" t="n"/>
      <c r="AE139" s="703" t="n"/>
      <c r="AF139" s="714" t="n">
        <v>31915</v>
      </c>
      <c r="AG139" s="703" t="n"/>
      <c r="AH139" s="714" t="n">
        <v>259645</v>
      </c>
      <c r="AI139" s="714" t="n">
        <v>0</v>
      </c>
      <c r="AJ139" s="714" t="n">
        <v>259645</v>
      </c>
      <c r="AK139" s="714" t="n">
        <v>93985</v>
      </c>
      <c r="AL139" s="703" t="n"/>
      <c r="AM139" s="703" t="inlineStr">
        <is>
          <t>Actual; tenants pay RE tax; lower R&amp;M 2024; SF est.</t>
        </is>
      </c>
      <c r="AN139">
        <f>AND(B139=Subj_OccCode,Subj_BldgSF&gt;0,J139&gt;=Subj_BldgSF*(1-Subj_SizeTol),J139&lt;=Subj_BldgSF*(1+Subj_SizeTol))</f>
        <v/>
      </c>
    </row>
    <row r="140">
      <c r="A140" s="703" t="inlineStr">
        <is>
          <t>P070</t>
        </is>
      </c>
      <c r="B140" s="695" t="n">
        <v>210</v>
      </c>
      <c r="C140" s="703" t="inlineStr">
        <is>
          <t>R0084242</t>
        </is>
      </c>
      <c r="D140" s="703" t="inlineStr">
        <is>
          <t>Upland Dist Ctr I (Bldg 1)</t>
        </is>
      </c>
      <c r="E140" s="703" t="inlineStr">
        <is>
          <t>Aurora</t>
        </is>
      </c>
      <c r="F140" s="703" t="inlineStr">
        <is>
          <t>CO</t>
        </is>
      </c>
      <c r="G140" s="703" t="inlineStr">
        <is>
          <t>Industrial</t>
        </is>
      </c>
      <c r="H140" s="703" t="inlineStr">
        <is>
          <t>Multi-Tenant Industrial NNN</t>
        </is>
      </c>
      <c r="I140" s="703" t="n"/>
      <c r="J140" s="703" t="n"/>
      <c r="K140" s="703" t="n">
        <v>2024</v>
      </c>
      <c r="L140" s="714" t="n">
        <v>693913</v>
      </c>
      <c r="M140" s="703" t="n"/>
      <c r="N140" s="714" t="n">
        <v>1038740</v>
      </c>
      <c r="O140" s="714" t="n">
        <v>10142</v>
      </c>
      <c r="P140" s="714" t="n">
        <v>11589</v>
      </c>
      <c r="Q140" s="703" t="n"/>
      <c r="R140" s="703" t="n"/>
      <c r="S140" s="714" t="n">
        <v>10801</v>
      </c>
      <c r="T140" s="714" t="n">
        <v>2121</v>
      </c>
      <c r="U140" s="703" t="n"/>
      <c r="V140" s="703" t="n"/>
      <c r="W140" s="703" t="n"/>
      <c r="X140" s="714" t="n">
        <v>1602</v>
      </c>
      <c r="Y140" s="714" t="n">
        <v>14524</v>
      </c>
      <c r="Z140" s="703" t="n"/>
      <c r="AA140" s="714" t="n">
        <v>10822</v>
      </c>
      <c r="AB140" s="714" t="n">
        <v>32162</v>
      </c>
      <c r="AC140" s="714" t="n">
        <v>3096</v>
      </c>
      <c r="AD140" s="714" t="n">
        <v>10863</v>
      </c>
      <c r="AE140" s="703" t="n"/>
      <c r="AF140" s="714" t="n">
        <v>10863</v>
      </c>
      <c r="AG140" s="703" t="n"/>
      <c r="AH140" s="714" t="n">
        <v>103843</v>
      </c>
      <c r="AI140" s="714" t="n">
        <v>285245</v>
      </c>
      <c r="AJ140" s="714" t="n">
        <v>389088</v>
      </c>
      <c r="AK140" s="714" t="n">
        <v>649652</v>
      </c>
      <c r="AL140" s="703" t="n"/>
      <c r="AM140" s="703" t="inlineStr">
        <is>
          <t>Link Logistics actual accrual; security $3,096 in contract; mgmt non-billable</t>
        </is>
      </c>
      <c r="AN140">
        <f>AND(B140=Subj_OccCode,Subj_BldgSF&gt;0,J140&gt;=Subj_BldgSF*(1-Subj_SizeTol),J140&lt;=Subj_BldgSF*(1+Subj_SizeTol))</f>
        <v/>
      </c>
    </row>
    <row r="141">
      <c r="A141" s="703" t="inlineStr">
        <is>
          <t>P070</t>
        </is>
      </c>
      <c r="B141" s="695" t="n">
        <v>210</v>
      </c>
      <c r="C141" s="703" t="inlineStr">
        <is>
          <t>R0084242</t>
        </is>
      </c>
      <c r="D141" s="703" t="inlineStr">
        <is>
          <t>Upland Dist Ctr I (Bldg 1)</t>
        </is>
      </c>
      <c r="E141" s="703" t="inlineStr">
        <is>
          <t>Aurora</t>
        </is>
      </c>
      <c r="F141" s="703" t="inlineStr">
        <is>
          <t>CO</t>
        </is>
      </c>
      <c r="G141" s="703" t="inlineStr">
        <is>
          <t>Industrial</t>
        </is>
      </c>
      <c r="H141" s="703" t="inlineStr">
        <is>
          <t>Multi-Tenant Industrial NNN</t>
        </is>
      </c>
      <c r="I141" s="703" t="n"/>
      <c r="J141" s="703" t="n"/>
      <c r="K141" s="703" t="n">
        <v>2023</v>
      </c>
      <c r="L141" s="714" t="n">
        <v>636291</v>
      </c>
      <c r="M141" s="703" t="n"/>
      <c r="N141" s="714" t="n">
        <v>1062200</v>
      </c>
      <c r="O141" s="714" t="n">
        <v>7751</v>
      </c>
      <c r="P141" s="714" t="n">
        <v>9831</v>
      </c>
      <c r="Q141" s="703" t="n"/>
      <c r="R141" s="703" t="n"/>
      <c r="S141" s="714" t="n">
        <v>6802</v>
      </c>
      <c r="T141" s="714" t="n">
        <v>2340</v>
      </c>
      <c r="U141" s="703" t="n"/>
      <c r="V141" s="703" t="n"/>
      <c r="W141" s="703" t="n"/>
      <c r="X141" s="714" t="n">
        <v>1498</v>
      </c>
      <c r="Y141" s="714" t="n">
        <v>10640</v>
      </c>
      <c r="Z141" s="703" t="n"/>
      <c r="AA141" s="714" t="n">
        <v>12695</v>
      </c>
      <c r="AB141" s="714" t="n">
        <v>15327</v>
      </c>
      <c r="AC141" s="714" t="n">
        <v>3871</v>
      </c>
      <c r="AD141" s="714" t="n">
        <v>18104</v>
      </c>
      <c r="AE141" s="703" t="n"/>
      <c r="AF141" s="714" t="n">
        <v>18104</v>
      </c>
      <c r="AG141" s="703" t="n"/>
      <c r="AH141" s="714" t="n">
        <v>93172</v>
      </c>
      <c r="AI141" s="714" t="n">
        <v>284308</v>
      </c>
      <c r="AJ141" s="714" t="n">
        <v>377480</v>
      </c>
      <c r="AK141" s="714" t="n">
        <v>684720</v>
      </c>
      <c r="AL141" s="703" t="n"/>
      <c r="AM141" s="703" t="inlineStr">
        <is>
          <t>Link Logistics actual accrual; security $3,871 in contract; mgmt non-billable</t>
        </is>
      </c>
      <c r="AN141">
        <f>AND(B141=Subj_OccCode,Subj_BldgSF&gt;0,J141&gt;=Subj_BldgSF*(1-Subj_SizeTol),J141&lt;=Subj_BldgSF*(1+Subj_SizeTol))</f>
        <v/>
      </c>
    </row>
    <row r="142">
      <c r="A142" s="703" t="inlineStr">
        <is>
          <t>P071</t>
        </is>
      </c>
      <c r="B142" s="695" t="n">
        <v>210</v>
      </c>
      <c r="C142" s="703" t="inlineStr">
        <is>
          <t>R0084243</t>
        </is>
      </c>
      <c r="D142" s="703" t="inlineStr">
        <is>
          <t>Upland Dist Ctr I (Bldg 2)</t>
        </is>
      </c>
      <c r="E142" s="703" t="inlineStr">
        <is>
          <t>Aurora</t>
        </is>
      </c>
      <c r="F142" s="703" t="inlineStr">
        <is>
          <t>CO</t>
        </is>
      </c>
      <c r="G142" s="703" t="inlineStr">
        <is>
          <t>Industrial</t>
        </is>
      </c>
      <c r="H142" s="703" t="inlineStr">
        <is>
          <t>Multi-Tenant Industrial NNN</t>
        </is>
      </c>
      <c r="I142" s="703" t="n"/>
      <c r="J142" s="703" t="n"/>
      <c r="K142" s="703" t="n">
        <v>2024</v>
      </c>
      <c r="L142" s="714" t="n">
        <v>559154</v>
      </c>
      <c r="M142" s="703" t="n"/>
      <c r="N142" s="714" t="n">
        <v>904777</v>
      </c>
      <c r="O142" s="714" t="n">
        <v>9318</v>
      </c>
      <c r="P142" s="714" t="n">
        <v>8966</v>
      </c>
      <c r="Q142" s="703" t="n"/>
      <c r="R142" s="703" t="n"/>
      <c r="S142" s="714" t="n">
        <v>5962</v>
      </c>
      <c r="T142" s="714" t="n">
        <v>2221</v>
      </c>
      <c r="U142" s="714" t="n">
        <v>2465</v>
      </c>
      <c r="V142" s="703" t="n"/>
      <c r="W142" s="703" t="n"/>
      <c r="X142" s="714" t="n">
        <v>1589</v>
      </c>
      <c r="Y142" s="714" t="n">
        <v>12237</v>
      </c>
      <c r="Z142" s="703" t="n"/>
      <c r="AA142" s="714" t="n">
        <v>11302</v>
      </c>
      <c r="AB142" s="714" t="n">
        <v>32413</v>
      </c>
      <c r="AC142" s="714" t="n">
        <v>3096</v>
      </c>
      <c r="AD142" s="714" t="n">
        <v>23773</v>
      </c>
      <c r="AE142" s="703" t="n"/>
      <c r="AF142" s="714" t="n">
        <v>23773</v>
      </c>
      <c r="AG142" s="703" t="n"/>
      <c r="AH142" s="714" t="n">
        <v>130296</v>
      </c>
      <c r="AI142" s="714" t="n">
        <v>265848</v>
      </c>
      <c r="AJ142" s="714" t="n">
        <v>396144</v>
      </c>
      <c r="AK142" s="714" t="n">
        <v>508633</v>
      </c>
      <c r="AL142" s="703" t="n"/>
      <c r="AM142" s="703" t="inlineStr">
        <is>
          <t>Link Logistics actual accrual</t>
        </is>
      </c>
      <c r="AN142">
        <f>AND(B142=Subj_OccCode,Subj_BldgSF&gt;0,J142&gt;=Subj_BldgSF*(1-Subj_SizeTol),J142&lt;=Subj_BldgSF*(1+Subj_SizeTol))</f>
        <v/>
      </c>
    </row>
    <row r="143">
      <c r="A143" s="703" t="inlineStr">
        <is>
          <t>P071</t>
        </is>
      </c>
      <c r="B143" s="695" t="n">
        <v>210</v>
      </c>
      <c r="C143" s="703" t="inlineStr">
        <is>
          <t>R0084243</t>
        </is>
      </c>
      <c r="D143" s="703" t="inlineStr">
        <is>
          <t>Upland Dist Ctr I (Bldg 2)</t>
        </is>
      </c>
      <c r="E143" s="703" t="inlineStr">
        <is>
          <t>Aurora</t>
        </is>
      </c>
      <c r="F143" s="703" t="inlineStr">
        <is>
          <t>CO</t>
        </is>
      </c>
      <c r="G143" s="703" t="inlineStr">
        <is>
          <t>Industrial</t>
        </is>
      </c>
      <c r="H143" s="703" t="inlineStr">
        <is>
          <t>Multi-Tenant Industrial NNN</t>
        </is>
      </c>
      <c r="I143" s="703" t="n"/>
      <c r="J143" s="703" t="n"/>
      <c r="K143" s="703" t="n">
        <v>2023</v>
      </c>
      <c r="L143" s="714" t="n">
        <v>671895</v>
      </c>
      <c r="M143" s="703" t="n"/>
      <c r="N143" s="714" t="n">
        <v>1034507</v>
      </c>
      <c r="O143" s="714" t="n">
        <v>7124</v>
      </c>
      <c r="P143" s="714" t="n">
        <v>9660</v>
      </c>
      <c r="Q143" s="703" t="n"/>
      <c r="R143" s="703" t="n"/>
      <c r="S143" s="714" t="n">
        <v>5338</v>
      </c>
      <c r="T143" s="714" t="n">
        <v>2480</v>
      </c>
      <c r="U143" s="714" t="n">
        <v>875</v>
      </c>
      <c r="V143" s="703" t="n"/>
      <c r="W143" s="703" t="n"/>
      <c r="X143" s="714" t="n">
        <v>1484</v>
      </c>
      <c r="Y143" s="714" t="n">
        <v>10177</v>
      </c>
      <c r="Z143" s="703" t="n"/>
      <c r="AA143" s="714" t="n">
        <v>8120</v>
      </c>
      <c r="AB143" s="714" t="n">
        <v>15088</v>
      </c>
      <c r="AC143" s="714" t="n">
        <v>3871</v>
      </c>
      <c r="AD143" s="714" t="n">
        <v>13983</v>
      </c>
      <c r="AE143" s="703" t="n"/>
      <c r="AF143" s="714" t="n">
        <v>13983</v>
      </c>
      <c r="AG143" s="703" t="n"/>
      <c r="AH143" s="714" t="n">
        <v>29277</v>
      </c>
      <c r="AI143" s="714" t="n">
        <v>265936</v>
      </c>
      <c r="AJ143" s="714" t="n">
        <v>295213</v>
      </c>
      <c r="AK143" s="714" t="n">
        <v>739294</v>
      </c>
      <c r="AL143" s="703" t="n"/>
      <c r="AM143" s="703" t="inlineStr">
        <is>
          <t>Link Logistics actual accrual</t>
        </is>
      </c>
      <c r="AN143">
        <f>AND(B143=Subj_OccCode,Subj_BldgSF&gt;0,J143&gt;=Subj_BldgSF*(1-Subj_SizeTol),J143&lt;=Subj_BldgSF*(1+Subj_SizeTol))</f>
        <v/>
      </c>
    </row>
    <row r="144">
      <c r="A144" s="703" t="inlineStr">
        <is>
          <t>P072</t>
        </is>
      </c>
      <c r="B144" s="695" t="n">
        <v>210</v>
      </c>
      <c r="C144" s="703" t="inlineStr">
        <is>
          <t>R0084244</t>
        </is>
      </c>
      <c r="D144" s="703" t="inlineStr">
        <is>
          <t>Upland Dist Ctr I (Bldg 3)</t>
        </is>
      </c>
      <c r="E144" s="703" t="inlineStr">
        <is>
          <t>Aurora</t>
        </is>
      </c>
      <c r="F144" s="703" t="inlineStr">
        <is>
          <t>CO</t>
        </is>
      </c>
      <c r="G144" s="703" t="inlineStr">
        <is>
          <t>Industrial</t>
        </is>
      </c>
      <c r="H144" s="703" t="inlineStr">
        <is>
          <t>Multi-Tenant Industrial NNN</t>
        </is>
      </c>
      <c r="I144" s="703" t="n"/>
      <c r="J144" s="703" t="n"/>
      <c r="K144" s="703" t="n">
        <v>2023</v>
      </c>
      <c r="L144" s="714" t="n">
        <v>633240</v>
      </c>
      <c r="M144" s="703" t="n"/>
      <c r="N144" s="714" t="n">
        <v>1026818</v>
      </c>
      <c r="O144" s="714" t="n">
        <v>6101</v>
      </c>
      <c r="P144" s="714" t="n">
        <v>8518</v>
      </c>
      <c r="Q144" s="703" t="n"/>
      <c r="R144" s="703" t="n"/>
      <c r="S144" s="714" t="n">
        <v>32990</v>
      </c>
      <c r="T144" s="714" t="n">
        <v>1965</v>
      </c>
      <c r="U144" s="703" t="n"/>
      <c r="V144" s="703" t="n"/>
      <c r="W144" s="703" t="n"/>
      <c r="X144" s="714" t="n">
        <v>1498</v>
      </c>
      <c r="Y144" s="714" t="n">
        <v>34453</v>
      </c>
      <c r="Z144" s="703" t="n"/>
      <c r="AA144" s="714" t="n">
        <v>11861</v>
      </c>
      <c r="AB144" s="714" t="n">
        <v>15620</v>
      </c>
      <c r="AC144" s="714" t="n">
        <v>3871</v>
      </c>
      <c r="AD144" s="714" t="n">
        <v>5672</v>
      </c>
      <c r="AE144" s="714" t="n">
        <v>3430</v>
      </c>
      <c r="AF144" s="714" t="n">
        <v>9102</v>
      </c>
      <c r="AG144" s="703" t="n"/>
      <c r="AH144" s="714" t="n">
        <v>107544</v>
      </c>
      <c r="AI144" s="714" t="n">
        <v>284308</v>
      </c>
      <c r="AJ144" s="714" t="n">
        <v>391852</v>
      </c>
      <c r="AK144" s="714" t="n">
        <v>634966</v>
      </c>
      <c r="AL144" s="703" t="n"/>
      <c r="AM144" s="703" t="inlineStr">
        <is>
          <t>Link Logistics 2023 only; large warehouse; notable free rent ($111k) and lease-up period</t>
        </is>
      </c>
      <c r="AN144">
        <f>AND(B144=Subj_OccCode,Subj_BldgSF&gt;0,J144&gt;=Subj_BldgSF*(1-Subj_SizeTol),J144&lt;=Subj_BldgSF*(1+Subj_SizeTol))</f>
        <v/>
      </c>
    </row>
    <row r="145">
      <c r="A145" s="703" t="inlineStr">
        <is>
          <t>P073</t>
        </is>
      </c>
      <c r="B145" s="695" t="n">
        <v>210</v>
      </c>
      <c r="C145" s="703" t="inlineStr">
        <is>
          <t>R0084247</t>
        </is>
      </c>
      <c r="D145" s="703" t="inlineStr">
        <is>
          <t>13802 E 33rd Place</t>
        </is>
      </c>
      <c r="E145" s="703" t="inlineStr">
        <is>
          <t>Aurora</t>
        </is>
      </c>
      <c r="F145" s="703" t="inlineStr">
        <is>
          <t>CO</t>
        </is>
      </c>
      <c r="G145" s="703" t="inlineStr">
        <is>
          <t>Industrial</t>
        </is>
      </c>
      <c r="H145" s="703" t="inlineStr">
        <is>
          <t>Multi-Tenant Industrial NNN</t>
        </is>
      </c>
      <c r="I145" s="703" t="n"/>
      <c r="J145" s="703" t="n"/>
      <c r="K145" s="703" t="n">
        <v>2024</v>
      </c>
      <c r="L145" s="714" t="n">
        <v>318721</v>
      </c>
      <c r="M145" s="703" t="n"/>
      <c r="N145" s="714" t="n">
        <v>578332</v>
      </c>
      <c r="O145" s="714" t="n">
        <v>7156</v>
      </c>
      <c r="P145" s="714" t="n">
        <v>5471</v>
      </c>
      <c r="Q145" s="703" t="n"/>
      <c r="R145" s="703" t="n"/>
      <c r="S145" s="714" t="n">
        <v>8874</v>
      </c>
      <c r="T145" s="714" t="n">
        <v>1655</v>
      </c>
      <c r="U145" s="703" t="n"/>
      <c r="V145" s="703" t="n"/>
      <c r="W145" s="703" t="n"/>
      <c r="X145" s="714" t="n">
        <v>1556</v>
      </c>
      <c r="Y145" s="714" t="n">
        <v>12085</v>
      </c>
      <c r="Z145" s="703" t="n"/>
      <c r="AA145" s="714" t="n">
        <v>9686</v>
      </c>
      <c r="AB145" s="714" t="n">
        <v>20653</v>
      </c>
      <c r="AC145" s="714" t="n">
        <v>6987</v>
      </c>
      <c r="AD145" s="714" t="n">
        <v>10547</v>
      </c>
      <c r="AE145" s="714" t="n">
        <v>1600</v>
      </c>
      <c r="AF145" s="714" t="n">
        <v>12147</v>
      </c>
      <c r="AG145" s="703" t="n"/>
      <c r="AH145" s="714" t="n">
        <v>91002</v>
      </c>
      <c r="AI145" s="714" t="n">
        <v>204010</v>
      </c>
      <c r="AJ145" s="714" t="n">
        <v>295012</v>
      </c>
      <c r="AK145" s="714" t="n">
        <v>283320</v>
      </c>
      <c r="AL145" s="703" t="n"/>
      <c r="AM145" s="703" t="inlineStr">
        <is>
          <t>Link Logistics actual accrual</t>
        </is>
      </c>
      <c r="AN145">
        <f>AND(B145=Subj_OccCode,Subj_BldgSF&gt;0,J145&gt;=Subj_BldgSF*(1-Subj_SizeTol),J145&lt;=Subj_BldgSF*(1+Subj_SizeTol))</f>
        <v/>
      </c>
    </row>
    <row r="146">
      <c r="A146" s="703" t="inlineStr">
        <is>
          <t>P073</t>
        </is>
      </c>
      <c r="B146" s="695" t="n">
        <v>210</v>
      </c>
      <c r="C146" s="703" t="inlineStr">
        <is>
          <t>R0084247</t>
        </is>
      </c>
      <c r="D146" s="703" t="inlineStr">
        <is>
          <t>13802 E 33rd Place</t>
        </is>
      </c>
      <c r="E146" s="703" t="inlineStr">
        <is>
          <t>Aurora</t>
        </is>
      </c>
      <c r="F146" s="703" t="inlineStr">
        <is>
          <t>CO</t>
        </is>
      </c>
      <c r="G146" s="703" t="inlineStr">
        <is>
          <t>Industrial</t>
        </is>
      </c>
      <c r="H146" s="703" t="inlineStr">
        <is>
          <t>Multi-Tenant Industrial NNN</t>
        </is>
      </c>
      <c r="I146" s="703" t="n"/>
      <c r="J146" s="703" t="n"/>
      <c r="K146" s="703" t="n">
        <v>2023</v>
      </c>
      <c r="L146" s="714" t="n">
        <v>394581</v>
      </c>
      <c r="M146" s="703" t="n"/>
      <c r="N146" s="714" t="n">
        <v>671481</v>
      </c>
      <c r="O146" s="714" t="n">
        <v>6075</v>
      </c>
      <c r="P146" s="714" t="n">
        <v>5987</v>
      </c>
      <c r="Q146" s="703" t="n"/>
      <c r="R146" s="703" t="n"/>
      <c r="S146" s="714" t="n">
        <v>7762</v>
      </c>
      <c r="T146" s="714" t="n">
        <v>1575</v>
      </c>
      <c r="U146" s="703" t="n"/>
      <c r="V146" s="703" t="n"/>
      <c r="W146" s="703" t="n"/>
      <c r="X146" s="714" t="n">
        <v>1452</v>
      </c>
      <c r="Y146" s="714" t="n">
        <v>10789</v>
      </c>
      <c r="Z146" s="703" t="n"/>
      <c r="AA146" s="714" t="n">
        <v>11249</v>
      </c>
      <c r="AB146" s="714" t="n">
        <v>12318</v>
      </c>
      <c r="AC146" s="714" t="n">
        <v>6967</v>
      </c>
      <c r="AD146" s="714" t="n">
        <v>11424</v>
      </c>
      <c r="AE146" s="714" t="n">
        <v>1898</v>
      </c>
      <c r="AF146" s="714" t="n">
        <v>13322</v>
      </c>
      <c r="AG146" s="703" t="n"/>
      <c r="AH146" s="714" t="n">
        <v>37127</v>
      </c>
      <c r="AI146" s="714" t="n">
        <v>204497</v>
      </c>
      <c r="AJ146" s="714" t="n">
        <v>241624</v>
      </c>
      <c r="AK146" s="714" t="n">
        <v>429857</v>
      </c>
      <c r="AL146" s="703" t="n"/>
      <c r="AM146" s="703" t="inlineStr">
        <is>
          <t>Link Logistics actual accrual</t>
        </is>
      </c>
      <c r="AN146">
        <f>AND(B146=Subj_OccCode,Subj_BldgSF&gt;0,J146&gt;=Subj_BldgSF*(1-Subj_SizeTol),J146&lt;=Subj_BldgSF*(1+Subj_SizeTol))</f>
        <v/>
      </c>
    </row>
    <row r="147">
      <c r="A147" s="703" t="inlineStr">
        <is>
          <t>P074</t>
        </is>
      </c>
      <c r="B147" s="695" t="n">
        <v>210</v>
      </c>
      <c r="C147" s="703" t="inlineStr">
        <is>
          <t>R0084248</t>
        </is>
      </c>
      <c r="D147" s="703" t="inlineStr">
        <is>
          <t>14002 E 33rd Place</t>
        </is>
      </c>
      <c r="E147" s="703" t="inlineStr">
        <is>
          <t>Aurora</t>
        </is>
      </c>
      <c r="F147" s="703" t="inlineStr">
        <is>
          <t>CO</t>
        </is>
      </c>
      <c r="G147" s="703" t="inlineStr">
        <is>
          <t>Industrial</t>
        </is>
      </c>
      <c r="H147" s="703" t="inlineStr">
        <is>
          <t>Multi-Tenant Industrial NNN</t>
        </is>
      </c>
      <c r="I147" s="703" t="n"/>
      <c r="J147" s="703" t="n"/>
      <c r="K147" s="703" t="n">
        <v>2024</v>
      </c>
      <c r="L147" s="714" t="n">
        <v>352733</v>
      </c>
      <c r="M147" s="703" t="n"/>
      <c r="N147" s="714" t="n">
        <v>649568</v>
      </c>
      <c r="O147" s="714" t="n">
        <v>6988</v>
      </c>
      <c r="P147" s="714" t="n">
        <v>6207</v>
      </c>
      <c r="Q147" s="703" t="n"/>
      <c r="R147" s="703" t="n"/>
      <c r="S147" s="714" t="n">
        <v>16981</v>
      </c>
      <c r="T147" s="714" t="n">
        <v>1800</v>
      </c>
      <c r="U147" s="703" t="n"/>
      <c r="V147" s="703" t="n"/>
      <c r="W147" s="703" t="n"/>
      <c r="X147" s="714" t="n">
        <v>1556</v>
      </c>
      <c r="Y147" s="714" t="n">
        <v>20337</v>
      </c>
      <c r="Z147" s="703" t="n"/>
      <c r="AA147" s="714" t="n">
        <v>8036</v>
      </c>
      <c r="AB147" s="714" t="n">
        <v>22795</v>
      </c>
      <c r="AC147" s="714" t="n">
        <v>6988</v>
      </c>
      <c r="AD147" s="714" t="n">
        <v>8875</v>
      </c>
      <c r="AE147" s="703" t="n"/>
      <c r="AF147" s="714" t="n">
        <v>8875</v>
      </c>
      <c r="AG147" s="703" t="n"/>
      <c r="AH147" s="714" t="n">
        <v>94654</v>
      </c>
      <c r="AI147" s="714" t="n">
        <v>204010</v>
      </c>
      <c r="AJ147" s="714" t="n">
        <v>298664</v>
      </c>
      <c r="AK147" s="714" t="n">
        <v>350904</v>
      </c>
      <c r="AL147" s="703" t="n"/>
      <c r="AM147" s="703" t="inlineStr">
        <is>
          <t>Link Logistics actual; 2023 RE tax net $53k refund; 2024 normal rate</t>
        </is>
      </c>
      <c r="AN147">
        <f>AND(B147=Subj_OccCode,Subj_BldgSF&gt;0,J147&gt;=Subj_BldgSF*(1-Subj_SizeTol),J147&lt;=Subj_BldgSF*(1+Subj_SizeTol))</f>
        <v/>
      </c>
    </row>
    <row r="148">
      <c r="A148" s="703" t="inlineStr">
        <is>
          <t>P074</t>
        </is>
      </c>
      <c r="B148" s="695" t="n">
        <v>210</v>
      </c>
      <c r="C148" s="703" t="inlineStr">
        <is>
          <t>R0084248</t>
        </is>
      </c>
      <c r="D148" s="703" t="inlineStr">
        <is>
          <t>14002 E 33rd Place</t>
        </is>
      </c>
      <c r="E148" s="703" t="inlineStr">
        <is>
          <t>Aurora</t>
        </is>
      </c>
      <c r="F148" s="703" t="inlineStr">
        <is>
          <t>CO</t>
        </is>
      </c>
      <c r="G148" s="703" t="inlineStr">
        <is>
          <t>Industrial</t>
        </is>
      </c>
      <c r="H148" s="703" t="inlineStr">
        <is>
          <t>Multi-Tenant Industrial NNN</t>
        </is>
      </c>
      <c r="I148" s="703" t="n"/>
      <c r="J148" s="703" t="n"/>
      <c r="K148" s="703" t="n">
        <v>2023</v>
      </c>
      <c r="L148" s="714" t="n">
        <v>345583</v>
      </c>
      <c r="M148" s="703" t="n"/>
      <c r="N148" s="714" t="n">
        <v>582999</v>
      </c>
      <c r="O148" s="714" t="n">
        <v>6051</v>
      </c>
      <c r="P148" s="714" t="n">
        <v>6115</v>
      </c>
      <c r="Q148" s="703" t="n"/>
      <c r="R148" s="703" t="n"/>
      <c r="S148" s="714" t="n">
        <v>4932</v>
      </c>
      <c r="T148" s="714" t="n">
        <v>1822</v>
      </c>
      <c r="U148" s="703" t="n"/>
      <c r="V148" s="703" t="n"/>
      <c r="W148" s="703" t="n"/>
      <c r="X148" s="714" t="n">
        <v>1452</v>
      </c>
      <c r="Y148" s="714" t="n">
        <v>8206</v>
      </c>
      <c r="Z148" s="703" t="n"/>
      <c r="AA148" s="714" t="n">
        <v>6275</v>
      </c>
      <c r="AB148" s="714" t="n">
        <v>13573</v>
      </c>
      <c r="AC148" s="714" t="n">
        <v>6967</v>
      </c>
      <c r="AD148" s="714" t="n">
        <v>11933</v>
      </c>
      <c r="AE148" s="703" t="n"/>
      <c r="AF148" s="714" t="n">
        <v>11933</v>
      </c>
      <c r="AG148" s="703" t="n"/>
      <c r="AH148" s="714" t="n">
        <v>71541</v>
      </c>
      <c r="AI148" s="714" t="n">
        <v>162088</v>
      </c>
      <c r="AJ148" s="714" t="n">
        <v>233629</v>
      </c>
      <c r="AK148" s="714" t="n">
        <v>349370</v>
      </c>
      <c r="AL148" s="703" t="n"/>
      <c r="AM148" s="703" t="inlineStr">
        <is>
          <t>Link Logistics actual; 2023 RE tax net $53k refund; 2024 normal rate</t>
        </is>
      </c>
      <c r="AN148">
        <f>AND(B148=Subj_OccCode,Subj_BldgSF&gt;0,J148&gt;=Subj_BldgSF*(1-Subj_SizeTol),J148&lt;=Subj_BldgSF*(1+Subj_SizeTol))</f>
        <v/>
      </c>
    </row>
    <row r="149">
      <c r="A149" s="703" t="inlineStr">
        <is>
          <t>P075</t>
        </is>
      </c>
      <c r="B149" s="695" t="n">
        <v>210</v>
      </c>
      <c r="C149" s="703" t="inlineStr">
        <is>
          <t>R0084250</t>
        </is>
      </c>
      <c r="D149" s="703" t="inlineStr">
        <is>
          <t>3250 Abilene Street</t>
        </is>
      </c>
      <c r="E149" s="703" t="inlineStr">
        <is>
          <t>Aurora</t>
        </is>
      </c>
      <c r="F149" s="703" t="inlineStr">
        <is>
          <t>CO</t>
        </is>
      </c>
      <c r="G149" s="703" t="inlineStr">
        <is>
          <t>Industrial</t>
        </is>
      </c>
      <c r="H149" s="703" t="inlineStr">
        <is>
          <t>Multi-Tenant Industrial NNN</t>
        </is>
      </c>
      <c r="I149" s="703" t="n"/>
      <c r="J149" s="703" t="n"/>
      <c r="K149" s="703" t="n">
        <v>2024</v>
      </c>
      <c r="L149" s="714" t="n">
        <v>406844</v>
      </c>
      <c r="M149" s="703" t="n"/>
      <c r="N149" s="714" t="n">
        <v>797212</v>
      </c>
      <c r="O149" s="714" t="n">
        <v>45992</v>
      </c>
      <c r="P149" s="714" t="n">
        <v>6921</v>
      </c>
      <c r="Q149" s="703" t="n"/>
      <c r="R149" s="703" t="n"/>
      <c r="S149" s="714" t="n">
        <v>10380</v>
      </c>
      <c r="T149" s="714" t="n">
        <v>3470</v>
      </c>
      <c r="U149" s="714" t="n">
        <v>2000</v>
      </c>
      <c r="V149" s="703" t="n"/>
      <c r="W149" s="703" t="n"/>
      <c r="X149" s="714" t="n">
        <v>1676</v>
      </c>
      <c r="Y149" s="714" t="n">
        <v>17526</v>
      </c>
      <c r="Z149" s="703" t="n"/>
      <c r="AA149" s="714" t="n">
        <v>8417</v>
      </c>
      <c r="AB149" s="714" t="n">
        <v>30101</v>
      </c>
      <c r="AC149" s="714" t="n">
        <v>8211</v>
      </c>
      <c r="AD149" s="714" t="n">
        <v>12042</v>
      </c>
      <c r="AE149" s="714" t="n">
        <v>3218</v>
      </c>
      <c r="AF149" s="714" t="n">
        <v>15260</v>
      </c>
      <c r="AG149" s="703" t="n"/>
      <c r="AH149" s="714" t="n">
        <v>180865</v>
      </c>
      <c r="AI149" s="714" t="n">
        <v>410137</v>
      </c>
      <c r="AJ149" s="714" t="n">
        <v>591002</v>
      </c>
      <c r="AK149" s="714" t="n">
        <v>206210</v>
      </c>
      <c r="AL149" s="703" t="n"/>
      <c r="AM149" s="703" t="inlineStr">
        <is>
          <t>Link Logistics actual; 2024 tenant turnover – NOI depressed; base rent $787k→$407k; 2024 ins inflated by $25k deductible</t>
        </is>
      </c>
      <c r="AN149">
        <f>AND(B149=Subj_OccCode,Subj_BldgSF&gt;0,J149&gt;=Subj_BldgSF*(1-Subj_SizeTol),J149&lt;=Subj_BldgSF*(1+Subj_SizeTol))</f>
        <v/>
      </c>
    </row>
    <row r="150">
      <c r="A150" s="703" t="inlineStr">
        <is>
          <t>P075</t>
        </is>
      </c>
      <c r="B150" s="695" t="n">
        <v>210</v>
      </c>
      <c r="C150" s="703" t="inlineStr">
        <is>
          <t>R0084250</t>
        </is>
      </c>
      <c r="D150" s="703" t="inlineStr">
        <is>
          <t>3250 Abilene Street</t>
        </is>
      </c>
      <c r="E150" s="703" t="inlineStr">
        <is>
          <t>Aurora</t>
        </is>
      </c>
      <c r="F150" s="703" t="inlineStr">
        <is>
          <t>CO</t>
        </is>
      </c>
      <c r="G150" s="703" t="inlineStr">
        <is>
          <t>Industrial</t>
        </is>
      </c>
      <c r="H150" s="703" t="inlineStr">
        <is>
          <t>Multi-Tenant Industrial NNN</t>
        </is>
      </c>
      <c r="I150" s="703" t="n"/>
      <c r="J150" s="703" t="n"/>
      <c r="K150" s="703" t="n">
        <v>2023</v>
      </c>
      <c r="L150" s="714" t="n">
        <v>787792</v>
      </c>
      <c r="M150" s="703" t="n"/>
      <c r="N150" s="714" t="n">
        <v>1333856</v>
      </c>
      <c r="O150" s="714" t="n">
        <v>12351</v>
      </c>
      <c r="P150" s="714" t="n">
        <v>13140</v>
      </c>
      <c r="Q150" s="703" t="n"/>
      <c r="R150" s="703" t="n"/>
      <c r="S150" s="714" t="n">
        <v>10370</v>
      </c>
      <c r="T150" s="714" t="n">
        <v>3061</v>
      </c>
      <c r="U150" s="714" t="n">
        <v>0</v>
      </c>
      <c r="V150" s="703" t="n"/>
      <c r="W150" s="703" t="n"/>
      <c r="X150" s="714" t="n">
        <v>1572</v>
      </c>
      <c r="Y150" s="714" t="n">
        <v>15003</v>
      </c>
      <c r="Z150" s="703" t="n"/>
      <c r="AA150" s="714" t="n">
        <v>24879</v>
      </c>
      <c r="AB150" s="714" t="n">
        <v>16871</v>
      </c>
      <c r="AC150" s="714" t="n">
        <v>7678</v>
      </c>
      <c r="AD150" s="714" t="n">
        <v>12785</v>
      </c>
      <c r="AE150" s="703" t="n"/>
      <c r="AF150" s="714" t="n">
        <v>12785</v>
      </c>
      <c r="AG150" s="703" t="n"/>
      <c r="AH150" s="714" t="n">
        <v>123031</v>
      </c>
      <c r="AI150" s="714" t="n">
        <v>409295</v>
      </c>
      <c r="AJ150" s="714" t="n">
        <v>532326</v>
      </c>
      <c r="AK150" s="714" t="n">
        <v>801530</v>
      </c>
      <c r="AL150" s="703" t="n"/>
      <c r="AM150" s="703" t="inlineStr">
        <is>
          <t>Link Logistics actual; 2023 stable; 2024 ins inflated by $25k deductible</t>
        </is>
      </c>
      <c r="AN150">
        <f>AND(B150=Subj_OccCode,Subj_BldgSF&gt;0,J150&gt;=Subj_BldgSF*(1-Subj_SizeTol),J150&lt;=Subj_BldgSF*(1+Subj_SizeTol))</f>
        <v/>
      </c>
    </row>
    <row r="151">
      <c r="A151" s="703" t="inlineStr">
        <is>
          <t>P076</t>
        </is>
      </c>
      <c r="B151" s="695" t="n">
        <v>210</v>
      </c>
      <c r="C151" s="703" t="inlineStr">
        <is>
          <t>R0084253</t>
        </is>
      </c>
      <c r="D151" s="703" t="inlineStr">
        <is>
          <t>14509 E 33rd Place</t>
        </is>
      </c>
      <c r="E151" s="703" t="inlineStr">
        <is>
          <t>Aurora</t>
        </is>
      </c>
      <c r="F151" s="703" t="inlineStr">
        <is>
          <t>CO</t>
        </is>
      </c>
      <c r="G151" s="703" t="inlineStr">
        <is>
          <t>Industrial</t>
        </is>
      </c>
      <c r="H151" s="703" t="inlineStr">
        <is>
          <t>Multi-Tenant Industrial NNN</t>
        </is>
      </c>
      <c r="I151" s="703" t="n"/>
      <c r="J151" s="703" t="n"/>
      <c r="K151" s="703" t="n">
        <v>2024</v>
      </c>
      <c r="L151" s="714" t="n">
        <v>987101</v>
      </c>
      <c r="M151" s="703" t="n"/>
      <c r="N151" s="714" t="n">
        <v>1613814</v>
      </c>
      <c r="O151" s="714" t="n">
        <v>26027</v>
      </c>
      <c r="P151" s="714" t="n">
        <v>17785</v>
      </c>
      <c r="Q151" s="703" t="n"/>
      <c r="R151" s="703" t="n"/>
      <c r="S151" s="714" t="n">
        <v>9496</v>
      </c>
      <c r="T151" s="714" t="n">
        <v>2104</v>
      </c>
      <c r="U151" s="703" t="n"/>
      <c r="V151" s="703" t="n"/>
      <c r="W151" s="703" t="n"/>
      <c r="X151" s="714" t="n">
        <v>1676</v>
      </c>
      <c r="Y151" s="714" t="n">
        <v>13276</v>
      </c>
      <c r="Z151" s="703" t="n"/>
      <c r="AA151" s="714" t="n">
        <v>11885</v>
      </c>
      <c r="AB151" s="714" t="n">
        <v>37419</v>
      </c>
      <c r="AC151" s="714" t="n">
        <v>5705</v>
      </c>
      <c r="AD151" s="714" t="n">
        <v>39182</v>
      </c>
      <c r="AE151" s="714" t="n">
        <v>1573</v>
      </c>
      <c r="AF151" s="714" t="n">
        <v>40755</v>
      </c>
      <c r="AG151" s="703" t="n"/>
      <c r="AH151" s="714" t="n">
        <v>178810</v>
      </c>
      <c r="AI151" s="714" t="n">
        <v>442744</v>
      </c>
      <c r="AJ151" s="714" t="n">
        <v>621554</v>
      </c>
      <c r="AK151" s="714" t="n">
        <v>992260</v>
      </c>
      <c r="AL151" s="703" t="n"/>
      <c r="AM151" s="703" t="inlineStr">
        <is>
          <t>Link Logistics actual; 2023 security includes one-time $54k</t>
        </is>
      </c>
      <c r="AN151">
        <f>AND(B151=Subj_OccCode,Subj_BldgSF&gt;0,J151&gt;=Subj_BldgSF*(1-Subj_SizeTol),J151&lt;=Subj_BldgSF*(1+Subj_SizeTol))</f>
        <v/>
      </c>
    </row>
    <row r="152">
      <c r="A152" s="703" t="inlineStr">
        <is>
          <t>P076</t>
        </is>
      </c>
      <c r="B152" s="695" t="n">
        <v>210</v>
      </c>
      <c r="C152" s="703" t="inlineStr">
        <is>
          <t>R0084253</t>
        </is>
      </c>
      <c r="D152" s="703" t="inlineStr">
        <is>
          <t>14509 E 33rd Place</t>
        </is>
      </c>
      <c r="E152" s="703" t="inlineStr">
        <is>
          <t>Aurora</t>
        </is>
      </c>
      <c r="F152" s="703" t="inlineStr">
        <is>
          <t>CO</t>
        </is>
      </c>
      <c r="G152" s="703" t="inlineStr">
        <is>
          <t>Industrial</t>
        </is>
      </c>
      <c r="H152" s="703" t="inlineStr">
        <is>
          <t>Multi-Tenant Industrial NNN</t>
        </is>
      </c>
      <c r="I152" s="703" t="n"/>
      <c r="J152" s="703" t="n"/>
      <c r="K152" s="703" t="n">
        <v>2023</v>
      </c>
      <c r="L152" s="714" t="n">
        <v>932587</v>
      </c>
      <c r="M152" s="703" t="n"/>
      <c r="N152" s="714" t="n">
        <v>1610926</v>
      </c>
      <c r="O152" s="714" t="n">
        <v>12903</v>
      </c>
      <c r="P152" s="714" t="n">
        <v>15271</v>
      </c>
      <c r="Q152" s="703" t="n"/>
      <c r="R152" s="703" t="n"/>
      <c r="S152" s="714" t="n">
        <v>16438</v>
      </c>
      <c r="T152" s="714" t="n">
        <v>17000</v>
      </c>
      <c r="U152" s="703" t="n"/>
      <c r="V152" s="703" t="n"/>
      <c r="W152" s="703" t="n"/>
      <c r="X152" s="714" t="n">
        <v>1572</v>
      </c>
      <c r="Y152" s="714" t="n">
        <v>35010</v>
      </c>
      <c r="Z152" s="703" t="n"/>
      <c r="AA152" s="714" t="n">
        <v>11941</v>
      </c>
      <c r="AB152" s="714" t="n">
        <v>21409</v>
      </c>
      <c r="AC152" s="714" t="n">
        <v>54490</v>
      </c>
      <c r="AD152" s="714" t="n">
        <v>34733</v>
      </c>
      <c r="AE152" s="714" t="n">
        <v>1638</v>
      </c>
      <c r="AF152" s="714" t="n">
        <v>36371</v>
      </c>
      <c r="AG152" s="703" t="n"/>
      <c r="AH152" s="714" t="n">
        <v>211012</v>
      </c>
      <c r="AI152" s="714" t="n">
        <v>441491</v>
      </c>
      <c r="AJ152" s="714" t="n">
        <v>652503</v>
      </c>
      <c r="AK152" s="714" t="n">
        <v>958423</v>
      </c>
      <c r="AL152" s="703" t="n"/>
      <c r="AM152" s="703" t="inlineStr">
        <is>
          <t>Link Logistics actual; 2023 security includes one-time $54k</t>
        </is>
      </c>
      <c r="AN152">
        <f>AND(B152=Subj_OccCode,Subj_BldgSF&gt;0,J152&gt;=Subj_BldgSF*(1-Subj_SizeTol),J152&lt;=Subj_BldgSF*(1+Subj_SizeTol))</f>
        <v/>
      </c>
    </row>
    <row r="153">
      <c r="A153" s="703" t="inlineStr">
        <is>
          <t>P077</t>
        </is>
      </c>
      <c r="B153" s="695" t="n">
        <v>210</v>
      </c>
      <c r="C153" s="703" t="inlineStr">
        <is>
          <t>R0084253</t>
        </is>
      </c>
      <c r="D153" s="703" t="inlineStr">
        <is>
          <t>14704 E 33rd Place</t>
        </is>
      </c>
      <c r="E153" s="703" t="inlineStr">
        <is>
          <t>Aurora</t>
        </is>
      </c>
      <c r="F153" s="703" t="inlineStr">
        <is>
          <t>CO</t>
        </is>
      </c>
      <c r="G153" s="703" t="inlineStr">
        <is>
          <t>Industrial</t>
        </is>
      </c>
      <c r="H153" s="703" t="inlineStr">
        <is>
          <t>Multi-Tenant Industrial NNN</t>
        </is>
      </c>
      <c r="I153" s="703" t="n"/>
      <c r="J153" s="703" t="n"/>
      <c r="K153" s="703" t="n">
        <v>2024</v>
      </c>
      <c r="L153" s="714" t="n">
        <v>977394</v>
      </c>
      <c r="M153" s="703" t="n"/>
      <c r="N153" s="714" t="n">
        <v>1537076</v>
      </c>
      <c r="O153" s="714" t="n">
        <v>12170</v>
      </c>
      <c r="P153" s="714" t="n">
        <v>17077</v>
      </c>
      <c r="Q153" s="703" t="n"/>
      <c r="R153" s="703" t="n"/>
      <c r="S153" s="714" t="n">
        <v>10377</v>
      </c>
      <c r="T153" s="714" t="n">
        <v>1760</v>
      </c>
      <c r="U153" s="714" t="n">
        <v>265</v>
      </c>
      <c r="V153" s="703" t="n"/>
      <c r="W153" s="703" t="n"/>
      <c r="X153" s="714" t="n">
        <v>1636</v>
      </c>
      <c r="Y153" s="714" t="n">
        <v>13036</v>
      </c>
      <c r="Z153" s="703" t="n"/>
      <c r="AA153" s="714" t="n">
        <v>10043</v>
      </c>
      <c r="AB153" s="714" t="n">
        <v>41626</v>
      </c>
      <c r="AC153" s="714" t="n">
        <v>5705</v>
      </c>
      <c r="AD153" s="714" t="n">
        <v>19336</v>
      </c>
      <c r="AE153" s="714" t="n">
        <v>2462</v>
      </c>
      <c r="AF153" s="714" t="n">
        <v>21798</v>
      </c>
      <c r="AG153" s="703" t="n"/>
      <c r="AH153" s="714" t="n">
        <v>228019</v>
      </c>
      <c r="AI153" s="714" t="n">
        <v>364330</v>
      </c>
      <c r="AJ153" s="714" t="n">
        <v>592349</v>
      </c>
      <c r="AK153" s="714" t="n">
        <v>944727</v>
      </c>
      <c r="AL153" s="703" t="n"/>
      <c r="AM153" s="703" t="inlineStr">
        <is>
          <t>Link Logistics 2024; partial vacancy (elec/gas $124k); NOI understated excl vacancy costs</t>
        </is>
      </c>
      <c r="AN153">
        <f>AND(B153=Subj_OccCode,Subj_BldgSF&gt;0,J153&gt;=Subj_BldgSF*(1-Subj_SizeTol),J153&lt;=Subj_BldgSF*(1+Subj_SizeTol))</f>
        <v/>
      </c>
    </row>
    <row r="154">
      <c r="A154" s="703" t="inlineStr">
        <is>
          <t>P078</t>
        </is>
      </c>
      <c r="B154" s="695" t="n">
        <v>210</v>
      </c>
      <c r="C154" s="703" t="inlineStr">
        <is>
          <t>R0084253</t>
        </is>
      </c>
      <c r="D154" s="703" t="inlineStr">
        <is>
          <t>14705 E 33rd Place</t>
        </is>
      </c>
      <c r="E154" s="703" t="inlineStr">
        <is>
          <t>Aurora</t>
        </is>
      </c>
      <c r="F154" s="703" t="inlineStr">
        <is>
          <t>CO</t>
        </is>
      </c>
      <c r="G154" s="703" t="inlineStr">
        <is>
          <t>Industrial</t>
        </is>
      </c>
      <c r="H154" s="703" t="inlineStr">
        <is>
          <t>Multi-Tenant Industrial NNN</t>
        </is>
      </c>
      <c r="I154" s="703" t="n"/>
      <c r="J154" s="703" t="n"/>
      <c r="K154" s="703" t="n">
        <v>2024</v>
      </c>
      <c r="L154" s="714" t="n">
        <v>436928</v>
      </c>
      <c r="M154" s="703" t="n"/>
      <c r="N154" s="714" t="n">
        <v>714461</v>
      </c>
      <c r="O154" s="714" t="n">
        <v>6456</v>
      </c>
      <c r="P154" s="714" t="n">
        <v>6962</v>
      </c>
      <c r="Q154" s="703" t="n"/>
      <c r="R154" s="703" t="n"/>
      <c r="S154" s="714" t="n">
        <v>6889</v>
      </c>
      <c r="T154" s="714" t="n">
        <v>1125</v>
      </c>
      <c r="U154" s="714" t="n">
        <v>285</v>
      </c>
      <c r="V154" s="703" t="n"/>
      <c r="W154" s="703" t="n"/>
      <c r="X154" s="714" t="n">
        <v>1546</v>
      </c>
      <c r="Y154" s="714" t="n">
        <v>9845</v>
      </c>
      <c r="Z154" s="703" t="n"/>
      <c r="AA154" s="714" t="n">
        <v>6931</v>
      </c>
      <c r="AB154" s="714" t="n">
        <v>27052</v>
      </c>
      <c r="AC154" s="714" t="n">
        <v>5705</v>
      </c>
      <c r="AD154" s="703" t="n"/>
      <c r="AE154" s="714" t="n">
        <v>929</v>
      </c>
      <c r="AF154" s="714" t="n">
        <v>929</v>
      </c>
      <c r="AG154" s="703" t="n"/>
      <c r="AH154" s="714" t="n">
        <v>77944</v>
      </c>
      <c r="AI154" s="714" t="n">
        <v>188633</v>
      </c>
      <c r="AJ154" s="714" t="n">
        <v>266577</v>
      </c>
      <c r="AK154" s="714" t="n">
        <v>447884</v>
      </c>
      <c r="AL154" s="703" t="n"/>
      <c r="AM154" s="703" t="inlineStr">
        <is>
          <t>Link Logistics 2024; partial free rent ($38k); lease-up period</t>
        </is>
      </c>
      <c r="AN154">
        <f>AND(B154=Subj_OccCode,Subj_BldgSF&gt;0,J154&gt;=Subj_BldgSF*(1-Subj_SizeTol),J154&lt;=Subj_BldgSF*(1+Subj_SizeTol))</f>
        <v/>
      </c>
    </row>
    <row r="155">
      <c r="A155" s="703" t="inlineStr">
        <is>
          <t>P079</t>
        </is>
      </c>
      <c r="B155" s="695" t="n">
        <v>584</v>
      </c>
      <c r="C155" s="703" t="inlineStr">
        <is>
          <t>R0086214</t>
        </is>
      </c>
      <c r="D155" s="703" t="inlineStr">
        <is>
          <t>Aurora Warehouse (Polar)</t>
        </is>
      </c>
      <c r="E155" s="703" t="inlineStr">
        <is>
          <t>Aurora</t>
        </is>
      </c>
      <c r="F155" s="703" t="inlineStr">
        <is>
          <t>CO</t>
        </is>
      </c>
      <c r="G155" s="703" t="inlineStr">
        <is>
          <t>Industrial</t>
        </is>
      </c>
      <c r="H155" s="703" t="inlineStr">
        <is>
          <t>Mega Warehouse NNN</t>
        </is>
      </c>
      <c r="I155" s="703" t="n"/>
      <c r="J155" s="703" t="n"/>
      <c r="K155" s="703" t="n">
        <v>2024</v>
      </c>
      <c r="L155" s="714" t="n">
        <v>3771986</v>
      </c>
      <c r="M155" s="703" t="n"/>
      <c r="N155" s="714" t="n">
        <v>7045455</v>
      </c>
      <c r="O155" s="714" t="n">
        <v>83764</v>
      </c>
      <c r="P155" s="714" t="n">
        <v>67999</v>
      </c>
      <c r="Q155" s="703" t="n"/>
      <c r="R155" s="703" t="n"/>
      <c r="S155" s="703" t="n"/>
      <c r="T155" s="703" t="n"/>
      <c r="U155" s="703" t="n"/>
      <c r="V155" s="703" t="n"/>
      <c r="W155" s="703" t="n"/>
      <c r="X155" s="714" t="n">
        <v>5829</v>
      </c>
      <c r="Y155" s="714" t="n">
        <v>5829</v>
      </c>
      <c r="Z155" s="703" t="n"/>
      <c r="AA155" s="703" t="n"/>
      <c r="AB155" s="703" t="n"/>
      <c r="AC155" s="703" t="n"/>
      <c r="AD155" s="703" t="n"/>
      <c r="AE155" s="703" t="n"/>
      <c r="AF155" s="703" t="n"/>
      <c r="AG155" s="703" t="n"/>
      <c r="AH155" s="714" t="n">
        <v>381011</v>
      </c>
      <c r="AI155" s="714" t="n">
        <v>2407392</v>
      </c>
      <c r="AJ155" s="714" t="n">
        <v>2788403</v>
      </c>
      <c r="AK155" s="714" t="n">
        <v>4257052</v>
      </c>
      <c r="AL155" s="703" t="n"/>
      <c r="AM155" s="703" t="inlineStr">
        <is>
          <t>Link Logistics; very large – RE tax $2.2-2.4M; minimal CAM (near-absolute NNN); SF not confirmed</t>
        </is>
      </c>
      <c r="AN155">
        <f>AND(B155=Subj_OccCode,Subj_BldgSF&gt;0,J155&gt;=Subj_BldgSF*(1-Subj_SizeTol),J155&lt;=Subj_BldgSF*(1+Subj_SizeTol))</f>
        <v/>
      </c>
    </row>
    <row r="156">
      <c r="A156" s="703" t="inlineStr">
        <is>
          <t>P079</t>
        </is>
      </c>
      <c r="B156" s="695" t="n">
        <v>584</v>
      </c>
      <c r="C156" s="703" t="inlineStr">
        <is>
          <t>R0086214</t>
        </is>
      </c>
      <c r="D156" s="703" t="inlineStr">
        <is>
          <t>Aurora Warehouse (Polar)</t>
        </is>
      </c>
      <c r="E156" s="703" t="inlineStr">
        <is>
          <t>Aurora</t>
        </is>
      </c>
      <c r="F156" s="703" t="inlineStr">
        <is>
          <t>CO</t>
        </is>
      </c>
      <c r="G156" s="703" t="inlineStr">
        <is>
          <t>Industrial</t>
        </is>
      </c>
      <c r="H156" s="703" t="inlineStr">
        <is>
          <t>Mega Warehouse NNN</t>
        </is>
      </c>
      <c r="I156" s="703" t="n"/>
      <c r="J156" s="703" t="n"/>
      <c r="K156" s="703" t="n">
        <v>2023</v>
      </c>
      <c r="L156" s="714" t="n">
        <v>3679986</v>
      </c>
      <c r="M156" s="703" t="n"/>
      <c r="N156" s="714" t="n">
        <v>6546351</v>
      </c>
      <c r="O156" s="714" t="n">
        <v>60105</v>
      </c>
      <c r="P156" s="714" t="n">
        <v>54144</v>
      </c>
      <c r="Q156" s="703" t="n"/>
      <c r="R156" s="703" t="n"/>
      <c r="S156" s="703" t="n"/>
      <c r="T156" s="703" t="n"/>
      <c r="U156" s="703" t="n"/>
      <c r="V156" s="703" t="n"/>
      <c r="W156" s="703" t="n"/>
      <c r="X156" s="714" t="n">
        <v>4184</v>
      </c>
      <c r="Y156" s="714" t="n">
        <v>4184</v>
      </c>
      <c r="Z156" s="703" t="n"/>
      <c r="AA156" s="703" t="n"/>
      <c r="AB156" s="703" t="n"/>
      <c r="AC156" s="703" t="n"/>
      <c r="AD156" s="703" t="n"/>
      <c r="AE156" s="703" t="n"/>
      <c r="AF156" s="703" t="n"/>
      <c r="AG156" s="703" t="n"/>
      <c r="AH156" s="714" t="n">
        <v>101213</v>
      </c>
      <c r="AI156" s="714" t="n">
        <v>2175995</v>
      </c>
      <c r="AJ156" s="714" t="n">
        <v>2277208</v>
      </c>
      <c r="AK156" s="714" t="n">
        <v>4269143</v>
      </c>
      <c r="AL156" s="703" t="n"/>
      <c r="AM156" s="703" t="inlineStr">
        <is>
          <t>Link Logistics; very large – RE tax $2.2-2.4M; minimal CAM (near-absolute NNN); SF not confirmed</t>
        </is>
      </c>
      <c r="AN156">
        <f>AND(B156=Subj_OccCode,Subj_BldgSF&gt;0,J156&gt;=Subj_BldgSF*(1-Subj_SizeTol),J156&lt;=Subj_BldgSF*(1+Subj_SizeTol))</f>
        <v/>
      </c>
    </row>
    <row r="157">
      <c r="A157" s="703" t="inlineStr">
        <is>
          <t>P080</t>
        </is>
      </c>
      <c r="B157" s="695" t="n">
        <v>407</v>
      </c>
      <c r="C157" s="703" t="inlineStr">
        <is>
          <t>R0194277</t>
        </is>
      </c>
      <c r="D157" s="703" t="inlineStr">
        <is>
          <t>8251 Quintero St</t>
        </is>
      </c>
      <c r="E157" s="703" t="inlineStr">
        <is>
          <t>Commerce City</t>
        </is>
      </c>
      <c r="F157" s="703" t="inlineStr">
        <is>
          <t>CO</t>
        </is>
      </c>
      <c r="G157" s="703" t="inlineStr">
        <is>
          <t>Industrial</t>
        </is>
      </c>
      <c r="H157" s="703" t="inlineStr">
        <is>
          <t>Industrial Warehouse NNN</t>
        </is>
      </c>
      <c r="I157" s="703" t="n"/>
      <c r="J157" s="703" t="n"/>
      <c r="K157" s="703" t="n">
        <v>2024</v>
      </c>
      <c r="L157" s="714" t="n">
        <v>2966529</v>
      </c>
      <c r="M157" s="703" t="n"/>
      <c r="N157" s="714" t="n">
        <v>7433451</v>
      </c>
      <c r="O157" s="714" t="n">
        <v>32539</v>
      </c>
      <c r="P157" s="714" t="n">
        <v>86633</v>
      </c>
      <c r="Q157" s="703" t="n"/>
      <c r="R157" s="703" t="n"/>
      <c r="S157" s="714" t="n">
        <v>21784</v>
      </c>
      <c r="T157" s="703" t="n"/>
      <c r="U157" s="703" t="n"/>
      <c r="V157" s="703" t="n"/>
      <c r="W157" s="703" t="n"/>
      <c r="X157" s="703" t="n"/>
      <c r="Y157" s="714" t="n">
        <v>21784</v>
      </c>
      <c r="Z157" s="703" t="n"/>
      <c r="AA157" s="714" t="n">
        <v>30810</v>
      </c>
      <c r="AB157" s="714" t="n">
        <v>188483</v>
      </c>
      <c r="AC157" s="703" t="n"/>
      <c r="AD157" s="714" t="n">
        <v>29080</v>
      </c>
      <c r="AE157" s="703" t="n"/>
      <c r="AF157" s="714" t="n">
        <v>29080</v>
      </c>
      <c r="AG157" s="703" t="n"/>
      <c r="AH157" s="714" t="n">
        <v>1433299</v>
      </c>
      <c r="AI157" s="714" t="n">
        <v>3137254</v>
      </c>
      <c r="AJ157" s="714" t="n">
        <v>4570553</v>
      </c>
      <c r="AK157" s="714" t="n">
        <v>2862898</v>
      </c>
      <c r="AL157" s="703" t="n"/>
      <c r="AM157" s="703" t="inlineStr">
        <is>
          <t>Becknell Industrial; 2024 EGI/OPX inflated by $967k PY RE tax true-up; normalized NOI ~$2.86M</t>
        </is>
      </c>
      <c r="AN157">
        <f>AND(B157=Subj_OccCode,Subj_BldgSF&gt;0,J157&gt;=Subj_BldgSF*(1-Subj_SizeTol),J157&lt;=Subj_BldgSF*(1+Subj_SizeTol))</f>
        <v/>
      </c>
    </row>
    <row r="158">
      <c r="A158" s="703" t="inlineStr">
        <is>
          <t>P080</t>
        </is>
      </c>
      <c r="B158" s="695" t="n">
        <v>407</v>
      </c>
      <c r="C158" s="703" t="inlineStr">
        <is>
          <t>R0194277</t>
        </is>
      </c>
      <c r="D158" s="703" t="inlineStr">
        <is>
          <t>8251 Quintero St</t>
        </is>
      </c>
      <c r="E158" s="703" t="inlineStr">
        <is>
          <t>Commerce City</t>
        </is>
      </c>
      <c r="F158" s="703" t="inlineStr">
        <is>
          <t>CO</t>
        </is>
      </c>
      <c r="G158" s="703" t="inlineStr">
        <is>
          <t>Industrial</t>
        </is>
      </c>
      <c r="H158" s="703" t="inlineStr">
        <is>
          <t>Industrial Warehouse NNN</t>
        </is>
      </c>
      <c r="I158" s="703" t="n"/>
      <c r="J158" s="703" t="n"/>
      <c r="K158" s="703" t="n">
        <v>2023</v>
      </c>
      <c r="L158" s="714" t="n">
        <v>2897673</v>
      </c>
      <c r="M158" s="703" t="n"/>
      <c r="N158" s="714" t="n">
        <v>5335437</v>
      </c>
      <c r="O158" s="714" t="n">
        <v>29390</v>
      </c>
      <c r="P158" s="714" t="n">
        <v>83488</v>
      </c>
      <c r="Q158" s="703" t="n"/>
      <c r="R158" s="703" t="n"/>
      <c r="S158" s="714" t="n">
        <v>35137</v>
      </c>
      <c r="T158" s="703" t="n"/>
      <c r="U158" s="703" t="n"/>
      <c r="V158" s="703" t="n"/>
      <c r="W158" s="703" t="n"/>
      <c r="X158" s="703" t="n"/>
      <c r="Y158" s="714" t="n">
        <v>35137</v>
      </c>
      <c r="Z158" s="703" t="n"/>
      <c r="AA158" s="714" t="n">
        <v>33419</v>
      </c>
      <c r="AB158" s="714" t="n">
        <v>151223</v>
      </c>
      <c r="AC158" s="703" t="n"/>
      <c r="AD158" s="714" t="n">
        <v>24034</v>
      </c>
      <c r="AE158" s="703" t="n"/>
      <c r="AF158" s="714" t="n">
        <v>24034</v>
      </c>
      <c r="AG158" s="703" t="n"/>
      <c r="AH158" s="714" t="n">
        <v>541522</v>
      </c>
      <c r="AI158" s="714" t="n">
        <v>2045093</v>
      </c>
      <c r="AJ158" s="714" t="n">
        <v>2586615</v>
      </c>
      <c r="AK158" s="714" t="n">
        <v>2748822</v>
      </c>
      <c r="AL158" s="703" t="n"/>
      <c r="AM158" s="703" t="inlineStr">
        <is>
          <t>Becknell Industrial; actual accrual</t>
        </is>
      </c>
      <c r="AN158">
        <f>AND(B158=Subj_OccCode,Subj_BldgSF&gt;0,J158&gt;=Subj_BldgSF*(1-Subj_SizeTol),J158&lt;=Subj_BldgSF*(1+Subj_SizeTol))</f>
        <v/>
      </c>
    </row>
    <row r="159">
      <c r="A159" s="703" t="inlineStr">
        <is>
          <t>P081</t>
        </is>
      </c>
      <c r="B159" s="695" t="n">
        <v>407</v>
      </c>
      <c r="C159" s="703" t="inlineStr">
        <is>
          <t>R0198176</t>
        </is>
      </c>
      <c r="D159" s="703" t="inlineStr">
        <is>
          <t>21800 E 19th Ave</t>
        </is>
      </c>
      <c r="E159" s="703" t="inlineStr">
        <is>
          <t>Aurora</t>
        </is>
      </c>
      <c r="F159" s="703" t="inlineStr">
        <is>
          <t>CO</t>
        </is>
      </c>
      <c r="G159" s="703" t="inlineStr">
        <is>
          <t>Industrial</t>
        </is>
      </c>
      <c r="H159" s="703" t="inlineStr">
        <is>
          <t>Industrial Warehouse NNN</t>
        </is>
      </c>
      <c r="I159" s="703" t="n"/>
      <c r="J159" s="703" t="n"/>
      <c r="K159" s="703" t="n">
        <v>2024</v>
      </c>
      <c r="L159" s="714" t="n">
        <v>1502445</v>
      </c>
      <c r="M159" s="703" t="n"/>
      <c r="N159" s="714" t="n">
        <v>1698847</v>
      </c>
      <c r="O159" s="714" t="n">
        <v>18279</v>
      </c>
      <c r="P159" s="714" t="n">
        <v>45073</v>
      </c>
      <c r="Q159" s="703" t="n"/>
      <c r="R159" s="703" t="n"/>
      <c r="S159" s="714" t="n">
        <v>14583</v>
      </c>
      <c r="T159" s="703" t="n"/>
      <c r="U159" s="703" t="n"/>
      <c r="V159" s="703" t="n"/>
      <c r="W159" s="703" t="n"/>
      <c r="X159" s="703" t="n"/>
      <c r="Y159" s="714" t="n">
        <v>14583</v>
      </c>
      <c r="Z159" s="703" t="n"/>
      <c r="AA159" s="714" t="n">
        <v>30156</v>
      </c>
      <c r="AB159" s="714" t="n">
        <v>117922</v>
      </c>
      <c r="AC159" s="703" t="n"/>
      <c r="AD159" s="703" t="n"/>
      <c r="AE159" s="703" t="n"/>
      <c r="AF159" s="703" t="n"/>
      <c r="AG159" s="703" t="n"/>
      <c r="AH159" s="714" t="n">
        <v>268829</v>
      </c>
      <c r="AI159" s="714" t="n">
        <v>0</v>
      </c>
      <c r="AJ159" s="714" t="n">
        <v>268829</v>
      </c>
      <c r="AK159" s="714" t="n">
        <v>1430018</v>
      </c>
      <c r="AL159" s="703" t="n"/>
      <c r="AM159" s="703" t="inlineStr">
        <is>
          <t>Becknell; absolute NNN – tenant pays RE taxes directly; opex = CAM only</t>
        </is>
      </c>
      <c r="AN159">
        <f>AND(B159=Subj_OccCode,Subj_BldgSF&gt;0,J159&gt;=Subj_BldgSF*(1-Subj_SizeTol),J159&lt;=Subj_BldgSF*(1+Subj_SizeTol))</f>
        <v/>
      </c>
    </row>
    <row r="160">
      <c r="A160" s="703" t="inlineStr">
        <is>
          <t>P081</t>
        </is>
      </c>
      <c r="B160" s="695" t="n">
        <v>407</v>
      </c>
      <c r="C160" s="703" t="inlineStr">
        <is>
          <t>R0198176</t>
        </is>
      </c>
      <c r="D160" s="703" t="inlineStr">
        <is>
          <t>21800 E 19th Ave</t>
        </is>
      </c>
      <c r="E160" s="703" t="inlineStr">
        <is>
          <t>Aurora</t>
        </is>
      </c>
      <c r="F160" s="703" t="inlineStr">
        <is>
          <t>CO</t>
        </is>
      </c>
      <c r="G160" s="703" t="inlineStr">
        <is>
          <t>Industrial</t>
        </is>
      </c>
      <c r="H160" s="703" t="inlineStr">
        <is>
          <t>Industrial Warehouse NNN</t>
        </is>
      </c>
      <c r="I160" s="703" t="n"/>
      <c r="J160" s="703" t="n"/>
      <c r="K160" s="703" t="n">
        <v>2023</v>
      </c>
      <c r="L160" s="714" t="n">
        <v>1458685</v>
      </c>
      <c r="M160" s="703" t="n"/>
      <c r="N160" s="714" t="n">
        <v>1647477</v>
      </c>
      <c r="O160" s="714" t="n">
        <v>15865</v>
      </c>
      <c r="P160" s="714" t="n">
        <v>43761</v>
      </c>
      <c r="Q160" s="703" t="n"/>
      <c r="R160" s="703" t="n"/>
      <c r="S160" s="714" t="n">
        <v>12850</v>
      </c>
      <c r="T160" s="703" t="n"/>
      <c r="U160" s="703" t="n"/>
      <c r="V160" s="703" t="n"/>
      <c r="W160" s="703" t="n"/>
      <c r="X160" s="703" t="n"/>
      <c r="Y160" s="714" t="n">
        <v>12850</v>
      </c>
      <c r="Z160" s="703" t="n"/>
      <c r="AA160" s="714" t="n">
        <v>31555</v>
      </c>
      <c r="AB160" s="714" t="n">
        <v>112261</v>
      </c>
      <c r="AC160" s="703" t="n"/>
      <c r="AD160" s="703" t="n"/>
      <c r="AE160" s="703" t="n"/>
      <c r="AF160" s="703" t="n"/>
      <c r="AG160" s="703" t="n"/>
      <c r="AH160" s="714" t="n">
        <v>238940</v>
      </c>
      <c r="AI160" s="714" t="n">
        <v>0</v>
      </c>
      <c r="AJ160" s="714" t="n">
        <v>238940</v>
      </c>
      <c r="AK160" s="714" t="n">
        <v>1408537</v>
      </c>
      <c r="AL160" s="703" t="n"/>
      <c r="AM160" s="703" t="inlineStr">
        <is>
          <t>Becknell; absolute NNN – tenant pays RE taxes directly; opex = CAM only</t>
        </is>
      </c>
      <c r="AN160">
        <f>AND(B160=Subj_OccCode,Subj_BldgSF&gt;0,J160&gt;=Subj_BldgSF*(1-Subj_SizeTol),J160&lt;=Subj_BldgSF*(1+Subj_SizeTol))</f>
        <v/>
      </c>
    </row>
    <row r="161">
      <c r="A161" s="703" t="inlineStr">
        <is>
          <t>P082</t>
        </is>
      </c>
      <c r="B161" s="695" t="n">
        <v>407</v>
      </c>
      <c r="C161" s="703" t="inlineStr">
        <is>
          <t>R0201311</t>
        </is>
      </c>
      <c r="D161" s="703" t="inlineStr">
        <is>
          <t>Ascent Commerce Center Bldg I</t>
        </is>
      </c>
      <c r="E161" s="703" t="inlineStr">
        <is>
          <t>Aurora</t>
        </is>
      </c>
      <c r="F161" s="703" t="inlineStr">
        <is>
          <t>CO</t>
        </is>
      </c>
      <c r="G161" s="703" t="inlineStr">
        <is>
          <t>Industrial</t>
        </is>
      </c>
      <c r="H161" s="703" t="inlineStr">
        <is>
          <t>Industrial Warehouse NNN</t>
        </is>
      </c>
      <c r="I161" s="703" t="n"/>
      <c r="J161" s="703" t="n"/>
      <c r="K161" s="703" t="n">
        <v>2024</v>
      </c>
      <c r="L161" s="714" t="n">
        <v>187536</v>
      </c>
      <c r="M161" s="703" t="n"/>
      <c r="N161" s="714" t="n">
        <v>335936</v>
      </c>
      <c r="O161" s="714" t="n">
        <v>185</v>
      </c>
      <c r="P161" s="714" t="n">
        <v>6539</v>
      </c>
      <c r="Q161" s="703" t="n"/>
      <c r="R161" s="703" t="n"/>
      <c r="S161" s="714" t="n">
        <v>6694</v>
      </c>
      <c r="T161" s="703" t="n"/>
      <c r="U161" s="703" t="n"/>
      <c r="V161" s="703" t="n"/>
      <c r="W161" s="703" t="n"/>
      <c r="X161" s="703" t="n"/>
      <c r="Y161" s="714" t="n">
        <v>6694</v>
      </c>
      <c r="Z161" s="703" t="n"/>
      <c r="AA161" s="714" t="n">
        <v>1378</v>
      </c>
      <c r="AB161" s="714" t="n">
        <v>13095</v>
      </c>
      <c r="AC161" s="703" t="n"/>
      <c r="AD161" s="714" t="n">
        <v>52</v>
      </c>
      <c r="AE161" s="714" t="n">
        <v>6714</v>
      </c>
      <c r="AF161" s="714" t="n">
        <v>6766</v>
      </c>
      <c r="AG161" s="703" t="n"/>
      <c r="AH161" s="714" t="n">
        <v>42252</v>
      </c>
      <c r="AI161" s="714" t="n">
        <v>100794</v>
      </c>
      <c r="AJ161" s="714" t="n">
        <v>143046</v>
      </c>
      <c r="AK161" s="714" t="n">
        <v>181918</v>
      </c>
      <c r="AL161" s="703" t="n"/>
      <c r="AM161" s="703" t="inlineStr">
        <is>
          <t>Ambrose; Q4 2024 ONLY (Oct–Dec, 3 months); lease-up/stabilizing; DO NOT use for annual PSF</t>
        </is>
      </c>
      <c r="AN161">
        <f>AND(B161=Subj_OccCode,Subj_BldgSF&gt;0,J161&gt;=Subj_BldgSF*(1-Subj_SizeTol),J161&lt;=Subj_BldgSF*(1+Subj_SizeTol))</f>
        <v/>
      </c>
    </row>
    <row r="162">
      <c r="A162" s="703" t="inlineStr">
        <is>
          <t>P083</t>
        </is>
      </c>
      <c r="B162" s="695" t="n">
        <v>407</v>
      </c>
      <c r="C162" s="703" t="inlineStr">
        <is>
          <t>R0201311</t>
        </is>
      </c>
      <c r="D162" s="703" t="inlineStr">
        <is>
          <t>Ascent Commerce Center Bldg II</t>
        </is>
      </c>
      <c r="E162" s="703" t="inlineStr">
        <is>
          <t>Aurora</t>
        </is>
      </c>
      <c r="F162" s="703" t="inlineStr">
        <is>
          <t>CO</t>
        </is>
      </c>
      <c r="G162" s="703" t="inlineStr">
        <is>
          <t>Industrial</t>
        </is>
      </c>
      <c r="H162" s="703" t="inlineStr">
        <is>
          <t>Industrial Warehouse NNN</t>
        </is>
      </c>
      <c r="I162" s="703" t="n"/>
      <c r="J162" s="703" t="n"/>
      <c r="K162" s="703" t="n">
        <v>2024</v>
      </c>
      <c r="L162" s="714" t="n">
        <v>143974</v>
      </c>
      <c r="M162" s="703" t="n"/>
      <c r="N162" s="714" t="n">
        <v>314952</v>
      </c>
      <c r="O162" s="714" t="n">
        <v>375</v>
      </c>
      <c r="P162" s="714" t="n">
        <v>6224</v>
      </c>
      <c r="Q162" s="703" t="n"/>
      <c r="R162" s="703" t="n"/>
      <c r="S162" s="714" t="n">
        <v>13434</v>
      </c>
      <c r="T162" s="703" t="n"/>
      <c r="U162" s="703" t="n"/>
      <c r="V162" s="703" t="n"/>
      <c r="W162" s="703" t="n"/>
      <c r="X162" s="703" t="n"/>
      <c r="Y162" s="714" t="n">
        <v>13434</v>
      </c>
      <c r="Z162" s="703" t="n"/>
      <c r="AA162" s="714" t="n">
        <v>1877</v>
      </c>
      <c r="AB162" s="714" t="n">
        <v>25288</v>
      </c>
      <c r="AC162" s="703" t="n"/>
      <c r="AD162" s="714" t="n">
        <v>104</v>
      </c>
      <c r="AE162" s="714" t="n">
        <v>11552</v>
      </c>
      <c r="AF162" s="714" t="n">
        <v>11656</v>
      </c>
      <c r="AG162" s="703" t="n"/>
      <c r="AH162" s="714" t="n">
        <v>70908</v>
      </c>
      <c r="AI162" s="714" t="n">
        <v>203797</v>
      </c>
      <c r="AJ162" s="714" t="n">
        <v>274705</v>
      </c>
      <c r="AK162" s="714" t="n">
        <v>22624</v>
      </c>
      <c r="AL162" s="703" t="n"/>
      <c r="AM162" s="703" t="inlineStr">
        <is>
          <t>Ambrose; Q4 2024 ONLY (Oct–Dec, 3 months); lease-up/stabilizing; DO NOT use for annual PSF</t>
        </is>
      </c>
      <c r="AN162">
        <f>AND(B162=Subj_OccCode,Subj_BldgSF&gt;0,J162&gt;=Subj_BldgSF*(1-Subj_SizeTol),J162&lt;=Subj_BldgSF*(1+Subj_SizeTol))</f>
        <v/>
      </c>
    </row>
    <row r="163">
      <c r="A163" s="703" t="inlineStr">
        <is>
          <t>P084</t>
        </is>
      </c>
      <c r="B163" s="695" t="n">
        <v>407</v>
      </c>
      <c r="C163" s="703" t="inlineStr">
        <is>
          <t>R0201311</t>
        </is>
      </c>
      <c r="D163" s="703" t="inlineStr">
        <is>
          <t>Ascent Commerce Center Bldg III</t>
        </is>
      </c>
      <c r="E163" s="703" t="inlineStr">
        <is>
          <t>Aurora</t>
        </is>
      </c>
      <c r="F163" s="703" t="inlineStr">
        <is>
          <t>CO</t>
        </is>
      </c>
      <c r="G163" s="703" t="inlineStr">
        <is>
          <t>Industrial</t>
        </is>
      </c>
      <c r="H163" s="703" t="inlineStr">
        <is>
          <t>Industrial Warehouse NNN</t>
        </is>
      </c>
      <c r="I163" s="703" t="n"/>
      <c r="J163" s="703" t="n"/>
      <c r="K163" s="703" t="n">
        <v>2024</v>
      </c>
      <c r="L163" s="714" t="n">
        <v>49334</v>
      </c>
      <c r="M163" s="703" t="n"/>
      <c r="N163" s="714" t="n">
        <v>85139</v>
      </c>
      <c r="O163" s="714" t="n">
        <v>153</v>
      </c>
      <c r="P163" s="714" t="n">
        <v>5032</v>
      </c>
      <c r="Q163" s="703" t="n"/>
      <c r="R163" s="703" t="n"/>
      <c r="S163" s="714" t="n">
        <v>10772</v>
      </c>
      <c r="T163" s="703" t="n"/>
      <c r="U163" s="703" t="n"/>
      <c r="V163" s="703" t="n"/>
      <c r="W163" s="703" t="n"/>
      <c r="X163" s="703" t="n"/>
      <c r="Y163" s="714" t="n">
        <v>10772</v>
      </c>
      <c r="Z163" s="703" t="n"/>
      <c r="AA163" s="714" t="n">
        <v>949</v>
      </c>
      <c r="AB163" s="714" t="n">
        <v>10894</v>
      </c>
      <c r="AC163" s="703" t="n"/>
      <c r="AD163" s="714" t="n">
        <v>207</v>
      </c>
      <c r="AE163" s="714" t="n">
        <v>8484</v>
      </c>
      <c r="AF163" s="714" t="n">
        <v>8691</v>
      </c>
      <c r="AG163" s="703" t="n"/>
      <c r="AH163" s="714" t="n">
        <v>57603</v>
      </c>
      <c r="AI163" s="714" t="n">
        <v>83077</v>
      </c>
      <c r="AJ163" s="714" t="n">
        <v>140680</v>
      </c>
      <c r="AK163" s="714" t="n">
        <v>-69674</v>
      </c>
      <c r="AL163" s="703" t="n"/>
      <c r="AM163" s="703" t="inlineStr">
        <is>
          <t>Ambrose; Q4 2024 ONLY (Oct–Dec, 3 months); lease-up/stabilizing; DO NOT use for annual PSF</t>
        </is>
      </c>
      <c r="AN163">
        <f>AND(B163=Subj_OccCode,Subj_BldgSF&gt;0,J163&gt;=Subj_BldgSF*(1-Subj_SizeTol),J163&lt;=Subj_BldgSF*(1+Subj_SizeTol))</f>
        <v/>
      </c>
    </row>
    <row r="164">
      <c r="A164" s="703" t="inlineStr">
        <is>
          <t>P085</t>
        </is>
      </c>
      <c r="B164" s="695" t="n">
        <v>210</v>
      </c>
      <c r="C164" s="703" t="inlineStr">
        <is>
          <t>R0093018</t>
        </is>
      </c>
      <c r="D164" s="703" t="inlineStr">
        <is>
          <t>3350 Peoria St</t>
        </is>
      </c>
      <c r="E164" s="703" t="inlineStr">
        <is>
          <t>Denver</t>
        </is>
      </c>
      <c r="F164" s="703" t="inlineStr">
        <is>
          <t>CO</t>
        </is>
      </c>
      <c r="G164" s="703" t="inlineStr">
        <is>
          <t>Industrial</t>
        </is>
      </c>
      <c r="H164" s="703" t="inlineStr">
        <is>
          <t>Office/Industrial Flex</t>
        </is>
      </c>
      <c r="I164" s="703" t="n"/>
      <c r="J164" s="703" t="n">
        <v>33057</v>
      </c>
      <c r="K164" s="703" t="n">
        <v>2024</v>
      </c>
      <c r="L164" s="703" t="n"/>
      <c r="M164" s="703" t="n"/>
      <c r="N164" s="714" t="n">
        <v>388335</v>
      </c>
      <c r="O164" s="714" t="n">
        <v>27979</v>
      </c>
      <c r="P164" s="714" t="n">
        <v>15595</v>
      </c>
      <c r="Q164" s="703" t="n"/>
      <c r="R164" s="703" t="n"/>
      <c r="S164" s="703" t="n"/>
      <c r="T164" s="703" t="n"/>
      <c r="U164" s="714" t="n">
        <v>8229</v>
      </c>
      <c r="V164" s="703" t="n"/>
      <c r="W164" s="703" t="n"/>
      <c r="X164" s="714" t="n">
        <v>91284</v>
      </c>
      <c r="Y164" s="703" t="n"/>
      <c r="Z164" s="703" t="n"/>
      <c r="AA164" s="714" t="n">
        <v>4573</v>
      </c>
      <c r="AB164" s="714" t="n">
        <v>2505</v>
      </c>
      <c r="AC164" s="714" t="n">
        <v>52966</v>
      </c>
      <c r="AD164" s="703" t="n"/>
      <c r="AE164" s="703" t="n"/>
      <c r="AF164" s="714" t="n">
        <v>53314</v>
      </c>
      <c r="AG164" s="703" t="n"/>
      <c r="AH164" s="714" t="n">
        <v>247389</v>
      </c>
      <c r="AI164" s="703" t="n"/>
      <c r="AJ164" s="714" t="n">
        <v>247389</v>
      </c>
      <c r="AK164" s="714" t="n">
        <v>140946</v>
      </c>
      <c r="AL164" s="703" t="n"/>
      <c r="AM164" s="703" t="inlineStr">
        <is>
          <t>Owner P&amp;L 2024; RE taxes not broken out separately; contracts incl HVAC $8,229/alarm $9,124/landscape $4,573/snow $2,505</t>
        </is>
      </c>
      <c r="AN164">
        <f>AND(B164=Subj_OccCode,Subj_BldgSF&gt;0,J164&gt;=Subj_BldgSF*(1-Subj_SizeTol),J164&lt;=Subj_BldgSF*(1+Subj_SizeTol))</f>
        <v/>
      </c>
    </row>
    <row r="165">
      <c r="A165" s="703" t="inlineStr">
        <is>
          <t>P086</t>
        </is>
      </c>
      <c r="B165" s="695" t="n">
        <v>406</v>
      </c>
      <c r="C165" s="703" t="inlineStr">
        <is>
          <t>R0210684</t>
        </is>
      </c>
      <c r="D165" s="703" t="inlineStr">
        <is>
          <t>14200 E Moncrieff Place</t>
        </is>
      </c>
      <c r="E165" s="703" t="inlineStr">
        <is>
          <t>Aurora</t>
        </is>
      </c>
      <c r="F165" s="703" t="inlineStr">
        <is>
          <t>CO</t>
        </is>
      </c>
      <c r="G165" s="703" t="inlineStr">
        <is>
          <t>Industrial</t>
        </is>
      </c>
      <c r="H165" s="703" t="inlineStr">
        <is>
          <t>Industrial Warehouse</t>
        </is>
      </c>
      <c r="I165" s="703" t="n">
        <v>1980</v>
      </c>
      <c r="J165" s="703" t="n">
        <v>233808</v>
      </c>
      <c r="K165" s="703" t="n">
        <v>2023</v>
      </c>
      <c r="L165" s="703" t="n"/>
      <c r="M165" s="703" t="n"/>
      <c r="N165" s="714" t="n">
        <v>2012921</v>
      </c>
      <c r="O165" s="714" t="n">
        <v>12170</v>
      </c>
      <c r="P165" s="714" t="n">
        <v>39036</v>
      </c>
      <c r="Q165" s="703" t="n"/>
      <c r="R165" s="703" t="n"/>
      <c r="S165" s="703" t="n"/>
      <c r="T165" s="703" t="n"/>
      <c r="U165" s="703" t="n"/>
      <c r="V165" s="703" t="n"/>
      <c r="W165" s="703" t="n"/>
      <c r="X165" s="714" t="n">
        <v>43894</v>
      </c>
      <c r="Y165" s="714" t="n">
        <v>43894</v>
      </c>
      <c r="Z165" s="703" t="n"/>
      <c r="AA165" s="714" t="n">
        <v>12324</v>
      </c>
      <c r="AB165" s="714" t="n">
        <v>32256</v>
      </c>
      <c r="AC165" s="714" t="n">
        <v>50799</v>
      </c>
      <c r="AD165" s="714" t="n">
        <v>28587</v>
      </c>
      <c r="AE165" s="703" t="n"/>
      <c r="AF165" s="714" t="n">
        <v>28587</v>
      </c>
      <c r="AG165" s="703" t="n"/>
      <c r="AH165" s="714" t="n">
        <v>184120</v>
      </c>
      <c r="AI165" s="714" t="n">
        <v>608865</v>
      </c>
      <c r="AJ165" s="714" t="n">
        <v>792985</v>
      </c>
      <c r="AK165" s="714" t="n">
        <v>1219936</v>
      </c>
      <c r="AL165" s="703" t="n"/>
      <c r="AM165" s="703" t="inlineStr">
        <is>
          <t>Owner P&amp;L 2023; large industrial 233,808 SF; 1980 YOC; landscape $12,324/snow $32,256 in CAM</t>
        </is>
      </c>
      <c r="AN165">
        <f>AND(B165=Subj_OccCode,Subj_BldgSF&gt;0,J165&gt;=Subj_BldgSF*(1-Subj_SizeTol),J165&lt;=Subj_BldgSF*(1+Subj_SizeTol))</f>
        <v/>
      </c>
    </row>
    <row r="166">
      <c r="A166" s="703" t="inlineStr">
        <is>
          <t>P086</t>
        </is>
      </c>
      <c r="B166" s="695" t="n">
        <v>406</v>
      </c>
      <c r="C166" s="703" t="inlineStr">
        <is>
          <t>R0210684</t>
        </is>
      </c>
      <c r="D166" s="703" t="inlineStr">
        <is>
          <t>14200 E Moncrieff Place</t>
        </is>
      </c>
      <c r="E166" s="703" t="inlineStr">
        <is>
          <t>Aurora</t>
        </is>
      </c>
      <c r="F166" s="703" t="inlineStr">
        <is>
          <t>CO</t>
        </is>
      </c>
      <c r="G166" s="703" t="inlineStr">
        <is>
          <t>Industrial</t>
        </is>
      </c>
      <c r="H166" s="703" t="inlineStr">
        <is>
          <t>Industrial Warehouse</t>
        </is>
      </c>
      <c r="I166" s="703" t="n">
        <v>1980</v>
      </c>
      <c r="J166" s="703" t="n">
        <v>233808</v>
      </c>
      <c r="K166" s="703" t="n">
        <v>2024</v>
      </c>
      <c r="L166" s="703" t="n"/>
      <c r="M166" s="703" t="n"/>
      <c r="N166" s="714" t="n">
        <v>2041933</v>
      </c>
      <c r="O166" s="703" t="n"/>
      <c r="P166" s="703" t="n"/>
      <c r="Q166" s="703" t="n"/>
      <c r="R166" s="703" t="n"/>
      <c r="S166" s="703" t="n"/>
      <c r="T166" s="703" t="n"/>
      <c r="U166" s="703" t="n"/>
      <c r="V166" s="703" t="n"/>
      <c r="W166" s="703" t="n"/>
      <c r="X166" s="703" t="n"/>
      <c r="Y166" s="703" t="n"/>
      <c r="Z166" s="703" t="n"/>
      <c r="AA166" s="703" t="n"/>
      <c r="AB166" s="703" t="n"/>
      <c r="AC166" s="703" t="n"/>
      <c r="AD166" s="703" t="n"/>
      <c r="AE166" s="703" t="n"/>
      <c r="AF166" s="703" t="n"/>
      <c r="AG166" s="703" t="n"/>
      <c r="AH166" s="703" t="n"/>
      <c r="AI166" s="703" t="n"/>
      <c r="AJ166" s="714" t="n">
        <v>835113</v>
      </c>
      <c r="AK166" s="714" t="n">
        <v>1206819</v>
      </c>
      <c r="AL166" s="703" t="n"/>
      <c r="AM166" s="703" t="inlineStr">
        <is>
          <t>Owner P&amp;L 2024; total OPX only – line items not fully detailed for 2024</t>
        </is>
      </c>
      <c r="AN166">
        <f>AND(B166=Subj_OccCode,Subj_BldgSF&gt;0,J166&gt;=Subj_BldgSF*(1-Subj_SizeTol),J166&lt;=Subj_BldgSF*(1+Subj_SizeTol))</f>
        <v/>
      </c>
    </row>
    <row r="167">
      <c r="A167" s="703" t="inlineStr">
        <is>
          <t>P087</t>
        </is>
      </c>
      <c r="B167" s="695" t="n">
        <v>407</v>
      </c>
      <c r="C167" s="703" t="inlineStr">
        <is>
          <t>R0102985</t>
        </is>
      </c>
      <c r="D167" s="703" t="inlineStr">
        <is>
          <t>5861 Tennyson St</t>
        </is>
      </c>
      <c r="E167" s="703" t="inlineStr">
        <is>
          <t>Arvada</t>
        </is>
      </c>
      <c r="F167" s="703" t="inlineStr">
        <is>
          <t>CO</t>
        </is>
      </c>
      <c r="G167" s="703" t="inlineStr">
        <is>
          <t>Industrial</t>
        </is>
      </c>
      <c r="H167" s="703" t="inlineStr">
        <is>
          <t>Industrial NNN</t>
        </is>
      </c>
      <c r="I167" s="703" t="n">
        <v>2000</v>
      </c>
      <c r="J167" s="703" t="n">
        <v>80640</v>
      </c>
      <c r="K167" s="703" t="n">
        <v>2023</v>
      </c>
      <c r="L167" s="714" t="n">
        <v>503016</v>
      </c>
      <c r="M167" s="703" t="n"/>
      <c r="N167" s="703" t="n"/>
      <c r="O167" s="703" t="n"/>
      <c r="P167" s="703" t="n"/>
      <c r="Q167" s="703" t="n"/>
      <c r="R167" s="703" t="n"/>
      <c r="S167" s="703" t="n"/>
      <c r="T167" s="703" t="n"/>
      <c r="U167" s="703" t="n"/>
      <c r="V167" s="703" t="n"/>
      <c r="W167" s="703" t="n"/>
      <c r="X167" s="703" t="n"/>
      <c r="Y167" s="703" t="n"/>
      <c r="Z167" s="703" t="n"/>
      <c r="AA167" s="703" t="n"/>
      <c r="AB167" s="703" t="n"/>
      <c r="AC167" s="703" t="n"/>
      <c r="AD167" s="703" t="n"/>
      <c r="AE167" s="703" t="n"/>
      <c r="AF167" s="703" t="n"/>
      <c r="AG167" s="703" t="n"/>
      <c r="AH167" s="714" t="n">
        <v>16587</v>
      </c>
      <c r="AI167" s="703" t="n"/>
      <c r="AJ167" s="714" t="n">
        <v>16587</v>
      </c>
      <c r="AK167" s="714" t="n">
        <v>486429</v>
      </c>
      <c r="AL167" s="703" t="n"/>
      <c r="AM167" s="703" t="inlineStr">
        <is>
          <t>NNN; landlord expenses only; tenant pays RE taxes; 2023</t>
        </is>
      </c>
      <c r="AN167">
        <f>AND(B167=Subj_OccCode,Subj_BldgSF&gt;0,J167&gt;=Subj_BldgSF*(1-Subj_SizeTol),J167&lt;=Subj_BldgSF*(1+Subj_SizeTol))</f>
        <v/>
      </c>
    </row>
    <row r="168">
      <c r="A168" s="703" t="inlineStr">
        <is>
          <t>P087</t>
        </is>
      </c>
      <c r="B168" s="695" t="n">
        <v>407</v>
      </c>
      <c r="C168" s="703" t="inlineStr">
        <is>
          <t>R0102985</t>
        </is>
      </c>
      <c r="D168" s="703" t="inlineStr">
        <is>
          <t>5861 Tennyson St</t>
        </is>
      </c>
      <c r="E168" s="703" t="inlineStr">
        <is>
          <t>Arvada</t>
        </is>
      </c>
      <c r="F168" s="703" t="inlineStr">
        <is>
          <t>CO</t>
        </is>
      </c>
      <c r="G168" s="703" t="inlineStr">
        <is>
          <t>Industrial</t>
        </is>
      </c>
      <c r="H168" s="703" t="inlineStr">
        <is>
          <t>Industrial NNN</t>
        </is>
      </c>
      <c r="I168" s="703" t="n">
        <v>2000</v>
      </c>
      <c r="J168" s="703" t="n">
        <v>80640</v>
      </c>
      <c r="K168" s="703" t="n">
        <v>2024</v>
      </c>
      <c r="L168" s="714" t="n">
        <v>513072</v>
      </c>
      <c r="M168" s="703" t="n"/>
      <c r="N168" s="703" t="n"/>
      <c r="O168" s="703" t="n"/>
      <c r="P168" s="703" t="n"/>
      <c r="Q168" s="703" t="n"/>
      <c r="R168" s="703" t="n"/>
      <c r="S168" s="703" t="n"/>
      <c r="T168" s="703" t="n"/>
      <c r="U168" s="703" t="n"/>
      <c r="V168" s="703" t="n"/>
      <c r="W168" s="703" t="n"/>
      <c r="X168" s="703" t="n"/>
      <c r="Y168" s="703" t="n"/>
      <c r="Z168" s="703" t="n"/>
      <c r="AA168" s="703" t="n"/>
      <c r="AB168" s="703" t="n"/>
      <c r="AC168" s="703" t="n"/>
      <c r="AD168" s="703" t="n"/>
      <c r="AE168" s="703" t="n"/>
      <c r="AF168" s="703" t="n"/>
      <c r="AG168" s="703" t="n"/>
      <c r="AH168" s="714" t="n">
        <v>15492</v>
      </c>
      <c r="AI168" s="703" t="n"/>
      <c r="AJ168" s="714" t="n">
        <v>15492</v>
      </c>
      <c r="AK168" s="714" t="n">
        <v>497580</v>
      </c>
      <c r="AL168" s="703" t="n"/>
      <c r="AM168" s="703" t="inlineStr">
        <is>
          <t>NNN; landlord expenses only; tenant pays RE taxes; 2024</t>
        </is>
      </c>
      <c r="AN168">
        <f>AND(B168=Subj_OccCode,Subj_BldgSF&gt;0,J168&gt;=Subj_BldgSF*(1-Subj_SizeTol),J168&lt;=Subj_BldgSF*(1+Subj_SizeTol))</f>
        <v/>
      </c>
    </row>
    <row r="169">
      <c r="A169" s="703" t="inlineStr">
        <is>
          <t>P088</t>
        </is>
      </c>
      <c r="B169" s="695" t="n">
        <v>210</v>
      </c>
      <c r="C169" s="703" t="inlineStr">
        <is>
          <t>R0090973</t>
        </is>
      </c>
      <c r="D169" s="703" t="inlineStr">
        <is>
          <t>3975 E 56th Ave</t>
        </is>
      </c>
      <c r="E169" s="703" t="inlineStr">
        <is>
          <t>Commerce City</t>
        </is>
      </c>
      <c r="F169" s="703" t="inlineStr">
        <is>
          <t>CO</t>
        </is>
      </c>
      <c r="G169" s="703" t="inlineStr">
        <is>
          <t>Industrial</t>
        </is>
      </c>
      <c r="H169" s="703" t="inlineStr">
        <is>
          <t>Multi-Tenant Industrial</t>
        </is>
      </c>
      <c r="I169" s="703" t="n"/>
      <c r="J169" s="703" t="n">
        <v>42299</v>
      </c>
      <c r="K169" s="703" t="n">
        <v>2024</v>
      </c>
      <c r="L169" s="703" t="n"/>
      <c r="M169" s="703" t="n"/>
      <c r="N169" s="714" t="n">
        <v>391669</v>
      </c>
      <c r="O169" s="703" t="n"/>
      <c r="P169" s="703" t="n"/>
      <c r="Q169" s="703" t="n"/>
      <c r="R169" s="703" t="n"/>
      <c r="S169" s="703" t="n"/>
      <c r="T169" s="703" t="n"/>
      <c r="U169" s="703" t="n"/>
      <c r="V169" s="703" t="n"/>
      <c r="W169" s="703" t="n"/>
      <c r="X169" s="703" t="n"/>
      <c r="Y169" s="703" t="n"/>
      <c r="Z169" s="703" t="n"/>
      <c r="AA169" s="703" t="n"/>
      <c r="AB169" s="703" t="n"/>
      <c r="AC169" s="703" t="n"/>
      <c r="AD169" s="703" t="n"/>
      <c r="AE169" s="703" t="n"/>
      <c r="AF169" s="703" t="n"/>
      <c r="AG169" s="703" t="n"/>
      <c r="AH169" s="714" t="n">
        <v>31334</v>
      </c>
      <c r="AI169" s="703" t="n"/>
      <c r="AJ169" s="714" t="n">
        <v>31334</v>
      </c>
      <c r="AK169" s="714" t="n">
        <v>360335</v>
      </c>
      <c r="AL169" s="703" t="n"/>
      <c r="AM169" s="703" t="inlineStr">
        <is>
          <t>Sand Creek Business Park; owner P&amp;L 2024; limited line-item detail</t>
        </is>
      </c>
      <c r="AN169">
        <f>AND(B169=Subj_OccCode,Subj_BldgSF&gt;0,J169&gt;=Subj_BldgSF*(1-Subj_SizeTol),J169&lt;=Subj_BldgSF*(1+Subj_SizeTol))</f>
        <v/>
      </c>
    </row>
    <row r="170">
      <c r="A170" s="703" t="inlineStr">
        <is>
          <t>P089</t>
        </is>
      </c>
      <c r="B170" s="695" t="n">
        <v>407</v>
      </c>
      <c r="C170" s="703" t="inlineStr">
        <is>
          <t>R0180951</t>
        </is>
      </c>
      <c r="D170" s="703" t="inlineStr">
        <is>
          <t>(Address TBD – R0180951)</t>
        </is>
      </c>
      <c r="E170" s="703" t="inlineStr">
        <is>
          <t>Adams County</t>
        </is>
      </c>
      <c r="F170" s="703" t="inlineStr">
        <is>
          <t>CO</t>
        </is>
      </c>
      <c r="G170" s="703" t="inlineStr">
        <is>
          <t>Industrial</t>
        </is>
      </c>
      <c r="H170" s="703" t="inlineStr">
        <is>
          <t>Industrial NNN</t>
        </is>
      </c>
      <c r="I170" s="703" t="n">
        <v>2016</v>
      </c>
      <c r="J170" s="703" t="n">
        <v>122106</v>
      </c>
      <c r="K170" s="703" t="n">
        <v>2023</v>
      </c>
      <c r="L170" s="703" t="n"/>
      <c r="M170" s="703" t="n"/>
      <c r="N170" s="703" t="n"/>
      <c r="O170" s="714" t="n">
        <v>7435</v>
      </c>
      <c r="P170" s="703" t="n"/>
      <c r="Q170" s="703" t="n"/>
      <c r="R170" s="703" t="n"/>
      <c r="S170" s="703" t="n"/>
      <c r="T170" s="703" t="n"/>
      <c r="U170" s="703" t="n"/>
      <c r="V170" s="703" t="n"/>
      <c r="W170" s="703" t="n"/>
      <c r="X170" s="703" t="n"/>
      <c r="Y170" s="703" t="n"/>
      <c r="Z170" s="703" t="n"/>
      <c r="AA170" s="703" t="n"/>
      <c r="AB170" s="703" t="n"/>
      <c r="AC170" s="714" t="n">
        <v>50680</v>
      </c>
      <c r="AD170" s="714" t="n">
        <v>58541</v>
      </c>
      <c r="AE170" s="703" t="n"/>
      <c r="AF170" s="714" t="n">
        <v>58541</v>
      </c>
      <c r="AG170" s="703" t="n"/>
      <c r="AH170" s="703" t="n"/>
      <c r="AI170" s="714" t="n">
        <v>394774</v>
      </c>
      <c r="AJ170" s="714" t="n">
        <v>511430</v>
      </c>
      <c r="AK170" s="703" t="n"/>
      <c r="AL170" s="703" t="n"/>
      <c r="AM170" s="703" t="inlineStr">
        <is>
          <t>NNN; landlord expenses only from WH Expenses 2026; 2016 YOC; 2023: RE Tax $394,774/Ins $7,435/Utils $58,541/CAM $50,680</t>
        </is>
      </c>
      <c r="AN170">
        <f>AND(B170=Subj_OccCode,Subj_BldgSF&gt;0,J170&gt;=Subj_BldgSF*(1-Subj_SizeTol),J170&lt;=Subj_BldgSF*(1+Subj_SizeTol))</f>
        <v/>
      </c>
    </row>
    <row r="171">
      <c r="A171" s="703" t="inlineStr">
        <is>
          <t>P089</t>
        </is>
      </c>
      <c r="B171" s="695" t="n">
        <v>407</v>
      </c>
      <c r="C171" s="703" t="inlineStr">
        <is>
          <t>R0180951</t>
        </is>
      </c>
      <c r="D171" s="703" t="inlineStr">
        <is>
          <t>(Address TBD – R0180951)</t>
        </is>
      </c>
      <c r="E171" s="703" t="inlineStr">
        <is>
          <t>Adams County</t>
        </is>
      </c>
      <c r="F171" s="703" t="inlineStr">
        <is>
          <t>CO</t>
        </is>
      </c>
      <c r="G171" s="703" t="inlineStr">
        <is>
          <t>Industrial</t>
        </is>
      </c>
      <c r="H171" s="703" t="inlineStr">
        <is>
          <t>Industrial NNN</t>
        </is>
      </c>
      <c r="I171" s="703" t="n">
        <v>2016</v>
      </c>
      <c r="J171" s="703" t="n">
        <v>122106</v>
      </c>
      <c r="K171" s="703" t="n">
        <v>2024</v>
      </c>
      <c r="L171" s="703" t="n"/>
      <c r="M171" s="703" t="n"/>
      <c r="N171" s="703" t="n"/>
      <c r="O171" s="714" t="n">
        <v>7635</v>
      </c>
      <c r="P171" s="703" t="n"/>
      <c r="Q171" s="703" t="n"/>
      <c r="R171" s="703" t="n"/>
      <c r="S171" s="703" t="n"/>
      <c r="T171" s="703" t="n"/>
      <c r="U171" s="703" t="n"/>
      <c r="V171" s="703" t="n"/>
      <c r="W171" s="703" t="n"/>
      <c r="X171" s="703" t="n"/>
      <c r="Y171" s="703" t="n"/>
      <c r="Z171" s="703" t="n"/>
      <c r="AA171" s="703" t="n"/>
      <c r="AB171" s="703" t="n"/>
      <c r="AC171" s="714" t="n">
        <v>64465</v>
      </c>
      <c r="AD171" s="714" t="n">
        <v>58541</v>
      </c>
      <c r="AE171" s="703" t="n"/>
      <c r="AF171" s="714" t="n">
        <v>58541</v>
      </c>
      <c r="AG171" s="703" t="n"/>
      <c r="AH171" s="703" t="n"/>
      <c r="AI171" s="714" t="n">
        <v>532140</v>
      </c>
      <c r="AJ171" s="714" t="n">
        <v>662781</v>
      </c>
      <c r="AK171" s="703" t="n"/>
      <c r="AL171" s="703" t="n"/>
      <c r="AM171" s="703" t="inlineStr">
        <is>
          <t>NNN; landlord expenses only from WH Expenses 2026; 2024: RE Tax $532,140/Ins $7,635/Utils $58,541/CAM $64,465</t>
        </is>
      </c>
      <c r="AN171">
        <f>AND(B171=Subj_OccCode,Subj_BldgSF&gt;0,J171&gt;=Subj_BldgSF*(1-Subj_SizeTol),J171&lt;=Subj_BldgSF*(1+Subj_SizeTol))</f>
        <v/>
      </c>
    </row>
    <row r="172">
      <c r="A172" s="703" t="inlineStr">
        <is>
          <t>P090</t>
        </is>
      </c>
      <c r="B172" s="695" t="n">
        <v>407</v>
      </c>
      <c r="C172" s="703" t="inlineStr">
        <is>
          <t>R0110351</t>
        </is>
      </c>
      <c r="D172" s="703" t="inlineStr">
        <is>
          <t>(Address TBD – R0110351)</t>
        </is>
      </c>
      <c r="E172" s="703" t="inlineStr">
        <is>
          <t>Adams County</t>
        </is>
      </c>
      <c r="F172" s="703" t="inlineStr">
        <is>
          <t>CO</t>
        </is>
      </c>
      <c r="G172" s="703" t="inlineStr">
        <is>
          <t>Industrial</t>
        </is>
      </c>
      <c r="H172" s="703" t="inlineStr">
        <is>
          <t>Industrial NNN</t>
        </is>
      </c>
      <c r="I172" s="703" t="n">
        <v>2000</v>
      </c>
      <c r="J172" s="703" t="n">
        <v>85200</v>
      </c>
      <c r="K172" s="703" t="n">
        <v>2023</v>
      </c>
      <c r="L172" s="703" t="n"/>
      <c r="M172" s="703" t="n"/>
      <c r="N172" s="703" t="n"/>
      <c r="O172" s="714" t="n">
        <v>20559</v>
      </c>
      <c r="P172" s="703" t="n"/>
      <c r="Q172" s="703" t="n"/>
      <c r="R172" s="703" t="n"/>
      <c r="S172" s="703" t="n"/>
      <c r="T172" s="703" t="n"/>
      <c r="U172" s="703" t="n"/>
      <c r="V172" s="703" t="n"/>
      <c r="W172" s="703" t="n"/>
      <c r="X172" s="703" t="n"/>
      <c r="Y172" s="703" t="n"/>
      <c r="Z172" s="703" t="n"/>
      <c r="AA172" s="703" t="n"/>
      <c r="AB172" s="703" t="n"/>
      <c r="AC172" s="714" t="n">
        <v>18539</v>
      </c>
      <c r="AD172" s="703" t="n"/>
      <c r="AE172" s="703" t="n"/>
      <c r="AF172" s="703" t="n"/>
      <c r="AG172" s="703" t="n"/>
      <c r="AH172" s="703" t="n"/>
      <c r="AI172" s="714" t="n">
        <v>305241</v>
      </c>
      <c r="AJ172" s="714" t="n">
        <v>344339</v>
      </c>
      <c r="AK172" s="703" t="n"/>
      <c r="AL172" s="703" t="n"/>
      <c r="AM172" s="703" t="inlineStr">
        <is>
          <t>NNN; landlord expenses only from WH Expenses 2026; 2000 YOC; 2023: RE Tax $305,241/Ins $20,559/CAM $18,539</t>
        </is>
      </c>
      <c r="AN172">
        <f>AND(B172=Subj_OccCode,Subj_BldgSF&gt;0,J172&gt;=Subj_BldgSF*(1-Subj_SizeTol),J172&lt;=Subj_BldgSF*(1+Subj_SizeTol))</f>
        <v/>
      </c>
    </row>
    <row r="173">
      <c r="A173" s="703" t="inlineStr">
        <is>
          <t>P090</t>
        </is>
      </c>
      <c r="B173" s="695" t="n">
        <v>407</v>
      </c>
      <c r="C173" s="703" t="inlineStr">
        <is>
          <t>R0110351</t>
        </is>
      </c>
      <c r="D173" s="703" t="inlineStr">
        <is>
          <t>(Address TBD – R0110351)</t>
        </is>
      </c>
      <c r="E173" s="703" t="inlineStr">
        <is>
          <t>Adams County</t>
        </is>
      </c>
      <c r="F173" s="703" t="inlineStr">
        <is>
          <t>CO</t>
        </is>
      </c>
      <c r="G173" s="703" t="inlineStr">
        <is>
          <t>Industrial</t>
        </is>
      </c>
      <c r="H173" s="703" t="inlineStr">
        <is>
          <t>Industrial NNN</t>
        </is>
      </c>
      <c r="I173" s="703" t="n">
        <v>2000</v>
      </c>
      <c r="J173" s="703" t="n">
        <v>85200</v>
      </c>
      <c r="K173" s="703" t="n">
        <v>2024</v>
      </c>
      <c r="L173" s="703" t="n"/>
      <c r="M173" s="703" t="n"/>
      <c r="N173" s="703" t="n"/>
      <c r="O173" s="714" t="n">
        <v>25578</v>
      </c>
      <c r="P173" s="703" t="n"/>
      <c r="Q173" s="703" t="n"/>
      <c r="R173" s="703" t="n"/>
      <c r="S173" s="703" t="n"/>
      <c r="T173" s="703" t="n"/>
      <c r="U173" s="703" t="n"/>
      <c r="V173" s="703" t="n"/>
      <c r="W173" s="703" t="n"/>
      <c r="X173" s="703" t="n"/>
      <c r="Y173" s="703" t="n"/>
      <c r="Z173" s="703" t="n"/>
      <c r="AA173" s="703" t="n"/>
      <c r="AB173" s="703" t="n"/>
      <c r="AC173" s="714" t="n">
        <v>21372</v>
      </c>
      <c r="AD173" s="703" t="n"/>
      <c r="AE173" s="703" t="n"/>
      <c r="AF173" s="703" t="n"/>
      <c r="AG173" s="703" t="n"/>
      <c r="AH173" s="703" t="n"/>
      <c r="AI173" s="714" t="n">
        <v>331811</v>
      </c>
      <c r="AJ173" s="714" t="n">
        <v>378761</v>
      </c>
      <c r="AK173" s="703" t="n"/>
      <c r="AL173" s="703" t="n"/>
      <c r="AM173" s="703" t="inlineStr">
        <is>
          <t>NNN; landlord expenses only from WH Expenses 2026; 2024: RE Tax $331,811/Ins $25,578/CAM $21,372</t>
        </is>
      </c>
      <c r="AN173">
        <f>AND(B173=Subj_OccCode,Subj_BldgSF&gt;0,J173&gt;=Subj_BldgSF*(1-Subj_SizeTol),J173&lt;=Subj_BldgSF*(1+Subj_SizeTol))</f>
        <v/>
      </c>
    </row>
    <row r="174">
      <c r="A174" s="703" t="inlineStr">
        <is>
          <t>P091</t>
        </is>
      </c>
      <c r="B174" s="695" t="n">
        <v>584</v>
      </c>
      <c r="C174" s="703" t="inlineStr">
        <is>
          <t>R0198530</t>
        </is>
      </c>
      <c r="D174" s="703" t="inlineStr">
        <is>
          <t>(Address TBD – R0198530)</t>
        </is>
      </c>
      <c r="E174" s="703" t="inlineStr">
        <is>
          <t>Adams County</t>
        </is>
      </c>
      <c r="F174" s="703" t="inlineStr">
        <is>
          <t>CO</t>
        </is>
      </c>
      <c r="G174" s="703" t="inlineStr">
        <is>
          <t>Industrial</t>
        </is>
      </c>
      <c r="H174" s="703" t="inlineStr">
        <is>
          <t>Industrial Mega-Warehouse NNN</t>
        </is>
      </c>
      <c r="I174" s="703" t="n">
        <v>2019</v>
      </c>
      <c r="J174" s="703" t="n">
        <v>555867</v>
      </c>
      <c r="K174" s="703" t="n">
        <v>2024</v>
      </c>
      <c r="L174" s="703" t="n"/>
      <c r="M174" s="703" t="n"/>
      <c r="N174" s="703" t="n"/>
      <c r="O174" s="714" t="n">
        <v>86084</v>
      </c>
      <c r="P174" s="714" t="n">
        <v>64029</v>
      </c>
      <c r="Q174" s="703" t="n"/>
      <c r="R174" s="703" t="n"/>
      <c r="S174" s="703" t="n"/>
      <c r="T174" s="703" t="n"/>
      <c r="U174" s="703" t="n"/>
      <c r="V174" s="703" t="n"/>
      <c r="W174" s="703" t="n"/>
      <c r="X174" s="703" t="n"/>
      <c r="Y174" s="703" t="n"/>
      <c r="Z174" s="703" t="n"/>
      <c r="AA174" s="703" t="n"/>
      <c r="AB174" s="703" t="n"/>
      <c r="AC174" s="703" t="n"/>
      <c r="AD174" s="703" t="n"/>
      <c r="AE174" s="703" t="n"/>
      <c r="AF174" s="703" t="n"/>
      <c r="AG174" s="703" t="n"/>
      <c r="AH174" s="703" t="n"/>
      <c r="AI174" s="714" t="n">
        <v>2160792</v>
      </c>
      <c r="AJ174" s="714" t="n">
        <v>2310905</v>
      </c>
      <c r="AK174" s="703" t="n"/>
      <c r="AL174" s="703" t="n"/>
      <c r="AM174" s="703" t="inlineStr">
        <is>
          <t>Mega-warehouse 555,867 SF; NNN; landlord only: RE Tax $2,160,792/Ins $86,084/Mgmt $64,029; 2019 YOC</t>
        </is>
      </c>
      <c r="AN174">
        <f>AND(B174=Subj_OccCode,Subj_BldgSF&gt;0,J174&gt;=Subj_BldgSF*(1-Subj_SizeTol),J174&lt;=Subj_BldgSF*(1+Subj_SizeTol))</f>
        <v/>
      </c>
    </row>
    <row r="175">
      <c r="A175" s="703" t="inlineStr">
        <is>
          <t>P092</t>
        </is>
      </c>
      <c r="B175" s="695" t="n">
        <v>447</v>
      </c>
      <c r="C175" s="703" t="inlineStr">
        <is>
          <t>R0180834</t>
        </is>
      </c>
      <c r="D175" s="703" t="inlineStr">
        <is>
          <t>(Address TBD – R0180834)</t>
        </is>
      </c>
      <c r="E175" s="703" t="inlineStr">
        <is>
          <t>Adams County</t>
        </is>
      </c>
      <c r="F175" s="703" t="inlineStr">
        <is>
          <t>CO</t>
        </is>
      </c>
      <c r="G175" s="703" t="inlineStr">
        <is>
          <t>Industrial</t>
        </is>
      </c>
      <c r="H175" s="703" t="inlineStr">
        <is>
          <t>Cold Storage/Mega-Warehouse NNN</t>
        </is>
      </c>
      <c r="I175" s="703" t="n">
        <v>2012</v>
      </c>
      <c r="J175" s="703" t="n">
        <v>550031</v>
      </c>
      <c r="K175" s="703" t="n">
        <v>2024</v>
      </c>
      <c r="L175" s="703" t="n"/>
      <c r="M175" s="703" t="n"/>
      <c r="N175" s="703" t="n"/>
      <c r="O175" s="714" t="n">
        <v>77117</v>
      </c>
      <c r="P175" s="714" t="n">
        <v>138053</v>
      </c>
      <c r="Q175" s="703" t="n"/>
      <c r="R175" s="703" t="n"/>
      <c r="S175" s="703" t="n"/>
      <c r="T175" s="703" t="n"/>
      <c r="U175" s="703" t="n"/>
      <c r="V175" s="703" t="n"/>
      <c r="W175" s="703" t="n"/>
      <c r="X175" s="703" t="n"/>
      <c r="Y175" s="703" t="n"/>
      <c r="Z175" s="703" t="n"/>
      <c r="AA175" s="703" t="n"/>
      <c r="AB175" s="703" t="n"/>
      <c r="AC175" s="703" t="n"/>
      <c r="AD175" s="703" t="n"/>
      <c r="AE175" s="703" t="n"/>
      <c r="AF175" s="703" t="n"/>
      <c r="AG175" s="703" t="n"/>
      <c r="AH175" s="703" t="n"/>
      <c r="AI175" s="714" t="n">
        <v>2118655</v>
      </c>
      <c r="AJ175" s="714" t="n">
        <v>2333825</v>
      </c>
      <c r="AK175" s="703" t="n"/>
      <c r="AL175" s="703" t="n"/>
      <c r="AM175" s="703" t="inlineStr">
        <is>
          <t>Cold storage/mega-WH 550,031 SF; NNN; landlord only: RE Tax $2,118,655/Ins $77,117/Mgmt $138,053; 2012 YOC</t>
        </is>
      </c>
      <c r="AN175">
        <f>AND(B175=Subj_OccCode,Subj_BldgSF&gt;0,J175&gt;=Subj_BldgSF*(1-Subj_SizeTol),J175&lt;=Subj_BldgSF*(1+Subj_SizeTol))</f>
        <v/>
      </c>
    </row>
    <row r="176">
      <c r="A176" s="703" t="inlineStr">
        <is>
          <t>P093</t>
        </is>
      </c>
      <c r="B176" s="695" t="n">
        <v>407</v>
      </c>
      <c r="C176" s="703" t="inlineStr">
        <is>
          <t>R0114792</t>
        </is>
      </c>
      <c r="D176" s="703" t="inlineStr">
        <is>
          <t>(Address TBD – R0114792)</t>
        </is>
      </c>
      <c r="E176" s="703" t="inlineStr">
        <is>
          <t>Adams County</t>
        </is>
      </c>
      <c r="F176" s="703" t="inlineStr">
        <is>
          <t>CO</t>
        </is>
      </c>
      <c r="G176" s="703" t="inlineStr">
        <is>
          <t>Industrial</t>
        </is>
      </c>
      <c r="H176" s="703" t="inlineStr">
        <is>
          <t>Industrial NNN</t>
        </is>
      </c>
      <c r="I176" s="703" t="n">
        <v>1998</v>
      </c>
      <c r="J176" s="703" t="n">
        <v>64501</v>
      </c>
      <c r="K176" s="703" t="n">
        <v>2023</v>
      </c>
      <c r="L176" s="703" t="n"/>
      <c r="M176" s="703" t="n"/>
      <c r="N176" s="703" t="n"/>
      <c r="O176" s="714" t="n">
        <v>9589</v>
      </c>
      <c r="P176" s="714" t="n">
        <v>23542</v>
      </c>
      <c r="Q176" s="703" t="n"/>
      <c r="R176" s="703" t="n"/>
      <c r="S176" s="703" t="n"/>
      <c r="T176" s="703" t="n"/>
      <c r="U176" s="703" t="n"/>
      <c r="V176" s="703" t="n"/>
      <c r="W176" s="703" t="n"/>
      <c r="X176" s="703" t="n"/>
      <c r="Y176" s="703" t="n"/>
      <c r="Z176" s="703" t="n"/>
      <c r="AA176" s="703" t="n"/>
      <c r="AB176" s="703" t="n"/>
      <c r="AC176" s="703" t="n"/>
      <c r="AD176" s="703" t="n"/>
      <c r="AE176" s="703" t="n"/>
      <c r="AF176" s="703" t="n"/>
      <c r="AG176" s="703" t="n"/>
      <c r="AH176" s="703" t="n"/>
      <c r="AI176" s="714" t="n">
        <v>201248</v>
      </c>
      <c r="AJ176" s="714" t="n">
        <v>234379</v>
      </c>
      <c r="AK176" s="703" t="n"/>
      <c r="AL176" s="703" t="n"/>
      <c r="AM176" s="703" t="inlineStr">
        <is>
          <t>NNN; landlord only: RE Tax $201,248/Ins $9,589/Mgmt $23,542; 1998 YOC</t>
        </is>
      </c>
      <c r="AN176">
        <f>AND(B176=Subj_OccCode,Subj_BldgSF&gt;0,J176&gt;=Subj_BldgSF*(1-Subj_SizeTol),J176&lt;=Subj_BldgSF*(1+Subj_SizeTol))</f>
        <v/>
      </c>
    </row>
    <row r="177">
      <c r="A177" s="703" t="inlineStr">
        <is>
          <t>P093</t>
        </is>
      </c>
      <c r="B177" s="695" t="n">
        <v>407</v>
      </c>
      <c r="C177" s="703" t="inlineStr">
        <is>
          <t>R0114792</t>
        </is>
      </c>
      <c r="D177" s="703" t="inlineStr">
        <is>
          <t>(Address TBD – R0114792)</t>
        </is>
      </c>
      <c r="E177" s="703" t="inlineStr">
        <is>
          <t>Adams County</t>
        </is>
      </c>
      <c r="F177" s="703" t="inlineStr">
        <is>
          <t>CO</t>
        </is>
      </c>
      <c r="G177" s="703" t="inlineStr">
        <is>
          <t>Industrial</t>
        </is>
      </c>
      <c r="H177" s="703" t="inlineStr">
        <is>
          <t>Industrial NNN</t>
        </is>
      </c>
      <c r="I177" s="703" t="n">
        <v>1998</v>
      </c>
      <c r="J177" s="703" t="n">
        <v>64501</v>
      </c>
      <c r="K177" s="703" t="n">
        <v>2024</v>
      </c>
      <c r="L177" s="703" t="n"/>
      <c r="M177" s="703" t="n"/>
      <c r="N177" s="703" t="n"/>
      <c r="O177" s="714" t="n">
        <v>7536</v>
      </c>
      <c r="P177" s="714" t="n">
        <v>23889</v>
      </c>
      <c r="Q177" s="703" t="n"/>
      <c r="R177" s="703" t="n"/>
      <c r="S177" s="703" t="n"/>
      <c r="T177" s="703" t="n"/>
      <c r="U177" s="703" t="n"/>
      <c r="V177" s="703" t="n"/>
      <c r="W177" s="703" t="n"/>
      <c r="X177" s="703" t="n"/>
      <c r="Y177" s="703" t="n"/>
      <c r="Z177" s="703" t="n"/>
      <c r="AA177" s="703" t="n"/>
      <c r="AB177" s="703" t="n"/>
      <c r="AC177" s="703" t="n"/>
      <c r="AD177" s="703" t="n"/>
      <c r="AE177" s="703" t="n"/>
      <c r="AF177" s="703" t="n"/>
      <c r="AG177" s="703" t="n"/>
      <c r="AH177" s="703" t="n"/>
      <c r="AI177" s="714" t="n">
        <v>244551</v>
      </c>
      <c r="AJ177" s="714" t="n">
        <v>275976</v>
      </c>
      <c r="AK177" s="703" t="n"/>
      <c r="AL177" s="703" t="n"/>
      <c r="AM177" s="703" t="inlineStr">
        <is>
          <t>NNN; landlord only: RE Tax $244,551/Ins $7,536/Mgmt $23,889</t>
        </is>
      </c>
      <c r="AN177">
        <f>AND(B177=Subj_OccCode,Subj_BldgSF&gt;0,J177&gt;=Subj_BldgSF*(1-Subj_SizeTol),J177&lt;=Subj_BldgSF*(1+Subj_SizeTol))</f>
        <v/>
      </c>
    </row>
    <row r="178">
      <c r="A178" s="703" t="inlineStr">
        <is>
          <t>P027</t>
        </is>
      </c>
      <c r="B178" s="695" t="n">
        <v>407</v>
      </c>
      <c r="C178" s="703" t="inlineStr">
        <is>
          <t>R0132030</t>
        </is>
      </c>
      <c r="D178" s="703" t="inlineStr">
        <is>
          <t>(R0132030)</t>
        </is>
      </c>
      <c r="E178" s="703" t="inlineStr">
        <is>
          <t>Adams County</t>
        </is>
      </c>
      <c r="F178" s="703" t="inlineStr">
        <is>
          <t>CO</t>
        </is>
      </c>
      <c r="G178" s="703" t="inlineStr">
        <is>
          <t>Industrial</t>
        </is>
      </c>
      <c r="H178" s="703" t="inlineStr">
        <is>
          <t>Industrial NNN</t>
        </is>
      </c>
      <c r="I178" s="703" t="n"/>
      <c r="J178" s="703" t="n">
        <v>200094</v>
      </c>
      <c r="K178" s="703" t="n">
        <v>2024</v>
      </c>
      <c r="L178" s="703" t="n"/>
      <c r="M178" s="703" t="n"/>
      <c r="N178" s="703" t="n"/>
      <c r="O178" s="714" t="n">
        <v>26308</v>
      </c>
      <c r="P178" s="714" t="n">
        <v>48882</v>
      </c>
      <c r="Q178" s="703" t="n"/>
      <c r="R178" s="703" t="n"/>
      <c r="S178" s="703" t="n"/>
      <c r="T178" s="703" t="n"/>
      <c r="U178" s="703" t="n"/>
      <c r="V178" s="703" t="n"/>
      <c r="W178" s="703" t="n"/>
      <c r="X178" s="703" t="n"/>
      <c r="Y178" s="703" t="n"/>
      <c r="Z178" s="703" t="n"/>
      <c r="AA178" s="703" t="n"/>
      <c r="AB178" s="703" t="n"/>
      <c r="AC178" s="714" t="n">
        <v>80298</v>
      </c>
      <c r="AD178" s="714" t="n">
        <v>64237</v>
      </c>
      <c r="AE178" s="703" t="n"/>
      <c r="AF178" s="714" t="n">
        <v>64237</v>
      </c>
      <c r="AG178" s="703" t="n"/>
      <c r="AH178" s="703" t="n"/>
      <c r="AI178" s="714" t="n">
        <v>440287</v>
      </c>
      <c r="AJ178" s="714" t="n">
        <v>659712</v>
      </c>
      <c r="AK178" s="703" t="n"/>
      <c r="AL178" s="703" t="n"/>
      <c r="AM178" s="703" t="inlineStr">
        <is>
          <t>NNN; WH Expenses 2026 landlord data: RE Tax $440,287/Ins $26,308/Utils $64,237/Mgmt $48,882/CAM $80,298</t>
        </is>
      </c>
      <c r="AN178">
        <f>AND(B178=Subj_OccCode,Subj_BldgSF&gt;0,J178&gt;=Subj_BldgSF*(1-Subj_SizeTol),J178&lt;=Subj_BldgSF*(1+Subj_SizeTol))</f>
        <v/>
      </c>
    </row>
    <row r="179">
      <c r="A179" s="703" t="inlineStr">
        <is>
          <t>P028</t>
        </is>
      </c>
      <c r="B179" s="695" t="n">
        <v>407</v>
      </c>
      <c r="C179" s="703" t="inlineStr">
        <is>
          <t>R0084040</t>
        </is>
      </c>
      <c r="D179" s="703" t="inlineStr">
        <is>
          <t>(R0084040)</t>
        </is>
      </c>
      <c r="E179" s="703" t="inlineStr">
        <is>
          <t>Adams County</t>
        </is>
      </c>
      <c r="F179" s="703" t="inlineStr">
        <is>
          <t>CO</t>
        </is>
      </c>
      <c r="G179" s="703" t="inlineStr">
        <is>
          <t>Industrial</t>
        </is>
      </c>
      <c r="H179" s="703" t="inlineStr">
        <is>
          <t>Industrial NNN</t>
        </is>
      </c>
      <c r="I179" s="703" t="n"/>
      <c r="J179" s="703" t="n"/>
      <c r="K179" s="703" t="n">
        <v>2024</v>
      </c>
      <c r="L179" s="703" t="n"/>
      <c r="M179" s="703" t="n"/>
      <c r="N179" s="703" t="n"/>
      <c r="O179" s="714" t="n">
        <v>24025</v>
      </c>
      <c r="P179" s="714" t="n">
        <v>65817</v>
      </c>
      <c r="Q179" s="703" t="n"/>
      <c r="R179" s="703" t="n"/>
      <c r="S179" s="703" t="n"/>
      <c r="T179" s="703" t="n"/>
      <c r="U179" s="703" t="n"/>
      <c r="V179" s="703" t="n"/>
      <c r="W179" s="703" t="n"/>
      <c r="X179" s="703" t="n"/>
      <c r="Y179" s="703" t="n"/>
      <c r="Z179" s="703" t="n"/>
      <c r="AA179" s="703" t="n"/>
      <c r="AB179" s="703" t="n"/>
      <c r="AC179" s="714" t="n">
        <v>128840</v>
      </c>
      <c r="AD179" s="714" t="n">
        <v>69481</v>
      </c>
      <c r="AE179" s="703" t="n"/>
      <c r="AF179" s="714" t="n">
        <v>69481</v>
      </c>
      <c r="AG179" s="703" t="n"/>
      <c r="AH179" s="703" t="n"/>
      <c r="AI179" s="714" t="n">
        <v>598274</v>
      </c>
      <c r="AJ179" s="714" t="n">
        <v>886437</v>
      </c>
      <c r="AK179" s="703" t="n"/>
      <c r="AL179" s="703" t="n"/>
      <c r="AM179" s="703" t="inlineStr">
        <is>
          <t>NNN; WH Expenses 2026 landlord data: RE Tax $598,274/Ins $24,025/Utils $69,481/Mgmt $65,817/CAM $128,840</t>
        </is>
      </c>
      <c r="AN179">
        <f>AND(B179=Subj_OccCode,Subj_BldgSF&gt;0,J179&gt;=Subj_BldgSF*(1-Subj_SizeTol),J179&lt;=Subj_BldgSF*(1+Subj_SizeTol))</f>
        <v/>
      </c>
    </row>
    <row r="180">
      <c r="A180" s="703" t="inlineStr">
        <is>
          <t>P034</t>
        </is>
      </c>
      <c r="B180" s="695" t="n">
        <v>407</v>
      </c>
      <c r="C180" s="703" t="inlineStr">
        <is>
          <t>R0172865</t>
        </is>
      </c>
      <c r="D180" s="703" t="inlineStr">
        <is>
          <t>(R0172865)</t>
        </is>
      </c>
      <c r="E180" s="703" t="inlineStr">
        <is>
          <t>Adams County</t>
        </is>
      </c>
      <c r="F180" s="703" t="inlineStr">
        <is>
          <t>CO</t>
        </is>
      </c>
      <c r="G180" s="703" t="inlineStr">
        <is>
          <t>Industrial</t>
        </is>
      </c>
      <c r="H180" s="703" t="inlineStr">
        <is>
          <t>Industrial NNN</t>
        </is>
      </c>
      <c r="I180" s="703" t="n"/>
      <c r="J180" s="703" t="n">
        <v>215461</v>
      </c>
      <c r="K180" s="703" t="n">
        <v>2024</v>
      </c>
      <c r="L180" s="703" t="n"/>
      <c r="M180" s="703" t="n"/>
      <c r="N180" s="703" t="n"/>
      <c r="O180" s="714" t="n">
        <v>30832</v>
      </c>
      <c r="P180" s="714" t="n">
        <v>71321</v>
      </c>
      <c r="Q180" s="703" t="n"/>
      <c r="R180" s="703" t="n"/>
      <c r="S180" s="703" t="n"/>
      <c r="T180" s="703" t="n"/>
      <c r="U180" s="703" t="n"/>
      <c r="V180" s="703" t="n"/>
      <c r="W180" s="703" t="n"/>
      <c r="X180" s="703" t="n"/>
      <c r="Y180" s="703" t="n"/>
      <c r="Z180" s="703" t="n"/>
      <c r="AA180" s="703" t="n"/>
      <c r="AB180" s="703" t="n"/>
      <c r="AC180" s="714" t="n">
        <v>127177</v>
      </c>
      <c r="AD180" s="714" t="n">
        <v>101924</v>
      </c>
      <c r="AE180" s="703" t="n"/>
      <c r="AF180" s="714" t="n">
        <v>101924</v>
      </c>
      <c r="AG180" s="703" t="n"/>
      <c r="AH180" s="703" t="n"/>
      <c r="AI180" s="714" t="n">
        <v>564450</v>
      </c>
      <c r="AJ180" s="714" t="n">
        <v>895704</v>
      </c>
      <c r="AK180" s="703" t="n"/>
      <c r="AL180" s="703" t="n"/>
      <c r="AM180" s="703" t="inlineStr">
        <is>
          <t>NNN; WH Expenses 2026 landlord data: RE Tax $564,450/Ins $30,832/Utils $101,924/Mgmt $71,321/CAM $127,177</t>
        </is>
      </c>
      <c r="AN180">
        <f>AND(B180=Subj_OccCode,Subj_BldgSF&gt;0,J180&gt;=Subj_BldgSF*(1-Subj_SizeTol),J180&lt;=Subj_BldgSF*(1+Subj_SizeTol))</f>
        <v/>
      </c>
    </row>
    <row r="181">
      <c r="A181" s="703" t="inlineStr">
        <is>
          <t>P036</t>
        </is>
      </c>
      <c r="B181" s="695" t="n">
        <v>407</v>
      </c>
      <c r="C181" s="703" t="inlineStr">
        <is>
          <t>R0172868</t>
        </is>
      </c>
      <c r="D181" s="703" t="inlineStr">
        <is>
          <t>(R0172868)</t>
        </is>
      </c>
      <c r="E181" s="703" t="inlineStr">
        <is>
          <t>Adams County</t>
        </is>
      </c>
      <c r="F181" s="703" t="inlineStr">
        <is>
          <t>CO</t>
        </is>
      </c>
      <c r="G181" s="703" t="inlineStr">
        <is>
          <t>Industrial</t>
        </is>
      </c>
      <c r="H181" s="703" t="inlineStr">
        <is>
          <t>Industrial NNN</t>
        </is>
      </c>
      <c r="I181" s="703" t="n"/>
      <c r="J181" s="703" t="n">
        <v>200000</v>
      </c>
      <c r="K181" s="703" t="n">
        <v>2024</v>
      </c>
      <c r="L181" s="703" t="n"/>
      <c r="M181" s="703" t="n"/>
      <c r="N181" s="703" t="n"/>
      <c r="O181" s="714" t="n">
        <v>30594</v>
      </c>
      <c r="P181" s="714" t="n">
        <v>36085</v>
      </c>
      <c r="Q181" s="703" t="n"/>
      <c r="R181" s="703" t="n"/>
      <c r="S181" s="703" t="n"/>
      <c r="T181" s="703" t="n"/>
      <c r="U181" s="703" t="n"/>
      <c r="V181" s="703" t="n"/>
      <c r="W181" s="703" t="n"/>
      <c r="X181" s="703" t="n"/>
      <c r="Y181" s="703" t="n"/>
      <c r="Z181" s="703" t="n"/>
      <c r="AA181" s="703" t="n"/>
      <c r="AB181" s="703" t="n"/>
      <c r="AC181" s="714" t="n">
        <v>95792</v>
      </c>
      <c r="AD181" s="703" t="n"/>
      <c r="AE181" s="703" t="n"/>
      <c r="AF181" s="703" t="n"/>
      <c r="AG181" s="703" t="n"/>
      <c r="AH181" s="703" t="n"/>
      <c r="AI181" s="714" t="n">
        <v>608209</v>
      </c>
      <c r="AJ181" s="714" t="n">
        <v>770680</v>
      </c>
      <c r="AK181" s="703" t="n"/>
      <c r="AL181" s="703" t="n"/>
      <c r="AM181" s="703" t="inlineStr">
        <is>
          <t>NNN; WH Expenses 2026 landlord data: RE Tax $608,209/Ins $30,594/Mgmt $36,085/CAM $95,792</t>
        </is>
      </c>
      <c r="AN181">
        <f>AND(B181=Subj_OccCode,Subj_BldgSF&gt;0,J181&gt;=Subj_BldgSF*(1-Subj_SizeTol),J181&lt;=Subj_BldgSF*(1+Subj_SizeTol))</f>
        <v/>
      </c>
    </row>
    <row r="182">
      <c r="A182" s="703" t="inlineStr">
        <is>
          <t>P061</t>
        </is>
      </c>
      <c r="B182" s="695" t="n">
        <v>584</v>
      </c>
      <c r="C182" s="703" t="inlineStr">
        <is>
          <t>R0083935</t>
        </is>
      </c>
      <c r="D182" s="703" t="inlineStr">
        <is>
          <t>(R0083935)</t>
        </is>
      </c>
      <c r="E182" s="703" t="inlineStr">
        <is>
          <t>Adams County</t>
        </is>
      </c>
      <c r="F182" s="703" t="inlineStr">
        <is>
          <t>CO</t>
        </is>
      </c>
      <c r="G182" s="703" t="inlineStr">
        <is>
          <t>Industrial</t>
        </is>
      </c>
      <c r="H182" s="703" t="inlineStr">
        <is>
          <t>Industrial NNN</t>
        </is>
      </c>
      <c r="I182" s="703" t="n"/>
      <c r="J182" s="703" t="n">
        <v>277690</v>
      </c>
      <c r="K182" s="703" t="n">
        <v>2024</v>
      </c>
      <c r="L182" s="703" t="n"/>
      <c r="M182" s="703" t="n"/>
      <c r="N182" s="703" t="n"/>
      <c r="O182" s="714" t="n">
        <v>80849</v>
      </c>
      <c r="P182" s="714" t="n">
        <v>172937</v>
      </c>
      <c r="Q182" s="703" t="n"/>
      <c r="R182" s="703" t="n"/>
      <c r="S182" s="703" t="n"/>
      <c r="T182" s="703" t="n"/>
      <c r="U182" s="703" t="n"/>
      <c r="V182" s="703" t="n"/>
      <c r="W182" s="703" t="n"/>
      <c r="X182" s="703" t="n"/>
      <c r="Y182" s="703" t="n"/>
      <c r="Z182" s="703" t="n"/>
      <c r="AA182" s="703" t="n"/>
      <c r="AB182" s="703" t="n"/>
      <c r="AC182" s="714" t="n">
        <v>282651</v>
      </c>
      <c r="AD182" s="714" t="n">
        <v>195945</v>
      </c>
      <c r="AE182" s="703" t="n"/>
      <c r="AF182" s="714" t="n">
        <v>195945</v>
      </c>
      <c r="AG182" s="703" t="n"/>
      <c r="AH182" s="703" t="n"/>
      <c r="AI182" s="714" t="n">
        <v>788195</v>
      </c>
      <c r="AJ182" s="714" t="n">
        <v>1520577</v>
      </c>
      <c r="AK182" s="703" t="n"/>
      <c r="AL182" s="703" t="n"/>
      <c r="AM182" s="703" t="inlineStr">
        <is>
          <t>NNN; WH Expenses 2026 landlord data 2024; ranges used (midpoints): RE Tax ~$788k/Ins ~$81k/Utils $195,945/Mgmt $172,937/CAM ~$283k</t>
        </is>
      </c>
      <c r="AN182">
        <f>AND(B182=Subj_OccCode,Subj_BldgSF&gt;0,J182&gt;=Subj_BldgSF*(1-Subj_SizeTol),J182&lt;=Subj_BldgSF*(1+Subj_SizeTol))</f>
        <v/>
      </c>
    </row>
    <row r="183">
      <c r="A183" s="703" t="inlineStr">
        <is>
          <t>P069</t>
        </is>
      </c>
      <c r="B183" s="695" t="n">
        <v>210</v>
      </c>
      <c r="C183" s="703" t="inlineStr">
        <is>
          <t>R0098223</t>
        </is>
      </c>
      <c r="D183" s="703" t="inlineStr">
        <is>
          <t>(R0098223)</t>
        </is>
      </c>
      <c r="E183" s="703" t="inlineStr">
        <is>
          <t>Adams County</t>
        </is>
      </c>
      <c r="F183" s="703" t="inlineStr">
        <is>
          <t>CO</t>
        </is>
      </c>
      <c r="G183" s="703" t="inlineStr">
        <is>
          <t>Industrial</t>
        </is>
      </c>
      <c r="H183" s="703" t="inlineStr">
        <is>
          <t>Industrial</t>
        </is>
      </c>
      <c r="I183" s="703" t="n"/>
      <c r="J183" s="703" t="n"/>
      <c r="K183" s="703" t="n">
        <v>2023</v>
      </c>
      <c r="L183" s="703" t="n"/>
      <c r="M183" s="703" t="n"/>
      <c r="N183" s="703" t="n"/>
      <c r="O183" s="703" t="n"/>
      <c r="P183" s="703" t="n"/>
      <c r="Q183" s="703" t="n"/>
      <c r="R183" s="703" t="n"/>
      <c r="S183" s="703" t="n"/>
      <c r="T183" s="703" t="n"/>
      <c r="U183" s="703" t="n"/>
      <c r="V183" s="703" t="n"/>
      <c r="W183" s="703" t="n"/>
      <c r="X183" s="703" t="n"/>
      <c r="Y183" s="703" t="n"/>
      <c r="Z183" s="703" t="n"/>
      <c r="AA183" s="703" t="n"/>
      <c r="AB183" s="703" t="n"/>
      <c r="AC183" s="703" t="n"/>
      <c r="AD183" s="703" t="n"/>
      <c r="AE183" s="703" t="n"/>
      <c r="AF183" s="703" t="n"/>
      <c r="AG183" s="703" t="n"/>
      <c r="AH183" s="703" t="n"/>
      <c r="AI183" s="703" t="n"/>
      <c r="AJ183" s="703" t="n"/>
      <c r="AK183" s="714" t="n">
        <v>951113</v>
      </c>
      <c r="AL183" s="703" t="n"/>
      <c r="AM183" s="703" t="inlineStr">
        <is>
          <t>CORRECTED: previous entry had wrong NOI ($76,629). Correct 2023 NOI = $951,113 per WH Expenses 2026</t>
        </is>
      </c>
      <c r="AN183">
        <f>AND(B183=Subj_OccCode,Subj_BldgSF&gt;0,J183&gt;=Subj_BldgSF*(1-Subj_SizeTol),J183&lt;=Subj_BldgSF*(1+Subj_SizeTol))</f>
        <v/>
      </c>
    </row>
    <row r="184">
      <c r="A184" s="703" t="inlineStr">
        <is>
          <t>P069</t>
        </is>
      </c>
      <c r="B184" s="695" t="n">
        <v>210</v>
      </c>
      <c r="C184" s="703" t="inlineStr">
        <is>
          <t>R0098223</t>
        </is>
      </c>
      <c r="D184" s="703" t="inlineStr">
        <is>
          <t>(R0098223)</t>
        </is>
      </c>
      <c r="E184" s="703" t="inlineStr">
        <is>
          <t>Adams County</t>
        </is>
      </c>
      <c r="F184" s="703" t="inlineStr">
        <is>
          <t>CO</t>
        </is>
      </c>
      <c r="G184" s="703" t="inlineStr">
        <is>
          <t>Industrial</t>
        </is>
      </c>
      <c r="H184" s="703" t="inlineStr">
        <is>
          <t>Industrial</t>
        </is>
      </c>
      <c r="I184" s="703" t="n"/>
      <c r="J184" s="703" t="n"/>
      <c r="K184" s="703" t="n">
        <v>2024</v>
      </c>
      <c r="L184" s="703" t="n"/>
      <c r="M184" s="703" t="n"/>
      <c r="N184" s="703" t="n"/>
      <c r="O184" s="703" t="n"/>
      <c r="P184" s="703" t="n"/>
      <c r="Q184" s="703" t="n"/>
      <c r="R184" s="703" t="n"/>
      <c r="S184" s="703" t="n"/>
      <c r="T184" s="703" t="n"/>
      <c r="U184" s="703" t="n"/>
      <c r="V184" s="703" t="n"/>
      <c r="W184" s="703" t="n"/>
      <c r="X184" s="703" t="n"/>
      <c r="Y184" s="703" t="n"/>
      <c r="Z184" s="703" t="n"/>
      <c r="AA184" s="703" t="n"/>
      <c r="AB184" s="703" t="n"/>
      <c r="AC184" s="703" t="n"/>
      <c r="AD184" s="703" t="n"/>
      <c r="AE184" s="703" t="n"/>
      <c r="AF184" s="703" t="n"/>
      <c r="AG184" s="703" t="n"/>
      <c r="AH184" s="703" t="n"/>
      <c r="AI184" s="703" t="n"/>
      <c r="AJ184" s="703" t="n"/>
      <c r="AK184" s="714" t="n">
        <v>1005999</v>
      </c>
      <c r="AL184" s="703" t="n"/>
      <c r="AM184" s="703" t="inlineStr">
        <is>
          <t>New 2024 row from WH Expenses 2026; NOI $1,005,999</t>
        </is>
      </c>
      <c r="AN184">
        <f>AND(B184=Subj_OccCode,Subj_BldgSF&gt;0,J184&gt;=Subj_BldgSF*(1-Subj_SizeTol),J184&lt;=Subj_BldgSF*(1+Subj_SizeTol))</f>
        <v/>
      </c>
    </row>
    <row r="185">
      <c r="A185" s="703" t="inlineStr">
        <is>
          <t>P094</t>
        </is>
      </c>
      <c r="B185" s="695" t="n">
        <v>407</v>
      </c>
      <c r="C185" s="703" t="inlineStr">
        <is>
          <t>R0104122</t>
        </is>
      </c>
      <c r="D185" s="703" t="inlineStr">
        <is>
          <t>550 W 53rd Pl</t>
        </is>
      </c>
      <c r="E185" s="703" t="inlineStr">
        <is>
          <t>Denver</t>
        </is>
      </c>
      <c r="F185" s="703" t="inlineStr">
        <is>
          <t>CO</t>
        </is>
      </c>
      <c r="G185" s="703" t="inlineStr">
        <is>
          <t>Industrial</t>
        </is>
      </c>
      <c r="H185" s="703" t="inlineStr">
        <is>
          <t>Distribution Warehouse</t>
        </is>
      </c>
      <c r="I185" s="703" t="n">
        <v>1971</v>
      </c>
      <c r="J185" s="703" t="n">
        <v>127900</v>
      </c>
      <c r="K185" s="703" t="n">
        <v>2024</v>
      </c>
      <c r="L185" s="714" t="n">
        <v>831350</v>
      </c>
      <c r="M185" s="703" t="n"/>
      <c r="N185" s="714" t="n">
        <v>781469</v>
      </c>
      <c r="O185" s="703" t="n"/>
      <c r="P185" s="703" t="n"/>
      <c r="Q185" s="703" t="n"/>
      <c r="R185" s="703" t="n"/>
      <c r="S185" s="703" t="n"/>
      <c r="T185" s="703" t="n"/>
      <c r="U185" s="703" t="n"/>
      <c r="V185" s="703" t="n"/>
      <c r="W185" s="703" t="n"/>
      <c r="X185" s="703" t="n"/>
      <c r="Y185" s="703" t="n"/>
      <c r="Z185" s="703" t="n"/>
      <c r="AA185" s="703" t="n"/>
      <c r="AB185" s="703" t="n"/>
      <c r="AC185" s="703" t="n"/>
      <c r="AD185" s="703" t="n"/>
      <c r="AE185" s="703" t="n"/>
      <c r="AF185" s="703" t="n"/>
      <c r="AG185" s="703" t="n"/>
      <c r="AH185" s="714" t="n">
        <v>62518</v>
      </c>
      <c r="AI185" s="703" t="n"/>
      <c r="AJ185" s="714" t="n">
        <v>62518</v>
      </c>
      <c r="AK185" s="714" t="n">
        <v>718951</v>
      </c>
      <c r="AL185" s="703" t="n"/>
      <c r="AM185" s="703" t="inlineStr">
        <is>
          <t>Appraiser income approach (CBOE 2024 abatement); market rent $6.50/SF; vac 6%; OPX 5% + reserves 3%; 6.00% OAR; value $11,985,000</t>
        </is>
      </c>
      <c r="AN185">
        <f>AND(B185=Subj_OccCode,Subj_BldgSF&gt;0,J185&gt;=Subj_BldgSF*(1-Subj_SizeTol),J185&lt;=Subj_BldgSF*(1+Subj_SizeTol))</f>
        <v/>
      </c>
    </row>
    <row r="186">
      <c r="A186" s="703" t="inlineStr">
        <is>
          <t>P095</t>
        </is>
      </c>
      <c r="B186" s="695" t="n">
        <v>386</v>
      </c>
      <c r="C186" s="703" t="inlineStr">
        <is>
          <t>R0086010</t>
        </is>
      </c>
      <c r="D186" s="703" t="inlineStr">
        <is>
          <t>15413 E 18th Ave</t>
        </is>
      </c>
      <c r="E186" s="703" t="inlineStr">
        <is>
          <t>Aurora</t>
        </is>
      </c>
      <c r="F186" s="703" t="inlineStr">
        <is>
          <t>CO</t>
        </is>
      </c>
      <c r="G186" s="703" t="inlineStr">
        <is>
          <t>Self-Storage</t>
        </is>
      </c>
      <c r="H186" s="703" t="inlineStr">
        <is>
          <t>Self-Storage</t>
        </is>
      </c>
      <c r="I186" s="703" t="n">
        <v>1984</v>
      </c>
      <c r="J186" s="703" t="n">
        <v>63989</v>
      </c>
      <c r="K186" s="703" t="n">
        <v>2024</v>
      </c>
      <c r="L186" s="714" t="n">
        <v>963336</v>
      </c>
      <c r="M186" s="714" t="n">
        <v>12500</v>
      </c>
      <c r="N186" s="714" t="n">
        <v>831336</v>
      </c>
      <c r="O186" s="703" t="n"/>
      <c r="P186" s="703" t="n"/>
      <c r="Q186" s="703" t="n"/>
      <c r="R186" s="703" t="n"/>
      <c r="S186" s="703" t="n"/>
      <c r="T186" s="703" t="n"/>
      <c r="U186" s="703" t="n"/>
      <c r="V186" s="703" t="n"/>
      <c r="W186" s="703" t="n"/>
      <c r="X186" s="703" t="n"/>
      <c r="Y186" s="703" t="n"/>
      <c r="Z186" s="703" t="n"/>
      <c r="AA186" s="703" t="n"/>
      <c r="AB186" s="703" t="n"/>
      <c r="AC186" s="703" t="n"/>
      <c r="AD186" s="703" t="n"/>
      <c r="AE186" s="703" t="n"/>
      <c r="AF186" s="703" t="n"/>
      <c r="AG186" s="703" t="n"/>
      <c r="AH186" s="714" t="n">
        <v>166267</v>
      </c>
      <c r="AI186" s="703" t="n"/>
      <c r="AJ186" s="714" t="n">
        <v>199520</v>
      </c>
      <c r="AK186" s="714" t="n">
        <v>631815</v>
      </c>
      <c r="AL186" s="714" t="n">
        <v>33253</v>
      </c>
      <c r="AM186" s="703" t="inlineStr">
        <is>
          <t>Appraiser pro forma (AXG CBOE 2024); NRA 57,754 SF; market rent $1.39/mo/SF NRA; vac 15%; OPX 20% EGI; reserves 4%; 7.90% loaded cap; value $8,000,000</t>
        </is>
      </c>
      <c r="AN186">
        <f>AND(B186=Subj_OccCode,Subj_BldgSF&gt;0,J186&gt;=Subj_BldgSF*(1-Subj_SizeTol),J186&lt;=Subj_BldgSF*(1+Subj_SizeTol))</f>
        <v/>
      </c>
    </row>
    <row r="187">
      <c r="A187" s="703" t="inlineStr">
        <is>
          <t>P096</t>
        </is>
      </c>
      <c r="B187" s="695" t="n">
        <v>407</v>
      </c>
      <c r="C187" s="703" t="inlineStr">
        <is>
          <t>R0083917</t>
        </is>
      </c>
      <c r="D187" s="703" t="inlineStr">
        <is>
          <t>14701 E 38th Ave</t>
        </is>
      </c>
      <c r="E187" s="703" t="inlineStr">
        <is>
          <t>Aurora</t>
        </is>
      </c>
      <c r="F187" s="703" t="inlineStr">
        <is>
          <t>CO</t>
        </is>
      </c>
      <c r="G187" s="703" t="inlineStr">
        <is>
          <t>Industrial</t>
        </is>
      </c>
      <c r="H187" s="703" t="inlineStr">
        <is>
          <t>Industrial Owner-User</t>
        </is>
      </c>
      <c r="I187" s="703" t="n"/>
      <c r="J187" s="703" t="n">
        <v>117280</v>
      </c>
      <c r="K187" s="703" t="n">
        <v>2024</v>
      </c>
      <c r="L187" s="703" t="n"/>
      <c r="M187" s="703" t="n"/>
      <c r="N187" s="703" t="n"/>
      <c r="O187" s="714" t="n">
        <v>56500</v>
      </c>
      <c r="P187" s="714" t="n">
        <v>452446</v>
      </c>
      <c r="Q187" s="703" t="n"/>
      <c r="R187" s="703" t="n"/>
      <c r="S187" s="703" t="n"/>
      <c r="T187" s="703" t="n"/>
      <c r="U187" s="703" t="n"/>
      <c r="V187" s="703" t="n"/>
      <c r="W187" s="703" t="n"/>
      <c r="X187" s="714" t="n">
        <v>219534</v>
      </c>
      <c r="Y187" s="714" t="n">
        <v>219534</v>
      </c>
      <c r="Z187" s="714" t="n">
        <v>13813</v>
      </c>
      <c r="AA187" s="714" t="n">
        <v>4696</v>
      </c>
      <c r="AB187" s="703" t="n"/>
      <c r="AC187" s="714" t="n">
        <v>18509</v>
      </c>
      <c r="AD187" s="703" t="n"/>
      <c r="AE187" s="703" t="n"/>
      <c r="AF187" s="714" t="n">
        <v>371508</v>
      </c>
      <c r="AG187" s="703" t="n"/>
      <c r="AH187" s="714" t="n">
        <v>1118497</v>
      </c>
      <c r="AI187" s="703" t="n"/>
      <c r="AJ187" s="714" t="n">
        <v>1118497</v>
      </c>
      <c r="AK187" s="703" t="n"/>
      <c r="AL187" s="703" t="n"/>
      <c r="AM187" s="703" t="inlineStr">
        <is>
          <t>I&amp;E Survey 2024; owner-user; CAUTION: expenses likely include non-RE business costs (mgmt $452k + utils $372k very high); 117,280 SF</t>
        </is>
      </c>
      <c r="AN187">
        <f>AND(B187=Subj_OccCode,Subj_BldgSF&gt;0,J187&gt;=Subj_BldgSF*(1-Subj_SizeTol),J187&lt;=Subj_BldgSF*(1+Subj_SizeTol))</f>
        <v/>
      </c>
    </row>
    <row r="188">
      <c r="A188" s="703" t="inlineStr">
        <is>
          <t>P097</t>
        </is>
      </c>
      <c r="B188" s="695" t="n">
        <v>210</v>
      </c>
      <c r="C188" s="703" t="inlineStr">
        <is>
          <t>R0137586</t>
        </is>
      </c>
      <c r="D188" s="703" t="inlineStr">
        <is>
          <t>7273-7285 E 96th Ave</t>
        </is>
      </c>
      <c r="E188" s="703" t="inlineStr">
        <is>
          <t>Commerce City</t>
        </is>
      </c>
      <c r="F188" s="703" t="inlineStr">
        <is>
          <t>CO</t>
        </is>
      </c>
      <c r="G188" s="703" t="inlineStr">
        <is>
          <t>Industrial</t>
        </is>
      </c>
      <c r="H188" s="703" t="inlineStr">
        <is>
          <t>Multi-Tenant Industrial</t>
        </is>
      </c>
      <c r="I188" s="703" t="n"/>
      <c r="J188" s="703" t="n">
        <v>57200</v>
      </c>
      <c r="K188" s="703" t="n">
        <v>2023</v>
      </c>
      <c r="L188" s="714" t="n">
        <v>803900</v>
      </c>
      <c r="M188" s="703" t="n"/>
      <c r="N188" s="703" t="n"/>
      <c r="O188" s="714" t="n">
        <v>12548</v>
      </c>
      <c r="P188" s="714" t="n">
        <v>56144</v>
      </c>
      <c r="Q188" s="703" t="n"/>
      <c r="R188" s="703" t="n"/>
      <c r="S188" s="703" t="n"/>
      <c r="T188" s="703" t="n"/>
      <c r="U188" s="703" t="n"/>
      <c r="V188" s="703" t="n"/>
      <c r="W188" s="703" t="n"/>
      <c r="X188" s="714" t="n">
        <v>39723</v>
      </c>
      <c r="Y188" s="714" t="n">
        <v>39723</v>
      </c>
      <c r="Z188" s="714" t="n">
        <v>22410</v>
      </c>
      <c r="AA188" s="714" t="n">
        <v>1470</v>
      </c>
      <c r="AB188" s="703" t="n"/>
      <c r="AC188" s="714" t="n">
        <v>23880</v>
      </c>
      <c r="AD188" s="703" t="n"/>
      <c r="AE188" s="714" t="n">
        <v>6687</v>
      </c>
      <c r="AF188" s="714" t="n">
        <v>6687</v>
      </c>
      <c r="AG188" s="703" t="n"/>
      <c r="AH188" s="714" t="n">
        <v>138802</v>
      </c>
      <c r="AI188" s="703" t="n"/>
      <c r="AJ188" s="714" t="n">
        <v>138802</v>
      </c>
      <c r="AK188" s="703" t="n"/>
      <c r="AL188" s="703" t="n"/>
      <c r="AM188" s="703" t="inlineStr">
        <is>
          <t>I&amp;E Survey 2023; modified lease; 57,200 SF; total expenses approx (excludes RE taxes not reported)</t>
        </is>
      </c>
      <c r="AN188">
        <f>AND(B188=Subj_OccCode,Subj_BldgSF&gt;0,J188&gt;=Subj_BldgSF*(1-Subj_SizeTol),J188&lt;=Subj_BldgSF*(1+Subj_SizeTol))</f>
        <v/>
      </c>
    </row>
    <row r="189">
      <c r="A189" s="703" t="inlineStr">
        <is>
          <t>P098</t>
        </is>
      </c>
      <c r="B189" s="695" t="n">
        <v>210</v>
      </c>
      <c r="C189" s="703" t="inlineStr">
        <is>
          <t>R0187010</t>
        </is>
      </c>
      <c r="D189" s="703" t="inlineStr">
        <is>
          <t>8020 Steele St</t>
        </is>
      </c>
      <c r="E189" s="703" t="inlineStr">
        <is>
          <t>Denver</t>
        </is>
      </c>
      <c r="F189" s="703" t="inlineStr">
        <is>
          <t>CO</t>
        </is>
      </c>
      <c r="G189" s="703" t="inlineStr">
        <is>
          <t>Industrial</t>
        </is>
      </c>
      <c r="H189" s="703" t="inlineStr">
        <is>
          <t>Industrial Modified Gross</t>
        </is>
      </c>
      <c r="I189" s="703" t="n"/>
      <c r="J189" s="703" t="n">
        <v>70000</v>
      </c>
      <c r="K189" s="703" t="n">
        <v>2024</v>
      </c>
      <c r="L189" s="714" t="n">
        <v>539000</v>
      </c>
      <c r="M189" s="703" t="n"/>
      <c r="N189" s="703" t="n"/>
      <c r="O189" s="703" t="n"/>
      <c r="P189" s="714" t="n">
        <v>16170</v>
      </c>
      <c r="Q189" s="703" t="n"/>
      <c r="R189" s="703" t="n"/>
      <c r="S189" s="703" t="n"/>
      <c r="T189" s="703" t="n"/>
      <c r="U189" s="703" t="n"/>
      <c r="V189" s="703" t="n"/>
      <c r="W189" s="703" t="n"/>
      <c r="X189" s="714" t="n">
        <v>3600</v>
      </c>
      <c r="Y189" s="714" t="n">
        <v>3600</v>
      </c>
      <c r="Z189" s="703" t="n"/>
      <c r="AA189" s="714" t="n">
        <v>4000</v>
      </c>
      <c r="AB189" s="703" t="n"/>
      <c r="AC189" s="714" t="n">
        <v>4000</v>
      </c>
      <c r="AD189" s="703" t="n"/>
      <c r="AE189" s="703" t="n"/>
      <c r="AF189" s="703" t="n"/>
      <c r="AG189" s="703" t="n"/>
      <c r="AH189" s="714" t="n">
        <v>23770</v>
      </c>
      <c r="AI189" s="703" t="n"/>
      <c r="AJ189" s="714" t="n">
        <v>23770</v>
      </c>
      <c r="AK189" s="703" t="n"/>
      <c r="AL189" s="703" t="n"/>
      <c r="AM189" s="703" t="inlineStr">
        <is>
          <t>I&amp;E Survey 2024; modified gross; owner pays ins/R&amp;M/mgmt only; tenant pays utils/trash; 70,000 SF; partial expense data</t>
        </is>
      </c>
      <c r="AN189">
        <f>AND(B189=Subj_OccCode,Subj_BldgSF&gt;0,J189&gt;=Subj_BldgSF*(1-Subj_SizeTol),J189&lt;=Subj_BldgSF*(1+Subj_SizeTol))</f>
        <v/>
      </c>
    </row>
    <row r="190">
      <c r="A190" s="703" t="inlineStr">
        <is>
          <t>P099</t>
        </is>
      </c>
      <c r="B190" s="695" t="n">
        <v>210</v>
      </c>
      <c r="C190" s="703" t="inlineStr">
        <is>
          <t>R0111914</t>
        </is>
      </c>
      <c r="D190" s="703" t="inlineStr">
        <is>
          <t>1963 Jasper St</t>
        </is>
      </c>
      <c r="E190" s="703" t="inlineStr">
        <is>
          <t>Aurora</t>
        </is>
      </c>
      <c r="F190" s="703" t="inlineStr">
        <is>
          <t>CO</t>
        </is>
      </c>
      <c r="G190" s="703" t="inlineStr">
        <is>
          <t>Industrial</t>
        </is>
      </c>
      <c r="H190" s="703" t="inlineStr">
        <is>
          <t>Multi-Tenant Industrial Gross</t>
        </is>
      </c>
      <c r="I190" s="703" t="n"/>
      <c r="J190" s="703" t="n">
        <v>33574</v>
      </c>
      <c r="K190" s="703" t="n">
        <v>2024</v>
      </c>
      <c r="L190" s="714" t="n">
        <v>330000</v>
      </c>
      <c r="M190" s="703" t="n"/>
      <c r="N190" s="714" t="n">
        <v>330000</v>
      </c>
      <c r="O190" s="714" t="n">
        <v>8310</v>
      </c>
      <c r="P190" s="714" t="n">
        <v>16500</v>
      </c>
      <c r="Q190" s="703" t="n"/>
      <c r="R190" s="703" t="n"/>
      <c r="S190" s="703" t="n"/>
      <c r="T190" s="703" t="n"/>
      <c r="U190" s="703" t="n"/>
      <c r="V190" s="703" t="n"/>
      <c r="W190" s="703" t="n"/>
      <c r="X190" s="714" t="n">
        <v>18881</v>
      </c>
      <c r="Y190" s="714" t="n">
        <v>18881</v>
      </c>
      <c r="Z190" s="714" t="n">
        <v>9900</v>
      </c>
      <c r="AA190" s="714" t="n">
        <v>11300</v>
      </c>
      <c r="AB190" s="703" t="n"/>
      <c r="AC190" s="714" t="n">
        <v>21200</v>
      </c>
      <c r="AD190" s="703" t="n"/>
      <c r="AE190" s="714" t="n">
        <v>11540</v>
      </c>
      <c r="AF190" s="714" t="n">
        <v>11540</v>
      </c>
      <c r="AG190" s="703" t="n"/>
      <c r="AH190" s="714" t="n">
        <v>76431</v>
      </c>
      <c r="AI190" s="703" t="n"/>
      <c r="AJ190" s="714" t="n">
        <v>76431</v>
      </c>
      <c r="AK190" s="714" t="n">
        <v>253569</v>
      </c>
      <c r="AL190" s="703" t="n"/>
      <c r="AM190" s="703" t="inlineStr">
        <is>
          <t>I&amp;E Survey 2024; gross lease (tenant pays gas/elec); approx NOI = GRI minus owner expenses; 33,574 SF</t>
        </is>
      </c>
      <c r="AN190">
        <f>AND(B190=Subj_OccCode,Subj_BldgSF&gt;0,J190&gt;=Subj_BldgSF*(1-Subj_SizeTol),J190&lt;=Subj_BldgSF*(1+Subj_SizeTol))</f>
        <v/>
      </c>
    </row>
    <row r="191">
      <c r="A191" s="703" t="inlineStr">
        <is>
          <t>P100</t>
        </is>
      </c>
      <c r="B191" s="695" t="n">
        <v>1332</v>
      </c>
      <c r="C191" s="703" t="inlineStr">
        <is>
          <t>R0111965</t>
        </is>
      </c>
      <c r="D191" s="703" t="inlineStr">
        <is>
          <t>12101 Grant St</t>
        </is>
      </c>
      <c r="E191" s="703" t="inlineStr">
        <is>
          <t>Thornton</t>
        </is>
      </c>
      <c r="F191" s="703" t="inlineStr">
        <is>
          <t>CO</t>
        </is>
      </c>
      <c r="G191" s="703" t="inlineStr">
        <is>
          <t>Hospitality</t>
        </is>
      </c>
      <c r="H191" s="703" t="inlineStr">
        <is>
          <t>Hotel Limited Service</t>
        </is>
      </c>
      <c r="I191" s="703" t="n">
        <v>1998</v>
      </c>
      <c r="J191" s="703" t="n"/>
      <c r="K191" s="703" t="n">
        <v>2024</v>
      </c>
      <c r="L191" s="714" t="n">
        <v>3007421</v>
      </c>
      <c r="M191" s="703" t="n"/>
      <c r="N191" s="714" t="n">
        <v>3007421</v>
      </c>
      <c r="O191" s="714" t="n">
        <v>45111</v>
      </c>
      <c r="P191" s="703" t="n"/>
      <c r="Q191" s="703" t="n"/>
      <c r="R191" s="703" t="n"/>
      <c r="S191" s="703" t="n"/>
      <c r="T191" s="703" t="n"/>
      <c r="U191" s="703" t="n"/>
      <c r="V191" s="703" t="n"/>
      <c r="W191" s="703" t="n"/>
      <c r="X191" s="703" t="n"/>
      <c r="Y191" s="703" t="n"/>
      <c r="Z191" s="703" t="n"/>
      <c r="AA191" s="703" t="n"/>
      <c r="AB191" s="703" t="n"/>
      <c r="AC191" s="703" t="n"/>
      <c r="AD191" s="703" t="n"/>
      <c r="AE191" s="703" t="n"/>
      <c r="AF191" s="703" t="n"/>
      <c r="AG191" s="714" t="n">
        <v>1975907</v>
      </c>
      <c r="AH191" s="714" t="n">
        <v>2143856</v>
      </c>
      <c r="AI191" s="703" t="n"/>
      <c r="AJ191" s="714" t="n">
        <v>2143856</v>
      </c>
      <c r="AK191" s="714" t="n">
        <v>863565</v>
      </c>
      <c r="AL191" s="703" t="n"/>
      <c r="AM191" s="703" t="inlineStr">
        <is>
          <t>Appraiser Rushmore income approach (AXG CBOE 2024); 100 rooms; ADR $115; occ 70%; RevPAR $80.50; loaded cap 11.30%; RE prop value ~$7.49M. Total Revenue breakout: Rooms+F&amp;B+Other</t>
        </is>
      </c>
      <c r="AN191">
        <f>AND(B191=Subj_OccCode,Subj_BldgSF&gt;0,J191&gt;=Subj_BldgSF*(1-Subj_SizeTol),J191&lt;=Subj_BldgSF*(1+Subj_SizeTol))</f>
        <v/>
      </c>
    </row>
    <row r="192">
      <c r="A192" s="703" t="inlineStr">
        <is>
          <t>P101</t>
        </is>
      </c>
      <c r="B192" s="695" t="n">
        <v>332</v>
      </c>
      <c r="C192" s="703" t="inlineStr">
        <is>
          <t>R0202410</t>
        </is>
      </c>
      <c r="D192" s="703" t="inlineStr">
        <is>
          <t>2556 Oswego St</t>
        </is>
      </c>
      <c r="E192" s="703" t="inlineStr">
        <is>
          <t>Aurora</t>
        </is>
      </c>
      <c r="F192" s="703" t="inlineStr">
        <is>
          <t>CO</t>
        </is>
      </c>
      <c r="G192" s="703" t="inlineStr">
        <is>
          <t>Hospitality</t>
        </is>
      </c>
      <c r="H192" s="703" t="inlineStr">
        <is>
          <t>Hotel Full Service</t>
        </is>
      </c>
      <c r="I192" s="703" t="n">
        <v>2023</v>
      </c>
      <c r="J192" s="703" t="n"/>
      <c r="K192" s="703" t="n">
        <v>2024</v>
      </c>
      <c r="L192" s="714" t="n">
        <v>11899487</v>
      </c>
      <c r="M192" s="703" t="n"/>
      <c r="N192" s="714" t="n">
        <v>11899487</v>
      </c>
      <c r="O192" s="714" t="n">
        <v>154693</v>
      </c>
      <c r="P192" s="703" t="n"/>
      <c r="Q192" s="703" t="n"/>
      <c r="R192" s="703" t="n"/>
      <c r="S192" s="703" t="n"/>
      <c r="T192" s="703" t="n"/>
      <c r="U192" s="703" t="n"/>
      <c r="V192" s="703" t="n"/>
      <c r="W192" s="703" t="n"/>
      <c r="X192" s="703" t="n"/>
      <c r="Y192" s="703" t="n"/>
      <c r="Z192" s="703" t="n"/>
      <c r="AA192" s="703" t="n"/>
      <c r="AB192" s="703" t="n"/>
      <c r="AC192" s="703" t="n"/>
      <c r="AD192" s="703" t="n"/>
      <c r="AE192" s="703" t="n"/>
      <c r="AF192" s="703" t="n"/>
      <c r="AG192" s="714" t="n">
        <v>8760469</v>
      </c>
      <c r="AH192" s="714" t="n">
        <v>8915468</v>
      </c>
      <c r="AI192" s="703" t="n"/>
      <c r="AJ192" s="714" t="n">
        <v>9391447</v>
      </c>
      <c r="AK192" s="714" t="n">
        <v>2984019</v>
      </c>
      <c r="AL192" s="714" t="n">
        <v>475979</v>
      </c>
      <c r="AM192" s="703" t="inlineStr">
        <is>
          <t>Appraiser Rushmore income approach (AXG CBOE 2024); 227 rooms; built 2023; ADR $140; occ 70%; RevPAR $98; loaded cap 12.45%; RE value ~$23.47M (less FF&amp;E)</t>
        </is>
      </c>
      <c r="AN192">
        <f>AND(B192=Subj_OccCode,Subj_BldgSF&gt;0,J192&gt;=Subj_BldgSF*(1-Subj_SizeTol),J192&lt;=Subj_BldgSF*(1+Subj_SizeTol))</f>
        <v/>
      </c>
    </row>
    <row r="193">
      <c r="A193" s="703" t="inlineStr">
        <is>
          <t>P102</t>
        </is>
      </c>
      <c r="B193" s="695" t="n">
        <v>332</v>
      </c>
      <c r="C193" s="703" t="inlineStr">
        <is>
          <t>R0024498</t>
        </is>
      </c>
      <c r="D193" s="703" t="inlineStr">
        <is>
          <t>83 E 120th Ave</t>
        </is>
      </c>
      <c r="E193" s="703" t="inlineStr">
        <is>
          <t>Thornton</t>
        </is>
      </c>
      <c r="F193" s="703" t="inlineStr">
        <is>
          <t>CO</t>
        </is>
      </c>
      <c r="G193" s="703" t="inlineStr">
        <is>
          <t>Hospitality</t>
        </is>
      </c>
      <c r="H193" s="703" t="inlineStr">
        <is>
          <t>Hotel Full Service</t>
        </is>
      </c>
      <c r="I193" s="703" t="n">
        <v>1984</v>
      </c>
      <c r="J193" s="703" t="n">
        <v>114796</v>
      </c>
      <c r="K193" s="703" t="n">
        <v>2024</v>
      </c>
      <c r="L193" s="714" t="n">
        <v>7626796</v>
      </c>
      <c r="M193" s="703" t="n"/>
      <c r="N193" s="714" t="n">
        <v>7626796</v>
      </c>
      <c r="O193" s="714" t="n">
        <v>99148</v>
      </c>
      <c r="P193" s="703" t="n"/>
      <c r="Q193" s="703" t="n"/>
      <c r="R193" s="703" t="n"/>
      <c r="S193" s="703" t="n"/>
      <c r="T193" s="703" t="n"/>
      <c r="U193" s="703" t="n"/>
      <c r="V193" s="703" t="n"/>
      <c r="W193" s="703" t="n"/>
      <c r="X193" s="703" t="n"/>
      <c r="Y193" s="703" t="n"/>
      <c r="Z193" s="703" t="n"/>
      <c r="AA193" s="703" t="n"/>
      <c r="AB193" s="703" t="n"/>
      <c r="AC193" s="703" t="n"/>
      <c r="AD193" s="703" t="n"/>
      <c r="AE193" s="703" t="n"/>
      <c r="AF193" s="703" t="n"/>
      <c r="AG193" s="714" t="n">
        <v>5596452</v>
      </c>
      <c r="AH193" s="714" t="n">
        <v>5901380</v>
      </c>
      <c r="AI193" s="703" t="n"/>
      <c r="AJ193" s="714" t="n">
        <v>6206452</v>
      </c>
      <c r="AK193" s="714" t="n">
        <v>1725416</v>
      </c>
      <c r="AL193" s="714" t="n">
        <v>305072</v>
      </c>
      <c r="AM193" s="703" t="inlineStr">
        <is>
          <t>Appraiser Rushmore income approach (AXG CBOE 2024); 137 rooms; 114,796 SF; 2 bldgs; 1984 YOC; ADR $142; occ 70%; loaded cap 10.56%; RE value $15.78M (less FF&amp;E); STR data: occ ~73%, ADR ~$147-161</t>
        </is>
      </c>
      <c r="AN193">
        <f>AND(B193=Subj_OccCode,Subj_BldgSF&gt;0,J193&gt;=Subj_BldgSF*(1-Subj_SizeTol),J193&lt;=Subj_BldgSF*(1+Subj_SizeTol))</f>
        <v/>
      </c>
    </row>
    <row r="194">
      <c r="A194" s="703" t="inlineStr">
        <is>
          <t>P103</t>
        </is>
      </c>
      <c r="B194" s="695" t="n">
        <v>407</v>
      </c>
      <c r="C194" s="703" t="inlineStr">
        <is>
          <t>R0075212</t>
        </is>
      </c>
      <c r="D194" s="703" t="inlineStr">
        <is>
          <t>10500 Havana Ct</t>
        </is>
      </c>
      <c r="E194" s="703" t="inlineStr">
        <is>
          <t>Commerce City</t>
        </is>
      </c>
      <c r="F194" s="703" t="inlineStr">
        <is>
          <t>CO</t>
        </is>
      </c>
      <c r="G194" s="703" t="inlineStr">
        <is>
          <t>Industrial</t>
        </is>
      </c>
      <c r="H194" s="703" t="inlineStr">
        <is>
          <t>Industrial NNN</t>
        </is>
      </c>
      <c r="I194" s="703" t="n"/>
      <c r="J194" s="703" t="n">
        <v>30000</v>
      </c>
      <c r="K194" s="703" t="n">
        <v>2024</v>
      </c>
      <c r="L194" s="714" t="n">
        <v>252000</v>
      </c>
      <c r="M194" s="703" t="n"/>
      <c r="N194" s="703" t="n"/>
      <c r="O194" s="714" t="n">
        <v>22704</v>
      </c>
      <c r="P194" s="714" t="n">
        <v>9500</v>
      </c>
      <c r="Q194" s="703" t="n"/>
      <c r="R194" s="703" t="n"/>
      <c r="S194" s="703" t="n"/>
      <c r="T194" s="703" t="n"/>
      <c r="U194" s="703" t="n"/>
      <c r="V194" s="703" t="n"/>
      <c r="W194" s="703" t="n"/>
      <c r="X194" s="714" t="n">
        <v>10941</v>
      </c>
      <c r="Y194" s="714" t="n">
        <v>10941</v>
      </c>
      <c r="Z194" s="714" t="n">
        <v>3493</v>
      </c>
      <c r="AA194" s="714" t="n">
        <v>6910</v>
      </c>
      <c r="AB194" s="703" t="n"/>
      <c r="AC194" s="714" t="n">
        <v>10403</v>
      </c>
      <c r="AD194" s="703" t="n"/>
      <c r="AE194" s="714" t="n">
        <v>1956</v>
      </c>
      <c r="AF194" s="714" t="n">
        <v>1956</v>
      </c>
      <c r="AG194" s="703" t="n"/>
      <c r="AH194" s="714" t="n">
        <v>55504</v>
      </c>
      <c r="AI194" s="703" t="n"/>
      <c r="AJ194" s="714" t="n">
        <v>55504</v>
      </c>
      <c r="AK194" s="703" t="n"/>
      <c r="AL194" s="703" t="n"/>
      <c r="AM194" s="703" t="inlineStr">
        <is>
          <t>I&amp;E Survey 2024; NNN lease; owner-reported; 30,000 SF; no NOI computed (no EGI reported)</t>
        </is>
      </c>
      <c r="AN194">
        <f>AND(B194=Subj_OccCode,Subj_BldgSF&gt;0,J194&gt;=Subj_BldgSF*(1-Subj_SizeTol),J194&lt;=Subj_BldgSF*(1+Subj_SizeTol))</f>
        <v/>
      </c>
    </row>
    <row r="195">
      <c r="A195" s="703" t="inlineStr">
        <is>
          <t>P089</t>
        </is>
      </c>
      <c r="B195" s="695" t="n">
        <v>407</v>
      </c>
      <c r="C195" s="703" t="inlineStr">
        <is>
          <t>R0180951</t>
        </is>
      </c>
      <c r="D195" s="703" t="inlineStr">
        <is>
          <t>21200 E 36th Dr</t>
        </is>
      </c>
      <c r="E195" s="703" t="inlineStr">
        <is>
          <t>Aurora</t>
        </is>
      </c>
      <c r="F195" s="703" t="inlineStr">
        <is>
          <t>CO</t>
        </is>
      </c>
      <c r="G195" s="703" t="inlineStr">
        <is>
          <t>Industrial</t>
        </is>
      </c>
      <c r="H195" s="703" t="inlineStr">
        <is>
          <t>Industrial NNN</t>
        </is>
      </c>
      <c r="I195" s="703" t="n">
        <v>2016</v>
      </c>
      <c r="J195" s="703" t="n">
        <v>122106</v>
      </c>
      <c r="K195" s="703" t="n">
        <v>2024</v>
      </c>
      <c r="L195" s="703" t="n"/>
      <c r="M195" s="703" t="n"/>
      <c r="N195" s="703" t="n"/>
      <c r="O195" s="714" t="n">
        <v>7635</v>
      </c>
      <c r="P195" s="703" t="n"/>
      <c r="Q195" s="703" t="n"/>
      <c r="R195" s="703" t="n"/>
      <c r="S195" s="703" t="n"/>
      <c r="T195" s="703" t="n"/>
      <c r="U195" s="703" t="n"/>
      <c r="V195" s="703" t="n"/>
      <c r="W195" s="703" t="n"/>
      <c r="X195" s="714" t="n">
        <v>38871</v>
      </c>
      <c r="Y195" s="714" t="n">
        <v>38871</v>
      </c>
      <c r="Z195" s="714" t="n">
        <v>13785</v>
      </c>
      <c r="AA195" s="714" t="n">
        <v>11809</v>
      </c>
      <c r="AB195" s="703" t="n"/>
      <c r="AC195" s="714" t="n">
        <v>25594</v>
      </c>
      <c r="AD195" s="714" t="n">
        <v>58541</v>
      </c>
      <c r="AE195" s="703" t="n"/>
      <c r="AF195" s="714" t="n">
        <v>58541</v>
      </c>
      <c r="AG195" s="703" t="n"/>
      <c r="AH195" s="703" t="n"/>
      <c r="AI195" s="714" t="n">
        <v>532140</v>
      </c>
      <c r="AJ195" s="714" t="n">
        <v>662781</v>
      </c>
      <c r="AK195" s="703" t="n"/>
      <c r="AL195" s="703" t="n"/>
      <c r="AM195" s="703" t="inlineStr">
        <is>
          <t>MT.xlsx 2024 survey — DETAIL UPDATE for R0180951; R&amp;M $38,871/Grd Maint $11,809/Snow-Trash $13,785 additional breakdown (matches WH Expenses totals)</t>
        </is>
      </c>
      <c r="AN195">
        <f>AND(B195=Subj_OccCode,Subj_BldgSF&gt;0,J195&gt;=Subj_BldgSF*(1-Subj_SizeTol),J195&lt;=Subj_BldgSF*(1+Subj_SizeTol))</f>
        <v/>
      </c>
    </row>
    <row r="196">
      <c r="A196" t="inlineStr">
        <is>
          <t>P104</t>
        </is>
      </c>
      <c r="B196" s="695" t="n">
        <v>210</v>
      </c>
      <c r="C196" t="inlineStr">
        <is>
          <t>R0226379</t>
        </is>
      </c>
      <c r="D196" t="inlineStr">
        <is>
          <t>26100 E 68th Ave</t>
        </is>
      </c>
      <c r="E196" t="inlineStr">
        <is>
          <t>Aurora</t>
        </is>
      </c>
      <c r="F196" t="inlineStr">
        <is>
          <t>CO</t>
        </is>
      </c>
      <c r="G196" t="inlineStr">
        <is>
          <t>Industrial</t>
        </is>
      </c>
      <c r="H196"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68623.09999999999</v>
      </c>
      <c r="AD196" t="n">
        <v>29263.75</v>
      </c>
      <c r="AE196" t="n">
        <v>11425.16</v>
      </c>
      <c r="AF196" t="n">
        <v>40688.91</v>
      </c>
      <c r="AG196" t="n">
        <v>4476.68</v>
      </c>
      <c r="AH196" t="n">
        <v>592603.42</v>
      </c>
      <c r="AI196" t="n">
        <v>681745.35</v>
      </c>
      <c r="AJ196" t="n">
        <v>1274348.77</v>
      </c>
      <c r="AK196" t="n">
        <v>1250716.32</v>
      </c>
      <c r="AM196" t="inlineStr">
        <is>
          <t>2024 actuals; CAM reimb + TBB structure; TBBs (178,730.57) included in Total OPX; RE Taxes include Metro District (179,316.74); Mgmt = CAM Mgmt + non-recov mgmt; Landscape+Snow+Security+Sweeping in Contract Svcs; SF unknown</t>
        </is>
      </c>
      <c r="AN196">
        <f>AND(B196=Subj_OccCode,Subj_BldgSF&gt;0,J196&gt;=Subj_BldgSF*(1-Subj_SizeTol),J196&lt;=Subj_BldgSF*(1+Subj_SizeTol))</f>
        <v/>
      </c>
    </row>
    <row r="197">
      <c r="A197" t="inlineStr">
        <is>
          <t>P104</t>
        </is>
      </c>
      <c r="B197" s="695" t="n">
        <v>210</v>
      </c>
      <c r="C197" t="inlineStr">
        <is>
          <t>R0226379</t>
        </is>
      </c>
      <c r="D197" t="inlineStr">
        <is>
          <t>26100 E 68th Ave</t>
        </is>
      </c>
      <c r="E197" t="inlineStr">
        <is>
          <t>Aurora</t>
        </is>
      </c>
      <c r="F197" t="inlineStr">
        <is>
          <t>CO</t>
        </is>
      </c>
      <c r="G197" t="inlineStr">
        <is>
          <t>Industrial</t>
        </is>
      </c>
      <c r="H197"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91036.76999999999</v>
      </c>
      <c r="AD197" t="n">
        <v>25899.28</v>
      </c>
      <c r="AE197" t="n">
        <v>11031.13</v>
      </c>
      <c r="AF197" t="n">
        <v>36930.41</v>
      </c>
      <c r="AG197" t="n">
        <v>9341.34</v>
      </c>
      <c r="AH197" t="n">
        <v>540838.58</v>
      </c>
      <c r="AI197" t="n">
        <v>659137.36</v>
      </c>
      <c r="AJ197" t="n">
        <v>1199975.94</v>
      </c>
      <c r="AK197" t="n">
        <v>1117405.16</v>
      </c>
      <c r="AM197" t="inlineStr">
        <is>
          <t>2023 actuals; CAM reimb + TBB structure; TBBs (171,359.08) included in Total OPX; RE Taxes include Metro District (172,730.34); Int Unit R&amp;M includes R&amp;M-Other (23,055.03); Other/Admin includes Personal Prop Tax (1,206.89); SF unknown</t>
        </is>
      </c>
      <c r="AN197">
        <f>AND(B197=Subj_OccCode,Subj_BldgSF&gt;0,J197&gt;=Subj_BldgSF*(1-Subj_SizeTol),J197&lt;=Subj_BldgSF*(1+Subj_SizeTol))</f>
        <v/>
      </c>
    </row>
  </sheetData>
  <autoFilter ref="A3:AN197"/>
  <mergeCells count="2">
    <mergeCell ref="A2:AH2"/>
    <mergeCell ref="A1:AH1"/>
  </mergeCells>
  <pageMargins left="0.75" right="0.75" top="1" bottom="1" header="0.5" footer="0.5"/>
</worksheet>
</file>

<file path=xl/worksheets/sheet16.xml><?xml version="1.0" encoding="utf-8"?>
<worksheet xmlns="http://schemas.openxmlformats.org/spreadsheetml/2006/main">
  <sheetPr>
    <tabColor rgb="007030A0"/>
    <outlinePr summaryBelow="1" summaryRight="1"/>
    <pageSetUpPr/>
  </sheetPr>
  <dimension ref="A1:AM197"/>
  <sheetViews>
    <sheetView workbookViewId="0">
      <pane ySplit="3" topLeftCell="A4" activePane="bottomLeft" state="frozen"/>
      <selection pane="bottomLeft" activeCell="A1" sqref="A1"/>
      <selection pane="bottomLeft" activeCell="A1" sqref="A1"/>
      <selection pane="bottomRight" activeCell="A1" sqref="A1"/>
    </sheetView>
  </sheetViews>
  <sheetFormatPr baseColWidth="8" defaultRowHeight="15"/>
  <cols>
    <col width="8" customWidth="1" min="1" max="1"/>
    <col width="12" customWidth="1" min="2" max="2"/>
    <col width="28" customWidth="1" min="3" max="3"/>
    <col width="14" customWidth="1" min="4" max="4"/>
    <col width="5" customWidth="1" min="5" max="5"/>
    <col width="20" customWidth="1" min="6" max="6"/>
    <col width="22" customWidth="1" min="7" max="7"/>
    <col width="8" customWidth="1" min="8" max="8"/>
    <col width="7" customWidth="1" min="9" max="9"/>
    <col width="9" customWidth="1" min="10" max="10"/>
    <col width="6" customWidth="1" min="11" max="11"/>
    <col width="12" customWidth="1" min="12" max="12"/>
    <col width="9" customWidth="1" min="13" max="13"/>
    <col width="11.28515625" customWidth="1" min="14" max="14"/>
    <col width="9" customWidth="1" min="15" max="15"/>
    <col width="45" customWidth="1" min="39" max="39"/>
  </cols>
  <sheetData>
    <row r="1" ht="20.1" customHeight="1">
      <c r="A1" s="715" t="inlineStr">
        <is>
          <t>COMMERCIAL PROPERTY EXPENSE DATABASE - PSF SUMMARY  ($/SF)</t>
        </is>
      </c>
    </row>
    <row r="2" ht="14.1" customHeight="1">
      <c r="A2" s="716" t="inlineStr">
        <is>
          <t>Figures in $/SF of building area  |  Rows with no BldgSF show raw dollar amounts flagged [NO SF]  |  Text/ID fields copied from Expense Database</t>
        </is>
      </c>
    </row>
    <row r="3" ht="32.1" customHeight="1">
      <c r="A3" s="717" t="inlineStr">
        <is>
          <t>Prop ID</t>
        </is>
      </c>
      <c r="B3" s="693" t="inlineStr">
        <is>
          <t>Occ Code</t>
        </is>
      </c>
      <c r="C3" s="717" t="inlineStr">
        <is>
          <t>Account #</t>
        </is>
      </c>
      <c r="D3" s="717" t="inlineStr">
        <is>
          <t>Address</t>
        </is>
      </c>
      <c r="E3" s="717" t="inlineStr">
        <is>
          <t>City</t>
        </is>
      </c>
      <c r="F3" s="717" t="inlineStr">
        <is>
          <t>State</t>
        </is>
      </c>
      <c r="G3" s="717" t="inlineStr">
        <is>
          <t>Prop Type</t>
        </is>
      </c>
      <c r="H3" s="717" t="inlineStr">
        <is>
          <t>Subtype</t>
        </is>
      </c>
      <c r="I3" s="717" t="inlineStr">
        <is>
          <t>Year Built</t>
        </is>
      </c>
      <c r="J3" s="717" t="inlineStr">
        <is>
          <t>Bldg SF</t>
        </is>
      </c>
      <c r="K3" s="717" t="inlineStr">
        <is>
          <t>Year</t>
        </is>
      </c>
      <c r="L3" s="717" t="inlineStr">
        <is>
          <t>Gross Rental Income</t>
        </is>
      </c>
      <c r="M3" s="717" t="inlineStr">
        <is>
          <t>Other Income</t>
        </is>
      </c>
      <c r="N3" s="717" t="inlineStr">
        <is>
          <t>EGI</t>
        </is>
      </c>
      <c r="O3" s="717" t="inlineStr">
        <is>
          <t>Insurance</t>
        </is>
      </c>
      <c r="P3" s="717" t="inlineStr">
        <is>
          <t>Mgmt/Admin</t>
        </is>
      </c>
      <c r="Q3" s="717" t="inlineStr">
        <is>
          <t>Plumbing R&amp;M</t>
        </is>
      </c>
      <c r="R3" s="717" t="inlineStr">
        <is>
          <t>Electrical R&amp;M</t>
        </is>
      </c>
      <c r="S3" s="717" t="inlineStr">
        <is>
          <t>Exterior R&amp;M</t>
        </is>
      </c>
      <c r="T3" s="717" t="inlineStr">
        <is>
          <t>Fire/Life Safety R&amp;M</t>
        </is>
      </c>
      <c r="U3" s="717" t="inlineStr">
        <is>
          <t>HVAC R&amp;M</t>
        </is>
      </c>
      <c r="V3" s="717" t="inlineStr">
        <is>
          <t>Interior Unit R&amp;M</t>
        </is>
      </c>
      <c r="W3" s="717" t="inlineStr">
        <is>
          <t>Interior Common R&amp;M</t>
        </is>
      </c>
      <c r="X3" s="717" t="inlineStr">
        <is>
          <t>General Maint &amp; Repairs</t>
        </is>
      </c>
      <c r="Y3" s="717" t="inlineStr">
        <is>
          <t>Total R&amp;M</t>
        </is>
      </c>
      <c r="Z3" s="717" t="inlineStr">
        <is>
          <t>Trash</t>
        </is>
      </c>
      <c r="AA3" s="717" t="inlineStr">
        <is>
          <t>Landscape</t>
        </is>
      </c>
      <c r="AB3" s="717" t="inlineStr">
        <is>
          <t>Snow Removal</t>
        </is>
      </c>
      <c r="AC3" s="717" t="inlineStr">
        <is>
          <t>Total Contract Svcs</t>
        </is>
      </c>
      <c r="AD3" s="717" t="inlineStr">
        <is>
          <t>Water &amp; Sewer</t>
        </is>
      </c>
      <c r="AE3" s="717" t="inlineStr">
        <is>
          <t>Electric</t>
        </is>
      </c>
      <c r="AF3" s="717" t="inlineStr">
        <is>
          <t>Total Utilities</t>
        </is>
      </c>
      <c r="AG3" s="717" t="inlineStr">
        <is>
          <t>Other/Admin (Misc)</t>
        </is>
      </c>
      <c r="AH3" s="717" t="inlineStr">
        <is>
          <t>Total OPX excl RE Taxes</t>
        </is>
      </c>
      <c r="AI3" s="717" t="inlineStr">
        <is>
          <t>Real Estate Taxes</t>
        </is>
      </c>
      <c r="AJ3" s="717" t="inlineStr">
        <is>
          <t>Total OPX incl RE Taxes</t>
        </is>
      </c>
      <c r="AK3" s="717" t="inlineStr">
        <is>
          <t>NOI</t>
        </is>
      </c>
      <c r="AL3" s="717" t="inlineStr">
        <is>
          <t>CapEx (non-op)</t>
        </is>
      </c>
      <c r="AM3" s="717" t="inlineStr">
        <is>
          <t>Notes</t>
        </is>
      </c>
    </row>
    <row r="4" ht="14.1" customHeight="1">
      <c r="A4" s="718" t="inlineStr">
        <is>
          <t>P001</t>
        </is>
      </c>
      <c r="B4" s="695" t="n">
        <v>407</v>
      </c>
      <c r="C4" s="718" t="inlineStr">
        <is>
          <t>R0157664</t>
        </is>
      </c>
      <c r="D4" s="718" t="inlineStr">
        <is>
          <t>6045 E. 76th Avenue</t>
        </is>
      </c>
      <c r="E4" s="718" t="inlineStr">
        <is>
          <t>Commerce City</t>
        </is>
      </c>
      <c r="F4" s="718" t="inlineStr">
        <is>
          <t>CO</t>
        </is>
      </c>
      <c r="G4" s="718" t="inlineStr">
        <is>
          <t>Light Industrial</t>
        </is>
      </c>
      <c r="H4" s="718" t="inlineStr">
        <is>
          <t>Distribution Warehouse</t>
        </is>
      </c>
      <c r="I4" s="719" t="n">
        <v>1988</v>
      </c>
      <c r="J4" s="719" t="n">
        <v>21000</v>
      </c>
      <c r="K4" s="719" t="n">
        <v>2021</v>
      </c>
      <c r="L4" s="720" t="n">
        <v>13.465</v>
      </c>
      <c r="M4" s="720" t="n">
        <v>0.3034</v>
      </c>
      <c r="N4" s="720" t="n">
        <v>13.7684</v>
      </c>
      <c r="O4" s="720" t="n">
        <v>0.233</v>
      </c>
      <c r="P4" s="720" t="n">
        <v>0</v>
      </c>
      <c r="Q4" s="720" t="n">
        <v>0.0545</v>
      </c>
      <c r="R4" s="720" t="n">
        <v>0</v>
      </c>
      <c r="S4" s="720" t="n">
        <v>0.0095</v>
      </c>
      <c r="T4" s="720" t="n">
        <v>0</v>
      </c>
      <c r="U4" s="720" t="n">
        <v>0.0133</v>
      </c>
      <c r="V4" s="720" t="n">
        <v>0.0403</v>
      </c>
      <c r="W4" s="720" t="n">
        <v>0.1392</v>
      </c>
      <c r="X4" s="720" t="n">
        <v>0</v>
      </c>
      <c r="Y4" s="720" t="n">
        <v>0.2567</v>
      </c>
      <c r="Z4" s="720" t="n">
        <v>0.3195</v>
      </c>
      <c r="AA4" s="720" t="n">
        <v>0.1845</v>
      </c>
      <c r="AB4" s="720" t="n">
        <v>0.0414</v>
      </c>
      <c r="AC4" s="720" t="n">
        <v>0.5455</v>
      </c>
      <c r="AD4" s="720" t="n">
        <v>0.1593</v>
      </c>
      <c r="AE4" s="720" t="n">
        <v>0.0309</v>
      </c>
      <c r="AF4" s="720" t="n">
        <v>0.1901</v>
      </c>
      <c r="AG4" s="720" t="n">
        <v>0.0363</v>
      </c>
      <c r="AH4" s="720" t="n">
        <v>1.2626</v>
      </c>
      <c r="AI4" s="720" t="n">
        <v>2.2983</v>
      </c>
      <c r="AJ4" s="720" t="n">
        <v>3.5609</v>
      </c>
      <c r="AK4" s="720" t="n">
        <v>10.2075</v>
      </c>
      <c r="AL4" s="720" t="n">
        <v>0.1258</v>
      </c>
      <c r="AM4" s="721" t="inlineStr">
        <is>
          <t>2021: other income = damages $2,392 + misc $3,863 + interest $117</t>
        </is>
      </c>
    </row>
    <row r="5" ht="14.1" customHeight="1">
      <c r="A5" s="696" t="inlineStr">
        <is>
          <t>P001</t>
        </is>
      </c>
      <c r="B5" s="695" t="n">
        <v>407</v>
      </c>
      <c r="C5" s="696" t="inlineStr">
        <is>
          <t>R0157664</t>
        </is>
      </c>
      <c r="D5" s="696" t="inlineStr">
        <is>
          <t>6045 E. 76th Avenue</t>
        </is>
      </c>
      <c r="E5" s="696" t="inlineStr">
        <is>
          <t>Commerce City</t>
        </is>
      </c>
      <c r="F5" s="696" t="inlineStr">
        <is>
          <t>CO</t>
        </is>
      </c>
      <c r="G5" s="696" t="inlineStr">
        <is>
          <t>Light Industrial</t>
        </is>
      </c>
      <c r="H5" s="696" t="inlineStr">
        <is>
          <t>Distribution Warehouse</t>
        </is>
      </c>
      <c r="I5" s="722" t="n">
        <v>1988</v>
      </c>
      <c r="J5" s="722" t="n">
        <v>21000</v>
      </c>
      <c r="K5" s="722" t="n">
        <v>2022</v>
      </c>
      <c r="L5" s="723" t="n">
        <v>12.1901</v>
      </c>
      <c r="M5" s="723" t="n">
        <v>0.1429</v>
      </c>
      <c r="N5" s="723" t="n">
        <v>12.333</v>
      </c>
      <c r="O5" s="723" t="n">
        <v>0.2512</v>
      </c>
      <c r="P5" s="723" t="n">
        <v>0</v>
      </c>
      <c r="Q5" s="723" t="n">
        <v>0.196</v>
      </c>
      <c r="R5" s="723" t="n">
        <v>0.0291</v>
      </c>
      <c r="S5" s="723" t="n">
        <v>0.1111</v>
      </c>
      <c r="T5" s="723" t="n">
        <v>0</v>
      </c>
      <c r="U5" s="723" t="n">
        <v>0</v>
      </c>
      <c r="V5" s="723" t="n">
        <v>0</v>
      </c>
      <c r="W5" s="723" t="n">
        <v>0.0371</v>
      </c>
      <c r="X5" s="723" t="n">
        <v>0</v>
      </c>
      <c r="Y5" s="723" t="n">
        <v>0.3733</v>
      </c>
      <c r="Z5" s="723" t="n">
        <v>0.3954</v>
      </c>
      <c r="AA5" s="723" t="n">
        <v>0.2038</v>
      </c>
      <c r="AB5" s="723" t="n">
        <v>0</v>
      </c>
      <c r="AC5" s="723" t="n">
        <v>0.5992</v>
      </c>
      <c r="AD5" s="723" t="n">
        <v>0.1449</v>
      </c>
      <c r="AE5" s="723" t="n">
        <v>0.0423</v>
      </c>
      <c r="AF5" s="723" t="n">
        <v>0.1872</v>
      </c>
      <c r="AG5" s="723" t="n">
        <v>0.0314</v>
      </c>
      <c r="AH5" s="723" t="n">
        <v>1.4423</v>
      </c>
      <c r="AI5" s="723" t="n">
        <v>3.1478</v>
      </c>
      <c r="AJ5" s="723" t="n">
        <v>4.5902</v>
      </c>
      <c r="AK5" s="723" t="n">
        <v>7.7428</v>
      </c>
      <c r="AL5" s="723" t="n">
        <v>0.2758</v>
      </c>
      <c r="AM5" s="724" t="inlineStr">
        <is>
          <t>2022: other income = damages $500 + misc $2,500; CapEx unit interior</t>
        </is>
      </c>
    </row>
    <row r="6" ht="14.1" customHeight="1">
      <c r="A6" s="718" t="inlineStr">
        <is>
          <t>P001</t>
        </is>
      </c>
      <c r="B6" s="695" t="n">
        <v>407</v>
      </c>
      <c r="C6" s="718" t="inlineStr">
        <is>
          <t>R0157664</t>
        </is>
      </c>
      <c r="D6" s="718" t="inlineStr">
        <is>
          <t>6045 E. 76th Avenue</t>
        </is>
      </c>
      <c r="E6" s="718" t="inlineStr">
        <is>
          <t>Commerce City</t>
        </is>
      </c>
      <c r="F6" s="718" t="inlineStr">
        <is>
          <t>CO</t>
        </is>
      </c>
      <c r="G6" s="718" t="inlineStr">
        <is>
          <t>Light Industrial</t>
        </is>
      </c>
      <c r="H6" s="718" t="inlineStr">
        <is>
          <t>Distribution Warehouse</t>
        </is>
      </c>
      <c r="I6" s="719" t="n">
        <v>1988</v>
      </c>
      <c r="J6" s="719" t="n">
        <v>21000</v>
      </c>
      <c r="K6" s="719" t="n">
        <v>2023</v>
      </c>
      <c r="L6" s="720" t="n">
        <v>12.2</v>
      </c>
      <c r="M6" s="720" t="n">
        <v>0</v>
      </c>
      <c r="N6" s="720" t="n">
        <v>12.2</v>
      </c>
      <c r="O6" s="720" t="n">
        <v>0.2794</v>
      </c>
      <c r="P6" s="720" t="n">
        <v>0.0381</v>
      </c>
      <c r="Q6" s="720" t="n">
        <v>0.0521</v>
      </c>
      <c r="R6" s="720" t="n">
        <v>0.0471</v>
      </c>
      <c r="S6" s="720" t="n">
        <v>0</v>
      </c>
      <c r="T6" s="720" t="n">
        <v>0.1843</v>
      </c>
      <c r="U6" s="720" t="n">
        <v>0.0229</v>
      </c>
      <c r="V6" s="720" t="n">
        <v>0.0294</v>
      </c>
      <c r="W6" s="720" t="n">
        <v>0</v>
      </c>
      <c r="X6" s="720" t="n">
        <v>0.0229</v>
      </c>
      <c r="Y6" s="720" t="n">
        <v>0.3587</v>
      </c>
      <c r="Z6" s="720" t="n">
        <v>0.4553</v>
      </c>
      <c r="AA6" s="720" t="n">
        <v>0.1048</v>
      </c>
      <c r="AB6" s="720" t="n">
        <v>0.1333</v>
      </c>
      <c r="AC6" s="720" t="n">
        <v>0.6934</v>
      </c>
      <c r="AD6" s="720" t="n">
        <v>0.3387</v>
      </c>
      <c r="AE6" s="720" t="n">
        <v>0.0362</v>
      </c>
      <c r="AF6" s="720" t="n">
        <v>0.3749</v>
      </c>
      <c r="AG6" s="720" t="n">
        <v>0.0285</v>
      </c>
      <c r="AH6" s="720" t="n">
        <v>1.5216</v>
      </c>
      <c r="AI6" s="720" t="n">
        <v>2.8565</v>
      </c>
      <c r="AJ6" s="720" t="n">
        <v>4.378</v>
      </c>
      <c r="AK6" s="720" t="n">
        <v>7.822</v>
      </c>
      <c r="AL6" s="720" t="n">
        <v>0</v>
      </c>
      <c r="AM6" s="721" t="n"/>
    </row>
    <row r="7" ht="14.1" customHeight="1">
      <c r="A7" s="696" t="inlineStr">
        <is>
          <t>P001</t>
        </is>
      </c>
      <c r="B7" s="695" t="n">
        <v>407</v>
      </c>
      <c r="C7" s="696" t="inlineStr">
        <is>
          <t>R0157664</t>
        </is>
      </c>
      <c r="D7" s="696" t="inlineStr">
        <is>
          <t>6045 E. 76th Avenue</t>
        </is>
      </c>
      <c r="E7" s="696" t="inlineStr">
        <is>
          <t>Commerce City</t>
        </is>
      </c>
      <c r="F7" s="696" t="inlineStr">
        <is>
          <t>CO</t>
        </is>
      </c>
      <c r="G7" s="696" t="inlineStr">
        <is>
          <t>Light Industrial</t>
        </is>
      </c>
      <c r="H7" s="696" t="inlineStr">
        <is>
          <t>Distribution Warehouse</t>
        </is>
      </c>
      <c r="I7" s="722" t="n">
        <v>1988</v>
      </c>
      <c r="J7" s="722" t="n">
        <v>21000</v>
      </c>
      <c r="K7" s="722" t="n">
        <v>2024</v>
      </c>
      <c r="L7" s="723" t="n">
        <v>10.93</v>
      </c>
      <c r="M7" s="723" t="n">
        <v>0</v>
      </c>
      <c r="N7" s="723" t="n">
        <v>10.93</v>
      </c>
      <c r="O7" s="723" t="n">
        <v>0.08740000000000001</v>
      </c>
      <c r="P7" s="723" t="n">
        <v>0.07480000000000001</v>
      </c>
      <c r="Q7" s="723" t="n">
        <v>0</v>
      </c>
      <c r="R7" s="723" t="n">
        <v>0</v>
      </c>
      <c r="S7" s="723" t="n">
        <v>0.381</v>
      </c>
      <c r="T7" s="723" t="n">
        <v>0.3952</v>
      </c>
      <c r="U7" s="723" t="n">
        <v>0</v>
      </c>
      <c r="V7" s="723" t="n">
        <v>0.0083</v>
      </c>
      <c r="W7" s="723" t="n">
        <v>0</v>
      </c>
      <c r="X7" s="723" t="n">
        <v>0.039</v>
      </c>
      <c r="Y7" s="723" t="n">
        <v>0.8236</v>
      </c>
      <c r="Z7" s="723" t="n">
        <v>0.4048</v>
      </c>
      <c r="AA7" s="723" t="n">
        <v>0.1595</v>
      </c>
      <c r="AB7" s="723" t="n">
        <v>0.05</v>
      </c>
      <c r="AC7" s="723" t="n">
        <v>0.6143</v>
      </c>
      <c r="AD7" s="723" t="n">
        <v>0.1638</v>
      </c>
      <c r="AE7" s="723" t="n">
        <v>0.0339</v>
      </c>
      <c r="AF7" s="723" t="n">
        <v>0.1977</v>
      </c>
      <c r="AG7" s="723" t="n">
        <v>0.0286</v>
      </c>
      <c r="AH7" s="723" t="n">
        <v>1.8167</v>
      </c>
      <c r="AI7" s="723" t="n">
        <v>3.3048</v>
      </c>
      <c r="AJ7" s="723" t="n">
        <v>5.1216</v>
      </c>
      <c r="AK7" s="723" t="n">
        <v>5.8085</v>
      </c>
      <c r="AL7" s="723" t="n">
        <v>0</v>
      </c>
      <c r="AM7" s="724" t="n"/>
    </row>
    <row r="8" ht="14.1" customHeight="1">
      <c r="A8" s="725" t="inlineStr">
        <is>
          <t>P002</t>
        </is>
      </c>
      <c r="B8" s="695" t="n">
        <v>344</v>
      </c>
      <c r="C8" s="725" t="inlineStr">
        <is>
          <t>Unknown</t>
        </is>
      </c>
      <c r="D8" s="725" t="inlineStr">
        <is>
          <t>13659 E. 104th Ave</t>
        </is>
      </c>
      <c r="E8" s="725" t="inlineStr">
        <is>
          <t>Adams County</t>
        </is>
      </c>
      <c r="F8" s="725" t="inlineStr">
        <is>
          <t>CO</t>
        </is>
      </c>
      <c r="G8" s="725" t="inlineStr">
        <is>
          <t>Office/Commercial</t>
        </is>
      </c>
      <c r="H8" s="725" t="inlineStr">
        <is>
          <t>Multi-tenant</t>
        </is>
      </c>
      <c r="I8" s="726" t="n"/>
      <c r="J8" s="726" t="n"/>
      <c r="K8" s="726" t="n">
        <v>2023</v>
      </c>
      <c r="L8" s="725" t="n"/>
      <c r="M8" s="725" t="n"/>
      <c r="N8" s="727" t="n">
        <v>258808</v>
      </c>
      <c r="O8" s="727" t="n">
        <v>3292</v>
      </c>
      <c r="P8" s="727" t="n">
        <v>18539</v>
      </c>
      <c r="Q8" s="725" t="n"/>
      <c r="R8" s="725" t="n"/>
      <c r="S8" s="725" t="n"/>
      <c r="T8" s="725" t="n"/>
      <c r="U8" s="725" t="n"/>
      <c r="V8" s="725" t="n"/>
      <c r="W8" s="725" t="n"/>
      <c r="X8" s="727" t="n">
        <v>24750</v>
      </c>
      <c r="Y8" s="727" t="n">
        <v>24750</v>
      </c>
      <c r="Z8" s="725" t="n"/>
      <c r="AA8" s="727" t="n">
        <v>13331</v>
      </c>
      <c r="AB8" s="725" t="n"/>
      <c r="AC8" s="727" t="n">
        <v>13331</v>
      </c>
      <c r="AD8" s="725" t="n"/>
      <c r="AE8" s="725" t="n"/>
      <c r="AF8" s="727" t="n">
        <v>3990</v>
      </c>
      <c r="AG8" s="727" t="n">
        <v>11264</v>
      </c>
      <c r="AH8" s="727" t="n">
        <v>75327</v>
      </c>
      <c r="AI8" s="727" t="n">
        <v>51707</v>
      </c>
      <c r="AJ8" s="727" t="n">
        <v>127034</v>
      </c>
      <c r="AK8" s="727" t="n">
        <v>131774</v>
      </c>
      <c r="AL8" s="725" t="n"/>
      <c r="AM8" s="728" t="inlineStr">
        <is>
          <t>[NO SF] Insurance: $3,292; Mgmt fee $13,242 + asset mgmt $5,297; Professional svcs $11,264; actuals from BAA operating statement</t>
        </is>
      </c>
    </row>
    <row r="9" ht="14.1" customHeight="1">
      <c r="A9" s="725" t="inlineStr">
        <is>
          <t>P002</t>
        </is>
      </c>
      <c r="B9" s="695" t="n">
        <v>344</v>
      </c>
      <c r="C9" s="725" t="inlineStr">
        <is>
          <t>Unknown</t>
        </is>
      </c>
      <c r="D9" s="725" t="inlineStr">
        <is>
          <t>13659 E. 104th Ave</t>
        </is>
      </c>
      <c r="E9" s="725" t="inlineStr">
        <is>
          <t>Adams County</t>
        </is>
      </c>
      <c r="F9" s="725" t="inlineStr">
        <is>
          <t>CO</t>
        </is>
      </c>
      <c r="G9" s="725" t="inlineStr">
        <is>
          <t>Office/Commercial</t>
        </is>
      </c>
      <c r="H9" s="725" t="inlineStr">
        <is>
          <t>Multi-tenant</t>
        </is>
      </c>
      <c r="I9" s="726" t="n"/>
      <c r="J9" s="726" t="n"/>
      <c r="K9" s="726" t="n">
        <v>2024</v>
      </c>
      <c r="L9" s="725" t="n"/>
      <c r="M9" s="725" t="n"/>
      <c r="N9" s="727" t="n">
        <v>264959</v>
      </c>
      <c r="O9" s="727" t="n">
        <v>7442</v>
      </c>
      <c r="P9" s="727" t="n">
        <v>18228</v>
      </c>
      <c r="Q9" s="725" t="n"/>
      <c r="R9" s="725" t="n"/>
      <c r="S9" s="725" t="n"/>
      <c r="T9" s="725" t="n"/>
      <c r="U9" s="725" t="n"/>
      <c r="V9" s="725" t="n"/>
      <c r="W9" s="725" t="n"/>
      <c r="X9" s="727" t="n">
        <v>37394</v>
      </c>
      <c r="Y9" s="727" t="n">
        <v>37394</v>
      </c>
      <c r="Z9" s="725" t="n"/>
      <c r="AA9" s="727" t="n">
        <v>11888</v>
      </c>
      <c r="AB9" s="725" t="n"/>
      <c r="AC9" s="727" t="n">
        <v>11888</v>
      </c>
      <c r="AD9" s="725" t="n"/>
      <c r="AE9" s="725" t="n"/>
      <c r="AF9" s="727" t="n">
        <v>5290</v>
      </c>
      <c r="AG9" s="727" t="n">
        <v>13341</v>
      </c>
      <c r="AH9" s="727" t="n">
        <v>93583</v>
      </c>
      <c r="AI9" s="727" t="n">
        <v>44649</v>
      </c>
      <c r="AJ9" s="727" t="n">
        <v>138232</v>
      </c>
      <c r="AK9" s="727" t="n">
        <v>126727</v>
      </c>
      <c r="AL9" s="725" t="n"/>
      <c r="AM9" s="728" t="inlineStr">
        <is>
          <t>[NO SF] Insurance $7,442; Mgmt fee $13,020 + asset mgmt $5,208; Prof svcs $13,341; Utilities: gas/elec $1,091 + water/sewer $4,199</t>
        </is>
      </c>
    </row>
    <row r="10" ht="14.1" customHeight="1">
      <c r="A10" s="725" t="inlineStr">
        <is>
          <t>P003</t>
        </is>
      </c>
      <c r="B10" s="695" t="n">
        <v>344</v>
      </c>
      <c r="C10" s="725" t="inlineStr">
        <is>
          <t>R0024063</t>
        </is>
      </c>
      <c r="D10" s="725" t="inlineStr">
        <is>
          <t>Park Centre - Wells Fargo Bldg</t>
        </is>
      </c>
      <c r="E10" s="725" t="inlineStr">
        <is>
          <t>Westminster</t>
        </is>
      </c>
      <c r="F10" s="725" t="inlineStr">
        <is>
          <t>CO</t>
        </is>
      </c>
      <c r="G10" s="725" t="inlineStr">
        <is>
          <t>Office</t>
        </is>
      </c>
      <c r="H10" s="725" t="inlineStr">
        <is>
          <t>Class B Multi-tenant</t>
        </is>
      </c>
      <c r="I10" s="726" t="n"/>
      <c r="J10" s="726" t="n">
        <v>49479</v>
      </c>
      <c r="K10" s="726" t="n">
        <v>2023</v>
      </c>
      <c r="L10" s="729" t="n">
        <v>20.5729</v>
      </c>
      <c r="M10" s="729" t="n">
        <v>1.8912</v>
      </c>
      <c r="N10" s="729" t="n">
        <v>22.4641</v>
      </c>
      <c r="O10" s="725" t="n"/>
      <c r="P10" s="725" t="n"/>
      <c r="Q10" s="725" t="n"/>
      <c r="R10" s="725" t="n"/>
      <c r="S10" s="725" t="n"/>
      <c r="T10" s="725" t="n"/>
      <c r="U10" s="725" t="n"/>
      <c r="V10" s="725" t="n"/>
      <c r="W10" s="725" t="n"/>
      <c r="X10" s="725" t="n"/>
      <c r="Y10" s="725" t="n"/>
      <c r="Z10" s="725" t="n"/>
      <c r="AA10" s="725" t="n"/>
      <c r="AB10" s="725" t="n"/>
      <c r="AC10" s="725" t="n"/>
      <c r="AD10" s="725" t="n"/>
      <c r="AE10" s="725" t="n"/>
      <c r="AF10" s="725" t="n"/>
      <c r="AG10" s="725" t="n"/>
      <c r="AH10" s="729" t="n">
        <v>9.165100000000001</v>
      </c>
      <c r="AI10" s="729" t="n">
        <v>3.7364</v>
      </c>
      <c r="AJ10" s="729" t="n">
        <v>12.9015</v>
      </c>
      <c r="AK10" s="729" t="n">
        <v>9.5626</v>
      </c>
      <c r="AL10" s="725" t="n"/>
      <c r="AM10" s="728" t="inlineStr">
        <is>
          <t>Westfield managed; recoveries $49,658 + other $43,917 = $93,575; OpEx BT per PROFORMA REVISED.xlsx</t>
        </is>
      </c>
    </row>
    <row r="11" ht="14.1" customHeight="1">
      <c r="A11" s="725" t="inlineStr">
        <is>
          <t>P003</t>
        </is>
      </c>
      <c r="B11" s="695" t="n">
        <v>344</v>
      </c>
      <c r="C11" s="725" t="inlineStr">
        <is>
          <t>R0024063</t>
        </is>
      </c>
      <c r="D11" s="725" t="inlineStr">
        <is>
          <t>Park Centre - Wells Fargo Bldg</t>
        </is>
      </c>
      <c r="E11" s="725" t="inlineStr">
        <is>
          <t>Westminster</t>
        </is>
      </c>
      <c r="F11" s="725" t="inlineStr">
        <is>
          <t>CO</t>
        </is>
      </c>
      <c r="G11" s="725" t="inlineStr">
        <is>
          <t>Office</t>
        </is>
      </c>
      <c r="H11" s="725" t="inlineStr">
        <is>
          <t>Class B Multi-tenant</t>
        </is>
      </c>
      <c r="I11" s="726" t="n"/>
      <c r="J11" s="726" t="n">
        <v>49479</v>
      </c>
      <c r="K11" s="726" t="n">
        <v>2024</v>
      </c>
      <c r="L11" s="729" t="n">
        <v>19.0796</v>
      </c>
      <c r="M11" s="729" t="n">
        <v>1.5757</v>
      </c>
      <c r="N11" s="729" t="n">
        <v>20.6553</v>
      </c>
      <c r="O11" s="725" t="n"/>
      <c r="P11" s="725" t="n"/>
      <c r="Q11" s="725" t="n"/>
      <c r="R11" s="725" t="n"/>
      <c r="S11" s="725" t="n"/>
      <c r="T11" s="725" t="n"/>
      <c r="U11" s="725" t="n"/>
      <c r="V11" s="725" t="n"/>
      <c r="W11" s="725" t="n"/>
      <c r="X11" s="725" t="n"/>
      <c r="Y11" s="725" t="n"/>
      <c r="Z11" s="725" t="n"/>
      <c r="AA11" s="725" t="n"/>
      <c r="AB11" s="725" t="n"/>
      <c r="AC11" s="725" t="n"/>
      <c r="AD11" s="725" t="n"/>
      <c r="AE11" s="725" t="n"/>
      <c r="AF11" s="725" t="n"/>
      <c r="AG11" s="725" t="n"/>
      <c r="AH11" s="729" t="n">
        <v>9.867599999999999</v>
      </c>
      <c r="AI11" s="729" t="n">
        <v>3.6292</v>
      </c>
      <c r="AJ11" s="729" t="n">
        <v>13.4968</v>
      </c>
      <c r="AK11" s="729" t="n">
        <v>7.1585</v>
      </c>
      <c r="AL11" s="725" t="n"/>
      <c r="AM11" s="728" t="inlineStr">
        <is>
          <t>Recoveries $21,696 + other $56,266; OpEx BT per PROFORMA REVISED.xlsx; NOI decline reflects higher vacancy</t>
        </is>
      </c>
    </row>
    <row r="12" ht="14.1" customHeight="1">
      <c r="A12" s="718" t="inlineStr">
        <is>
          <t>P004</t>
        </is>
      </c>
      <c r="B12" s="695" t="n">
        <v>412</v>
      </c>
      <c r="C12" s="718" t="inlineStr">
        <is>
          <t>R0050221</t>
        </is>
      </c>
      <c r="D12" s="718" t="inlineStr">
        <is>
          <t>8860 Federal Blvd</t>
        </is>
      </c>
      <c r="E12" s="718" t="inlineStr">
        <is>
          <t>Adams County</t>
        </is>
      </c>
      <c r="F12" s="718" t="inlineStr">
        <is>
          <t>CO</t>
        </is>
      </c>
      <c r="G12" s="718" t="inlineStr">
        <is>
          <t>Retail</t>
        </is>
      </c>
      <c r="H12" s="718" t="inlineStr">
        <is>
          <t>Strip/Multi-tenant</t>
        </is>
      </c>
      <c r="I12" s="719" t="n"/>
      <c r="J12" s="719" t="n">
        <v>65850</v>
      </c>
      <c r="K12" s="719" t="n">
        <v>2023</v>
      </c>
      <c r="L12" s="718" t="n"/>
      <c r="M12" s="718" t="n"/>
      <c r="N12" s="720" t="n">
        <v>8.6678</v>
      </c>
      <c r="O12" s="718" t="n"/>
      <c r="P12" s="718" t="n"/>
      <c r="Q12" s="718" t="n"/>
      <c r="R12" s="718" t="n"/>
      <c r="S12" s="718" t="n"/>
      <c r="T12" s="718" t="n"/>
      <c r="U12" s="718" t="n"/>
      <c r="V12" s="718" t="n"/>
      <c r="W12" s="718" t="n"/>
      <c r="X12" s="718" t="n"/>
      <c r="Y12" s="718" t="n"/>
      <c r="Z12" s="718" t="n"/>
      <c r="AA12" s="718" t="n"/>
      <c r="AB12" s="718" t="n"/>
      <c r="AC12" s="718" t="n"/>
      <c r="AD12" s="718" t="n"/>
      <c r="AE12" s="718" t="n"/>
      <c r="AF12" s="718" t="n"/>
      <c r="AG12" s="718" t="n"/>
      <c r="AH12" s="718" t="n"/>
      <c r="AI12" s="720" t="n">
        <v>1.1238</v>
      </c>
      <c r="AJ12" s="720" t="n">
        <v>4.0992</v>
      </c>
      <c r="AK12" s="720" t="n">
        <v>4.5686</v>
      </c>
      <c r="AL12" s="718" t="n"/>
      <c r="AM12" s="721" t="inlineStr">
        <is>
          <t>RE Tax estimated ~$74k (2023 not detailed); Total OpEx per actuals submission; NOI confirmed</t>
        </is>
      </c>
    </row>
    <row r="13" ht="14.1" customHeight="1">
      <c r="A13" s="696" t="inlineStr">
        <is>
          <t>P004</t>
        </is>
      </c>
      <c r="B13" s="695" t="n">
        <v>412</v>
      </c>
      <c r="C13" s="696" t="inlineStr">
        <is>
          <t>R0050221</t>
        </is>
      </c>
      <c r="D13" s="696" t="inlineStr">
        <is>
          <t>8860 Federal Blvd</t>
        </is>
      </c>
      <c r="E13" s="696" t="inlineStr">
        <is>
          <t>Adams County</t>
        </is>
      </c>
      <c r="F13" s="696" t="inlineStr">
        <is>
          <t>CO</t>
        </is>
      </c>
      <c r="G13" s="696" t="inlineStr">
        <is>
          <t>Retail</t>
        </is>
      </c>
      <c r="H13" s="696" t="inlineStr">
        <is>
          <t>Strip/Multi-tenant</t>
        </is>
      </c>
      <c r="I13" s="722" t="n"/>
      <c r="J13" s="722" t="n">
        <v>65850</v>
      </c>
      <c r="K13" s="722" t="n">
        <v>2024</v>
      </c>
      <c r="L13" s="696" t="n"/>
      <c r="M13" s="696" t="n"/>
      <c r="N13" s="723" t="n">
        <v>8.926600000000001</v>
      </c>
      <c r="O13" s="723" t="n">
        <v>0.7779</v>
      </c>
      <c r="P13" s="696" t="n"/>
      <c r="Q13" s="696" t="n"/>
      <c r="R13" s="696" t="n"/>
      <c r="S13" s="696" t="n"/>
      <c r="T13" s="696" t="n"/>
      <c r="U13" s="696" t="n"/>
      <c r="V13" s="696" t="n"/>
      <c r="W13" s="696" t="n"/>
      <c r="X13" s="723" t="n">
        <v>0.4392</v>
      </c>
      <c r="Y13" s="723" t="n">
        <v>0.4392</v>
      </c>
      <c r="Z13" s="723" t="n">
        <v>0.2667</v>
      </c>
      <c r="AA13" s="723" t="n">
        <v>0.0304</v>
      </c>
      <c r="AB13" s="723" t="n">
        <v>0.0529</v>
      </c>
      <c r="AC13" s="723" t="n">
        <v>0.35</v>
      </c>
      <c r="AD13" s="723" t="n">
        <v>0.1958</v>
      </c>
      <c r="AE13" s="723" t="n">
        <v>0.1081</v>
      </c>
      <c r="AF13" s="723" t="n">
        <v>0.3039</v>
      </c>
      <c r="AG13" s="723" t="n">
        <v>0.1667</v>
      </c>
      <c r="AH13" s="723" t="n">
        <v>2.4196</v>
      </c>
      <c r="AI13" s="723" t="n">
        <v>1.6016</v>
      </c>
      <c r="AJ13" s="723" t="n">
        <v>4.0212</v>
      </c>
      <c r="AK13" s="723" t="n">
        <v>4.9054</v>
      </c>
      <c r="AL13" s="696" t="n"/>
      <c r="AM13" s="724" t="inlineStr">
        <is>
          <t>Detailed 2024 actuals; R&amp;M includes CAM component $261; insurance unusually high at $51,223; drainage/lighting included in Other</t>
        </is>
      </c>
    </row>
    <row r="14" ht="14.1" customHeight="1">
      <c r="A14" s="725" t="inlineStr">
        <is>
          <t>P005</t>
        </is>
      </c>
      <c r="B14" s="695" t="n">
        <v>344</v>
      </c>
      <c r="C14" s="725" t="inlineStr">
        <is>
          <t>R0050977</t>
        </is>
      </c>
      <c r="D14" s="725" t="inlineStr">
        <is>
          <t>9351 Grant St (Horizon Terrace)</t>
        </is>
      </c>
      <c r="E14" s="725" t="inlineStr">
        <is>
          <t>Thornton</t>
        </is>
      </c>
      <c r="F14" s="725" t="inlineStr">
        <is>
          <t>CO</t>
        </is>
      </c>
      <c r="G14" s="725" t="inlineStr">
        <is>
          <t>Office</t>
        </is>
      </c>
      <c r="H14" s="725" t="inlineStr">
        <is>
          <t>Class B Multi-story</t>
        </is>
      </c>
      <c r="I14" s="726" t="n"/>
      <c r="J14" s="726" t="n">
        <v>91646</v>
      </c>
      <c r="K14" s="726" t="n">
        <v>2023</v>
      </c>
      <c r="L14" s="729" t="n">
        <v>21.9536</v>
      </c>
      <c r="M14" s="729" t="n">
        <v>2.4799</v>
      </c>
      <c r="N14" s="729" t="n">
        <v>24.4335</v>
      </c>
      <c r="O14" s="729" t="n">
        <v>0.2665</v>
      </c>
      <c r="P14" s="729" t="n">
        <v>1.4405</v>
      </c>
      <c r="Q14" s="725" t="n"/>
      <c r="R14" s="725" t="n"/>
      <c r="S14" s="725" t="n"/>
      <c r="T14" s="725" t="n"/>
      <c r="U14" s="725" t="n"/>
      <c r="V14" s="725" t="n"/>
      <c r="W14" s="725" t="n"/>
      <c r="X14" s="729" t="n">
        <v>1.5772</v>
      </c>
      <c r="Y14" s="729" t="n">
        <v>1.5772</v>
      </c>
      <c r="Z14" s="725" t="n"/>
      <c r="AA14" s="729" t="n">
        <v>1.1869</v>
      </c>
      <c r="AB14" s="729" t="n">
        <v>0.7112000000000001</v>
      </c>
      <c r="AC14" s="729" t="n">
        <v>2.9825</v>
      </c>
      <c r="AD14" s="729" t="n">
        <v>0.1611</v>
      </c>
      <c r="AE14" s="729" t="n">
        <v>2.4615</v>
      </c>
      <c r="AF14" s="729" t="n">
        <v>2.6226</v>
      </c>
      <c r="AG14" s="729" t="n">
        <v>0.3593</v>
      </c>
      <c r="AH14" s="729" t="n">
        <v>9.229100000000001</v>
      </c>
      <c r="AI14" s="729" t="n">
        <v>4.0592</v>
      </c>
      <c r="AJ14" s="729" t="n">
        <v>13.2884</v>
      </c>
      <c r="AK14" s="729" t="n">
        <v>11.1451</v>
      </c>
      <c r="AL14" s="725" t="n"/>
      <c r="AM14" s="728" t="inlineStr">
        <is>
          <t>Full-service office: janitorial $164,559 in contract total; security/life safety $29,726 in Other; landscape incl snow $65,183; 2023 actuals confirmed</t>
        </is>
      </c>
    </row>
    <row r="15" ht="14.1" customHeight="1">
      <c r="A15" s="725" t="inlineStr">
        <is>
          <t>P005</t>
        </is>
      </c>
      <c r="B15" s="695" t="n">
        <v>344</v>
      </c>
      <c r="C15" s="725" t="inlineStr">
        <is>
          <t>R0050977</t>
        </is>
      </c>
      <c r="D15" s="725" t="inlineStr">
        <is>
          <t>9351 Grant St (Horizon Terrace)</t>
        </is>
      </c>
      <c r="E15" s="725" t="inlineStr">
        <is>
          <t>Thornton</t>
        </is>
      </c>
      <c r="F15" s="725" t="inlineStr">
        <is>
          <t>CO</t>
        </is>
      </c>
      <c r="G15" s="725" t="inlineStr">
        <is>
          <t>Office</t>
        </is>
      </c>
      <c r="H15" s="725" t="inlineStr">
        <is>
          <t>Class B Multi-story</t>
        </is>
      </c>
      <c r="I15" s="726" t="n"/>
      <c r="J15" s="726" t="n">
        <v>91646</v>
      </c>
      <c r="K15" s="726" t="n">
        <v>2024</v>
      </c>
      <c r="L15" s="729" t="n">
        <v>22.3966</v>
      </c>
      <c r="M15" s="729" t="n">
        <v>2.9417</v>
      </c>
      <c r="N15" s="729" t="n">
        <v>25.3383</v>
      </c>
      <c r="O15" s="729" t="n">
        <v>0.2648</v>
      </c>
      <c r="P15" s="729" t="n">
        <v>1.6305</v>
      </c>
      <c r="Q15" s="725" t="n"/>
      <c r="R15" s="725" t="n"/>
      <c r="S15" s="725" t="n"/>
      <c r="T15" s="725" t="n"/>
      <c r="U15" s="725" t="n"/>
      <c r="V15" s="725" t="n"/>
      <c r="W15" s="725" t="n"/>
      <c r="X15" s="729" t="n">
        <v>1.6418</v>
      </c>
      <c r="Y15" s="729" t="n">
        <v>1.6418</v>
      </c>
      <c r="Z15" s="725" t="n"/>
      <c r="AA15" s="729" t="n">
        <v>1.1913</v>
      </c>
      <c r="AB15" s="725" t="n"/>
      <c r="AC15" s="729" t="n">
        <v>2.8658</v>
      </c>
      <c r="AD15" s="725" t="n"/>
      <c r="AE15" s="725" t="n"/>
      <c r="AF15" s="729" t="n">
        <v>2.5334</v>
      </c>
      <c r="AG15" s="729" t="n">
        <v>0.4083</v>
      </c>
      <c r="AH15" s="729" t="n">
        <v>9.3445</v>
      </c>
      <c r="AI15" s="729" t="n">
        <v>4.5128</v>
      </c>
      <c r="AJ15" s="729" t="n">
        <v>13.8574</v>
      </c>
      <c r="AK15" s="729" t="n">
        <v>11.4809</v>
      </c>
      <c r="AL15" s="725" t="n"/>
      <c r="AM15" s="728" t="inlineStr">
        <is>
          <t>2024 actuals; janitorial $153,462 in contract total; security $32,603 in Other; sales/use tax $4,813 in Other</t>
        </is>
      </c>
    </row>
    <row r="16" ht="14.1" customHeight="1">
      <c r="A16" s="725" t="inlineStr">
        <is>
          <t>P006</t>
        </is>
      </c>
      <c r="B16" s="695" t="n">
        <v>210</v>
      </c>
      <c r="C16" s="725" t="inlineStr">
        <is>
          <t>R0062937</t>
        </is>
      </c>
      <c r="D16" s="725" t="inlineStr">
        <is>
          <t>8670 Wolff Ct (Sheridan Park 8)</t>
        </is>
      </c>
      <c r="E16" s="725" t="inlineStr">
        <is>
          <t>Westminster</t>
        </is>
      </c>
      <c r="F16" s="725" t="inlineStr">
        <is>
          <t>CO</t>
        </is>
      </c>
      <c r="G16" s="725" t="inlineStr">
        <is>
          <t>Office/Flex</t>
        </is>
      </c>
      <c r="H16" s="725" t="inlineStr">
        <is>
          <t>Multi-tenant</t>
        </is>
      </c>
      <c r="I16" s="726" t="n"/>
      <c r="J16" s="726" t="n">
        <v>37078</v>
      </c>
      <c r="K16" s="726" t="n">
        <v>2020</v>
      </c>
      <c r="L16" s="725" t="n"/>
      <c r="M16" s="725" t="n"/>
      <c r="N16" s="725" t="n"/>
      <c r="O16" s="729" t="n">
        <v>0.1558</v>
      </c>
      <c r="P16" s="729" t="n">
        <v>0.5259</v>
      </c>
      <c r="Q16" s="725" t="n"/>
      <c r="R16" s="725" t="n"/>
      <c r="S16" s="725" t="n"/>
      <c r="T16" s="725" t="n"/>
      <c r="U16" s="725" t="n"/>
      <c r="V16" s="725" t="n"/>
      <c r="W16" s="725" t="n"/>
      <c r="X16" s="725" t="n"/>
      <c r="Y16" s="725" t="n"/>
      <c r="Z16" s="725" t="n"/>
      <c r="AA16" s="725" t="n"/>
      <c r="AB16" s="725" t="n"/>
      <c r="AC16" s="729" t="n">
        <v>3.6056</v>
      </c>
      <c r="AD16" s="725" t="n"/>
      <c r="AE16" s="725" t="n"/>
      <c r="AF16" s="729" t="n">
        <v>3.1372</v>
      </c>
      <c r="AG16" s="725" t="n"/>
      <c r="AH16" s="729" t="n">
        <v>7.4245</v>
      </c>
      <c r="AI16" s="729" t="n">
        <v>2.3924</v>
      </c>
      <c r="AJ16" s="729" t="n">
        <v>9.8169</v>
      </c>
      <c r="AK16" s="725" t="n"/>
      <c r="AL16" s="725" t="n"/>
      <c r="AM16" s="728" t="inlineStr">
        <is>
          <t>Income not available; expense-only from DYCO CAM history; CAM in contract total</t>
        </is>
      </c>
    </row>
    <row r="17" ht="14.1" customHeight="1">
      <c r="A17" s="725" t="inlineStr">
        <is>
          <t>P006</t>
        </is>
      </c>
      <c r="B17" s="695" t="n">
        <v>210</v>
      </c>
      <c r="C17" s="725" t="inlineStr">
        <is>
          <t>R0062937</t>
        </is>
      </c>
      <c r="D17" s="725" t="inlineStr">
        <is>
          <t>8670 Wolff Ct (Sheridan Park 8)</t>
        </is>
      </c>
      <c r="E17" s="725" t="inlineStr">
        <is>
          <t>Westminster</t>
        </is>
      </c>
      <c r="F17" s="725" t="inlineStr">
        <is>
          <t>CO</t>
        </is>
      </c>
      <c r="G17" s="725" t="inlineStr">
        <is>
          <t>Office/Flex</t>
        </is>
      </c>
      <c r="H17" s="725" t="inlineStr">
        <is>
          <t>Multi-tenant</t>
        </is>
      </c>
      <c r="I17" s="726" t="n"/>
      <c r="J17" s="726" t="n">
        <v>37078</v>
      </c>
      <c r="K17" s="726" t="n">
        <v>2021</v>
      </c>
      <c r="L17" s="725" t="n"/>
      <c r="M17" s="725" t="n"/>
      <c r="N17" s="725" t="n"/>
      <c r="O17" s="729" t="n">
        <v>0.1841</v>
      </c>
      <c r="P17" s="729" t="n">
        <v>0.4855</v>
      </c>
      <c r="Q17" s="725" t="n"/>
      <c r="R17" s="725" t="n"/>
      <c r="S17" s="725" t="n"/>
      <c r="T17" s="725" t="n"/>
      <c r="U17" s="725" t="n"/>
      <c r="V17" s="725" t="n"/>
      <c r="W17" s="725" t="n"/>
      <c r="X17" s="725" t="n"/>
      <c r="Y17" s="725" t="n"/>
      <c r="Z17" s="725" t="n"/>
      <c r="AA17" s="725" t="n"/>
      <c r="AB17" s="725" t="n"/>
      <c r="AC17" s="729" t="n">
        <v>2.8189</v>
      </c>
      <c r="AD17" s="725" t="n"/>
      <c r="AE17" s="725" t="n"/>
      <c r="AF17" s="729" t="n">
        <v>2.9359</v>
      </c>
      <c r="AG17" s="725" t="n"/>
      <c r="AH17" s="729" t="n">
        <v>6.4243</v>
      </c>
      <c r="AI17" s="729" t="n">
        <v>2.2709</v>
      </c>
      <c r="AJ17" s="729" t="n">
        <v>8.6952</v>
      </c>
      <c r="AK17" s="725" t="n"/>
      <c r="AL17" s="725" t="n"/>
      <c r="AM17" s="728" t="inlineStr">
        <is>
          <t>Income not available; expense-only from DYCO CAM history</t>
        </is>
      </c>
    </row>
    <row r="18" ht="14.1" customHeight="1">
      <c r="A18" s="725" t="inlineStr">
        <is>
          <t>P006</t>
        </is>
      </c>
      <c r="B18" s="695" t="n">
        <v>210</v>
      </c>
      <c r="C18" s="725" t="inlineStr">
        <is>
          <t>R0062937</t>
        </is>
      </c>
      <c r="D18" s="725" t="inlineStr">
        <is>
          <t>8670 Wolff Ct (Sheridan Park 8)</t>
        </is>
      </c>
      <c r="E18" s="725" t="inlineStr">
        <is>
          <t>Westminster</t>
        </is>
      </c>
      <c r="F18" s="725" t="inlineStr">
        <is>
          <t>CO</t>
        </is>
      </c>
      <c r="G18" s="725" t="inlineStr">
        <is>
          <t>Office/Flex</t>
        </is>
      </c>
      <c r="H18" s="725" t="inlineStr">
        <is>
          <t>Multi-tenant</t>
        </is>
      </c>
      <c r="I18" s="726" t="n"/>
      <c r="J18" s="726" t="n">
        <v>37078</v>
      </c>
      <c r="K18" s="726" t="n">
        <v>2022</v>
      </c>
      <c r="L18" s="725" t="n"/>
      <c r="M18" s="725" t="n"/>
      <c r="N18" s="725" t="n"/>
      <c r="O18" s="729" t="n">
        <v>0.2122</v>
      </c>
      <c r="P18" s="729" t="n">
        <v>0.5651</v>
      </c>
      <c r="Q18" s="725" t="n"/>
      <c r="R18" s="725" t="n"/>
      <c r="S18" s="725" t="n"/>
      <c r="T18" s="725" t="n"/>
      <c r="U18" s="725" t="n"/>
      <c r="V18" s="725" t="n"/>
      <c r="W18" s="725" t="n"/>
      <c r="X18" s="725" t="n"/>
      <c r="Y18" s="725" t="n"/>
      <c r="Z18" s="725" t="n"/>
      <c r="AA18" s="725" t="n"/>
      <c r="AB18" s="725" t="n"/>
      <c r="AC18" s="729" t="n">
        <v>3.0261</v>
      </c>
      <c r="AD18" s="725" t="n"/>
      <c r="AE18" s="725" t="n"/>
      <c r="AF18" s="729" t="n">
        <v>3.0198</v>
      </c>
      <c r="AG18" s="725" t="n"/>
      <c r="AH18" s="729" t="n">
        <v>6.8231</v>
      </c>
      <c r="AI18" s="729" t="n">
        <v>3.6987</v>
      </c>
      <c r="AJ18" s="729" t="n">
        <v>10.5219</v>
      </c>
      <c r="AK18" s="725" t="n"/>
      <c r="AL18" s="725" t="n"/>
      <c r="AM18" s="728" t="inlineStr">
        <is>
          <t>Income not available; expense-only from DYCO CAM history; RE Tax jumped from $84k to $137k (reval year)</t>
        </is>
      </c>
    </row>
    <row r="19" ht="14.1" customHeight="1">
      <c r="A19" s="725" t="inlineStr">
        <is>
          <t>P006</t>
        </is>
      </c>
      <c r="B19" s="695" t="n">
        <v>210</v>
      </c>
      <c r="C19" s="725" t="inlineStr">
        <is>
          <t>R0062937</t>
        </is>
      </c>
      <c r="D19" s="725" t="inlineStr">
        <is>
          <t>8670 Wolff Ct (Sheridan Park 8)</t>
        </is>
      </c>
      <c r="E19" s="725" t="inlineStr">
        <is>
          <t>Westminster</t>
        </is>
      </c>
      <c r="F19" s="725" t="inlineStr">
        <is>
          <t>CO</t>
        </is>
      </c>
      <c r="G19" s="725" t="inlineStr">
        <is>
          <t>Office/Flex</t>
        </is>
      </c>
      <c r="H19" s="725" t="inlineStr">
        <is>
          <t>Multi-tenant</t>
        </is>
      </c>
      <c r="I19" s="726" t="n"/>
      <c r="J19" s="726" t="n">
        <v>37078</v>
      </c>
      <c r="K19" s="726" t="n">
        <v>2023</v>
      </c>
      <c r="L19" s="725" t="n"/>
      <c r="M19" s="725" t="n"/>
      <c r="N19" s="725" t="n"/>
      <c r="O19" s="729" t="n">
        <v>0.2334</v>
      </c>
      <c r="P19" s="729" t="n">
        <v>0.4855</v>
      </c>
      <c r="Q19" s="725" t="n"/>
      <c r="R19" s="725" t="n"/>
      <c r="S19" s="725" t="n"/>
      <c r="T19" s="725" t="n"/>
      <c r="U19" s="725" t="n"/>
      <c r="V19" s="725" t="n"/>
      <c r="W19" s="725" t="n"/>
      <c r="X19" s="725" t="n"/>
      <c r="Y19" s="725" t="n"/>
      <c r="Z19" s="725" t="n"/>
      <c r="AA19" s="725" t="n"/>
      <c r="AB19" s="725" t="n"/>
      <c r="AC19" s="729" t="n">
        <v>3.1419</v>
      </c>
      <c r="AD19" s="725" t="n"/>
      <c r="AE19" s="725" t="n"/>
      <c r="AF19" s="729" t="n">
        <v>3.018</v>
      </c>
      <c r="AG19" s="725" t="n"/>
      <c r="AH19" s="729" t="n">
        <v>6.8788</v>
      </c>
      <c r="AI19" s="729" t="n">
        <v>3.554</v>
      </c>
      <c r="AJ19" s="729" t="n">
        <v>10.4328</v>
      </c>
      <c r="AK19" s="725" t="n"/>
      <c r="AL19" s="725" t="n"/>
      <c r="AM19" s="728" t="inlineStr">
        <is>
          <t>Income not available; 2023 YTD annualized per DYCO</t>
        </is>
      </c>
    </row>
    <row r="20" ht="14.1" customHeight="1">
      <c r="A20" s="725" t="inlineStr">
        <is>
          <t>P006</t>
        </is>
      </c>
      <c r="B20" s="695" t="n">
        <v>210</v>
      </c>
      <c r="C20" s="725" t="inlineStr">
        <is>
          <t>R0062937</t>
        </is>
      </c>
      <c r="D20" s="725" t="inlineStr">
        <is>
          <t>8670 Wolff Ct (Sheridan Park 8)</t>
        </is>
      </c>
      <c r="E20" s="725" t="inlineStr">
        <is>
          <t>Westminster</t>
        </is>
      </c>
      <c r="F20" s="725" t="inlineStr">
        <is>
          <t>CO</t>
        </is>
      </c>
      <c r="G20" s="725" t="inlineStr">
        <is>
          <t>Office/Flex</t>
        </is>
      </c>
      <c r="H20" s="725" t="inlineStr">
        <is>
          <t>Multi-tenant</t>
        </is>
      </c>
      <c r="I20" s="726" t="n"/>
      <c r="J20" s="726" t="n">
        <v>37078</v>
      </c>
      <c r="K20" s="726" t="n">
        <v>2024</v>
      </c>
      <c r="L20" s="725" t="n"/>
      <c r="M20" s="725" t="n"/>
      <c r="N20" s="725" t="n"/>
      <c r="O20" s="729" t="n">
        <v>0.2334</v>
      </c>
      <c r="P20" s="729" t="n">
        <v>0.5826</v>
      </c>
      <c r="Q20" s="725" t="n"/>
      <c r="R20" s="725" t="n"/>
      <c r="S20" s="725" t="n"/>
      <c r="T20" s="725" t="n"/>
      <c r="U20" s="725" t="n"/>
      <c r="V20" s="725" t="n"/>
      <c r="W20" s="725" t="n"/>
      <c r="X20" s="725" t="n"/>
      <c r="Y20" s="725" t="n"/>
      <c r="Z20" s="725" t="n"/>
      <c r="AA20" s="725" t="n"/>
      <c r="AB20" s="725" t="n"/>
      <c r="AC20" s="729" t="n">
        <v>3.7703</v>
      </c>
      <c r="AD20" s="725" t="n"/>
      <c r="AE20" s="725" t="n"/>
      <c r="AF20" s="729" t="n">
        <v>3.6217</v>
      </c>
      <c r="AG20" s="725" t="n"/>
      <c r="AH20" s="729" t="n">
        <v>8.2079</v>
      </c>
      <c r="AI20" s="729" t="n">
        <v>3.554</v>
      </c>
      <c r="AJ20" s="729" t="n">
        <v>11.7619</v>
      </c>
      <c r="AK20" s="725" t="n"/>
      <c r="AL20" s="725" t="n"/>
      <c r="AM20" s="728" t="inlineStr">
        <is>
          <t>Income not available; 2024 actuals per DYCO CAM history</t>
        </is>
      </c>
    </row>
    <row r="21" ht="14.1" customHeight="1">
      <c r="A21" s="725" t="inlineStr">
        <is>
          <t>P007</t>
        </is>
      </c>
      <c r="B21" s="695" t="n">
        <v>341</v>
      </c>
      <c r="C21" s="725" t="inlineStr">
        <is>
          <t>R0062944</t>
        </is>
      </c>
      <c r="D21" s="725" t="inlineStr">
        <is>
          <t>8787 (medical office complex)</t>
        </is>
      </c>
      <c r="E21" s="725" t="inlineStr">
        <is>
          <t>Adams County</t>
        </is>
      </c>
      <c r="F21" s="725" t="inlineStr">
        <is>
          <t>CO</t>
        </is>
      </c>
      <c r="G21" s="725" t="inlineStr">
        <is>
          <t>Medical Office</t>
        </is>
      </c>
      <c r="H21" s="725" t="inlineStr">
        <is>
          <t>Multi-tenant</t>
        </is>
      </c>
      <c r="I21" s="726" t="n"/>
      <c r="J21" s="726" t="n">
        <v>19430</v>
      </c>
      <c r="K21" s="726" t="n">
        <v>2023</v>
      </c>
      <c r="L21" s="725" t="n"/>
      <c r="M21" s="725" t="n"/>
      <c r="N21" s="729" t="n">
        <v>20.2681</v>
      </c>
      <c r="O21" s="729" t="n">
        <v>0.4882</v>
      </c>
      <c r="P21" s="729" t="n">
        <v>0.525</v>
      </c>
      <c r="Q21" s="725" t="n"/>
      <c r="R21" s="725" t="n"/>
      <c r="S21" s="725" t="n"/>
      <c r="T21" s="725" t="n"/>
      <c r="U21" s="729" t="n">
        <v>1.1125</v>
      </c>
      <c r="V21" s="725" t="n"/>
      <c r="W21" s="725" t="n"/>
      <c r="X21" s="729" t="n">
        <v>1.365</v>
      </c>
      <c r="Y21" s="729" t="n">
        <v>1.365</v>
      </c>
      <c r="Z21" s="729" t="n">
        <v>0.1046</v>
      </c>
      <c r="AA21" s="729" t="n">
        <v>0.6014</v>
      </c>
      <c r="AB21" s="729" t="n">
        <v>0.3262</v>
      </c>
      <c r="AC21" s="729" t="n">
        <v>1.0322</v>
      </c>
      <c r="AD21" s="729" t="n">
        <v>0.3942</v>
      </c>
      <c r="AE21" s="729" t="n">
        <v>1.9391</v>
      </c>
      <c r="AF21" s="729" t="n">
        <v>2.3333</v>
      </c>
      <c r="AG21" s="729" t="n">
        <v>0.9338</v>
      </c>
      <c r="AH21" s="729" t="n">
        <v>7.7898</v>
      </c>
      <c r="AI21" s="729" t="n">
        <v>2.7482</v>
      </c>
      <c r="AJ21" s="729" t="n">
        <v>10.5379</v>
      </c>
      <c r="AK21" s="729" t="n">
        <v>9.7302</v>
      </c>
      <c r="AL21" s="725" t="n"/>
      <c r="AM21" s="728" t="inlineStr">
        <is>
          <t>HVAC maint $21,615 included in R&amp;M; janitorial $16,418 in Other; professional svcs $1,726 in Other; 2023 actuals</t>
        </is>
      </c>
    </row>
    <row r="22" ht="14.1" customHeight="1">
      <c r="A22" s="725" t="inlineStr">
        <is>
          <t>P007</t>
        </is>
      </c>
      <c r="B22" s="695" t="n">
        <v>341</v>
      </c>
      <c r="C22" s="725" t="inlineStr">
        <is>
          <t>R0062944</t>
        </is>
      </c>
      <c r="D22" s="725" t="inlineStr">
        <is>
          <t>8787 (medical office complex)</t>
        </is>
      </c>
      <c r="E22" s="725" t="inlineStr">
        <is>
          <t>Adams County</t>
        </is>
      </c>
      <c r="F22" s="725" t="inlineStr">
        <is>
          <t>CO</t>
        </is>
      </c>
      <c r="G22" s="725" t="inlineStr">
        <is>
          <t>Medical Office</t>
        </is>
      </c>
      <c r="H22" s="725" t="inlineStr">
        <is>
          <t>Multi-tenant</t>
        </is>
      </c>
      <c r="I22" s="726" t="n"/>
      <c r="J22" s="726" t="n">
        <v>19430</v>
      </c>
      <c r="K22" s="726" t="n">
        <v>2024</v>
      </c>
      <c r="L22" s="725" t="n"/>
      <c r="M22" s="725" t="n"/>
      <c r="N22" s="729" t="n">
        <v>20.0976</v>
      </c>
      <c r="O22" s="729" t="n">
        <v>0.7185</v>
      </c>
      <c r="P22" s="729" t="n">
        <v>1.9878</v>
      </c>
      <c r="Q22" s="725" t="n"/>
      <c r="R22" s="725" t="n"/>
      <c r="S22" s="725" t="n"/>
      <c r="T22" s="725" t="n"/>
      <c r="U22" s="729" t="n">
        <v>0.6725</v>
      </c>
      <c r="V22" s="725" t="n"/>
      <c r="W22" s="725" t="n"/>
      <c r="X22" s="729" t="n">
        <v>1.3296</v>
      </c>
      <c r="Y22" s="729" t="n">
        <v>1.3296</v>
      </c>
      <c r="Z22" s="729" t="n">
        <v>0.1008</v>
      </c>
      <c r="AA22" s="729" t="n">
        <v>0.8078</v>
      </c>
      <c r="AB22" s="729" t="n">
        <v>0.3029</v>
      </c>
      <c r="AC22" s="729" t="n">
        <v>1.2115</v>
      </c>
      <c r="AD22" s="729" t="n">
        <v>0.3305</v>
      </c>
      <c r="AE22" s="729" t="n">
        <v>1.7022</v>
      </c>
      <c r="AF22" s="729" t="n">
        <v>2.0327</v>
      </c>
      <c r="AG22" s="729" t="n">
        <v>0.8246</v>
      </c>
      <c r="AH22" s="729" t="n">
        <v>8.777100000000001</v>
      </c>
      <c r="AI22" s="729" t="n">
        <v>3.2527</v>
      </c>
      <c r="AJ22" s="729" t="n">
        <v>12.0299</v>
      </c>
      <c r="AK22" s="729" t="n">
        <v>8.0678</v>
      </c>
      <c r="AL22" s="725" t="n"/>
      <c r="AM22" s="728" t="inlineStr">
        <is>
          <t>Mgmt = CAM portion $10,600 + non-CAM $28,022; janitorial $16,022 in Other; HVAC $13,067 in R&amp;M; 2024 actuals</t>
        </is>
      </c>
    </row>
    <row r="23" ht="14.1" customHeight="1">
      <c r="A23" s="696" t="inlineStr">
        <is>
          <t>P008</t>
        </is>
      </c>
      <c r="B23" s="695" t="n">
        <v>210</v>
      </c>
      <c r="C23" s="696" t="inlineStr">
        <is>
          <t>R0070622</t>
        </is>
      </c>
      <c r="D23" s="696" t="inlineStr">
        <is>
          <t>460-550 E. 76th Ave (WPC Corporate)</t>
        </is>
      </c>
      <c r="E23" s="696" t="inlineStr">
        <is>
          <t>Adams County</t>
        </is>
      </c>
      <c r="F23" s="696" t="inlineStr">
        <is>
          <t>CO</t>
        </is>
      </c>
      <c r="G23" s="696" t="inlineStr">
        <is>
          <t>Industrial</t>
        </is>
      </c>
      <c r="H23" s="696" t="inlineStr">
        <is>
          <t>Distribution/Flex Multi-tenant</t>
        </is>
      </c>
      <c r="I23" s="722" t="n"/>
      <c r="J23" s="722" t="n">
        <v>330935</v>
      </c>
      <c r="K23" s="722" t="n">
        <v>2024</v>
      </c>
      <c r="L23" s="696" t="n"/>
      <c r="M23" s="696" t="n"/>
      <c r="N23" s="723" t="n">
        <v>8.311400000000001</v>
      </c>
      <c r="O23" s="696" t="n"/>
      <c r="P23" s="696" t="n"/>
      <c r="Q23" s="696" t="n"/>
      <c r="R23" s="696" t="n"/>
      <c r="S23" s="696" t="n"/>
      <c r="T23" s="696" t="n"/>
      <c r="U23" s="696" t="n"/>
      <c r="V23" s="696" t="n"/>
      <c r="W23" s="696" t="n"/>
      <c r="X23" s="696" t="n"/>
      <c r="Y23" s="696" t="n"/>
      <c r="Z23" s="696" t="n"/>
      <c r="AA23" s="696" t="n"/>
      <c r="AB23" s="696" t="n"/>
      <c r="AC23" s="696" t="n"/>
      <c r="AD23" s="696" t="n"/>
      <c r="AE23" s="696" t="n"/>
      <c r="AF23" s="696" t="n"/>
      <c r="AG23" s="696" t="n"/>
      <c r="AH23" s="696" t="n"/>
      <c r="AI23" s="696" t="n"/>
      <c r="AJ23" s="723" t="n">
        <v>4.0444</v>
      </c>
      <c r="AK23" s="723" t="n">
        <v>4.267</v>
      </c>
      <c r="AL23" s="696" t="n"/>
      <c r="AM23" s="724" t="inlineStr">
        <is>
          <t>2024 only; total OPX derived (EGI - NOI); limited line-item detail from scanned actuals; large multi-tenant industrial complex</t>
        </is>
      </c>
    </row>
    <row r="24" ht="14.1" customHeight="1">
      <c r="A24" s="718" t="inlineStr">
        <is>
          <t>P009</t>
        </is>
      </c>
      <c r="B24" s="695" t="n">
        <v>407</v>
      </c>
      <c r="C24" s="718" t="inlineStr">
        <is>
          <t>R0075212</t>
        </is>
      </c>
      <c r="D24" s="718" t="inlineStr">
        <is>
          <t>10500 Havana Court</t>
        </is>
      </c>
      <c r="E24" s="718" t="inlineStr">
        <is>
          <t>Adams County</t>
        </is>
      </c>
      <c r="F24" s="718" t="inlineStr">
        <is>
          <t>CO</t>
        </is>
      </c>
      <c r="G24" s="718" t="inlineStr">
        <is>
          <t>Industrial</t>
        </is>
      </c>
      <c r="H24" s="718" t="inlineStr">
        <is>
          <t>NNN Single-tenant</t>
        </is>
      </c>
      <c r="I24" s="719" t="n"/>
      <c r="J24" s="719" t="n"/>
      <c r="K24" s="719" t="n">
        <v>2023</v>
      </c>
      <c r="L24" s="718" t="n"/>
      <c r="M24" s="718" t="n"/>
      <c r="N24" s="730" t="n">
        <v>332759</v>
      </c>
      <c r="O24" s="730" t="n">
        <v>22784</v>
      </c>
      <c r="P24" s="730" t="n">
        <v>4000</v>
      </c>
      <c r="Q24" s="718" t="n"/>
      <c r="R24" s="718" t="n"/>
      <c r="S24" s="718" t="n"/>
      <c r="T24" s="718" t="n"/>
      <c r="U24" s="718" t="n"/>
      <c r="V24" s="718" t="n"/>
      <c r="W24" s="718" t="n"/>
      <c r="X24" s="730" t="n">
        <v>12804</v>
      </c>
      <c r="Y24" s="730" t="n">
        <v>12804</v>
      </c>
      <c r="Z24" s="718" t="n"/>
      <c r="AA24" s="730" t="n">
        <v>6910</v>
      </c>
      <c r="AB24" s="730" t="n">
        <v>1800</v>
      </c>
      <c r="AC24" s="730" t="n">
        <v>8710</v>
      </c>
      <c r="AD24" s="730" t="n">
        <v>2209</v>
      </c>
      <c r="AE24" s="730" t="n">
        <v>1956</v>
      </c>
      <c r="AF24" s="730" t="n">
        <v>4165</v>
      </c>
      <c r="AG24" s="730" t="n">
        <v>8397</v>
      </c>
      <c r="AH24" s="730" t="n">
        <v>127005</v>
      </c>
      <c r="AI24" s="730" t="n">
        <v>60552</v>
      </c>
      <c r="AJ24" s="730" t="n">
        <v>187557</v>
      </c>
      <c r="AK24" s="730" t="n">
        <v>265550</v>
      </c>
      <c r="AL24" s="718" t="n"/>
      <c r="AM24" s="721" t="inlineStr">
        <is>
          <t>[NO SF] NNN; P&amp;L excludes depreciation ($68,209) and mortgage interest ($60,714) from NOI calc; acctg/legal/bank/dues in Other; 2023 actuals</t>
        </is>
      </c>
    </row>
    <row r="25" ht="14.1" customHeight="1">
      <c r="A25" s="696" t="inlineStr">
        <is>
          <t>P009</t>
        </is>
      </c>
      <c r="B25" s="695" t="n">
        <v>407</v>
      </c>
      <c r="C25" s="696" t="inlineStr">
        <is>
          <t>R0075212</t>
        </is>
      </c>
      <c r="D25" s="696" t="inlineStr">
        <is>
          <t>10500 Havana Court</t>
        </is>
      </c>
      <c r="E25" s="696" t="inlineStr">
        <is>
          <t>Adams County</t>
        </is>
      </c>
      <c r="F25" s="696" t="inlineStr">
        <is>
          <t>CO</t>
        </is>
      </c>
      <c r="G25" s="696" t="inlineStr">
        <is>
          <t>Industrial</t>
        </is>
      </c>
      <c r="H25" s="696" t="inlineStr">
        <is>
          <t>NNN Single-tenant</t>
        </is>
      </c>
      <c r="I25" s="722" t="n"/>
      <c r="J25" s="722" t="n"/>
      <c r="K25" s="722" t="n">
        <v>2024</v>
      </c>
      <c r="L25" s="696" t="n"/>
      <c r="M25" s="696" t="n"/>
      <c r="N25" s="731" t="n">
        <v>359583</v>
      </c>
      <c r="O25" s="731" t="n">
        <v>27489</v>
      </c>
      <c r="P25" s="731" t="n">
        <v>6000</v>
      </c>
      <c r="Q25" s="696" t="n"/>
      <c r="R25" s="696" t="n"/>
      <c r="S25" s="696" t="n"/>
      <c r="T25" s="696" t="n"/>
      <c r="U25" s="696" t="n"/>
      <c r="V25" s="696" t="n"/>
      <c r="W25" s="696" t="n"/>
      <c r="X25" s="731" t="n">
        <v>9601</v>
      </c>
      <c r="Y25" s="731" t="n">
        <v>9601</v>
      </c>
      <c r="Z25" s="696" t="n"/>
      <c r="AA25" s="731" t="n">
        <v>3045</v>
      </c>
      <c r="AB25" s="731" t="n">
        <v>1960</v>
      </c>
      <c r="AC25" s="731" t="n">
        <v>5005</v>
      </c>
      <c r="AD25" s="731" t="n">
        <v>3555</v>
      </c>
      <c r="AE25" s="731" t="n">
        <v>1567</v>
      </c>
      <c r="AF25" s="731" t="n">
        <v>5122</v>
      </c>
      <c r="AG25" s="731" t="n">
        <v>10035</v>
      </c>
      <c r="AH25" s="731" t="n">
        <v>69350</v>
      </c>
      <c r="AI25" s="731" t="n">
        <v>101114</v>
      </c>
      <c r="AJ25" s="731" t="n">
        <v>170464</v>
      </c>
      <c r="AK25" s="731" t="n">
        <v>290993</v>
      </c>
      <c r="AL25" s="696" t="n"/>
      <c r="AM25" s="724" t="inlineStr">
        <is>
          <t>[NO SF] NNN; depreciation ($52,109) and mortgage interest ($58,574) excluded from NOI; Other includes acctg, dues, inspections; 2024 actuals</t>
        </is>
      </c>
    </row>
    <row r="26" ht="14.1" customHeight="1">
      <c r="A26" s="718" t="inlineStr">
        <is>
          <t>P010</t>
        </is>
      </c>
      <c r="B26" s="695" t="n">
        <v>210</v>
      </c>
      <c r="C26" s="718" t="inlineStr">
        <is>
          <t>R0098225</t>
        </is>
      </c>
      <c r="D26" s="718" t="inlineStr">
        <is>
          <t>Broadway Business Center (7040B Broadway)</t>
        </is>
      </c>
      <c r="E26" s="718" t="inlineStr">
        <is>
          <t>Denver</t>
        </is>
      </c>
      <c r="F26" s="718" t="inlineStr">
        <is>
          <t>CO</t>
        </is>
      </c>
      <c r="G26" s="718" t="inlineStr">
        <is>
          <t>Flex/Industrial</t>
        </is>
      </c>
      <c r="H26" s="718" t="inlineStr">
        <is>
          <t>Multi-tenant CAM</t>
        </is>
      </c>
      <c r="I26" s="719" t="n"/>
      <c r="J26" s="719" t="n">
        <v>105000</v>
      </c>
      <c r="K26" s="719" t="n">
        <v>2023</v>
      </c>
      <c r="L26" s="720" t="n">
        <v>7.0284</v>
      </c>
      <c r="M26" s="720" t="n">
        <v>4.8451</v>
      </c>
      <c r="N26" s="720" t="n">
        <v>11.8736</v>
      </c>
      <c r="O26" s="720" t="n">
        <v>0.4657</v>
      </c>
      <c r="P26" s="720" t="n">
        <v>0.9933999999999999</v>
      </c>
      <c r="Q26" s="718" t="n"/>
      <c r="R26" s="718" t="n"/>
      <c r="S26" s="718" t="n"/>
      <c r="T26" s="718" t="n"/>
      <c r="U26" s="718" t="n"/>
      <c r="V26" s="718" t="n"/>
      <c r="W26" s="718" t="n"/>
      <c r="X26" s="720" t="n">
        <v>0.6328</v>
      </c>
      <c r="Y26" s="720" t="n">
        <v>0.6328</v>
      </c>
      <c r="Z26" s="720" t="n">
        <v>0.4669</v>
      </c>
      <c r="AA26" s="720" t="n">
        <v>0.2172</v>
      </c>
      <c r="AB26" s="720" t="n">
        <v>0.5585</v>
      </c>
      <c r="AC26" s="720" t="n">
        <v>1.2425</v>
      </c>
      <c r="AD26" s="720" t="n">
        <v>0.5097</v>
      </c>
      <c r="AE26" s="718" t="n"/>
      <c r="AF26" s="720" t="n">
        <v>0.7223000000000001</v>
      </c>
      <c r="AG26" s="718" t="n"/>
      <c r="AH26" s="720" t="n">
        <v>4.6141</v>
      </c>
      <c r="AI26" s="720" t="n">
        <v>2.1859</v>
      </c>
      <c r="AJ26" s="720" t="n">
        <v>6.8</v>
      </c>
      <c r="AK26" s="720" t="n">
        <v>5.0762</v>
      </c>
      <c r="AL26" s="718" t="n"/>
      <c r="AM26" s="721" t="inlineStr">
        <is>
          <t>CAM recovery structure; mgmt = prop mgmt fee $50,590 + recoverable mgmt $53,721; snow in contract; 2023 actuals; NOI estimated</t>
        </is>
      </c>
    </row>
    <row r="27" ht="14.1" customHeight="1">
      <c r="A27" s="696" t="inlineStr">
        <is>
          <t>P010</t>
        </is>
      </c>
      <c r="B27" s="695" t="n">
        <v>210</v>
      </c>
      <c r="C27" s="696" t="inlineStr">
        <is>
          <t>R0098225</t>
        </is>
      </c>
      <c r="D27" s="696" t="inlineStr">
        <is>
          <t>Broadway Business Center (7040B Broadway)</t>
        </is>
      </c>
      <c r="E27" s="696" t="inlineStr">
        <is>
          <t>Denver</t>
        </is>
      </c>
      <c r="F27" s="696" t="inlineStr">
        <is>
          <t>CO</t>
        </is>
      </c>
      <c r="G27" s="696" t="inlineStr">
        <is>
          <t>Flex/Industrial</t>
        </is>
      </c>
      <c r="H27" s="696" t="inlineStr">
        <is>
          <t>Multi-tenant CAM</t>
        </is>
      </c>
      <c r="I27" s="722" t="n"/>
      <c r="J27" s="722" t="n">
        <v>105000</v>
      </c>
      <c r="K27" s="722" t="n">
        <v>2024</v>
      </c>
      <c r="L27" s="723" t="n">
        <v>8.597899999999999</v>
      </c>
      <c r="M27" s="723" t="n">
        <v>7.4693</v>
      </c>
      <c r="N27" s="723" t="n">
        <v>16.0672</v>
      </c>
      <c r="O27" s="723" t="n">
        <v>0.481</v>
      </c>
      <c r="P27" s="723" t="n">
        <v>1.1752</v>
      </c>
      <c r="Q27" s="696" t="n"/>
      <c r="R27" s="696" t="n"/>
      <c r="S27" s="696" t="n"/>
      <c r="T27" s="696" t="n"/>
      <c r="U27" s="696" t="n"/>
      <c r="V27" s="696" t="n"/>
      <c r="W27" s="696" t="n"/>
      <c r="X27" s="723" t="n">
        <v>0.7155</v>
      </c>
      <c r="Y27" s="723" t="n">
        <v>0.7155</v>
      </c>
      <c r="Z27" s="723" t="n">
        <v>0.5619</v>
      </c>
      <c r="AA27" s="723" t="n">
        <v>0.1728</v>
      </c>
      <c r="AB27" s="723" t="n">
        <v>0.4984</v>
      </c>
      <c r="AC27" s="723" t="n">
        <v>1.233</v>
      </c>
      <c r="AD27" s="723" t="n">
        <v>0.8304</v>
      </c>
      <c r="AE27" s="696" t="n"/>
      <c r="AF27" s="723" t="n">
        <v>0.9542</v>
      </c>
      <c r="AG27" s="696" t="n"/>
      <c r="AH27" s="723" t="n">
        <v>4.7875</v>
      </c>
      <c r="AI27" s="723" t="n">
        <v>5.1839</v>
      </c>
      <c r="AJ27" s="723" t="n">
        <v>9.971399999999999</v>
      </c>
      <c r="AK27" s="723" t="n">
        <v>6.0952</v>
      </c>
      <c r="AL27" s="696" t="n"/>
      <c r="AM27" s="724" t="inlineStr">
        <is>
          <t>2024 RE Tax inflated by $111,314 prior-yr catchup; normalized tax ~$425k; parking lot $52,328 in snow/contract; NOI estimated</t>
        </is>
      </c>
    </row>
    <row r="28" ht="14.1" customHeight="1">
      <c r="A28" s="718" t="inlineStr">
        <is>
          <t>P011</t>
        </is>
      </c>
      <c r="B28" s="695" t="n">
        <v>210</v>
      </c>
      <c r="C28" s="718" t="inlineStr">
        <is>
          <t>R0103767</t>
        </is>
      </c>
      <c r="D28" s="718" t="inlineStr">
        <is>
          <t>5650 Washington St (Washington Business Park)</t>
        </is>
      </c>
      <c r="E28" s="718" t="inlineStr">
        <is>
          <t>Adams County</t>
        </is>
      </c>
      <c r="F28" s="718" t="inlineStr">
        <is>
          <t>CO</t>
        </is>
      </c>
      <c r="G28" s="718" t="inlineStr">
        <is>
          <t>Industrial/Flex</t>
        </is>
      </c>
      <c r="H28" s="718" t="inlineStr">
        <is>
          <t>Multi-tenant</t>
        </is>
      </c>
      <c r="I28" s="719" t="n"/>
      <c r="J28" s="719" t="n"/>
      <c r="K28" s="719" t="n">
        <v>2022</v>
      </c>
      <c r="L28" s="718" t="n"/>
      <c r="M28" s="718" t="n"/>
      <c r="N28" s="730" t="n">
        <v>502006</v>
      </c>
      <c r="O28" s="730" t="n">
        <v>16872</v>
      </c>
      <c r="P28" s="730" t="n">
        <v>54025</v>
      </c>
      <c r="Q28" s="718" t="n"/>
      <c r="R28" s="718" t="n"/>
      <c r="S28" s="718" t="n"/>
      <c r="T28" s="718" t="n"/>
      <c r="U28" s="718" t="n"/>
      <c r="V28" s="718" t="n"/>
      <c r="W28" s="718" t="n"/>
      <c r="X28" s="730" t="n">
        <v>71762</v>
      </c>
      <c r="Y28" s="730" t="n">
        <v>71762</v>
      </c>
      <c r="Z28" s="718" t="n"/>
      <c r="AA28" s="730" t="n">
        <v>6528</v>
      </c>
      <c r="AB28" s="718" t="n"/>
      <c r="AC28" s="730" t="n">
        <v>6528</v>
      </c>
      <c r="AD28" s="730" t="n">
        <v>4858</v>
      </c>
      <c r="AE28" s="730" t="n">
        <v>525</v>
      </c>
      <c r="AF28" s="730" t="n">
        <v>5383</v>
      </c>
      <c r="AG28" s="718" t="n"/>
      <c r="AH28" s="730" t="n">
        <v>209625</v>
      </c>
      <c r="AI28" s="730" t="n">
        <v>64792</v>
      </c>
      <c r="AJ28" s="730" t="n">
        <v>274417</v>
      </c>
      <c r="AK28" s="730" t="n">
        <v>227649</v>
      </c>
      <c r="AL28" s="718" t="n"/>
      <c r="AM28" s="721" t="inlineStr">
        <is>
          <t>[NO SF] Mgmt fee $54,025 (2022 only ? not in later years); R&amp;M = bldg maint + repairs + HVAC + plumbing; water/gas from operating stmt</t>
        </is>
      </c>
    </row>
    <row r="29" ht="14.1" customHeight="1">
      <c r="A29" s="696" t="inlineStr">
        <is>
          <t>P011</t>
        </is>
      </c>
      <c r="B29" s="695" t="n">
        <v>210</v>
      </c>
      <c r="C29" s="696" t="inlineStr">
        <is>
          <t>R0103767</t>
        </is>
      </c>
      <c r="D29" s="696" t="inlineStr">
        <is>
          <t>5650 Washington St (Washington Business Park)</t>
        </is>
      </c>
      <c r="E29" s="696" t="inlineStr">
        <is>
          <t>Adams County</t>
        </is>
      </c>
      <c r="F29" s="696" t="inlineStr">
        <is>
          <t>CO</t>
        </is>
      </c>
      <c r="G29" s="696" t="inlineStr">
        <is>
          <t>Industrial/Flex</t>
        </is>
      </c>
      <c r="H29" s="696" t="inlineStr">
        <is>
          <t>Multi-tenant</t>
        </is>
      </c>
      <c r="I29" s="722" t="n"/>
      <c r="J29" s="722" t="n"/>
      <c r="K29" s="722" t="n">
        <v>2023</v>
      </c>
      <c r="L29" s="696" t="n"/>
      <c r="M29" s="696" t="n"/>
      <c r="N29" s="731" t="n">
        <v>532468</v>
      </c>
      <c r="O29" s="731" t="n">
        <v>15442</v>
      </c>
      <c r="P29" s="696" t="n"/>
      <c r="Q29" s="696" t="n"/>
      <c r="R29" s="696" t="n"/>
      <c r="S29" s="696" t="n"/>
      <c r="T29" s="696" t="n"/>
      <c r="U29" s="696" t="n"/>
      <c r="V29" s="696" t="n"/>
      <c r="W29" s="696" t="n"/>
      <c r="X29" s="731" t="n">
        <v>83293</v>
      </c>
      <c r="Y29" s="731" t="n">
        <v>83293</v>
      </c>
      <c r="Z29" s="696" t="n"/>
      <c r="AA29" s="731" t="n">
        <v>6029</v>
      </c>
      <c r="AB29" s="696" t="n"/>
      <c r="AC29" s="731" t="n">
        <v>6029</v>
      </c>
      <c r="AD29" s="731" t="n">
        <v>6487</v>
      </c>
      <c r="AE29" s="696" t="n"/>
      <c r="AF29" s="731" t="n">
        <v>6487</v>
      </c>
      <c r="AG29" s="696" t="n"/>
      <c r="AH29" s="731" t="n">
        <v>141304</v>
      </c>
      <c r="AI29" s="731" t="n">
        <v>63133</v>
      </c>
      <c r="AJ29" s="731" t="n">
        <v>204437</v>
      </c>
      <c r="AK29" s="731" t="n">
        <v>328030</v>
      </c>
      <c r="AL29" s="696" t="n"/>
      <c r="AM29" s="724" t="inlineStr">
        <is>
          <t>[NO SF] No mgmt fee in 2023; R&amp;M higher due to building repairs; gas negligible per statement; 2023 actuals</t>
        </is>
      </c>
    </row>
    <row r="30" ht="14.1" customHeight="1">
      <c r="A30" s="718" t="inlineStr">
        <is>
          <t>P011</t>
        </is>
      </c>
      <c r="B30" s="695" t="n">
        <v>210</v>
      </c>
      <c r="C30" s="718" t="inlineStr">
        <is>
          <t>R0103767</t>
        </is>
      </c>
      <c r="D30" s="718" t="inlineStr">
        <is>
          <t>5650 Washington St (Washington Business Park)</t>
        </is>
      </c>
      <c r="E30" s="718" t="inlineStr">
        <is>
          <t>Adams County</t>
        </is>
      </c>
      <c r="F30" s="718" t="inlineStr">
        <is>
          <t>CO</t>
        </is>
      </c>
      <c r="G30" s="718" t="inlineStr">
        <is>
          <t>Industrial/Flex</t>
        </is>
      </c>
      <c r="H30" s="718" t="inlineStr">
        <is>
          <t>Multi-tenant</t>
        </is>
      </c>
      <c r="I30" s="719" t="n"/>
      <c r="J30" s="719" t="n"/>
      <c r="K30" s="719" t="n">
        <v>2024</v>
      </c>
      <c r="L30" s="718" t="n"/>
      <c r="M30" s="718" t="n"/>
      <c r="N30" s="730" t="n">
        <v>517234</v>
      </c>
      <c r="O30" s="730" t="n">
        <v>20795</v>
      </c>
      <c r="P30" s="718" t="n"/>
      <c r="Q30" s="718" t="n"/>
      <c r="R30" s="718" t="n"/>
      <c r="S30" s="718" t="n"/>
      <c r="T30" s="718" t="n"/>
      <c r="U30" s="718" t="n"/>
      <c r="V30" s="718" t="n"/>
      <c r="W30" s="718" t="n"/>
      <c r="X30" s="730" t="n">
        <v>32385</v>
      </c>
      <c r="Y30" s="730" t="n">
        <v>32385</v>
      </c>
      <c r="Z30" s="718" t="n"/>
      <c r="AA30" s="730" t="n">
        <v>4814</v>
      </c>
      <c r="AB30" s="718" t="n"/>
      <c r="AC30" s="730" t="n">
        <v>4814</v>
      </c>
      <c r="AD30" s="730" t="n">
        <v>5690</v>
      </c>
      <c r="AE30" s="718" t="n"/>
      <c r="AF30" s="730" t="n">
        <v>5690</v>
      </c>
      <c r="AG30" s="718" t="n"/>
      <c r="AH30" s="718" t="n"/>
      <c r="AI30" s="718" t="n"/>
      <c r="AJ30" s="730" t="n">
        <v>331645</v>
      </c>
      <c r="AK30" s="730" t="n">
        <v>185389</v>
      </c>
      <c r="AL30" s="718" t="n"/>
      <c r="AM30" s="721" t="inlineStr">
        <is>
          <t>[NO SF] RE Tax not separately identified in 2024 column of operating stmt; total OPX from actuals; NOI confirmed</t>
        </is>
      </c>
    </row>
    <row r="31" ht="14.1" customHeight="1">
      <c r="A31" s="725" t="inlineStr">
        <is>
          <t>P012</t>
        </is>
      </c>
      <c r="B31" s="695" t="n">
        <v>344</v>
      </c>
      <c r="C31" s="725" t="inlineStr">
        <is>
          <t>R0124385</t>
        </is>
      </c>
      <c r="D31" s="725" t="inlineStr">
        <is>
          <t>Unknown (Tax District 555)</t>
        </is>
      </c>
      <c r="E31" s="725" t="inlineStr">
        <is>
          <t>Adams County</t>
        </is>
      </c>
      <c r="F31" s="725" t="inlineStr">
        <is>
          <t>CO</t>
        </is>
      </c>
      <c r="G31" s="725" t="inlineStr">
        <is>
          <t>Office</t>
        </is>
      </c>
      <c r="H31" s="725" t="inlineStr">
        <is>
          <t>Multi-tenant</t>
        </is>
      </c>
      <c r="I31" s="726" t="n"/>
      <c r="J31" s="726" t="n">
        <v>20170</v>
      </c>
      <c r="K31" s="726" t="n">
        <v>2023</v>
      </c>
      <c r="L31" s="725" t="n"/>
      <c r="M31" s="725" t="n"/>
      <c r="N31" s="729" t="n">
        <v>13.6708</v>
      </c>
      <c r="O31" s="725" t="n"/>
      <c r="P31" s="725" t="n"/>
      <c r="Q31" s="725" t="n"/>
      <c r="R31" s="725" t="n"/>
      <c r="S31" s="725" t="n"/>
      <c r="T31" s="725" t="n"/>
      <c r="U31" s="725" t="n"/>
      <c r="V31" s="725" t="n"/>
      <c r="W31" s="725" t="n"/>
      <c r="X31" s="725" t="n"/>
      <c r="Y31" s="725" t="n"/>
      <c r="Z31" s="725" t="n"/>
      <c r="AA31" s="725" t="n"/>
      <c r="AB31" s="725" t="n"/>
      <c r="AC31" s="725" t="n"/>
      <c r="AD31" s="725" t="n"/>
      <c r="AE31" s="725" t="n"/>
      <c r="AF31" s="725" t="n"/>
      <c r="AG31" s="725" t="n"/>
      <c r="AH31" s="729" t="n">
        <v>5.3592</v>
      </c>
      <c r="AI31" s="729" t="n">
        <v>2.2399</v>
      </c>
      <c r="AJ31" s="729" t="n">
        <v>7.5992</v>
      </c>
      <c r="AK31" s="729" t="n">
        <v>8.3116</v>
      </c>
      <c r="AL31" s="725" t="n"/>
      <c r="AM31" s="728" t="inlineStr">
        <is>
          <t>Limited line-item detail; totals from PROFORMA BASIS FOR OFFER.xlsx actuals section</t>
        </is>
      </c>
    </row>
    <row r="32" ht="14.1" customHeight="1">
      <c r="A32" s="725" t="inlineStr">
        <is>
          <t>P012</t>
        </is>
      </c>
      <c r="B32" s="695" t="n">
        <v>344</v>
      </c>
      <c r="C32" s="725" t="inlineStr">
        <is>
          <t>R0124385</t>
        </is>
      </c>
      <c r="D32" s="725" t="inlineStr">
        <is>
          <t>Unknown (Tax District 555)</t>
        </is>
      </c>
      <c r="E32" s="725" t="inlineStr">
        <is>
          <t>Adams County</t>
        </is>
      </c>
      <c r="F32" s="725" t="inlineStr">
        <is>
          <t>CO</t>
        </is>
      </c>
      <c r="G32" s="725" t="inlineStr">
        <is>
          <t>Office</t>
        </is>
      </c>
      <c r="H32" s="725" t="inlineStr">
        <is>
          <t>Multi-tenant</t>
        </is>
      </c>
      <c r="I32" s="726" t="n"/>
      <c r="J32" s="726" t="n">
        <v>20170</v>
      </c>
      <c r="K32" s="726" t="n">
        <v>2024</v>
      </c>
      <c r="L32" s="725" t="n"/>
      <c r="M32" s="725" t="n"/>
      <c r="N32" s="729" t="n">
        <v>14.802</v>
      </c>
      <c r="O32" s="725" t="n"/>
      <c r="P32" s="725" t="n"/>
      <c r="Q32" s="725" t="n"/>
      <c r="R32" s="725" t="n"/>
      <c r="S32" s="725" t="n"/>
      <c r="T32" s="725" t="n"/>
      <c r="U32" s="725" t="n"/>
      <c r="V32" s="725" t="n"/>
      <c r="W32" s="725" t="n"/>
      <c r="X32" s="725" t="n"/>
      <c r="Y32" s="725" t="n"/>
      <c r="Z32" s="725" t="n"/>
      <c r="AA32" s="725" t="n"/>
      <c r="AB32" s="725" t="n"/>
      <c r="AC32" s="725" t="n"/>
      <c r="AD32" s="725" t="n"/>
      <c r="AE32" s="725" t="n"/>
      <c r="AF32" s="725" t="n"/>
      <c r="AG32" s="725" t="n"/>
      <c r="AH32" s="729" t="n">
        <v>6.3208</v>
      </c>
      <c r="AI32" s="729" t="n">
        <v>2.1665</v>
      </c>
      <c r="AJ32" s="729" t="n">
        <v>9.1814</v>
      </c>
      <c r="AK32" s="729" t="n">
        <v>8.481199999999999</v>
      </c>
      <c r="AL32" s="725" t="n"/>
      <c r="AM32" s="728" t="inlineStr">
        <is>
          <t>CapEx $14,000 non-recurring excluded from OPX; limited line-item detail</t>
        </is>
      </c>
    </row>
    <row r="33" ht="14.1" customHeight="1">
      <c r="A33" s="725" t="inlineStr">
        <is>
          <t>P013</t>
        </is>
      </c>
      <c r="B33" s="695" t="n">
        <v>353</v>
      </c>
      <c r="C33" s="725" t="inlineStr">
        <is>
          <t>R0169176</t>
        </is>
      </c>
      <c r="D33" s="725" t="inlineStr">
        <is>
          <t>Unknown (new const., opened Oct 2023)</t>
        </is>
      </c>
      <c r="E33" s="725" t="inlineStr">
        <is>
          <t>Adams County</t>
        </is>
      </c>
      <c r="F33" s="725" t="inlineStr">
        <is>
          <t>CO</t>
        </is>
      </c>
      <c r="G33" s="725" t="inlineStr">
        <is>
          <t>Retail/Office</t>
        </is>
      </c>
      <c r="H33" s="725" t="inlineStr">
        <is>
          <t>Multi-tenant</t>
        </is>
      </c>
      <c r="I33" s="726" t="n">
        <v>2023</v>
      </c>
      <c r="J33" s="726" t="n"/>
      <c r="K33" s="726" t="n">
        <v>2023</v>
      </c>
      <c r="L33" s="727" t="n">
        <v>270793</v>
      </c>
      <c r="M33" s="727" t="n">
        <v>258323</v>
      </c>
      <c r="N33" s="727" t="n">
        <v>524533</v>
      </c>
      <c r="O33" s="727" t="n">
        <v>16865</v>
      </c>
      <c r="P33" s="727" t="n">
        <v>26496</v>
      </c>
      <c r="Q33" s="725" t="n"/>
      <c r="R33" s="725" t="n"/>
      <c r="S33" s="725" t="n"/>
      <c r="T33" s="725" t="n"/>
      <c r="U33" s="725" t="n"/>
      <c r="V33" s="725" t="n"/>
      <c r="W33" s="725" t="n"/>
      <c r="X33" s="727" t="n">
        <v>50972</v>
      </c>
      <c r="Y33" s="727" t="n">
        <v>50972</v>
      </c>
      <c r="Z33" s="725" t="n"/>
      <c r="AA33" s="727" t="n">
        <v>7543</v>
      </c>
      <c r="AB33" s="725" t="n"/>
      <c r="AC33" s="727" t="n">
        <v>7543</v>
      </c>
      <c r="AD33" s="727" t="n">
        <v>4602</v>
      </c>
      <c r="AE33" s="727" t="n">
        <v>51467</v>
      </c>
      <c r="AF33" s="727" t="n">
        <v>56069</v>
      </c>
      <c r="AG33" s="725" t="n"/>
      <c r="AH33" s="727" t="n">
        <v>157946</v>
      </c>
      <c r="AI33" s="727" t="n">
        <v>125577</v>
      </c>
      <c r="AJ33" s="727" t="n">
        <v>283523</v>
      </c>
      <c r="AK33" s="727" t="n">
        <v>241009</v>
      </c>
      <c r="AL33" s="725" t="n"/>
      <c r="AM33" s="728" t="inlineStr">
        <is>
          <t>[NO SF] 2023 partial year (opened Oct 2023); RE Tax high for new construction; gas $3,877 + elec $47,590 in utilities</t>
        </is>
      </c>
    </row>
    <row r="34" ht="14.1" customHeight="1">
      <c r="A34" s="725" t="inlineStr">
        <is>
          <t>P013</t>
        </is>
      </c>
      <c r="B34" s="695" t="n">
        <v>353</v>
      </c>
      <c r="C34" s="725" t="inlineStr">
        <is>
          <t>R0169176</t>
        </is>
      </c>
      <c r="D34" s="725" t="inlineStr">
        <is>
          <t>Unknown (new const., opened Oct 2023)</t>
        </is>
      </c>
      <c r="E34" s="725" t="inlineStr">
        <is>
          <t>Adams County</t>
        </is>
      </c>
      <c r="F34" s="725" t="inlineStr">
        <is>
          <t>CO</t>
        </is>
      </c>
      <c r="G34" s="725" t="inlineStr">
        <is>
          <t>Retail/Office</t>
        </is>
      </c>
      <c r="H34" s="725" t="inlineStr">
        <is>
          <t>Multi-tenant</t>
        </is>
      </c>
      <c r="I34" s="726" t="n">
        <v>2023</v>
      </c>
      <c r="J34" s="726" t="n"/>
      <c r="K34" s="726" t="n">
        <v>2024</v>
      </c>
      <c r="L34" s="727" t="n">
        <v>260040</v>
      </c>
      <c r="M34" s="727" t="n">
        <v>337015</v>
      </c>
      <c r="N34" s="727" t="n">
        <v>597056</v>
      </c>
      <c r="O34" s="727" t="n">
        <v>12437</v>
      </c>
      <c r="P34" s="727" t="n">
        <v>26717</v>
      </c>
      <c r="Q34" s="725" t="n"/>
      <c r="R34" s="725" t="n"/>
      <c r="S34" s="725" t="n"/>
      <c r="T34" s="725" t="n"/>
      <c r="U34" s="725" t="n"/>
      <c r="V34" s="725" t="n"/>
      <c r="W34" s="725" t="n"/>
      <c r="X34" s="727" t="n">
        <v>36931</v>
      </c>
      <c r="Y34" s="727" t="n">
        <v>36931</v>
      </c>
      <c r="Z34" s="725" t="n"/>
      <c r="AA34" s="727" t="n">
        <v>27159</v>
      </c>
      <c r="AB34" s="725" t="n"/>
      <c r="AC34" s="727" t="n">
        <v>27159</v>
      </c>
      <c r="AD34" s="727" t="n">
        <v>5043</v>
      </c>
      <c r="AE34" s="727" t="n">
        <v>54230</v>
      </c>
      <c r="AF34" s="727" t="n">
        <v>59273</v>
      </c>
      <c r="AG34" s="725" t="n"/>
      <c r="AH34" s="727" t="n">
        <v>162518</v>
      </c>
      <c r="AI34" s="727" t="n">
        <v>156074</v>
      </c>
      <c r="AJ34" s="727" t="n">
        <v>318592</v>
      </c>
      <c r="AK34" s="727" t="n">
        <v>278464</v>
      </c>
      <c r="AL34" s="725" t="n"/>
      <c r="AM34" s="728" t="inlineStr">
        <is>
          <t>[NO SF] Tax consultant $11,515 added to RE Tax line; HOA/exterior maint $27,159 in landscape; recoveries $336,319 + other $696</t>
        </is>
      </c>
    </row>
    <row r="35" ht="14.1" customHeight="1">
      <c r="A35" s="696" t="inlineStr">
        <is>
          <t>P014</t>
        </is>
      </c>
      <c r="B35" s="695" t="n">
        <v>407</v>
      </c>
      <c r="C35" s="696" t="inlineStr">
        <is>
          <t>R0198530</t>
        </is>
      </c>
      <c r="D35" s="696" t="inlineStr">
        <is>
          <t>Amazon DEN7 Distribution Center</t>
        </is>
      </c>
      <c r="E35" s="696" t="inlineStr">
        <is>
          <t>Aurora</t>
        </is>
      </c>
      <c r="F35" s="696" t="inlineStr">
        <is>
          <t>CO</t>
        </is>
      </c>
      <c r="G35" s="696" t="inlineStr">
        <is>
          <t>Industrial/Distribution</t>
        </is>
      </c>
      <c r="H35" s="696" t="inlineStr">
        <is>
          <t>Single-tenant NNN</t>
        </is>
      </c>
      <c r="I35" s="722" t="n"/>
      <c r="J35" s="722" t="n">
        <v>555840</v>
      </c>
      <c r="K35" s="722" t="n">
        <v>2023</v>
      </c>
      <c r="L35" s="723" t="n">
        <v>5.6192</v>
      </c>
      <c r="M35" s="696" t="n"/>
      <c r="N35" s="723" t="n">
        <v>5.6192</v>
      </c>
      <c r="O35" s="723" t="n">
        <v>0.1549</v>
      </c>
      <c r="P35" s="723" t="n">
        <v>0.1124</v>
      </c>
      <c r="Q35" s="696" t="n"/>
      <c r="R35" s="696" t="n"/>
      <c r="S35" s="696" t="n"/>
      <c r="T35" s="696" t="n"/>
      <c r="U35" s="696" t="n"/>
      <c r="V35" s="696" t="n"/>
      <c r="W35" s="696" t="n"/>
      <c r="X35" s="696" t="n"/>
      <c r="Y35" s="696" t="n"/>
      <c r="Z35" s="696" t="n"/>
      <c r="AA35" s="696" t="n"/>
      <c r="AB35" s="696" t="n"/>
      <c r="AC35" s="723" t="n">
        <v>0.0402</v>
      </c>
      <c r="AD35" s="696" t="n"/>
      <c r="AE35" s="696" t="n"/>
      <c r="AF35" s="723" t="n">
        <v>0.002</v>
      </c>
      <c r="AG35" s="696" t="n"/>
      <c r="AH35" s="723" t="n">
        <v>0.3551</v>
      </c>
      <c r="AI35" s="723" t="n">
        <v>2.9096</v>
      </c>
      <c r="AJ35" s="723" t="n">
        <v>3.2647</v>
      </c>
      <c r="AK35" s="696" t="n"/>
      <c r="AL35" s="696" t="n"/>
      <c r="AM35" s="724" t="inlineStr">
        <is>
          <t>NNN ? expenses = LL CAM billed to Amazon tenant; RE Tax $1.617M dominates; base rent $3.12M; 2023 CAM reconciliation</t>
        </is>
      </c>
    </row>
    <row r="36" ht="14.1" customHeight="1">
      <c r="A36" s="718" t="inlineStr">
        <is>
          <t>P014</t>
        </is>
      </c>
      <c r="B36" s="695" t="n">
        <v>407</v>
      </c>
      <c r="C36" s="718" t="inlineStr">
        <is>
          <t>R0198530</t>
        </is>
      </c>
      <c r="D36" s="718" t="inlineStr">
        <is>
          <t>Amazon DEN7 Distribution Center</t>
        </is>
      </c>
      <c r="E36" s="718" t="inlineStr">
        <is>
          <t>Aurora</t>
        </is>
      </c>
      <c r="F36" s="718" t="inlineStr">
        <is>
          <t>CO</t>
        </is>
      </c>
      <c r="G36" s="718" t="inlineStr">
        <is>
          <t>Industrial/Distribution</t>
        </is>
      </c>
      <c r="H36" s="718" t="inlineStr">
        <is>
          <t>Single-tenant NNN</t>
        </is>
      </c>
      <c r="I36" s="719" t="n"/>
      <c r="J36" s="719" t="n">
        <v>555840</v>
      </c>
      <c r="K36" s="719" t="n">
        <v>2024</v>
      </c>
      <c r="L36" s="720" t="n">
        <v>5.7597</v>
      </c>
      <c r="M36" s="718" t="n"/>
      <c r="N36" s="720" t="n">
        <v>5.7597</v>
      </c>
      <c r="O36" s="720" t="n">
        <v>0.1616</v>
      </c>
      <c r="P36" s="720" t="n">
        <v>0.1152</v>
      </c>
      <c r="Q36" s="718" t="n"/>
      <c r="R36" s="718" t="n"/>
      <c r="S36" s="718" t="n"/>
      <c r="T36" s="718" t="n"/>
      <c r="U36" s="718" t="n"/>
      <c r="V36" s="718" t="n"/>
      <c r="W36" s="718" t="n"/>
      <c r="X36" s="718" t="n"/>
      <c r="Y36" s="718" t="n"/>
      <c r="Z36" s="718" t="n"/>
      <c r="AA36" s="718" t="n"/>
      <c r="AB36" s="720" t="n">
        <v>0.0038</v>
      </c>
      <c r="AC36" s="720" t="n">
        <v>0.0314</v>
      </c>
      <c r="AD36" s="718" t="n"/>
      <c r="AE36" s="718" t="n"/>
      <c r="AF36" s="720" t="n">
        <v>0.0036</v>
      </c>
      <c r="AG36" s="718" t="n"/>
      <c r="AH36" s="720" t="n">
        <v>0.2783</v>
      </c>
      <c r="AI36" s="720" t="n">
        <v>3.8893</v>
      </c>
      <c r="AJ36" s="720" t="n">
        <v>4.1677</v>
      </c>
      <c r="AK36" s="718" t="n"/>
      <c r="AL36" s="718" t="n"/>
      <c r="AM36" s="721" t="inlineStr">
        <is>
          <t>NNN; RE Tax $2.162M = $3.89/SF reflecting Adams County assessment increase (+34% YOY); 2024 CAM reconciliation</t>
        </is>
      </c>
    </row>
    <row r="37" ht="14.1" customHeight="1">
      <c r="A37" s="696" t="inlineStr">
        <is>
          <t>P015</t>
        </is>
      </c>
      <c r="B37" s="695" t="n">
        <v>407</v>
      </c>
      <c r="C37" s="696" t="inlineStr">
        <is>
          <t>R0180894</t>
        </is>
      </c>
      <c r="D37" s="696" t="inlineStr">
        <is>
          <t>1910 N Gun Club Rd</t>
        </is>
      </c>
      <c r="E37" s="696" t="inlineStr">
        <is>
          <t>Aurora</t>
        </is>
      </c>
      <c r="F37" s="696" t="inlineStr">
        <is>
          <t>CO</t>
        </is>
      </c>
      <c r="G37" s="696" t="inlineStr">
        <is>
          <t>Industrial</t>
        </is>
      </c>
      <c r="H37" s="696" t="inlineStr">
        <is>
          <t>Distribution Warehouse Multi-Tenant NNN</t>
        </is>
      </c>
      <c r="I37" s="722" t="n">
        <v>2019</v>
      </c>
      <c r="J37" s="722" t="n">
        <v>163386</v>
      </c>
      <c r="K37" s="722" t="n">
        <v>2023</v>
      </c>
      <c r="L37" s="723" t="n">
        <v>12.829</v>
      </c>
      <c r="M37" s="696" t="n"/>
      <c r="N37" s="723" t="n">
        <v>12.829</v>
      </c>
      <c r="O37" s="723" t="n">
        <v>0.2491</v>
      </c>
      <c r="P37" s="723" t="n">
        <v>0.3371</v>
      </c>
      <c r="Q37" s="696" t="n"/>
      <c r="R37" s="696" t="n"/>
      <c r="S37" s="696" t="n"/>
      <c r="T37" s="696" t="n"/>
      <c r="U37" s="696" t="n"/>
      <c r="V37" s="696" t="n"/>
      <c r="W37" s="696" t="n"/>
      <c r="X37" s="696" t="n"/>
      <c r="Y37" s="723" t="n">
        <v>0.0395</v>
      </c>
      <c r="Z37" s="696" t="n"/>
      <c r="AA37" s="723" t="n">
        <v>0.0888</v>
      </c>
      <c r="AB37" s="723" t="n">
        <v>0.3394</v>
      </c>
      <c r="AC37" s="696" t="n"/>
      <c r="AD37" s="696" t="n"/>
      <c r="AE37" s="696" t="n"/>
      <c r="AF37" s="723" t="n">
        <v>0.2688</v>
      </c>
      <c r="AG37" s="723" t="n">
        <v>0.9762</v>
      </c>
      <c r="AH37" s="723" t="n">
        <v>2.3251</v>
      </c>
      <c r="AI37" s="723" t="n">
        <v>5.6528</v>
      </c>
      <c r="AJ37" s="723" t="n">
        <v>7.9779</v>
      </c>
      <c r="AK37" s="723" t="n">
        <v>4.8512</v>
      </c>
      <c r="AL37" s="696" t="n"/>
      <c r="AM37" s="724" t="inlineStr">
        <is>
          <t>Actual accrual; security $159,500 in Other</t>
        </is>
      </c>
    </row>
    <row r="38" ht="14.1" customHeight="1">
      <c r="A38" s="718" t="inlineStr">
        <is>
          <t>P015</t>
        </is>
      </c>
      <c r="B38" s="695" t="n">
        <v>407</v>
      </c>
      <c r="C38" s="718" t="inlineStr">
        <is>
          <t>R0180894</t>
        </is>
      </c>
      <c r="D38" s="718" t="inlineStr">
        <is>
          <t>1910 N Gun Club Rd</t>
        </is>
      </c>
      <c r="E38" s="718" t="inlineStr">
        <is>
          <t>Aurora</t>
        </is>
      </c>
      <c r="F38" s="718" t="inlineStr">
        <is>
          <t>CO</t>
        </is>
      </c>
      <c r="G38" s="718" t="inlineStr">
        <is>
          <t>Industrial</t>
        </is>
      </c>
      <c r="H38" s="718" t="inlineStr">
        <is>
          <t>Distribution Warehouse Multi-Tenant NNN</t>
        </is>
      </c>
      <c r="I38" s="719" t="n">
        <v>2019</v>
      </c>
      <c r="J38" s="719" t="n">
        <v>163386</v>
      </c>
      <c r="K38" s="719" t="n">
        <v>2024</v>
      </c>
      <c r="L38" s="720" t="n">
        <v>13.1836</v>
      </c>
      <c r="M38" s="718" t="n"/>
      <c r="N38" s="720" t="n">
        <v>13.1836</v>
      </c>
      <c r="O38" s="720" t="n">
        <v>0.2943</v>
      </c>
      <c r="P38" s="720" t="n">
        <v>0.4581</v>
      </c>
      <c r="Q38" s="718" t="n"/>
      <c r="R38" s="718" t="n"/>
      <c r="S38" s="718" t="n"/>
      <c r="T38" s="718" t="n"/>
      <c r="U38" s="718" t="n"/>
      <c r="V38" s="718" t="n"/>
      <c r="W38" s="718" t="n"/>
      <c r="X38" s="718" t="n"/>
      <c r="Y38" s="720" t="n">
        <v>0.0322</v>
      </c>
      <c r="Z38" s="718" t="n"/>
      <c r="AA38" s="720" t="n">
        <v>0.0822</v>
      </c>
      <c r="AB38" s="720" t="n">
        <v>0.2856</v>
      </c>
      <c r="AC38" s="718" t="n"/>
      <c r="AD38" s="718" t="n"/>
      <c r="AE38" s="718" t="n"/>
      <c r="AF38" s="720" t="n">
        <v>0.3299</v>
      </c>
      <c r="AG38" s="720" t="n">
        <v>0.8113</v>
      </c>
      <c r="AH38" s="720" t="n">
        <v>2.4145</v>
      </c>
      <c r="AI38" s="720" t="n">
        <v>5.5843</v>
      </c>
      <c r="AJ38" s="720" t="n">
        <v>7.9988</v>
      </c>
      <c r="AK38" s="720" t="n">
        <v>5.1848</v>
      </c>
      <c r="AL38" s="718" t="n"/>
      <c r="AM38" s="721" t="inlineStr">
        <is>
          <t>Actual accrual; security $132,552 in Other</t>
        </is>
      </c>
    </row>
    <row r="39" ht="14.1" customHeight="1">
      <c r="A39" s="696" t="inlineStr">
        <is>
          <t>P016</t>
        </is>
      </c>
      <c r="B39" s="695" t="n">
        <v>584</v>
      </c>
      <c r="C39" s="696" t="inlineStr">
        <is>
          <t>R0212546/R0212547</t>
        </is>
      </c>
      <c r="D39" s="696" t="inlineStr">
        <is>
          <t>2780 N Tower Rd</t>
        </is>
      </c>
      <c r="E39" s="696" t="inlineStr">
        <is>
          <t>Aurora</t>
        </is>
      </c>
      <c r="F39" s="696" t="inlineStr">
        <is>
          <t>CO</t>
        </is>
      </c>
      <c r="G39" s="696" t="inlineStr">
        <is>
          <t>Industrial</t>
        </is>
      </c>
      <c r="H39" s="696" t="inlineStr">
        <is>
          <t>Mega Warehouse NNN</t>
        </is>
      </c>
      <c r="I39" s="722" t="n">
        <v>1983</v>
      </c>
      <c r="J39" s="722" t="n">
        <v>384953</v>
      </c>
      <c r="K39" s="722" t="n">
        <v>2024</v>
      </c>
      <c r="L39" s="696" t="n"/>
      <c r="M39" s="696" t="n"/>
      <c r="N39" s="696" t="n"/>
      <c r="O39" s="696" t="n"/>
      <c r="P39" s="696" t="n"/>
      <c r="Q39" s="696" t="n"/>
      <c r="R39" s="696" t="n"/>
      <c r="S39" s="696" t="n"/>
      <c r="T39" s="696" t="n"/>
      <c r="U39" s="696" t="n"/>
      <c r="V39" s="696" t="n"/>
      <c r="W39" s="696" t="n"/>
      <c r="X39" s="696" t="n"/>
      <c r="Y39" s="696" t="n"/>
      <c r="Z39" s="696" t="n"/>
      <c r="AA39" s="696" t="n"/>
      <c r="AB39" s="696" t="n"/>
      <c r="AC39" s="696" t="n"/>
      <c r="AD39" s="696" t="n"/>
      <c r="AE39" s="696" t="n"/>
      <c r="AF39" s="696" t="n"/>
      <c r="AG39" s="696" t="n"/>
      <c r="AH39" s="696" t="n"/>
      <c r="AI39" s="696" t="n"/>
      <c r="AJ39" s="696" t="n"/>
      <c r="AK39" s="696" t="n"/>
      <c r="AL39" s="696" t="n"/>
      <c r="AM39" s="724" t="inlineStr">
        <is>
          <t>County proforma only; limited line-item detail available</t>
        </is>
      </c>
    </row>
    <row r="40" ht="14.1" customHeight="1">
      <c r="A40" s="718" t="inlineStr">
        <is>
          <t>P017</t>
        </is>
      </c>
      <c r="B40" s="695" t="n">
        <v>210</v>
      </c>
      <c r="C40" s="718" t="inlineStr">
        <is>
          <t>R0098098</t>
        </is>
      </c>
      <c r="D40" s="718" t="inlineStr">
        <is>
          <t>1445 E 68th Ave</t>
        </is>
      </c>
      <c r="E40" s="718" t="inlineStr">
        <is>
          <t>Denver</t>
        </is>
      </c>
      <c r="F40" s="718" t="inlineStr">
        <is>
          <t>CO</t>
        </is>
      </c>
      <c r="G40" s="718" t="inlineStr">
        <is>
          <t>Industrial</t>
        </is>
      </c>
      <c r="H40" s="718" t="inlineStr">
        <is>
          <t>Industrial Office Mix</t>
        </is>
      </c>
      <c r="I40" s="719" t="n">
        <v>1972</v>
      </c>
      <c r="J40" s="719" t="n">
        <v>63348</v>
      </c>
      <c r="K40" s="719" t="n">
        <v>2024</v>
      </c>
      <c r="L40" s="718" t="n"/>
      <c r="M40" s="718" t="n"/>
      <c r="N40" s="718" t="n"/>
      <c r="O40" s="718" t="n"/>
      <c r="P40" s="718" t="n"/>
      <c r="Q40" s="718" t="n"/>
      <c r="R40" s="718" t="n"/>
      <c r="S40" s="718" t="n"/>
      <c r="T40" s="718" t="n"/>
      <c r="U40" s="718" t="n"/>
      <c r="V40" s="718" t="n"/>
      <c r="W40" s="718" t="n"/>
      <c r="X40" s="718" t="n"/>
      <c r="Y40" s="718" t="n"/>
      <c r="Z40" s="718" t="n"/>
      <c r="AA40" s="718" t="n"/>
      <c r="AB40" s="718" t="n"/>
      <c r="AC40" s="718" t="n"/>
      <c r="AD40" s="718" t="n"/>
      <c r="AE40" s="718" t="n"/>
      <c r="AF40" s="718" t="n"/>
      <c r="AG40" s="718" t="n"/>
      <c r="AH40" s="718" t="n"/>
      <c r="AI40" s="718" t="n"/>
      <c r="AJ40" s="718" t="n"/>
      <c r="AK40" s="718" t="n"/>
      <c r="AL40" s="718" t="n"/>
      <c r="AM40" s="721" t="inlineStr">
        <is>
          <t>County proforma 2024; YOC 1972/2006/2023 additions</t>
        </is>
      </c>
    </row>
    <row r="41" ht="14.1" customHeight="1">
      <c r="A41" s="696" t="inlineStr">
        <is>
          <t>P018</t>
        </is>
      </c>
      <c r="B41" s="695" t="n">
        <v>406</v>
      </c>
      <c r="C41" s="696" t="inlineStr">
        <is>
          <t>R0103783</t>
        </is>
      </c>
      <c r="D41" s="696" t="inlineStr">
        <is>
          <t>2031 E 58th Ave</t>
        </is>
      </c>
      <c r="E41" s="696" t="inlineStr">
        <is>
          <t>Denver</t>
        </is>
      </c>
      <c r="F41" s="696" t="inlineStr">
        <is>
          <t>CO</t>
        </is>
      </c>
      <c r="G41" s="696" t="inlineStr">
        <is>
          <t>Industrial</t>
        </is>
      </c>
      <c r="H41" s="696" t="inlineStr">
        <is>
          <t>Storage Warehouse / Mod Office NNN</t>
        </is>
      </c>
      <c r="I41" s="722" t="n">
        <v>2004</v>
      </c>
      <c r="J41" s="722" t="n">
        <v>18720</v>
      </c>
      <c r="K41" s="722" t="n">
        <v>2024</v>
      </c>
      <c r="L41" s="723" t="n">
        <v>13.2904</v>
      </c>
      <c r="M41" s="696" t="n"/>
      <c r="N41" s="723" t="n">
        <v>16.0225</v>
      </c>
      <c r="O41" s="723" t="n">
        <v>0.2061</v>
      </c>
      <c r="P41" s="696" t="n"/>
      <c r="Q41" s="696" t="n"/>
      <c r="R41" s="696" t="n"/>
      <c r="S41" s="696" t="n"/>
      <c r="T41" s="696" t="n"/>
      <c r="U41" s="696" t="n"/>
      <c r="V41" s="696" t="n"/>
      <c r="W41" s="696" t="n"/>
      <c r="X41" s="696" t="n"/>
      <c r="Y41" s="696" t="n"/>
      <c r="Z41" s="696" t="n"/>
      <c r="AA41" s="696" t="n"/>
      <c r="AB41" s="696" t="n"/>
      <c r="AC41" s="723" t="n">
        <v>0.1296</v>
      </c>
      <c r="AD41" s="696" t="n"/>
      <c r="AE41" s="696" t="n"/>
      <c r="AF41" s="696" t="n"/>
      <c r="AG41" s="696" t="n"/>
      <c r="AH41" s="723" t="n">
        <v>0.3357</v>
      </c>
      <c r="AI41" s="723" t="n">
        <v>2.3964</v>
      </c>
      <c r="AJ41" s="723" t="n">
        <v>2.7321</v>
      </c>
      <c r="AK41" s="723" t="n">
        <v>13.2904</v>
      </c>
      <c r="AL41" s="696" t="n"/>
      <c r="AM41" s="724" t="inlineStr">
        <is>
          <t>NNN billed charges; EGI = base rent + NNN pass-throughs</t>
        </is>
      </c>
    </row>
    <row r="42" ht="14.1" customHeight="1">
      <c r="A42" s="718" t="inlineStr">
        <is>
          <t>P018</t>
        </is>
      </c>
      <c r="B42" s="695" t="n">
        <v>406</v>
      </c>
      <c r="C42" s="718" t="inlineStr">
        <is>
          <t>R0103783</t>
        </is>
      </c>
      <c r="D42" s="718" t="inlineStr">
        <is>
          <t>2031 E 58th Ave</t>
        </is>
      </c>
      <c r="E42" s="718" t="inlineStr">
        <is>
          <t>Denver</t>
        </is>
      </c>
      <c r="F42" s="718" t="inlineStr">
        <is>
          <t>CO</t>
        </is>
      </c>
      <c r="G42" s="718" t="inlineStr">
        <is>
          <t>Industrial</t>
        </is>
      </c>
      <c r="H42" s="718" t="inlineStr">
        <is>
          <t>Storage Warehouse / Mod Office NNN</t>
        </is>
      </c>
      <c r="I42" s="719" t="n">
        <v>2004</v>
      </c>
      <c r="J42" s="719" t="n">
        <v>18720</v>
      </c>
      <c r="K42" s="719" t="n">
        <v>2023</v>
      </c>
      <c r="L42" s="720" t="n">
        <v>13.0298</v>
      </c>
      <c r="M42" s="718" t="n"/>
      <c r="N42" s="720" t="n">
        <v>15.7619</v>
      </c>
      <c r="O42" s="720" t="n">
        <v>0.2061</v>
      </c>
      <c r="P42" s="718" t="n"/>
      <c r="Q42" s="718" t="n"/>
      <c r="R42" s="718" t="n"/>
      <c r="S42" s="718" t="n"/>
      <c r="T42" s="718" t="n"/>
      <c r="U42" s="718" t="n"/>
      <c r="V42" s="718" t="n"/>
      <c r="W42" s="718" t="n"/>
      <c r="X42" s="718" t="n"/>
      <c r="Y42" s="718" t="n"/>
      <c r="Z42" s="718" t="n"/>
      <c r="AA42" s="718" t="n"/>
      <c r="AB42" s="718" t="n"/>
      <c r="AC42" s="720" t="n">
        <v>0.1296</v>
      </c>
      <c r="AD42" s="718" t="n"/>
      <c r="AE42" s="718" t="n"/>
      <c r="AF42" s="718" t="n"/>
      <c r="AG42" s="718" t="n"/>
      <c r="AH42" s="720" t="n">
        <v>0.3357</v>
      </c>
      <c r="AI42" s="720" t="n">
        <v>2.3964</v>
      </c>
      <c r="AJ42" s="720" t="n">
        <v>2.7321</v>
      </c>
      <c r="AK42" s="720" t="n">
        <v>13.0298</v>
      </c>
      <c r="AL42" s="718" t="n"/>
      <c r="AM42" s="721" t="inlineStr">
        <is>
          <t>NNN billed charges; EGI = base rent + NNN pass-throughs</t>
        </is>
      </c>
    </row>
    <row r="43" ht="14.1" customHeight="1">
      <c r="A43" s="696" t="inlineStr">
        <is>
          <t>P019</t>
        </is>
      </c>
      <c r="B43" s="695" t="n">
        <v>407</v>
      </c>
      <c r="C43" s="696" t="inlineStr">
        <is>
          <t>R0210402/R0210403</t>
        </is>
      </c>
      <c r="D43" s="696" t="inlineStr">
        <is>
          <t>17190 E 85th Ave</t>
        </is>
      </c>
      <c r="E43" s="696" t="inlineStr">
        <is>
          <t>Commerce City</t>
        </is>
      </c>
      <c r="F43" s="696" t="inlineStr">
        <is>
          <t>CO</t>
        </is>
      </c>
      <c r="G43" s="696" t="inlineStr">
        <is>
          <t>Industrial</t>
        </is>
      </c>
      <c r="H43" s="696" t="inlineStr">
        <is>
          <t>Industrial Warehouse NNN</t>
        </is>
      </c>
      <c r="I43" s="722" t="n">
        <v>2021</v>
      </c>
      <c r="J43" s="722" t="n">
        <v>329940</v>
      </c>
      <c r="K43" s="722" t="n">
        <v>2024</v>
      </c>
      <c r="L43" s="696" t="n"/>
      <c r="M43" s="696" t="n"/>
      <c r="N43" s="696" t="n"/>
      <c r="O43" s="696" t="n"/>
      <c r="P43" s="696" t="n"/>
      <c r="Q43" s="696" t="n"/>
      <c r="R43" s="696" t="n"/>
      <c r="S43" s="696" t="n"/>
      <c r="T43" s="696" t="n"/>
      <c r="U43" s="696" t="n"/>
      <c r="V43" s="696" t="n"/>
      <c r="W43" s="696" t="n"/>
      <c r="X43" s="696" t="n"/>
      <c r="Y43" s="696" t="n"/>
      <c r="Z43" s="696" t="n"/>
      <c r="AA43" s="696" t="n"/>
      <c r="AB43" s="696" t="n"/>
      <c r="AC43" s="696" t="n"/>
      <c r="AD43" s="696" t="n"/>
      <c r="AE43" s="696" t="n"/>
      <c r="AF43" s="696" t="n"/>
      <c r="AG43" s="696" t="n"/>
      <c r="AH43" s="696" t="n"/>
      <c r="AI43" s="696" t="n"/>
      <c r="AJ43" s="696" t="n"/>
      <c r="AK43" s="696" t="n"/>
      <c r="AL43" s="696" t="n"/>
      <c r="AM43" s="724" t="inlineStr">
        <is>
          <t>Petitioner proforma 2024/25; limited line-item detail</t>
        </is>
      </c>
    </row>
    <row r="44" ht="14.1" customHeight="1">
      <c r="A44" s="718" t="inlineStr">
        <is>
          <t>P020</t>
        </is>
      </c>
      <c r="B44" s="695" t="n">
        <v>584</v>
      </c>
      <c r="C44" s="718" t="inlineStr">
        <is>
          <t>R0209679</t>
        </is>
      </c>
      <c r="D44" s="718" t="inlineStr">
        <is>
          <t>17501 E 84th Ave</t>
        </is>
      </c>
      <c r="E44" s="718" t="inlineStr">
        <is>
          <t>Commerce City</t>
        </is>
      </c>
      <c r="F44" s="718" t="inlineStr">
        <is>
          <t>CO</t>
        </is>
      </c>
      <c r="G44" s="718" t="inlineStr">
        <is>
          <t>Industrial</t>
        </is>
      </c>
      <c r="H44" s="718" t="inlineStr">
        <is>
          <t>Mega Warehouse / Distribution Center NNN (Lowe's)</t>
        </is>
      </c>
      <c r="I44" s="719" t="n">
        <v>2021</v>
      </c>
      <c r="J44" s="719" t="n">
        <v>999780</v>
      </c>
      <c r="K44" s="719" t="n">
        <v>2023</v>
      </c>
      <c r="L44" s="720" t="n">
        <v>12.3992</v>
      </c>
      <c r="M44" s="718" t="n"/>
      <c r="N44" s="720" t="n">
        <v>12.3992</v>
      </c>
      <c r="O44" s="720" t="n">
        <v>0.1505</v>
      </c>
      <c r="P44" s="720" t="n">
        <v>0.1005</v>
      </c>
      <c r="Q44" s="718" t="n"/>
      <c r="R44" s="718" t="n"/>
      <c r="S44" s="718" t="n"/>
      <c r="T44" s="718" t="n"/>
      <c r="U44" s="718" t="n"/>
      <c r="V44" s="718" t="n"/>
      <c r="W44" s="718" t="n"/>
      <c r="X44" s="718" t="n"/>
      <c r="Y44" s="720" t="n">
        <v>0.0533</v>
      </c>
      <c r="Z44" s="718" t="n"/>
      <c r="AA44" s="720" t="n">
        <v>0.0508</v>
      </c>
      <c r="AB44" s="720" t="n">
        <v>0.1178</v>
      </c>
      <c r="AC44" s="718" t="n"/>
      <c r="AD44" s="718" t="n"/>
      <c r="AE44" s="718" t="n"/>
      <c r="AF44" s="718" t="n"/>
      <c r="AG44" s="720" t="n">
        <v>0.008399999999999999</v>
      </c>
      <c r="AH44" s="720" t="n">
        <v>1.355</v>
      </c>
      <c r="AI44" s="720" t="n">
        <v>4.9234</v>
      </c>
      <c r="AJ44" s="720" t="n">
        <v>8.2796</v>
      </c>
      <c r="AK44" s="720" t="n">
        <v>4.1196</v>
      </c>
      <c r="AL44" s="718" t="n"/>
      <c r="AM44" s="721" t="inlineStr">
        <is>
          <t>Actual accrual; 2023 NOI inflated ~$2.8M by prior-yr RE tax adj; security in Other</t>
        </is>
      </c>
    </row>
    <row r="45" ht="14.1" customHeight="1">
      <c r="A45" s="696" t="inlineStr">
        <is>
          <t>P020</t>
        </is>
      </c>
      <c r="B45" s="695" t="n">
        <v>584</v>
      </c>
      <c r="C45" s="696" t="inlineStr">
        <is>
          <t>R0209679</t>
        </is>
      </c>
      <c r="D45" s="696" t="inlineStr">
        <is>
          <t>17501 E 84th Ave</t>
        </is>
      </c>
      <c r="E45" s="696" t="inlineStr">
        <is>
          <t>Commerce City</t>
        </is>
      </c>
      <c r="F45" s="696" t="inlineStr">
        <is>
          <t>CO</t>
        </is>
      </c>
      <c r="G45" s="696" t="inlineStr">
        <is>
          <t>Industrial</t>
        </is>
      </c>
      <c r="H45" s="696" t="inlineStr">
        <is>
          <t>Mega Warehouse / Distribution Center NNN (Lowe's)</t>
        </is>
      </c>
      <c r="I45" s="722" t="n">
        <v>2021</v>
      </c>
      <c r="J45" s="722" t="n">
        <v>999780</v>
      </c>
      <c r="K45" s="722" t="n">
        <v>2024</v>
      </c>
      <c r="L45" s="723" t="n">
        <v>10.003</v>
      </c>
      <c r="M45" s="696" t="n"/>
      <c r="N45" s="723" t="n">
        <v>10.003</v>
      </c>
      <c r="O45" s="723" t="n">
        <v>0.172</v>
      </c>
      <c r="P45" s="723" t="n">
        <v>0.1016</v>
      </c>
      <c r="Q45" s="696" t="n"/>
      <c r="R45" s="696" t="n"/>
      <c r="S45" s="696" t="n"/>
      <c r="T45" s="696" t="n"/>
      <c r="U45" s="696" t="n"/>
      <c r="V45" s="696" t="n"/>
      <c r="W45" s="696" t="n"/>
      <c r="X45" s="696" t="n"/>
      <c r="Y45" s="723" t="n">
        <v>0.1205</v>
      </c>
      <c r="Z45" s="696" t="n"/>
      <c r="AA45" s="723" t="n">
        <v>0.0378</v>
      </c>
      <c r="AB45" s="723" t="n">
        <v>0.1319</v>
      </c>
      <c r="AC45" s="696" t="n"/>
      <c r="AD45" s="696" t="n"/>
      <c r="AE45" s="696" t="n"/>
      <c r="AF45" s="696" t="n"/>
      <c r="AG45" s="723" t="n">
        <v>0.0308</v>
      </c>
      <c r="AH45" s="723" t="n">
        <v>0.7976</v>
      </c>
      <c r="AI45" s="723" t="n">
        <v>4.9977</v>
      </c>
      <c r="AJ45" s="723" t="n">
        <v>5.7953</v>
      </c>
      <c r="AK45" s="723" t="n">
        <v>4.2077</v>
      </c>
      <c r="AL45" s="696" t="n"/>
      <c r="AM45" s="724" t="inlineStr">
        <is>
          <t>Actual accrual; security $30,799 in Other</t>
        </is>
      </c>
    </row>
    <row r="46" ht="14.1" customHeight="1">
      <c r="A46" s="718" t="inlineStr">
        <is>
          <t>P021</t>
        </is>
      </c>
      <c r="B46" s="695" t="n">
        <v>210</v>
      </c>
      <c r="C46" s="718" t="inlineStr">
        <is>
          <t>R0091931</t>
        </is>
      </c>
      <c r="D46" s="718" t="inlineStr">
        <is>
          <t>6300 E. 58th Ave</t>
        </is>
      </c>
      <c r="E46" s="718" t="inlineStr">
        <is>
          <t>Commerce City</t>
        </is>
      </c>
      <c r="F46" s="718" t="inlineStr">
        <is>
          <t>CO</t>
        </is>
      </c>
      <c r="G46" s="718" t="inlineStr">
        <is>
          <t>Industrial</t>
        </is>
      </c>
      <c r="H46" s="718" t="inlineStr">
        <is>
          <t>Multi-Tenant Industrial/Flex</t>
        </is>
      </c>
      <c r="I46" s="719" t="n">
        <v>1999</v>
      </c>
      <c r="J46" s="719" t="n">
        <v>90000</v>
      </c>
      <c r="K46" s="719" t="n">
        <v>2023</v>
      </c>
      <c r="L46" s="720" t="n">
        <v>10.5459</v>
      </c>
      <c r="M46" s="718" t="n"/>
      <c r="N46" s="720" t="n">
        <v>13.7594</v>
      </c>
      <c r="O46" s="720" t="n">
        <v>0.176</v>
      </c>
      <c r="P46" s="720" t="n">
        <v>0.516</v>
      </c>
      <c r="Q46" s="720" t="n">
        <v>0.0441</v>
      </c>
      <c r="R46" s="718" t="n"/>
      <c r="S46" s="720" t="n">
        <v>0.3032</v>
      </c>
      <c r="T46" s="720" t="n">
        <v>0.0731</v>
      </c>
      <c r="U46" s="718" t="n"/>
      <c r="V46" s="718" t="n"/>
      <c r="W46" s="718" t="n"/>
      <c r="X46" s="720" t="n">
        <v>0.2579</v>
      </c>
      <c r="Y46" s="720" t="n">
        <v>0.6783</v>
      </c>
      <c r="Z46" s="720" t="n">
        <v>0.0103</v>
      </c>
      <c r="AA46" s="720" t="n">
        <v>0.0531</v>
      </c>
      <c r="AB46" s="720" t="n">
        <v>0.1252</v>
      </c>
      <c r="AC46" s="720" t="n">
        <v>0.1886</v>
      </c>
      <c r="AD46" s="720" t="n">
        <v>0.1574</v>
      </c>
      <c r="AE46" s="720" t="n">
        <v>0.0621</v>
      </c>
      <c r="AF46" s="720" t="n">
        <v>0.2196</v>
      </c>
      <c r="AG46" s="718" t="n"/>
      <c r="AH46" s="720" t="n">
        <v>1.8054</v>
      </c>
      <c r="AI46" s="720" t="n">
        <v>3.1511</v>
      </c>
      <c r="AJ46" s="720" t="n">
        <v>4.9565</v>
      </c>
      <c r="AK46" s="720" t="n">
        <v>8.802899999999999</v>
      </c>
      <c r="AL46" s="718" t="n"/>
      <c r="AM46" s="721" t="inlineStr">
        <is>
          <t>Actual accrual; parking sweep in Trash; admin fees in Mgmt</t>
        </is>
      </c>
    </row>
    <row r="47" ht="14.1" customHeight="1">
      <c r="A47" s="696" t="inlineStr">
        <is>
          <t>P021</t>
        </is>
      </c>
      <c r="B47" s="695" t="n">
        <v>210</v>
      </c>
      <c r="C47" s="696" t="inlineStr">
        <is>
          <t>R0091931</t>
        </is>
      </c>
      <c r="D47" s="696" t="inlineStr">
        <is>
          <t>6300 E. 58th Ave</t>
        </is>
      </c>
      <c r="E47" s="696" t="inlineStr">
        <is>
          <t>Commerce City</t>
        </is>
      </c>
      <c r="F47" s="696" t="inlineStr">
        <is>
          <t>CO</t>
        </is>
      </c>
      <c r="G47" s="696" t="inlineStr">
        <is>
          <t>Industrial</t>
        </is>
      </c>
      <c r="H47" s="696" t="inlineStr">
        <is>
          <t>Multi-Tenant Industrial/Flex</t>
        </is>
      </c>
      <c r="I47" s="722" t="n">
        <v>1999</v>
      </c>
      <c r="J47" s="722" t="n">
        <v>90000</v>
      </c>
      <c r="K47" s="722" t="n">
        <v>2024</v>
      </c>
      <c r="L47" s="723" t="n">
        <v>10.1323</v>
      </c>
      <c r="M47" s="696" t="n"/>
      <c r="N47" s="723" t="n">
        <v>14.5242</v>
      </c>
      <c r="O47" s="723" t="n">
        <v>0.1757</v>
      </c>
      <c r="P47" s="723" t="n">
        <v>0.725</v>
      </c>
      <c r="Q47" s="723" t="n">
        <v>0.0069</v>
      </c>
      <c r="R47" s="696" t="n"/>
      <c r="S47" s="723" t="n">
        <v>0.3996</v>
      </c>
      <c r="T47" s="723" t="n">
        <v>0.08699999999999999</v>
      </c>
      <c r="U47" s="696" t="n"/>
      <c r="V47" s="696" t="n"/>
      <c r="W47" s="696" t="n"/>
      <c r="X47" s="723" t="n">
        <v>0.2445</v>
      </c>
      <c r="Y47" s="723" t="n">
        <v>0.738</v>
      </c>
      <c r="Z47" s="723" t="n">
        <v>0.0131</v>
      </c>
      <c r="AA47" s="723" t="n">
        <v>0.0496</v>
      </c>
      <c r="AB47" s="723" t="n">
        <v>0.1661</v>
      </c>
      <c r="AC47" s="723" t="n">
        <v>0.2288</v>
      </c>
      <c r="AD47" s="723" t="n">
        <v>0.1748</v>
      </c>
      <c r="AE47" s="723" t="n">
        <v>0.06370000000000001</v>
      </c>
      <c r="AF47" s="723" t="n">
        <v>0.2385</v>
      </c>
      <c r="AG47" s="696" t="n"/>
      <c r="AH47" s="723" t="n">
        <v>1.7609</v>
      </c>
      <c r="AI47" s="723" t="n">
        <v>3.2332</v>
      </c>
      <c r="AJ47" s="723" t="n">
        <v>4.9941</v>
      </c>
      <c r="AK47" s="723" t="n">
        <v>9.3636</v>
      </c>
      <c r="AL47" s="696" t="n"/>
      <c r="AM47" s="724" t="inlineStr">
        <is>
          <t>Actual accrual; snow $14,953 also listed under ext R&amp;M; security/admin in ext maint</t>
        </is>
      </c>
    </row>
    <row r="48" ht="14.1" customHeight="1">
      <c r="A48" s="718" t="inlineStr">
        <is>
          <t>P022</t>
        </is>
      </c>
      <c r="B48" s="695" t="n">
        <v>210</v>
      </c>
      <c r="C48" s="718" t="inlineStr">
        <is>
          <t>R0111559</t>
        </is>
      </c>
      <c r="D48" s="718" t="inlineStr">
        <is>
          <t>3590 N. Himalaya Rd (Bldg 6)</t>
        </is>
      </c>
      <c r="E48" s="718" t="inlineStr">
        <is>
          <t>Aurora</t>
        </is>
      </c>
      <c r="F48" s="718" t="inlineStr">
        <is>
          <t>CO</t>
        </is>
      </c>
      <c r="G48" s="718" t="inlineStr">
        <is>
          <t>Industrial</t>
        </is>
      </c>
      <c r="H48" s="718" t="inlineStr">
        <is>
          <t>Multi-Tenant Industrial/Flex NNN</t>
        </is>
      </c>
      <c r="I48" s="719" t="n"/>
      <c r="J48" s="719" t="n"/>
      <c r="K48" s="719" t="n">
        <v>2024</v>
      </c>
      <c r="L48" s="730" t="n">
        <v>548918</v>
      </c>
      <c r="M48" s="718" t="n"/>
      <c r="N48" s="730" t="n">
        <v>766859</v>
      </c>
      <c r="O48" s="730" t="n">
        <v>23025</v>
      </c>
      <c r="P48" s="718" t="n"/>
      <c r="Q48" s="718" t="n"/>
      <c r="R48" s="718" t="n"/>
      <c r="S48" s="718" t="n"/>
      <c r="T48" s="718" t="n"/>
      <c r="U48" s="718" t="n"/>
      <c r="V48" s="718" t="n"/>
      <c r="W48" s="718" t="n"/>
      <c r="X48" s="718" t="n"/>
      <c r="Y48" s="718" t="n"/>
      <c r="Z48" s="718" t="n"/>
      <c r="AA48" s="718" t="n"/>
      <c r="AB48" s="718" t="n"/>
      <c r="AC48" s="718" t="n"/>
      <c r="AD48" s="730" t="n">
        <v>7986</v>
      </c>
      <c r="AE48" s="730" t="n">
        <v>33669</v>
      </c>
      <c r="AF48" s="730" t="n">
        <v>41655</v>
      </c>
      <c r="AG48" s="718" t="n"/>
      <c r="AH48" s="718" t="n"/>
      <c r="AI48" s="730" t="n">
        <v>129107</v>
      </c>
      <c r="AJ48" s="730" t="n">
        <v>250157</v>
      </c>
      <c r="AK48" s="730" t="n">
        <v>374789</v>
      </c>
      <c r="AL48" s="718" t="n"/>
      <c r="AM48" s="721" t="inlineStr">
        <is>
          <t>[NO SF] 2024 only – 2023 was transitional vacancy year; SF not confirmed; approx figures</t>
        </is>
      </c>
    </row>
    <row r="49" ht="14.1" customHeight="1">
      <c r="A49" s="696" t="inlineStr">
        <is>
          <t>P023</t>
        </is>
      </c>
      <c r="B49" s="695" t="n">
        <v>407</v>
      </c>
      <c r="C49" s="696" t="inlineStr">
        <is>
          <t>R0191098</t>
        </is>
      </c>
      <c r="D49" s="696" t="inlineStr">
        <is>
          <t>19754 E. 35th Dr (Bldg 4)</t>
        </is>
      </c>
      <c r="E49" s="696" t="inlineStr">
        <is>
          <t>Aurora</t>
        </is>
      </c>
      <c r="F49" s="696" t="inlineStr">
        <is>
          <t>CO</t>
        </is>
      </c>
      <c r="G49" s="696" t="inlineStr">
        <is>
          <t>Industrial</t>
        </is>
      </c>
      <c r="H49" s="696" t="inlineStr">
        <is>
          <t>Single-Tenant Industrial NNN</t>
        </is>
      </c>
      <c r="I49" s="722" t="n"/>
      <c r="J49" s="722" t="n">
        <v>155033</v>
      </c>
      <c r="K49" s="722" t="n">
        <v>2023</v>
      </c>
      <c r="L49" s="723" t="n">
        <v>6.2562</v>
      </c>
      <c r="M49" s="696" t="n"/>
      <c r="N49" s="723" t="n">
        <v>6.246</v>
      </c>
      <c r="O49" s="723" t="n">
        <v>0.1319</v>
      </c>
      <c r="P49" s="723" t="n">
        <v>0.1932</v>
      </c>
      <c r="Q49" s="696" t="n"/>
      <c r="R49" s="696" t="n"/>
      <c r="S49" s="696" t="n"/>
      <c r="T49" s="696" t="n"/>
      <c r="U49" s="696" t="n"/>
      <c r="V49" s="696" t="n"/>
      <c r="W49" s="696" t="n"/>
      <c r="X49" s="696" t="n"/>
      <c r="Y49" s="696" t="n"/>
      <c r="Z49" s="696" t="n"/>
      <c r="AA49" s="723" t="n">
        <v>0.0257</v>
      </c>
      <c r="AB49" s="696" t="n"/>
      <c r="AC49" s="696" t="n"/>
      <c r="AD49" s="723" t="n">
        <v>0.2449</v>
      </c>
      <c r="AE49" s="723" t="n">
        <v>0.0885</v>
      </c>
      <c r="AF49" s="723" t="n">
        <v>0.3334</v>
      </c>
      <c r="AG49" s="696" t="n"/>
      <c r="AH49" s="723" t="n">
        <v>1.9053</v>
      </c>
      <c r="AI49" s="723" t="n">
        <v>0.5968</v>
      </c>
      <c r="AJ49" s="723" t="n">
        <v>2.5021</v>
      </c>
      <c r="AK49" s="723" t="n">
        <v>3.7439</v>
      </c>
      <c r="AL49" s="696" t="n"/>
      <c r="AM49" s="724" t="inlineStr">
        <is>
          <t>NNN; tenant pays most R&amp;M directly; Quality Custom Distribution lease thru 12/31/2029</t>
        </is>
      </c>
    </row>
    <row r="50" ht="14.1" customHeight="1">
      <c r="A50" s="718" t="inlineStr">
        <is>
          <t>P023</t>
        </is>
      </c>
      <c r="B50" s="695" t="n">
        <v>407</v>
      </c>
      <c r="C50" s="718" t="inlineStr">
        <is>
          <t>R0191098</t>
        </is>
      </c>
      <c r="D50" s="718" t="inlineStr">
        <is>
          <t>19754 E. 35th Dr (Bldg 4)</t>
        </is>
      </c>
      <c r="E50" s="718" t="inlineStr">
        <is>
          <t>Aurora</t>
        </is>
      </c>
      <c r="F50" s="718" t="inlineStr">
        <is>
          <t>CO</t>
        </is>
      </c>
      <c r="G50" s="718" t="inlineStr">
        <is>
          <t>Industrial</t>
        </is>
      </c>
      <c r="H50" s="718" t="inlineStr">
        <is>
          <t>Single-Tenant Industrial NNN</t>
        </is>
      </c>
      <c r="I50" s="719" t="n"/>
      <c r="J50" s="719" t="n">
        <v>155033</v>
      </c>
      <c r="K50" s="719" t="n">
        <v>2024</v>
      </c>
      <c r="L50" s="720" t="n">
        <v>6.5223</v>
      </c>
      <c r="M50" s="718" t="n"/>
      <c r="N50" s="720" t="n">
        <v>6.5223</v>
      </c>
      <c r="O50" s="720" t="n">
        <v>0.183</v>
      </c>
      <c r="P50" s="720" t="n">
        <v>0.1894</v>
      </c>
      <c r="Q50" s="718" t="n"/>
      <c r="R50" s="718" t="n"/>
      <c r="S50" s="718" t="n"/>
      <c r="T50" s="718" t="n"/>
      <c r="U50" s="718" t="n"/>
      <c r="V50" s="718" t="n"/>
      <c r="W50" s="718" t="n"/>
      <c r="X50" s="718" t="n"/>
      <c r="Y50" s="718" t="n"/>
      <c r="Z50" s="718" t="n"/>
      <c r="AA50" s="718" t="n"/>
      <c r="AB50" s="718" t="n"/>
      <c r="AC50" s="718" t="n"/>
      <c r="AD50" s="720" t="n">
        <v>0.2365</v>
      </c>
      <c r="AE50" s="720" t="n">
        <v>0.1764</v>
      </c>
      <c r="AF50" s="720" t="n">
        <v>0.4129</v>
      </c>
      <c r="AG50" s="718" t="n"/>
      <c r="AH50" s="720" t="n">
        <v>1.7082</v>
      </c>
      <c r="AI50" s="720" t="n">
        <v>0.7799</v>
      </c>
      <c r="AJ50" s="720" t="n">
        <v>2.4881</v>
      </c>
      <c r="AK50" s="720" t="n">
        <v>4.0342</v>
      </c>
      <c r="AL50" s="718" t="n"/>
      <c r="AM50" s="721" t="inlineStr">
        <is>
          <t>NNN; tenant pays most R&amp;M directly</t>
        </is>
      </c>
    </row>
    <row r="51" ht="14.1" customHeight="1">
      <c r="A51" s="696" t="inlineStr">
        <is>
          <t>P024</t>
        </is>
      </c>
      <c r="B51" s="695" t="n">
        <v>407</v>
      </c>
      <c r="C51" s="696" t="inlineStr">
        <is>
          <t>R0111560</t>
        </is>
      </c>
      <c r="D51" s="696" t="inlineStr">
        <is>
          <t>20320 E. 36th Dr (Bldg 7)</t>
        </is>
      </c>
      <c r="E51" s="696" t="inlineStr">
        <is>
          <t>Aurora</t>
        </is>
      </c>
      <c r="F51" s="696" t="inlineStr">
        <is>
          <t>CO</t>
        </is>
      </c>
      <c r="G51" s="696" t="inlineStr">
        <is>
          <t>Industrial</t>
        </is>
      </c>
      <c r="H51" s="696" t="inlineStr">
        <is>
          <t>Single-Tenant Industrial NNN</t>
        </is>
      </c>
      <c r="I51" s="722" t="n"/>
      <c r="J51" s="722" t="n">
        <v>200000</v>
      </c>
      <c r="K51" s="722" t="n">
        <v>2023</v>
      </c>
      <c r="L51" s="723" t="n">
        <v>6.9558</v>
      </c>
      <c r="M51" s="696" t="n"/>
      <c r="N51" s="723" t="n">
        <v>6.7858</v>
      </c>
      <c r="O51" s="723" t="n">
        <v>0.02</v>
      </c>
      <c r="P51" s="696" t="n"/>
      <c r="Q51" s="696" t="n"/>
      <c r="R51" s="696" t="n"/>
      <c r="S51" s="696" t="n"/>
      <c r="T51" s="696" t="n"/>
      <c r="U51" s="696" t="n"/>
      <c r="V51" s="696" t="n"/>
      <c r="W51" s="696" t="n"/>
      <c r="X51" s="696" t="n"/>
      <c r="Y51" s="696" t="n"/>
      <c r="Z51" s="696" t="n"/>
      <c r="AA51" s="696" t="n"/>
      <c r="AB51" s="696" t="n"/>
      <c r="AC51" s="696" t="n"/>
      <c r="AD51" s="696" t="n"/>
      <c r="AE51" s="723" t="n">
        <v>0.0121</v>
      </c>
      <c r="AF51" s="723" t="n">
        <v>0.0121</v>
      </c>
      <c r="AG51" s="696" t="n"/>
      <c r="AH51" s="723" t="n">
        <v>1.179</v>
      </c>
      <c r="AI51" s="723" t="n">
        <v>0.0174</v>
      </c>
      <c r="AJ51" s="723" t="n">
        <v>1.1964</v>
      </c>
      <c r="AK51" s="723" t="n">
        <v>5.5895</v>
      </c>
      <c r="AL51" s="696" t="n"/>
      <c r="AM51" s="724" t="inlineStr">
        <is>
          <t>FedEx NNN thru 4/30/2024; tenant pays nearly all expenses; 2024 excluded (lease expiry vacancy)</t>
        </is>
      </c>
    </row>
    <row r="52" ht="14.1" customHeight="1">
      <c r="A52" s="718" t="inlineStr">
        <is>
          <t>P025</t>
        </is>
      </c>
      <c r="B52" s="695" t="n">
        <v>210</v>
      </c>
      <c r="C52" s="718" t="inlineStr">
        <is>
          <t>R0191099</t>
        </is>
      </c>
      <c r="D52" s="718" t="inlineStr">
        <is>
          <t>3559 N. Himalaya Rd (Bldg 5)</t>
        </is>
      </c>
      <c r="E52" s="718" t="inlineStr">
        <is>
          <t>Aurora</t>
        </is>
      </c>
      <c r="F52" s="718" t="inlineStr">
        <is>
          <t>CO</t>
        </is>
      </c>
      <c r="G52" s="718" t="inlineStr">
        <is>
          <t>Industrial</t>
        </is>
      </c>
      <c r="H52" s="718" t="inlineStr">
        <is>
          <t>Multi-Tenant Industrial NNN</t>
        </is>
      </c>
      <c r="I52" s="719" t="n"/>
      <c r="J52" s="719" t="n">
        <v>159047</v>
      </c>
      <c r="K52" s="719" t="n">
        <v>2023</v>
      </c>
      <c r="L52" s="718" t="n"/>
      <c r="M52" s="718" t="n"/>
      <c r="N52" s="720" t="n">
        <v>13.4944</v>
      </c>
      <c r="O52" s="718" t="n"/>
      <c r="P52" s="720" t="n">
        <v>0.0367</v>
      </c>
      <c r="Q52" s="718" t="n"/>
      <c r="R52" s="718" t="n"/>
      <c r="S52" s="718" t="n"/>
      <c r="T52" s="718" t="n"/>
      <c r="U52" s="718" t="n"/>
      <c r="V52" s="718" t="n"/>
      <c r="W52" s="718" t="n"/>
      <c r="X52" s="718" t="n"/>
      <c r="Y52" s="718" t="n"/>
      <c r="Z52" s="718" t="n"/>
      <c r="AA52" s="718" t="n"/>
      <c r="AB52" s="720" t="n">
        <v>0.0177</v>
      </c>
      <c r="AC52" s="718" t="n"/>
      <c r="AD52" s="718" t="n"/>
      <c r="AE52" s="718" t="n"/>
      <c r="AF52" s="718" t="n"/>
      <c r="AG52" s="718" t="n"/>
      <c r="AH52" s="718" t="n"/>
      <c r="AI52" s="718" t="n"/>
      <c r="AJ52" s="720" t="n">
        <v>6.3824</v>
      </c>
      <c r="AK52" s="720" t="n">
        <v>7.112</v>
      </c>
      <c r="AL52" s="718" t="n"/>
      <c r="AM52" s="721" t="inlineStr">
        <is>
          <t>Multi-tenant NNN; limited expense detail available; approx figures</t>
        </is>
      </c>
    </row>
    <row r="53" ht="14.1" customHeight="1">
      <c r="A53" s="696" t="inlineStr">
        <is>
          <t>P025</t>
        </is>
      </c>
      <c r="B53" s="695" t="n">
        <v>210</v>
      </c>
      <c r="C53" s="696" t="inlineStr">
        <is>
          <t>R0191099</t>
        </is>
      </c>
      <c r="D53" s="696" t="inlineStr">
        <is>
          <t>3559 N. Himalaya Rd (Bldg 5)</t>
        </is>
      </c>
      <c r="E53" s="696" t="inlineStr">
        <is>
          <t>Aurora</t>
        </is>
      </c>
      <c r="F53" s="696" t="inlineStr">
        <is>
          <t>CO</t>
        </is>
      </c>
      <c r="G53" s="696" t="inlineStr">
        <is>
          <t>Industrial</t>
        </is>
      </c>
      <c r="H53" s="696" t="inlineStr">
        <is>
          <t>Multi-Tenant Industrial NNN</t>
        </is>
      </c>
      <c r="I53" s="722" t="n"/>
      <c r="J53" s="722" t="n">
        <v>159047</v>
      </c>
      <c r="K53" s="722" t="n">
        <v>2024</v>
      </c>
      <c r="L53" s="696" t="n"/>
      <c r="M53" s="696" t="n"/>
      <c r="N53" s="723" t="n">
        <v>13.507</v>
      </c>
      <c r="O53" s="696" t="n"/>
      <c r="P53" s="696" t="n"/>
      <c r="Q53" s="696" t="n"/>
      <c r="R53" s="696" t="n"/>
      <c r="S53" s="696" t="n"/>
      <c r="T53" s="696" t="n"/>
      <c r="U53" s="696" t="n"/>
      <c r="V53" s="696" t="n"/>
      <c r="W53" s="696" t="n"/>
      <c r="X53" s="696" t="n"/>
      <c r="Y53" s="696" t="n"/>
      <c r="Z53" s="696" t="n"/>
      <c r="AA53" s="696" t="n"/>
      <c r="AB53" s="723" t="n">
        <v>0.0177</v>
      </c>
      <c r="AC53" s="696" t="n"/>
      <c r="AD53" s="696" t="n"/>
      <c r="AE53" s="696" t="n"/>
      <c r="AF53" s="696" t="n"/>
      <c r="AG53" s="696" t="n"/>
      <c r="AH53" s="696" t="n"/>
      <c r="AI53" s="696" t="n"/>
      <c r="AJ53" s="723" t="n">
        <v>7.3989</v>
      </c>
      <c r="AK53" s="723" t="n">
        <v>6.1082</v>
      </c>
      <c r="AL53" s="696" t="n"/>
      <c r="AM53" s="724" t="inlineStr">
        <is>
          <t>Multi-tenant NNN; limited expense detail available; approx figures</t>
        </is>
      </c>
    </row>
    <row r="54" ht="14.1" customHeight="1">
      <c r="A54" s="718" t="inlineStr">
        <is>
          <t>P026</t>
        </is>
      </c>
      <c r="B54" s="695" t="n">
        <v>406</v>
      </c>
      <c r="C54" s="718" t="inlineStr">
        <is>
          <t>R0092667</t>
        </is>
      </c>
      <c r="D54" s="718" t="inlineStr">
        <is>
          <t>4901 Locust St</t>
        </is>
      </c>
      <c r="E54" s="718" t="inlineStr">
        <is>
          <t>Commerce City</t>
        </is>
      </c>
      <c r="F54" s="718" t="inlineStr">
        <is>
          <t>CO</t>
        </is>
      </c>
      <c r="G54" s="718" t="inlineStr">
        <is>
          <t>Industrial</t>
        </is>
      </c>
      <c r="H54" s="718" t="inlineStr">
        <is>
          <t>Industrial Warehouse</t>
        </is>
      </c>
      <c r="I54" s="719" t="n"/>
      <c r="J54" s="719" t="n">
        <v>29512</v>
      </c>
      <c r="K54" s="719" t="n">
        <v>2024</v>
      </c>
      <c r="L54" s="718" t="n"/>
      <c r="M54" s="718" t="n"/>
      <c r="N54" s="720" t="n">
        <v>14.2131</v>
      </c>
      <c r="O54" s="720" t="n">
        <v>0.15</v>
      </c>
      <c r="P54" s="720" t="n">
        <v>0.3553</v>
      </c>
      <c r="Q54" s="718" t="n"/>
      <c r="R54" s="718" t="n"/>
      <c r="S54" s="718" t="n"/>
      <c r="T54" s="718" t="n"/>
      <c r="U54" s="718" t="n"/>
      <c r="V54" s="718" t="n"/>
      <c r="W54" s="718" t="n"/>
      <c r="X54" s="720" t="n">
        <v>0.55</v>
      </c>
      <c r="Y54" s="720" t="n">
        <v>0.55</v>
      </c>
      <c r="Z54" s="718" t="n"/>
      <c r="AA54" s="718" t="n"/>
      <c r="AB54" s="718" t="n"/>
      <c r="AC54" s="718" t="n"/>
      <c r="AD54" s="718" t="n"/>
      <c r="AE54" s="718" t="n"/>
      <c r="AF54" s="720" t="n">
        <v>0.25</v>
      </c>
      <c r="AG54" s="720" t="n">
        <v>0.5</v>
      </c>
      <c r="AH54" s="720" t="n">
        <v>2.0053</v>
      </c>
      <c r="AI54" s="720" t="n">
        <v>3.315</v>
      </c>
      <c r="AJ54" s="720" t="n">
        <v>5.3203</v>
      </c>
      <c r="AK54" s="720" t="n">
        <v>8.892799999999999</v>
      </c>
      <c r="AL54" s="720" t="n">
        <v>0.2</v>
      </c>
      <c r="AM54" s="721" t="inlineStr">
        <is>
          <t>Newmark stabilized proforma 6/30/2024; cap rate 7.00%; not actual historical</t>
        </is>
      </c>
    </row>
    <row r="55" ht="14.1" customHeight="1">
      <c r="A55" s="696" t="inlineStr">
        <is>
          <t>P022</t>
        </is>
      </c>
      <c r="B55" s="695" t="n">
        <v>210</v>
      </c>
      <c r="C55" s="696" t="inlineStr">
        <is>
          <t>R0111559</t>
        </is>
      </c>
      <c r="D55" s="696" t="inlineStr">
        <is>
          <t>3590 N. Himalaya Rd (Bldg 6)</t>
        </is>
      </c>
      <c r="E55" s="696" t="inlineStr">
        <is>
          <t>Aurora</t>
        </is>
      </c>
      <c r="F55" s="696" t="inlineStr">
        <is>
          <t>CO</t>
        </is>
      </c>
      <c r="G55" s="696" t="inlineStr">
        <is>
          <t>Industrial</t>
        </is>
      </c>
      <c r="H55" s="696" t="inlineStr">
        <is>
          <t>Multi-Tenant Industrial/Flex NNN</t>
        </is>
      </c>
      <c r="I55" s="722" t="n">
        <v>1998</v>
      </c>
      <c r="J55" s="722" t="n">
        <v>123603</v>
      </c>
      <c r="K55" s="722" t="n">
        <v>2021</v>
      </c>
      <c r="L55" s="696" t="n"/>
      <c r="M55" s="696" t="n"/>
      <c r="N55" s="696" t="n"/>
      <c r="O55" s="723" t="n">
        <v>0.0839</v>
      </c>
      <c r="P55" s="723" t="n">
        <v>0.351</v>
      </c>
      <c r="Q55" s="696" t="n"/>
      <c r="R55" s="696" t="n"/>
      <c r="S55" s="696" t="n"/>
      <c r="T55" s="696" t="n"/>
      <c r="U55" s="696" t="n"/>
      <c r="V55" s="696" t="n"/>
      <c r="W55" s="696" t="n"/>
      <c r="X55" s="696" t="n"/>
      <c r="Y55" s="696" t="n"/>
      <c r="Z55" s="696" t="n"/>
      <c r="AA55" s="696" t="n"/>
      <c r="AB55" s="696" t="n"/>
      <c r="AC55" s="723" t="n">
        <v>0.717</v>
      </c>
      <c r="AD55" s="696" t="n"/>
      <c r="AE55" s="696" t="n"/>
      <c r="AF55" s="723" t="n">
        <v>0.2998</v>
      </c>
      <c r="AG55" s="696" t="n"/>
      <c r="AH55" s="723" t="n">
        <v>1.4518</v>
      </c>
      <c r="AI55" s="723" t="n">
        <v>2.3392</v>
      </c>
      <c r="AJ55" s="723" t="n">
        <v>3.791</v>
      </c>
      <c r="AK55" s="696" t="n"/>
      <c r="AL55" s="696" t="n"/>
      <c r="AM55" s="724" t="inlineStr">
        <is>
          <t>NNN landlord expenses only; from AXG Whse Expenses PSF.xlsx</t>
        </is>
      </c>
    </row>
    <row r="56" ht="14.1" customHeight="1">
      <c r="A56" s="718" t="inlineStr">
        <is>
          <t>P022</t>
        </is>
      </c>
      <c r="B56" s="695" t="n">
        <v>210</v>
      </c>
      <c r="C56" s="718" t="inlineStr">
        <is>
          <t>R0111559</t>
        </is>
      </c>
      <c r="D56" s="718" t="inlineStr">
        <is>
          <t>3590 N. Himalaya Rd (Bldg 6)</t>
        </is>
      </c>
      <c r="E56" s="718" t="inlineStr">
        <is>
          <t>Aurora</t>
        </is>
      </c>
      <c r="F56" s="718" t="inlineStr">
        <is>
          <t>CO</t>
        </is>
      </c>
      <c r="G56" s="718" t="inlineStr">
        <is>
          <t>Industrial</t>
        </is>
      </c>
      <c r="H56" s="718" t="inlineStr">
        <is>
          <t>Multi-Tenant Industrial/Flex NNN</t>
        </is>
      </c>
      <c r="I56" s="719" t="n">
        <v>1998</v>
      </c>
      <c r="J56" s="719" t="n">
        <v>123603</v>
      </c>
      <c r="K56" s="719" t="n">
        <v>2022</v>
      </c>
      <c r="L56" s="718" t="n"/>
      <c r="M56" s="718" t="n"/>
      <c r="N56" s="718" t="n"/>
      <c r="O56" s="720" t="n">
        <v>0.0893</v>
      </c>
      <c r="P56" s="720" t="n">
        <v>0.3221</v>
      </c>
      <c r="Q56" s="718" t="n"/>
      <c r="R56" s="718" t="n"/>
      <c r="S56" s="718" t="n"/>
      <c r="T56" s="718" t="n"/>
      <c r="U56" s="718" t="n"/>
      <c r="V56" s="718" t="n"/>
      <c r="W56" s="718" t="n"/>
      <c r="X56" s="718" t="n"/>
      <c r="Y56" s="718" t="n"/>
      <c r="Z56" s="718" t="n"/>
      <c r="AA56" s="718" t="n"/>
      <c r="AB56" s="718" t="n"/>
      <c r="AC56" s="720" t="n">
        <v>0.7439</v>
      </c>
      <c r="AD56" s="718" t="n"/>
      <c r="AE56" s="718" t="n"/>
      <c r="AF56" s="720" t="n">
        <v>0.3112</v>
      </c>
      <c r="AG56" s="718" t="n"/>
      <c r="AH56" s="720" t="n">
        <v>1.4664</v>
      </c>
      <c r="AI56" s="720" t="n">
        <v>2.5796</v>
      </c>
      <c r="AJ56" s="720" t="n">
        <v>4.046</v>
      </c>
      <c r="AK56" s="718" t="n"/>
      <c r="AL56" s="718" t="n"/>
      <c r="AM56" s="721" t="inlineStr">
        <is>
          <t>NNN landlord expenses only; from AXG Whse Expenses PSF.xlsx</t>
        </is>
      </c>
    </row>
    <row r="57" ht="14.1" customHeight="1">
      <c r="A57" s="696" t="inlineStr">
        <is>
          <t>P024</t>
        </is>
      </c>
      <c r="B57" s="695" t="n">
        <v>407</v>
      </c>
      <c r="C57" s="696" t="inlineStr">
        <is>
          <t>R0111560</t>
        </is>
      </c>
      <c r="D57" s="696" t="inlineStr">
        <is>
          <t>20320 E. 36th Dr (Bldg 7)</t>
        </is>
      </c>
      <c r="E57" s="696" t="inlineStr">
        <is>
          <t>Aurora</t>
        </is>
      </c>
      <c r="F57" s="696" t="inlineStr">
        <is>
          <t>CO</t>
        </is>
      </c>
      <c r="G57" s="696" t="inlineStr">
        <is>
          <t>Industrial</t>
        </is>
      </c>
      <c r="H57" s="696" t="inlineStr">
        <is>
          <t>Single-Tenant Industrial NNN</t>
        </is>
      </c>
      <c r="I57" s="722" t="n">
        <v>1998</v>
      </c>
      <c r="J57" s="722" t="n">
        <v>199962</v>
      </c>
      <c r="K57" s="722" t="n">
        <v>2019</v>
      </c>
      <c r="L57" s="696" t="n"/>
      <c r="M57" s="696" t="n"/>
      <c r="N57" s="696" t="n"/>
      <c r="O57" s="723" t="n">
        <v>0.0423</v>
      </c>
      <c r="P57" s="723" t="n">
        <v>0.131</v>
      </c>
      <c r="Q57" s="696" t="n"/>
      <c r="R57" s="696" t="n"/>
      <c r="S57" s="696" t="n"/>
      <c r="T57" s="696" t="n"/>
      <c r="U57" s="696" t="n"/>
      <c r="V57" s="696" t="n"/>
      <c r="W57" s="696" t="n"/>
      <c r="X57" s="696" t="n"/>
      <c r="Y57" s="696" t="n"/>
      <c r="Z57" s="696" t="n"/>
      <c r="AA57" s="696" t="n"/>
      <c r="AB57" s="696" t="n"/>
      <c r="AC57" s="723" t="n">
        <v>1.3087</v>
      </c>
      <c r="AD57" s="696" t="n"/>
      <c r="AE57" s="696" t="n"/>
      <c r="AF57" s="696" t="n"/>
      <c r="AG57" s="696" t="n"/>
      <c r="AH57" s="723" t="n">
        <v>1.482</v>
      </c>
      <c r="AI57" s="723" t="n">
        <v>2.4741</v>
      </c>
      <c r="AJ57" s="723" t="n">
        <v>3.9561</v>
      </c>
      <c r="AK57" s="696" t="n"/>
      <c r="AL57" s="696" t="n"/>
      <c r="AM57" s="724" t="inlineStr">
        <is>
          <t>NNN landlord expenses only; from AXG Whse Expenses PSF.xlsx</t>
        </is>
      </c>
    </row>
    <row r="58" ht="14.1" customHeight="1">
      <c r="A58" s="718" t="inlineStr">
        <is>
          <t>P024</t>
        </is>
      </c>
      <c r="B58" s="695" t="n">
        <v>407</v>
      </c>
      <c r="C58" s="718" t="inlineStr">
        <is>
          <t>R0111560</t>
        </is>
      </c>
      <c r="D58" s="718" t="inlineStr">
        <is>
          <t>20320 E. 36th Dr (Bldg 7)</t>
        </is>
      </c>
      <c r="E58" s="718" t="inlineStr">
        <is>
          <t>Aurora</t>
        </is>
      </c>
      <c r="F58" s="718" t="inlineStr">
        <is>
          <t>CO</t>
        </is>
      </c>
      <c r="G58" s="718" t="inlineStr">
        <is>
          <t>Industrial</t>
        </is>
      </c>
      <c r="H58" s="718" t="inlineStr">
        <is>
          <t>Single-Tenant Industrial NNN</t>
        </is>
      </c>
      <c r="I58" s="719" t="n">
        <v>1998</v>
      </c>
      <c r="J58" s="719" t="n">
        <v>199962</v>
      </c>
      <c r="K58" s="719" t="n">
        <v>2020</v>
      </c>
      <c r="L58" s="718" t="n"/>
      <c r="M58" s="718" t="n"/>
      <c r="N58" s="718" t="n"/>
      <c r="O58" s="720" t="n">
        <v>0.0484</v>
      </c>
      <c r="P58" s="720" t="n">
        <v>0.1332</v>
      </c>
      <c r="Q58" s="718" t="n"/>
      <c r="R58" s="718" t="n"/>
      <c r="S58" s="718" t="n"/>
      <c r="T58" s="718" t="n"/>
      <c r="U58" s="718" t="n"/>
      <c r="V58" s="718" t="n"/>
      <c r="W58" s="718" t="n"/>
      <c r="X58" s="718" t="n"/>
      <c r="Y58" s="718" t="n"/>
      <c r="Z58" s="718" t="n"/>
      <c r="AA58" s="718" t="n"/>
      <c r="AB58" s="718" t="n"/>
      <c r="AC58" s="720" t="n">
        <v>0.7242</v>
      </c>
      <c r="AD58" s="718" t="n"/>
      <c r="AE58" s="718" t="n"/>
      <c r="AF58" s="718" t="n"/>
      <c r="AG58" s="718" t="n"/>
      <c r="AH58" s="720" t="n">
        <v>0.9058</v>
      </c>
      <c r="AI58" s="720" t="n">
        <v>2.0784</v>
      </c>
      <c r="AJ58" s="720" t="n">
        <v>2.9841</v>
      </c>
      <c r="AK58" s="718" t="n"/>
      <c r="AL58" s="718" t="n"/>
      <c r="AM58" s="721" t="inlineStr">
        <is>
          <t>NNN landlord expenses only; from AXG Whse Expenses PSF.xlsx</t>
        </is>
      </c>
    </row>
    <row r="59" ht="14.1" customHeight="1">
      <c r="A59" s="696" t="inlineStr">
        <is>
          <t>P025</t>
        </is>
      </c>
      <c r="B59" s="695" t="n">
        <v>210</v>
      </c>
      <c r="C59" s="696" t="inlineStr">
        <is>
          <t>R0191099</t>
        </is>
      </c>
      <c r="D59" s="696" t="inlineStr">
        <is>
          <t>3559 N. Himalaya Rd (Bldg 5)</t>
        </is>
      </c>
      <c r="E59" s="696" t="inlineStr">
        <is>
          <t>Aurora</t>
        </is>
      </c>
      <c r="F59" s="696" t="inlineStr">
        <is>
          <t>CO</t>
        </is>
      </c>
      <c r="G59" s="696" t="inlineStr">
        <is>
          <t>Industrial</t>
        </is>
      </c>
      <c r="H59" s="696" t="inlineStr">
        <is>
          <t>Multi-Tenant Industrial NNN</t>
        </is>
      </c>
      <c r="I59" s="722" t="n">
        <v>2017</v>
      </c>
      <c r="J59" s="722" t="n">
        <v>159047</v>
      </c>
      <c r="K59" s="722" t="n">
        <v>2021</v>
      </c>
      <c r="L59" s="696" t="n"/>
      <c r="M59" s="696" t="n"/>
      <c r="N59" s="696" t="n"/>
      <c r="O59" s="723" t="n">
        <v>0.0956</v>
      </c>
      <c r="P59" s="723" t="n">
        <v>0.3379</v>
      </c>
      <c r="Q59" s="696" t="n"/>
      <c r="R59" s="696" t="n"/>
      <c r="S59" s="696" t="n"/>
      <c r="T59" s="696" t="n"/>
      <c r="U59" s="696" t="n"/>
      <c r="V59" s="696" t="n"/>
      <c r="W59" s="696" t="n"/>
      <c r="X59" s="696" t="n"/>
      <c r="Y59" s="696" t="n"/>
      <c r="Z59" s="696" t="n"/>
      <c r="AA59" s="696" t="n"/>
      <c r="AB59" s="696" t="n"/>
      <c r="AC59" s="723" t="n">
        <v>0.3767</v>
      </c>
      <c r="AD59" s="696" t="n"/>
      <c r="AE59" s="696" t="n"/>
      <c r="AF59" s="723" t="n">
        <v>0.2913</v>
      </c>
      <c r="AG59" s="696" t="n"/>
      <c r="AH59" s="723" t="n">
        <v>1.1015</v>
      </c>
      <c r="AI59" s="723" t="n">
        <v>3.4893</v>
      </c>
      <c r="AJ59" s="723" t="n">
        <v>4.5908</v>
      </c>
      <c r="AK59" s="696" t="n"/>
      <c r="AL59" s="696" t="n"/>
      <c r="AM59" s="724" t="inlineStr">
        <is>
          <t>NNN landlord expenses only; from AXG Whse Expenses PSF.xlsx</t>
        </is>
      </c>
    </row>
    <row r="60" ht="14.1" customHeight="1">
      <c r="A60" s="718" t="inlineStr">
        <is>
          <t>P025</t>
        </is>
      </c>
      <c r="B60" s="695" t="n">
        <v>210</v>
      </c>
      <c r="C60" s="718" t="inlineStr">
        <is>
          <t>R0191099</t>
        </is>
      </c>
      <c r="D60" s="718" t="inlineStr">
        <is>
          <t>3559 N. Himalaya Rd (Bldg 5)</t>
        </is>
      </c>
      <c r="E60" s="718" t="inlineStr">
        <is>
          <t>Aurora</t>
        </is>
      </c>
      <c r="F60" s="718" t="inlineStr">
        <is>
          <t>CO</t>
        </is>
      </c>
      <c r="G60" s="718" t="inlineStr">
        <is>
          <t>Industrial</t>
        </is>
      </c>
      <c r="H60" s="718" t="inlineStr">
        <is>
          <t>Multi-Tenant Industrial NNN</t>
        </is>
      </c>
      <c r="I60" s="719" t="n">
        <v>2017</v>
      </c>
      <c r="J60" s="719" t="n">
        <v>159047</v>
      </c>
      <c r="K60" s="719" t="n">
        <v>2022</v>
      </c>
      <c r="L60" s="718" t="n"/>
      <c r="M60" s="718" t="n"/>
      <c r="N60" s="718" t="n"/>
      <c r="O60" s="720" t="n">
        <v>0.1017</v>
      </c>
      <c r="P60" s="720" t="n">
        <v>0.3102</v>
      </c>
      <c r="Q60" s="718" t="n"/>
      <c r="R60" s="718" t="n"/>
      <c r="S60" s="718" t="n"/>
      <c r="T60" s="718" t="n"/>
      <c r="U60" s="718" t="n"/>
      <c r="V60" s="718" t="n"/>
      <c r="W60" s="718" t="n"/>
      <c r="X60" s="718" t="n"/>
      <c r="Y60" s="718" t="n"/>
      <c r="Z60" s="718" t="n"/>
      <c r="AA60" s="718" t="n"/>
      <c r="AB60" s="718" t="n"/>
      <c r="AC60" s="720" t="n">
        <v>0.3353</v>
      </c>
      <c r="AD60" s="718" t="n"/>
      <c r="AE60" s="718" t="n"/>
      <c r="AF60" s="720" t="n">
        <v>0.3232</v>
      </c>
      <c r="AG60" s="718" t="n"/>
      <c r="AH60" s="720" t="n">
        <v>1.0704</v>
      </c>
      <c r="AI60" s="720" t="n">
        <v>2.9479</v>
      </c>
      <c r="AJ60" s="720" t="n">
        <v>4.0183</v>
      </c>
      <c r="AK60" s="718" t="n"/>
      <c r="AL60" s="718" t="n"/>
      <c r="AM60" s="721" t="inlineStr">
        <is>
          <t>NNN landlord expenses only; from AXG Whse Expenses PSF.xlsx</t>
        </is>
      </c>
    </row>
    <row r="61" ht="14.1" customHeight="1">
      <c r="A61" s="696" t="inlineStr">
        <is>
          <t>P027</t>
        </is>
      </c>
      <c r="B61" s="695" t="n">
        <v>407</v>
      </c>
      <c r="C61" s="696" t="inlineStr">
        <is>
          <t>R0132030</t>
        </is>
      </c>
      <c r="D61" s="696" t="inlineStr">
        <is>
          <t>Majestic Commercenter (R0132030)</t>
        </is>
      </c>
      <c r="E61" s="696" t="inlineStr">
        <is>
          <t>Commerce City</t>
        </is>
      </c>
      <c r="F61" s="696" t="inlineStr">
        <is>
          <t>CO</t>
        </is>
      </c>
      <c r="G61" s="696" t="inlineStr">
        <is>
          <t>Industrial</t>
        </is>
      </c>
      <c r="H61" s="696" t="inlineStr">
        <is>
          <t>Warehouse NNN</t>
        </is>
      </c>
      <c r="I61" s="722" t="n">
        <v>2001</v>
      </c>
      <c r="J61" s="722" t="n">
        <v>200094</v>
      </c>
      <c r="K61" s="722" t="n">
        <v>2021</v>
      </c>
      <c r="L61" s="696" t="n"/>
      <c r="M61" s="696" t="n"/>
      <c r="N61" s="696" t="n"/>
      <c r="O61" s="723" t="n">
        <v>0.07149999999999999</v>
      </c>
      <c r="P61" s="723" t="n">
        <v>0.2651</v>
      </c>
      <c r="Q61" s="696" t="n"/>
      <c r="R61" s="696" t="n"/>
      <c r="S61" s="696" t="n"/>
      <c r="T61" s="696" t="n"/>
      <c r="U61" s="696" t="n"/>
      <c r="V61" s="696" t="n"/>
      <c r="W61" s="696" t="n"/>
      <c r="X61" s="696" t="n"/>
      <c r="Y61" s="696" t="n"/>
      <c r="Z61" s="696" t="n"/>
      <c r="AA61" s="696" t="n"/>
      <c r="AB61" s="696" t="n"/>
      <c r="AC61" s="723" t="n">
        <v>0.49</v>
      </c>
      <c r="AD61" s="696" t="n"/>
      <c r="AE61" s="696" t="n"/>
      <c r="AF61" s="723" t="n">
        <v>0.3539</v>
      </c>
      <c r="AG61" s="696" t="n"/>
      <c r="AH61" s="723" t="n">
        <v>1.1805</v>
      </c>
      <c r="AI61" s="723" t="n">
        <v>2.8519</v>
      </c>
      <c r="AJ61" s="723" t="n">
        <v>4.0324</v>
      </c>
      <c r="AK61" s="696" t="n"/>
      <c r="AL61" s="696" t="n"/>
      <c r="AM61" s="724" t="inlineStr">
        <is>
          <t>NNN landlord expenses only; from AXG Whse Expenses PSF.xlsx (R0132030)</t>
        </is>
      </c>
    </row>
    <row r="62" ht="14.1" customHeight="1">
      <c r="A62" s="718" t="inlineStr">
        <is>
          <t>P027</t>
        </is>
      </c>
      <c r="B62" s="695" t="n">
        <v>407</v>
      </c>
      <c r="C62" s="718" t="inlineStr">
        <is>
          <t>R0132030</t>
        </is>
      </c>
      <c r="D62" s="718" t="inlineStr">
        <is>
          <t>Majestic Commercenter (R0132030)</t>
        </is>
      </c>
      <c r="E62" s="718" t="inlineStr">
        <is>
          <t>Commerce City</t>
        </is>
      </c>
      <c r="F62" s="718" t="inlineStr">
        <is>
          <t>CO</t>
        </is>
      </c>
      <c r="G62" s="718" t="inlineStr">
        <is>
          <t>Industrial</t>
        </is>
      </c>
      <c r="H62" s="718" t="inlineStr">
        <is>
          <t>Warehouse NNN</t>
        </is>
      </c>
      <c r="I62" s="719" t="n">
        <v>2001</v>
      </c>
      <c r="J62" s="719" t="n">
        <v>200094</v>
      </c>
      <c r="K62" s="719" t="n">
        <v>2022</v>
      </c>
      <c r="L62" s="718" t="n"/>
      <c r="M62" s="718" t="n"/>
      <c r="N62" s="718" t="n"/>
      <c r="O62" s="720" t="n">
        <v>0.0761</v>
      </c>
      <c r="P62" s="720" t="n">
        <v>0.2474</v>
      </c>
      <c r="Q62" s="718" t="n"/>
      <c r="R62" s="718" t="n"/>
      <c r="S62" s="718" t="n"/>
      <c r="T62" s="718" t="n"/>
      <c r="U62" s="718" t="n"/>
      <c r="V62" s="718" t="n"/>
      <c r="W62" s="718" t="n"/>
      <c r="X62" s="718" t="n"/>
      <c r="Y62" s="718" t="n"/>
      <c r="Z62" s="718" t="n"/>
      <c r="AA62" s="718" t="n"/>
      <c r="AB62" s="718" t="n"/>
      <c r="AC62" s="720" t="n">
        <v>0.49</v>
      </c>
      <c r="AD62" s="718" t="n"/>
      <c r="AE62" s="718" t="n"/>
      <c r="AF62" s="720" t="n">
        <v>0.3539</v>
      </c>
      <c r="AG62" s="718" t="n"/>
      <c r="AH62" s="720" t="n">
        <v>1.1674</v>
      </c>
      <c r="AI62" s="720" t="n">
        <v>2.2575</v>
      </c>
      <c r="AJ62" s="720" t="n">
        <v>3.4249</v>
      </c>
      <c r="AK62" s="718" t="n"/>
      <c r="AL62" s="718" t="n"/>
      <c r="AM62" s="721" t="inlineStr">
        <is>
          <t>NNN landlord expenses only; from AXG Whse Expenses PSF.xlsx (R0132030)</t>
        </is>
      </c>
    </row>
    <row r="63" ht="14.1" customHeight="1">
      <c r="A63" s="696" t="inlineStr">
        <is>
          <t>P028</t>
        </is>
      </c>
      <c r="B63" s="695" t="n">
        <v>407</v>
      </c>
      <c r="C63" s="696" t="inlineStr">
        <is>
          <t>R0084040</t>
        </is>
      </c>
      <c r="D63" s="696" t="inlineStr">
        <is>
          <t>Majestic Commercenter (R0084040)</t>
        </is>
      </c>
      <c r="E63" s="696" t="inlineStr">
        <is>
          <t>Commerce City</t>
        </is>
      </c>
      <c r="F63" s="696" t="inlineStr">
        <is>
          <t>CO</t>
        </is>
      </c>
      <c r="G63" s="696" t="inlineStr">
        <is>
          <t>Industrial</t>
        </is>
      </c>
      <c r="H63" s="696" t="inlineStr">
        <is>
          <t>Warehouse NNN</t>
        </is>
      </c>
      <c r="I63" s="722" t="n">
        <v>1997</v>
      </c>
      <c r="J63" s="722" t="n">
        <v>177736</v>
      </c>
      <c r="K63" s="722" t="n">
        <v>2021</v>
      </c>
      <c r="L63" s="696" t="n"/>
      <c r="M63" s="696" t="n"/>
      <c r="N63" s="696" t="n"/>
      <c r="O63" s="723" t="n">
        <v>0.0736</v>
      </c>
      <c r="P63" s="723" t="n">
        <v>0.3114</v>
      </c>
      <c r="Q63" s="696" t="n"/>
      <c r="R63" s="696" t="n"/>
      <c r="S63" s="696" t="n"/>
      <c r="T63" s="696" t="n"/>
      <c r="U63" s="696" t="n"/>
      <c r="V63" s="696" t="n"/>
      <c r="W63" s="696" t="n"/>
      <c r="X63" s="696" t="n"/>
      <c r="Y63" s="696" t="n"/>
      <c r="Z63" s="696" t="n"/>
      <c r="AA63" s="696" t="n"/>
      <c r="AB63" s="696" t="n"/>
      <c r="AC63" s="723" t="n">
        <v>0.552</v>
      </c>
      <c r="AD63" s="696" t="n"/>
      <c r="AE63" s="696" t="n"/>
      <c r="AF63" s="723" t="n">
        <v>0.2892</v>
      </c>
      <c r="AG63" s="696" t="n"/>
      <c r="AH63" s="723" t="n">
        <v>1.2262</v>
      </c>
      <c r="AI63" s="723" t="n">
        <v>2.7188</v>
      </c>
      <c r="AJ63" s="723" t="n">
        <v>3.945</v>
      </c>
      <c r="AK63" s="696" t="n"/>
      <c r="AL63" s="696" t="n"/>
      <c r="AM63" s="724" t="inlineStr">
        <is>
          <t>NNN landlord expenses only; from AXG Whse Expenses PSF.xlsx (R0084040)</t>
        </is>
      </c>
    </row>
    <row r="64" ht="14.1" customHeight="1">
      <c r="A64" s="718" t="inlineStr">
        <is>
          <t>P028</t>
        </is>
      </c>
      <c r="B64" s="695" t="n">
        <v>407</v>
      </c>
      <c r="C64" s="718" t="inlineStr">
        <is>
          <t>R0084040</t>
        </is>
      </c>
      <c r="D64" s="718" t="inlineStr">
        <is>
          <t>Majestic Commercenter (R0084040)</t>
        </is>
      </c>
      <c r="E64" s="718" t="inlineStr">
        <is>
          <t>Commerce City</t>
        </is>
      </c>
      <c r="F64" s="718" t="inlineStr">
        <is>
          <t>CO</t>
        </is>
      </c>
      <c r="G64" s="718" t="inlineStr">
        <is>
          <t>Industrial</t>
        </is>
      </c>
      <c r="H64" s="718" t="inlineStr">
        <is>
          <t>Warehouse NNN</t>
        </is>
      </c>
      <c r="I64" s="719" t="n">
        <v>1997</v>
      </c>
      <c r="J64" s="719" t="n">
        <v>177736</v>
      </c>
      <c r="K64" s="719" t="n">
        <v>2022</v>
      </c>
      <c r="L64" s="718" t="n"/>
      <c r="M64" s="718" t="n"/>
      <c r="N64" s="718" t="n"/>
      <c r="O64" s="720" t="n">
        <v>0.07829999999999999</v>
      </c>
      <c r="P64" s="720" t="n">
        <v>0.3114</v>
      </c>
      <c r="Q64" s="718" t="n"/>
      <c r="R64" s="718" t="n"/>
      <c r="S64" s="718" t="n"/>
      <c r="T64" s="718" t="n"/>
      <c r="U64" s="718" t="n"/>
      <c r="V64" s="718" t="n"/>
      <c r="W64" s="718" t="n"/>
      <c r="X64" s="718" t="n"/>
      <c r="Y64" s="718" t="n"/>
      <c r="Z64" s="718" t="n"/>
      <c r="AA64" s="718" t="n"/>
      <c r="AB64" s="718" t="n"/>
      <c r="AC64" s="720" t="n">
        <v>0.6591</v>
      </c>
      <c r="AD64" s="718" t="n"/>
      <c r="AE64" s="718" t="n"/>
      <c r="AF64" s="720" t="n">
        <v>0.3559</v>
      </c>
      <c r="AG64" s="718" t="n"/>
      <c r="AH64" s="720" t="n">
        <v>1.4047</v>
      </c>
      <c r="AI64" s="720" t="n">
        <v>2.8511</v>
      </c>
      <c r="AJ64" s="720" t="n">
        <v>4.2558</v>
      </c>
      <c r="AK64" s="718" t="n"/>
      <c r="AL64" s="718" t="n"/>
      <c r="AM64" s="721" t="inlineStr">
        <is>
          <t>NNN landlord expenses only; from AXG Whse Expenses PSF.xlsx (R0084040)</t>
        </is>
      </c>
    </row>
    <row r="65" ht="14.1" customHeight="1">
      <c r="A65" s="696" t="inlineStr">
        <is>
          <t>P029</t>
        </is>
      </c>
      <c r="B65" s="695" t="n">
        <v>407</v>
      </c>
      <c r="C65" s="696" t="inlineStr">
        <is>
          <t>R0084041</t>
        </is>
      </c>
      <c r="D65" s="696" t="inlineStr">
        <is>
          <t>Majestic Commercenter (R0084041)</t>
        </is>
      </c>
      <c r="E65" s="696" t="inlineStr">
        <is>
          <t>Commerce City</t>
        </is>
      </c>
      <c r="F65" s="696" t="inlineStr">
        <is>
          <t>CO</t>
        </is>
      </c>
      <c r="G65" s="696" t="inlineStr">
        <is>
          <t>Industrial</t>
        </is>
      </c>
      <c r="H65" s="696" t="inlineStr">
        <is>
          <t>Warehouse NNN</t>
        </is>
      </c>
      <c r="I65" s="722" t="n">
        <v>1997</v>
      </c>
      <c r="J65" s="722" t="n">
        <v>200371</v>
      </c>
      <c r="K65" s="722" t="n">
        <v>2021</v>
      </c>
      <c r="L65" s="696" t="n"/>
      <c r="M65" s="696" t="n"/>
      <c r="N65" s="696" t="n"/>
      <c r="O65" s="723" t="n">
        <v>0.06859999999999999</v>
      </c>
      <c r="P65" s="723" t="n">
        <v>0.1605</v>
      </c>
      <c r="Q65" s="696" t="n"/>
      <c r="R65" s="696" t="n"/>
      <c r="S65" s="696" t="n"/>
      <c r="T65" s="696" t="n"/>
      <c r="U65" s="696" t="n"/>
      <c r="V65" s="696" t="n"/>
      <c r="W65" s="696" t="n"/>
      <c r="X65" s="696" t="n"/>
      <c r="Y65" s="696" t="n"/>
      <c r="Z65" s="696" t="n"/>
      <c r="AA65" s="696" t="n"/>
      <c r="AB65" s="696" t="n"/>
      <c r="AC65" s="723" t="n">
        <v>0.5869</v>
      </c>
      <c r="AD65" s="696" t="n"/>
      <c r="AE65" s="696" t="n"/>
      <c r="AF65" s="696" t="n"/>
      <c r="AG65" s="696" t="n"/>
      <c r="AH65" s="723" t="n">
        <v>0.8159999999999999</v>
      </c>
      <c r="AI65" s="723" t="n">
        <v>2.4919</v>
      </c>
      <c r="AJ65" s="723" t="n">
        <v>3.3079</v>
      </c>
      <c r="AK65" s="696" t="n"/>
      <c r="AL65" s="696" t="n"/>
      <c r="AM65" s="724" t="inlineStr">
        <is>
          <t>NNN landlord expenses only; from AXG Whse Expenses PSF.xlsx (R0084041)</t>
        </is>
      </c>
    </row>
    <row r="66" ht="14.1" customHeight="1">
      <c r="A66" s="718" t="inlineStr">
        <is>
          <t>P029</t>
        </is>
      </c>
      <c r="B66" s="695" t="n">
        <v>407</v>
      </c>
      <c r="C66" s="718" t="inlineStr">
        <is>
          <t>R0084041</t>
        </is>
      </c>
      <c r="D66" s="718" t="inlineStr">
        <is>
          <t>Majestic Commercenter (R0084041)</t>
        </is>
      </c>
      <c r="E66" s="718" t="inlineStr">
        <is>
          <t>Commerce City</t>
        </is>
      </c>
      <c r="F66" s="718" t="inlineStr">
        <is>
          <t>CO</t>
        </is>
      </c>
      <c r="G66" s="718" t="inlineStr">
        <is>
          <t>Industrial</t>
        </is>
      </c>
      <c r="H66" s="718" t="inlineStr">
        <is>
          <t>Warehouse NNN</t>
        </is>
      </c>
      <c r="I66" s="719" t="n">
        <v>1997</v>
      </c>
      <c r="J66" s="719" t="n">
        <v>200371</v>
      </c>
      <c r="K66" s="719" t="n">
        <v>2022</v>
      </c>
      <c r="L66" s="718" t="n"/>
      <c r="M66" s="718" t="n"/>
      <c r="N66" s="718" t="n"/>
      <c r="O66" s="720" t="n">
        <v>0.073</v>
      </c>
      <c r="P66" s="720" t="n">
        <v>0.1496</v>
      </c>
      <c r="Q66" s="718" t="n"/>
      <c r="R66" s="718" t="n"/>
      <c r="S66" s="718" t="n"/>
      <c r="T66" s="718" t="n"/>
      <c r="U66" s="718" t="n"/>
      <c r="V66" s="718" t="n"/>
      <c r="W66" s="718" t="n"/>
      <c r="X66" s="718" t="n"/>
      <c r="Y66" s="718" t="n"/>
      <c r="Z66" s="718" t="n"/>
      <c r="AA66" s="718" t="n"/>
      <c r="AB66" s="718" t="n"/>
      <c r="AC66" s="720" t="n">
        <v>0.5187</v>
      </c>
      <c r="AD66" s="718" t="n"/>
      <c r="AE66" s="718" t="n"/>
      <c r="AF66" s="718" t="n"/>
      <c r="AG66" s="718" t="n"/>
      <c r="AH66" s="720" t="n">
        <v>0.7413</v>
      </c>
      <c r="AI66" s="720" t="n">
        <v>2.5893</v>
      </c>
      <c r="AJ66" s="720" t="n">
        <v>3.3306</v>
      </c>
      <c r="AK66" s="718" t="n"/>
      <c r="AL66" s="718" t="n"/>
      <c r="AM66" s="721" t="inlineStr">
        <is>
          <t>NNN landlord expenses only; from AXG Whse Expenses PSF.xlsx (R0084041)</t>
        </is>
      </c>
    </row>
    <row r="67" ht="14.1" customHeight="1">
      <c r="A67" s="696" t="inlineStr">
        <is>
          <t>P030</t>
        </is>
      </c>
      <c r="B67" s="695" t="n">
        <v>584</v>
      </c>
      <c r="C67" s="696" t="inlineStr">
        <is>
          <t>R0217015</t>
        </is>
      </c>
      <c r="D67" s="696" t="inlineStr">
        <is>
          <t>Majestic Commercenter (R0217015)</t>
        </is>
      </c>
      <c r="E67" s="696" t="inlineStr">
        <is>
          <t>Commerce City</t>
        </is>
      </c>
      <c r="F67" s="696" t="inlineStr">
        <is>
          <t>CO</t>
        </is>
      </c>
      <c r="G67" s="696" t="inlineStr">
        <is>
          <t>Industrial</t>
        </is>
      </c>
      <c r="H67" s="696" t="inlineStr">
        <is>
          <t>Warehouse NNN</t>
        </is>
      </c>
      <c r="I67" s="722" t="n">
        <v>2021</v>
      </c>
      <c r="J67" s="722" t="n">
        <v>548510</v>
      </c>
      <c r="K67" s="722" t="n">
        <v>2022</v>
      </c>
      <c r="L67" s="696" t="n"/>
      <c r="M67" s="696" t="n"/>
      <c r="N67" s="696" t="n"/>
      <c r="O67" s="723" t="n">
        <v>0.1167</v>
      </c>
      <c r="P67" s="723" t="n">
        <v>0.1062</v>
      </c>
      <c r="Q67" s="696" t="n"/>
      <c r="R67" s="696" t="n"/>
      <c r="S67" s="696" t="n"/>
      <c r="T67" s="696" t="n"/>
      <c r="U67" s="696" t="n"/>
      <c r="V67" s="696" t="n"/>
      <c r="W67" s="696" t="n"/>
      <c r="X67" s="696" t="n"/>
      <c r="Y67" s="696" t="n"/>
      <c r="Z67" s="696" t="n"/>
      <c r="AA67" s="696" t="n"/>
      <c r="AB67" s="696" t="n"/>
      <c r="AC67" s="723" t="n">
        <v>0.1767</v>
      </c>
      <c r="AD67" s="696" t="n"/>
      <c r="AE67" s="696" t="n"/>
      <c r="AF67" s="723" t="n">
        <v>0.038</v>
      </c>
      <c r="AG67" s="696" t="n"/>
      <c r="AH67" s="723" t="n">
        <v>0.4376</v>
      </c>
      <c r="AI67" s="723" t="n">
        <v>2.271</v>
      </c>
      <c r="AJ67" s="723" t="n">
        <v>2.7087</v>
      </c>
      <c r="AK67" s="696" t="n"/>
      <c r="AL67" s="696" t="n"/>
      <c r="AM67" s="724" t="inlineStr">
        <is>
          <t>NNN landlord expenses only; from AXG Whse Expenses PSF.xlsx (R0217015)</t>
        </is>
      </c>
    </row>
    <row r="68" ht="14.1" customHeight="1">
      <c r="A68" s="718" t="inlineStr">
        <is>
          <t>P031</t>
        </is>
      </c>
      <c r="B68" s="695" t="n">
        <v>407</v>
      </c>
      <c r="C68" s="718" t="inlineStr">
        <is>
          <t>R0111562</t>
        </is>
      </c>
      <c r="D68" s="718" t="inlineStr">
        <is>
          <t>Majestic Commercenter (R0111562)</t>
        </is>
      </c>
      <c r="E68" s="718" t="inlineStr">
        <is>
          <t>Commerce City</t>
        </is>
      </c>
      <c r="F68" s="718" t="inlineStr">
        <is>
          <t>CO</t>
        </is>
      </c>
      <c r="G68" s="718" t="inlineStr">
        <is>
          <t>Industrial</t>
        </is>
      </c>
      <c r="H68" s="718" t="inlineStr">
        <is>
          <t>Warehouse NNN</t>
        </is>
      </c>
      <c r="I68" s="719" t="n">
        <v>2000</v>
      </c>
      <c r="J68" s="719" t="n">
        <v>149175</v>
      </c>
      <c r="K68" s="719" t="n">
        <v>2019</v>
      </c>
      <c r="L68" s="718" t="n"/>
      <c r="M68" s="718" t="n"/>
      <c r="N68" s="718" t="n"/>
      <c r="O68" s="720" t="n">
        <v>0.0437</v>
      </c>
      <c r="P68" s="720" t="n">
        <v>0.1522</v>
      </c>
      <c r="Q68" s="718" t="n"/>
      <c r="R68" s="718" t="n"/>
      <c r="S68" s="718" t="n"/>
      <c r="T68" s="718" t="n"/>
      <c r="U68" s="718" t="n"/>
      <c r="V68" s="718" t="n"/>
      <c r="W68" s="718" t="n"/>
      <c r="X68" s="718" t="n"/>
      <c r="Y68" s="718" t="n"/>
      <c r="Z68" s="718" t="n"/>
      <c r="AA68" s="718" t="n"/>
      <c r="AB68" s="718" t="n"/>
      <c r="AC68" s="720" t="n">
        <v>0.6822</v>
      </c>
      <c r="AD68" s="718" t="n"/>
      <c r="AE68" s="718" t="n"/>
      <c r="AF68" s="718" t="n"/>
      <c r="AG68" s="718" t="n"/>
      <c r="AH68" s="720" t="n">
        <v>0.8781</v>
      </c>
      <c r="AI68" s="720" t="n">
        <v>1.8902</v>
      </c>
      <c r="AJ68" s="720" t="n">
        <v>2.7683</v>
      </c>
      <c r="AK68" s="718" t="n"/>
      <c r="AL68" s="718" t="n"/>
      <c r="AM68" s="721" t="inlineStr">
        <is>
          <t>NNN landlord expenses only; from AXG Whse Expenses PSF.xlsx (R0111562)</t>
        </is>
      </c>
    </row>
    <row r="69" ht="14.1" customHeight="1">
      <c r="A69" s="696" t="inlineStr">
        <is>
          <t>P031</t>
        </is>
      </c>
      <c r="B69" s="695" t="n">
        <v>407</v>
      </c>
      <c r="C69" s="696" t="inlineStr">
        <is>
          <t>R0111562</t>
        </is>
      </c>
      <c r="D69" s="696" t="inlineStr">
        <is>
          <t>Majestic Commercenter (R0111562)</t>
        </is>
      </c>
      <c r="E69" s="696" t="inlineStr">
        <is>
          <t>Commerce City</t>
        </is>
      </c>
      <c r="F69" s="696" t="inlineStr">
        <is>
          <t>CO</t>
        </is>
      </c>
      <c r="G69" s="696" t="inlineStr">
        <is>
          <t>Industrial</t>
        </is>
      </c>
      <c r="H69" s="696" t="inlineStr">
        <is>
          <t>Warehouse NNN</t>
        </is>
      </c>
      <c r="I69" s="722" t="n">
        <v>2000</v>
      </c>
      <c r="J69" s="722" t="n">
        <v>149175</v>
      </c>
      <c r="K69" s="722" t="n">
        <v>2020</v>
      </c>
      <c r="L69" s="696" t="n"/>
      <c r="M69" s="696" t="n"/>
      <c r="N69" s="696" t="n"/>
      <c r="O69" s="723" t="n">
        <v>0.0499</v>
      </c>
      <c r="P69" s="723" t="n">
        <v>0.0264</v>
      </c>
      <c r="Q69" s="696" t="n"/>
      <c r="R69" s="696" t="n"/>
      <c r="S69" s="696" t="n"/>
      <c r="T69" s="696" t="n"/>
      <c r="U69" s="696" t="n"/>
      <c r="V69" s="696" t="n"/>
      <c r="W69" s="696" t="n"/>
      <c r="X69" s="696" t="n"/>
      <c r="Y69" s="696" t="n"/>
      <c r="Z69" s="696" t="n"/>
      <c r="AA69" s="696" t="n"/>
      <c r="AB69" s="696" t="n"/>
      <c r="AC69" s="723" t="n">
        <v>0.1604</v>
      </c>
      <c r="AD69" s="696" t="n"/>
      <c r="AE69" s="696" t="n"/>
      <c r="AF69" s="723" t="n">
        <v>1.107</v>
      </c>
      <c r="AG69" s="696" t="n"/>
      <c r="AH69" s="723" t="n">
        <v>1.3438</v>
      </c>
      <c r="AI69" s="723" t="n">
        <v>1.897</v>
      </c>
      <c r="AJ69" s="723" t="n">
        <v>3.2408</v>
      </c>
      <c r="AK69" s="696" t="n"/>
      <c r="AL69" s="696" t="n"/>
      <c r="AM69" s="724" t="inlineStr">
        <is>
          <t>NNN landlord expenses only; from AXG Whse Expenses PSF.xlsx (R0111562)</t>
        </is>
      </c>
    </row>
    <row r="70" ht="14.1" customHeight="1">
      <c r="A70" s="718" t="inlineStr">
        <is>
          <t>P032</t>
        </is>
      </c>
      <c r="B70" s="695" t="n">
        <v>407</v>
      </c>
      <c r="C70" s="718" t="inlineStr">
        <is>
          <t>R0118875</t>
        </is>
      </c>
      <c r="D70" s="718" t="inlineStr">
        <is>
          <t>Majestic Commercenter (R0118875)</t>
        </is>
      </c>
      <c r="E70" s="718" t="inlineStr">
        <is>
          <t>Commerce City</t>
        </is>
      </c>
      <c r="F70" s="718" t="inlineStr">
        <is>
          <t>CO</t>
        </is>
      </c>
      <c r="G70" s="718" t="inlineStr">
        <is>
          <t>Industrial</t>
        </is>
      </c>
      <c r="H70" s="718" t="inlineStr">
        <is>
          <t>Warehouse NNN</t>
        </is>
      </c>
      <c r="I70" s="719" t="n">
        <v>1999</v>
      </c>
      <c r="J70" s="719" t="n">
        <v>279640</v>
      </c>
      <c r="K70" s="719" t="n">
        <v>2021</v>
      </c>
      <c r="L70" s="718" t="n"/>
      <c r="M70" s="718" t="n"/>
      <c r="N70" s="718" t="n"/>
      <c r="O70" s="720" t="n">
        <v>0.0881</v>
      </c>
      <c r="P70" s="720" t="n">
        <v>0.2248</v>
      </c>
      <c r="Q70" s="718" t="n"/>
      <c r="R70" s="718" t="n"/>
      <c r="S70" s="718" t="n"/>
      <c r="T70" s="718" t="n"/>
      <c r="U70" s="718" t="n"/>
      <c r="V70" s="718" t="n"/>
      <c r="W70" s="718" t="n"/>
      <c r="X70" s="718" t="n"/>
      <c r="Y70" s="718" t="n"/>
      <c r="Z70" s="718" t="n"/>
      <c r="AA70" s="718" t="n"/>
      <c r="AB70" s="718" t="n"/>
      <c r="AC70" s="720" t="n">
        <v>0.3589</v>
      </c>
      <c r="AD70" s="718" t="n"/>
      <c r="AE70" s="718" t="n"/>
      <c r="AF70" s="718" t="n"/>
      <c r="AG70" s="718" t="n"/>
      <c r="AH70" s="720" t="n">
        <v>0.6718</v>
      </c>
      <c r="AI70" s="720" t="n">
        <v>2.2918</v>
      </c>
      <c r="AJ70" s="720" t="n">
        <v>2.9636</v>
      </c>
      <c r="AK70" s="718" t="n"/>
      <c r="AL70" s="718" t="n"/>
      <c r="AM70" s="721" t="inlineStr">
        <is>
          <t>NNN landlord expenses only; from AXG Whse Expenses PSF.xlsx (R0118875)</t>
        </is>
      </c>
    </row>
    <row r="71" ht="14.1" customHeight="1">
      <c r="A71" s="696" t="inlineStr">
        <is>
          <t>P032</t>
        </is>
      </c>
      <c r="B71" s="695" t="n">
        <v>407</v>
      </c>
      <c r="C71" s="696" t="inlineStr">
        <is>
          <t>R0118875</t>
        </is>
      </c>
      <c r="D71" s="696" t="inlineStr">
        <is>
          <t>Majestic Commercenter (R0118875)</t>
        </is>
      </c>
      <c r="E71" s="696" t="inlineStr">
        <is>
          <t>Commerce City</t>
        </is>
      </c>
      <c r="F71" s="696" t="inlineStr">
        <is>
          <t>CO</t>
        </is>
      </c>
      <c r="G71" s="696" t="inlineStr">
        <is>
          <t>Industrial</t>
        </is>
      </c>
      <c r="H71" s="696" t="inlineStr">
        <is>
          <t>Warehouse NNN</t>
        </is>
      </c>
      <c r="I71" s="722" t="n">
        <v>1999</v>
      </c>
      <c r="J71" s="722" t="n">
        <v>279640</v>
      </c>
      <c r="K71" s="722" t="n">
        <v>2022</v>
      </c>
      <c r="L71" s="696" t="n"/>
      <c r="M71" s="696" t="n"/>
      <c r="N71" s="696" t="n"/>
      <c r="O71" s="723" t="n">
        <v>0.09370000000000001</v>
      </c>
      <c r="P71" s="723" t="n">
        <v>0.2268</v>
      </c>
      <c r="Q71" s="696" t="n"/>
      <c r="R71" s="696" t="n"/>
      <c r="S71" s="696" t="n"/>
      <c r="T71" s="696" t="n"/>
      <c r="U71" s="696" t="n"/>
      <c r="V71" s="696" t="n"/>
      <c r="W71" s="696" t="n"/>
      <c r="X71" s="696" t="n"/>
      <c r="Y71" s="696" t="n"/>
      <c r="Z71" s="696" t="n"/>
      <c r="AA71" s="696" t="n"/>
      <c r="AB71" s="696" t="n"/>
      <c r="AC71" s="723" t="n">
        <v>0.06510000000000001</v>
      </c>
      <c r="AD71" s="696" t="n"/>
      <c r="AE71" s="696" t="n"/>
      <c r="AF71" s="696" t="n"/>
      <c r="AG71" s="696" t="n"/>
      <c r="AH71" s="723" t="n">
        <v>0.3856</v>
      </c>
      <c r="AI71" s="723" t="n">
        <v>2.3497</v>
      </c>
      <c r="AJ71" s="723" t="n">
        <v>2.7353</v>
      </c>
      <c r="AK71" s="696" t="n"/>
      <c r="AL71" s="696" t="n"/>
      <c r="AM71" s="724" t="inlineStr">
        <is>
          <t>NNN landlord expenses only; from AXG Whse Expenses PSF.xlsx (R0118875)</t>
        </is>
      </c>
    </row>
    <row r="72" ht="14.1" customHeight="1">
      <c r="A72" s="718" t="inlineStr">
        <is>
          <t>P033</t>
        </is>
      </c>
      <c r="B72" s="695" t="n">
        <v>407</v>
      </c>
      <c r="C72" s="718" t="inlineStr">
        <is>
          <t>R0132031</t>
        </is>
      </c>
      <c r="D72" s="718" t="inlineStr">
        <is>
          <t>Majestic Commercenter (R0132031)</t>
        </is>
      </c>
      <c r="E72" s="718" t="inlineStr">
        <is>
          <t>Commerce City</t>
        </is>
      </c>
      <c r="F72" s="718" t="inlineStr">
        <is>
          <t>CO</t>
        </is>
      </c>
      <c r="G72" s="718" t="inlineStr">
        <is>
          <t>Industrial</t>
        </is>
      </c>
      <c r="H72" s="718" t="inlineStr">
        <is>
          <t>Warehouse NNN</t>
        </is>
      </c>
      <c r="I72" s="719" t="n">
        <v>2002</v>
      </c>
      <c r="J72" s="719" t="n">
        <v>280098</v>
      </c>
      <c r="K72" s="719" t="n">
        <v>2021</v>
      </c>
      <c r="L72" s="718" t="n"/>
      <c r="M72" s="718" t="n"/>
      <c r="N72" s="718" t="n"/>
      <c r="O72" s="720" t="n">
        <v>0.0713</v>
      </c>
      <c r="P72" s="720" t="n">
        <v>0.231</v>
      </c>
      <c r="Q72" s="718" t="n"/>
      <c r="R72" s="718" t="n"/>
      <c r="S72" s="718" t="n"/>
      <c r="T72" s="718" t="n"/>
      <c r="U72" s="718" t="n"/>
      <c r="V72" s="718" t="n"/>
      <c r="W72" s="718" t="n"/>
      <c r="X72" s="718" t="n"/>
      <c r="Y72" s="718" t="n"/>
      <c r="Z72" s="718" t="n"/>
      <c r="AA72" s="718" t="n"/>
      <c r="AB72" s="718" t="n"/>
      <c r="AC72" s="720" t="n">
        <v>0.2633</v>
      </c>
      <c r="AD72" s="718" t="n"/>
      <c r="AE72" s="718" t="n"/>
      <c r="AF72" s="720" t="n">
        <v>0.3067</v>
      </c>
      <c r="AG72" s="718" t="n"/>
      <c r="AH72" s="720" t="n">
        <v>0.8723</v>
      </c>
      <c r="AI72" s="720" t="n">
        <v>2.2816</v>
      </c>
      <c r="AJ72" s="720" t="n">
        <v>3.1539</v>
      </c>
      <c r="AK72" s="718" t="n"/>
      <c r="AL72" s="718" t="n"/>
      <c r="AM72" s="721" t="inlineStr">
        <is>
          <t>NNN landlord expenses only; from AXG Whse Expenses PSF.xlsx (R0132031)</t>
        </is>
      </c>
    </row>
    <row r="73" ht="14.1" customHeight="1">
      <c r="A73" s="696" t="inlineStr">
        <is>
          <t>P033</t>
        </is>
      </c>
      <c r="B73" s="695" t="n">
        <v>407</v>
      </c>
      <c r="C73" s="696" t="inlineStr">
        <is>
          <t>R0132031</t>
        </is>
      </c>
      <c r="D73" s="696" t="inlineStr">
        <is>
          <t>Majestic Commercenter (R0132031)</t>
        </is>
      </c>
      <c r="E73" s="696" t="inlineStr">
        <is>
          <t>Commerce City</t>
        </is>
      </c>
      <c r="F73" s="696" t="inlineStr">
        <is>
          <t>CO</t>
        </is>
      </c>
      <c r="G73" s="696" t="inlineStr">
        <is>
          <t>Industrial</t>
        </is>
      </c>
      <c r="H73" s="696" t="inlineStr">
        <is>
          <t>Warehouse NNN</t>
        </is>
      </c>
      <c r="I73" s="722" t="n">
        <v>2002</v>
      </c>
      <c r="J73" s="722" t="n">
        <v>280098</v>
      </c>
      <c r="K73" s="722" t="n">
        <v>2022</v>
      </c>
      <c r="L73" s="696" t="n"/>
      <c r="M73" s="696" t="n"/>
      <c r="N73" s="696" t="n"/>
      <c r="O73" s="723" t="n">
        <v>0.0759</v>
      </c>
      <c r="P73" s="723" t="n">
        <v>0.2109</v>
      </c>
      <c r="Q73" s="696" t="n"/>
      <c r="R73" s="696" t="n"/>
      <c r="S73" s="696" t="n"/>
      <c r="T73" s="696" t="n"/>
      <c r="U73" s="696" t="n"/>
      <c r="V73" s="696" t="n"/>
      <c r="W73" s="696" t="n"/>
      <c r="X73" s="696" t="n"/>
      <c r="Y73" s="696" t="n"/>
      <c r="Z73" s="696" t="n"/>
      <c r="AA73" s="696" t="n"/>
      <c r="AB73" s="696" t="n"/>
      <c r="AC73" s="723" t="n">
        <v>0.4318</v>
      </c>
      <c r="AD73" s="696" t="n"/>
      <c r="AE73" s="696" t="n"/>
      <c r="AF73" s="723" t="n">
        <v>0.3384</v>
      </c>
      <c r="AG73" s="696" t="n"/>
      <c r="AH73" s="723" t="n">
        <v>1.057</v>
      </c>
      <c r="AI73" s="723" t="n">
        <v>2.3888</v>
      </c>
      <c r="AJ73" s="723" t="n">
        <v>3.4457</v>
      </c>
      <c r="AK73" s="696" t="n"/>
      <c r="AL73" s="696" t="n"/>
      <c r="AM73" s="724" t="inlineStr">
        <is>
          <t>NNN landlord expenses only; from AXG Whse Expenses PSF.xlsx (R0132031)</t>
        </is>
      </c>
    </row>
    <row r="74" ht="14.1" customHeight="1">
      <c r="A74" s="718" t="inlineStr">
        <is>
          <t>P034</t>
        </is>
      </c>
      <c r="B74" s="695" t="n">
        <v>407</v>
      </c>
      <c r="C74" s="718" t="inlineStr">
        <is>
          <t>R0172865</t>
        </is>
      </c>
      <c r="D74" s="718" t="inlineStr">
        <is>
          <t>Majestic Commercenter (R0172865)</t>
        </is>
      </c>
      <c r="E74" s="718" t="inlineStr">
        <is>
          <t>Commerce City</t>
        </is>
      </c>
      <c r="F74" s="718" t="inlineStr">
        <is>
          <t>CO</t>
        </is>
      </c>
      <c r="G74" s="718" t="inlineStr">
        <is>
          <t>Industrial</t>
        </is>
      </c>
      <c r="H74" s="718" t="inlineStr">
        <is>
          <t>Warehouse NNN</t>
        </is>
      </c>
      <c r="I74" s="719" t="n">
        <v>2008</v>
      </c>
      <c r="J74" s="719" t="n">
        <v>215461</v>
      </c>
      <c r="K74" s="719" t="n">
        <v>2021</v>
      </c>
      <c r="L74" s="718" t="n"/>
      <c r="M74" s="718" t="n"/>
      <c r="N74" s="718" t="n"/>
      <c r="O74" s="720" t="n">
        <v>0.0809</v>
      </c>
      <c r="P74" s="720" t="n">
        <v>0.3054</v>
      </c>
      <c r="Q74" s="718" t="n"/>
      <c r="R74" s="718" t="n"/>
      <c r="S74" s="718" t="n"/>
      <c r="T74" s="718" t="n"/>
      <c r="U74" s="718" t="n"/>
      <c r="V74" s="718" t="n"/>
      <c r="W74" s="718" t="n"/>
      <c r="X74" s="718" t="n"/>
      <c r="Y74" s="718" t="n"/>
      <c r="Z74" s="718" t="n"/>
      <c r="AA74" s="718" t="n"/>
      <c r="AB74" s="718" t="n"/>
      <c r="AC74" s="720" t="n">
        <v>0.4686</v>
      </c>
      <c r="AD74" s="718" t="n"/>
      <c r="AE74" s="718" t="n"/>
      <c r="AF74" s="720" t="n">
        <v>0.3395</v>
      </c>
      <c r="AG74" s="718" t="n"/>
      <c r="AH74" s="720" t="n">
        <v>1.1944</v>
      </c>
      <c r="AI74" s="720" t="n">
        <v>2.8499</v>
      </c>
      <c r="AJ74" s="720" t="n">
        <v>4.0443</v>
      </c>
      <c r="AK74" s="718" t="n"/>
      <c r="AL74" s="718" t="n"/>
      <c r="AM74" s="721" t="inlineStr">
        <is>
          <t>NNN landlord expenses only; from AXG Whse Expenses PSF.xlsx (R0172865)</t>
        </is>
      </c>
    </row>
    <row r="75" ht="14.1" customHeight="1">
      <c r="A75" s="696" t="inlineStr">
        <is>
          <t>P034</t>
        </is>
      </c>
      <c r="B75" s="695" t="n">
        <v>407</v>
      </c>
      <c r="C75" s="696" t="inlineStr">
        <is>
          <t>R0172865</t>
        </is>
      </c>
      <c r="D75" s="696" t="inlineStr">
        <is>
          <t>Majestic Commercenter (R0172865)</t>
        </is>
      </c>
      <c r="E75" s="696" t="inlineStr">
        <is>
          <t>Commerce City</t>
        </is>
      </c>
      <c r="F75" s="696" t="inlineStr">
        <is>
          <t>CO</t>
        </is>
      </c>
      <c r="G75" s="696" t="inlineStr">
        <is>
          <t>Industrial</t>
        </is>
      </c>
      <c r="H75" s="696" t="inlineStr">
        <is>
          <t>Warehouse NNN</t>
        </is>
      </c>
      <c r="I75" s="722" t="n">
        <v>2008</v>
      </c>
      <c r="J75" s="722" t="n">
        <v>215461</v>
      </c>
      <c r="K75" s="722" t="n">
        <v>2022</v>
      </c>
      <c r="L75" s="696" t="n"/>
      <c r="M75" s="696" t="n"/>
      <c r="N75" s="696" t="n"/>
      <c r="O75" s="723" t="n">
        <v>0.0852</v>
      </c>
      <c r="P75" s="723" t="n">
        <v>0.2898</v>
      </c>
      <c r="Q75" s="696" t="n"/>
      <c r="R75" s="696" t="n"/>
      <c r="S75" s="696" t="n"/>
      <c r="T75" s="696" t="n"/>
      <c r="U75" s="696" t="n"/>
      <c r="V75" s="696" t="n"/>
      <c r="W75" s="696" t="n"/>
      <c r="X75" s="696" t="n"/>
      <c r="Y75" s="696" t="n"/>
      <c r="Z75" s="696" t="n"/>
      <c r="AA75" s="696" t="n"/>
      <c r="AB75" s="696" t="n"/>
      <c r="AC75" s="723" t="n">
        <v>0.3409</v>
      </c>
      <c r="AD75" s="696" t="n"/>
      <c r="AE75" s="696" t="n"/>
      <c r="AF75" s="723" t="n">
        <v>0.348</v>
      </c>
      <c r="AG75" s="696" t="n"/>
      <c r="AH75" s="723" t="n">
        <v>1.0639</v>
      </c>
      <c r="AI75" s="723" t="n">
        <v>2.7419</v>
      </c>
      <c r="AJ75" s="723" t="n">
        <v>3.8058</v>
      </c>
      <c r="AK75" s="696" t="n"/>
      <c r="AL75" s="696" t="n"/>
      <c r="AM75" s="724" t="inlineStr">
        <is>
          <t>NNN landlord expenses only; from AXG Whse Expenses PSF.xlsx (R0172865)</t>
        </is>
      </c>
    </row>
    <row r="76" ht="14.1" customHeight="1">
      <c r="A76" s="718" t="inlineStr">
        <is>
          <t>P035</t>
        </is>
      </c>
      <c r="B76" s="695" t="n">
        <v>407</v>
      </c>
      <c r="C76" s="718" t="inlineStr">
        <is>
          <t>R0172867</t>
        </is>
      </c>
      <c r="D76" s="718" t="inlineStr">
        <is>
          <t>Majestic Commercenter (R0172867)</t>
        </is>
      </c>
      <c r="E76" s="718" t="inlineStr">
        <is>
          <t>Commerce City</t>
        </is>
      </c>
      <c r="F76" s="718" t="inlineStr">
        <is>
          <t>CO</t>
        </is>
      </c>
      <c r="G76" s="718" t="inlineStr">
        <is>
          <t>Industrial</t>
        </is>
      </c>
      <c r="H76" s="718" t="inlineStr">
        <is>
          <t>Warehouse NNN</t>
        </is>
      </c>
      <c r="I76" s="719" t="n">
        <v>2007</v>
      </c>
      <c r="J76" s="719" t="n">
        <v>215560</v>
      </c>
      <c r="K76" s="719" t="n">
        <v>2021</v>
      </c>
      <c r="L76" s="718" t="n"/>
      <c r="M76" s="718" t="n"/>
      <c r="N76" s="718" t="n"/>
      <c r="O76" s="720" t="n">
        <v>0.0975</v>
      </c>
      <c r="P76" s="720" t="n">
        <v>0.2429</v>
      </c>
      <c r="Q76" s="718" t="n"/>
      <c r="R76" s="718" t="n"/>
      <c r="S76" s="718" t="n"/>
      <c r="T76" s="718" t="n"/>
      <c r="U76" s="718" t="n"/>
      <c r="V76" s="718" t="n"/>
      <c r="W76" s="718" t="n"/>
      <c r="X76" s="718" t="n"/>
      <c r="Y76" s="718" t="n"/>
      <c r="Z76" s="718" t="n"/>
      <c r="AA76" s="718" t="n"/>
      <c r="AB76" s="718" t="n"/>
      <c r="AC76" s="720" t="n">
        <v>0.2979</v>
      </c>
      <c r="AD76" s="718" t="n"/>
      <c r="AE76" s="718" t="n"/>
      <c r="AF76" s="720" t="n">
        <v>0.3114</v>
      </c>
      <c r="AG76" s="718" t="n"/>
      <c r="AH76" s="720" t="n">
        <v>0.9497</v>
      </c>
      <c r="AI76" s="720" t="n">
        <v>2.4921</v>
      </c>
      <c r="AJ76" s="720" t="n">
        <v>3.4419</v>
      </c>
      <c r="AK76" s="718" t="n"/>
      <c r="AL76" s="718" t="n"/>
      <c r="AM76" s="721" t="inlineStr">
        <is>
          <t>NNN landlord expenses only; from AXG Whse Expenses PSF.xlsx (R0172867)</t>
        </is>
      </c>
    </row>
    <row r="77" ht="14.1" customHeight="1">
      <c r="A77" s="696" t="inlineStr">
        <is>
          <t>P035</t>
        </is>
      </c>
      <c r="B77" s="695" t="n">
        <v>407</v>
      </c>
      <c r="C77" s="696" t="inlineStr">
        <is>
          <t>R0172867</t>
        </is>
      </c>
      <c r="D77" s="696" t="inlineStr">
        <is>
          <t>Majestic Commercenter (R0172867)</t>
        </is>
      </c>
      <c r="E77" s="696" t="inlineStr">
        <is>
          <t>Commerce City</t>
        </is>
      </c>
      <c r="F77" s="696" t="inlineStr">
        <is>
          <t>CO</t>
        </is>
      </c>
      <c r="G77" s="696" t="inlineStr">
        <is>
          <t>Industrial</t>
        </is>
      </c>
      <c r="H77" s="696" t="inlineStr">
        <is>
          <t>Warehouse NNN</t>
        </is>
      </c>
      <c r="I77" s="722" t="n">
        <v>2007</v>
      </c>
      <c r="J77" s="722" t="n">
        <v>215560</v>
      </c>
      <c r="K77" s="722" t="n">
        <v>2022</v>
      </c>
      <c r="L77" s="696" t="n"/>
      <c r="M77" s="696" t="n"/>
      <c r="N77" s="696" t="n"/>
      <c r="O77" s="723" t="n">
        <v>0.1037</v>
      </c>
      <c r="P77" s="723" t="n">
        <v>0.2556</v>
      </c>
      <c r="Q77" s="696" t="n"/>
      <c r="R77" s="696" t="n"/>
      <c r="S77" s="696" t="n"/>
      <c r="T77" s="696" t="n"/>
      <c r="U77" s="696" t="n"/>
      <c r="V77" s="696" t="n"/>
      <c r="W77" s="696" t="n"/>
      <c r="X77" s="696" t="n"/>
      <c r="Y77" s="696" t="n"/>
      <c r="Z77" s="696" t="n"/>
      <c r="AA77" s="696" t="n"/>
      <c r="AB77" s="696" t="n"/>
      <c r="AC77" s="723" t="n">
        <v>0.3121</v>
      </c>
      <c r="AD77" s="696" t="n"/>
      <c r="AE77" s="696" t="n"/>
      <c r="AF77" s="723" t="n">
        <v>0.3342</v>
      </c>
      <c r="AG77" s="696" t="n"/>
      <c r="AH77" s="723" t="n">
        <v>1.0056</v>
      </c>
      <c r="AI77" s="723" t="n">
        <v>2.5896</v>
      </c>
      <c r="AJ77" s="723" t="n">
        <v>3.5952</v>
      </c>
      <c r="AK77" s="696" t="n"/>
      <c r="AL77" s="696" t="n"/>
      <c r="AM77" s="724" t="inlineStr">
        <is>
          <t>NNN landlord expenses only; from AXG Whse Expenses PSF.xlsx (R0172867)</t>
        </is>
      </c>
    </row>
    <row r="78" ht="14.1" customHeight="1">
      <c r="A78" s="718" t="inlineStr">
        <is>
          <t>P036</t>
        </is>
      </c>
      <c r="B78" s="695" t="n">
        <v>407</v>
      </c>
      <c r="C78" s="718" t="inlineStr">
        <is>
          <t>R0172868</t>
        </is>
      </c>
      <c r="D78" s="718" t="inlineStr">
        <is>
          <t>Majestic Commercenter (R0172868)</t>
        </is>
      </c>
      <c r="E78" s="718" t="inlineStr">
        <is>
          <t>Commerce City</t>
        </is>
      </c>
      <c r="F78" s="718" t="inlineStr">
        <is>
          <t>CO</t>
        </is>
      </c>
      <c r="G78" s="718" t="inlineStr">
        <is>
          <t>Industrial</t>
        </is>
      </c>
      <c r="H78" s="718" t="inlineStr">
        <is>
          <t>Warehouse NNN</t>
        </is>
      </c>
      <c r="I78" s="719" t="n">
        <v>2007</v>
      </c>
      <c r="J78" s="719" t="n">
        <v>202091</v>
      </c>
      <c r="K78" s="719" t="n">
        <v>2021</v>
      </c>
      <c r="L78" s="718" t="n"/>
      <c r="M78" s="718" t="n"/>
      <c r="N78" s="718" t="n"/>
      <c r="O78" s="720" t="n">
        <v>0.0863</v>
      </c>
      <c r="P78" s="720" t="n">
        <v>0.1541</v>
      </c>
      <c r="Q78" s="718" t="n"/>
      <c r="R78" s="718" t="n"/>
      <c r="S78" s="718" t="n"/>
      <c r="T78" s="718" t="n"/>
      <c r="U78" s="718" t="n"/>
      <c r="V78" s="718" t="n"/>
      <c r="W78" s="718" t="n"/>
      <c r="X78" s="718" t="n"/>
      <c r="Y78" s="718" t="n"/>
      <c r="Z78" s="718" t="n"/>
      <c r="AA78" s="718" t="n"/>
      <c r="AB78" s="718" t="n"/>
      <c r="AC78" s="720" t="n">
        <v>0.4114</v>
      </c>
      <c r="AD78" s="718" t="n"/>
      <c r="AE78" s="718" t="n"/>
      <c r="AF78" s="718" t="n"/>
      <c r="AG78" s="718" t="n"/>
      <c r="AH78" s="720" t="n">
        <v>0.6518</v>
      </c>
      <c r="AI78" s="720" t="n">
        <v>2.4692</v>
      </c>
      <c r="AJ78" s="720" t="n">
        <v>3.121</v>
      </c>
      <c r="AK78" s="718" t="n"/>
      <c r="AL78" s="718" t="n"/>
      <c r="AM78" s="721" t="inlineStr">
        <is>
          <t>NNN landlord expenses only; from AXG Whse Expenses PSF.xlsx (R0172868)</t>
        </is>
      </c>
    </row>
    <row r="79" ht="14.1" customHeight="1">
      <c r="A79" s="696" t="inlineStr">
        <is>
          <t>P036</t>
        </is>
      </c>
      <c r="B79" s="695" t="n">
        <v>407</v>
      </c>
      <c r="C79" s="696" t="inlineStr">
        <is>
          <t>R0172868</t>
        </is>
      </c>
      <c r="D79" s="696" t="inlineStr">
        <is>
          <t>Majestic Commercenter (R0172868)</t>
        </is>
      </c>
      <c r="E79" s="696" t="inlineStr">
        <is>
          <t>Commerce City</t>
        </is>
      </c>
      <c r="F79" s="696" t="inlineStr">
        <is>
          <t>CO</t>
        </is>
      </c>
      <c r="G79" s="696" t="inlineStr">
        <is>
          <t>Industrial</t>
        </is>
      </c>
      <c r="H79" s="696" t="inlineStr">
        <is>
          <t>Warehouse NNN</t>
        </is>
      </c>
      <c r="I79" s="722" t="n">
        <v>2007</v>
      </c>
      <c r="J79" s="722" t="n">
        <v>202091</v>
      </c>
      <c r="K79" s="722" t="n">
        <v>2022</v>
      </c>
      <c r="L79" s="696" t="n"/>
      <c r="M79" s="696" t="n"/>
      <c r="N79" s="696" t="n"/>
      <c r="O79" s="723" t="n">
        <v>0.09180000000000001</v>
      </c>
      <c r="P79" s="723" t="n">
        <v>0.1363</v>
      </c>
      <c r="Q79" s="696" t="n"/>
      <c r="R79" s="696" t="n"/>
      <c r="S79" s="696" t="n"/>
      <c r="T79" s="696" t="n"/>
      <c r="U79" s="696" t="n"/>
      <c r="V79" s="696" t="n"/>
      <c r="W79" s="696" t="n"/>
      <c r="X79" s="696" t="n"/>
      <c r="Y79" s="696" t="n"/>
      <c r="Z79" s="696" t="n"/>
      <c r="AA79" s="696" t="n"/>
      <c r="AB79" s="696" t="n"/>
      <c r="AC79" s="723" t="n">
        <v>0.3275</v>
      </c>
      <c r="AD79" s="696" t="n"/>
      <c r="AE79" s="696" t="n"/>
      <c r="AF79" s="696" t="n"/>
      <c r="AG79" s="696" t="n"/>
      <c r="AH79" s="723" t="n">
        <v>0.5556</v>
      </c>
      <c r="AI79" s="723" t="n">
        <v>2.5219</v>
      </c>
      <c r="AJ79" s="723" t="n">
        <v>3.0775</v>
      </c>
      <c r="AK79" s="696" t="n"/>
      <c r="AL79" s="696" t="n"/>
      <c r="AM79" s="724" t="inlineStr">
        <is>
          <t>NNN landlord expenses only; from AXG Whse Expenses PSF.xlsx (R0172868)</t>
        </is>
      </c>
    </row>
    <row r="80" ht="14.1" customHeight="1">
      <c r="A80" s="718" t="inlineStr">
        <is>
          <t>P037</t>
        </is>
      </c>
      <c r="B80" s="695" t="n">
        <v>407</v>
      </c>
      <c r="C80" s="718" t="inlineStr">
        <is>
          <t>R0145680</t>
        </is>
      </c>
      <c r="D80" s="718" t="inlineStr">
        <is>
          <t>Majestic Commercenter (R0145680)</t>
        </is>
      </c>
      <c r="E80" s="718" t="inlineStr">
        <is>
          <t>Commerce City</t>
        </is>
      </c>
      <c r="F80" s="718" t="inlineStr">
        <is>
          <t>CO</t>
        </is>
      </c>
      <c r="G80" s="718" t="inlineStr">
        <is>
          <t>Industrial</t>
        </is>
      </c>
      <c r="H80" s="718" t="inlineStr">
        <is>
          <t>Warehouse NNN</t>
        </is>
      </c>
      <c r="I80" s="719" t="n">
        <v>2001</v>
      </c>
      <c r="J80" s="719" t="n">
        <v>150027</v>
      </c>
      <c r="K80" s="719" t="n">
        <v>2021</v>
      </c>
      <c r="L80" s="718" t="n"/>
      <c r="M80" s="718" t="n"/>
      <c r="N80" s="718" t="n"/>
      <c r="O80" s="720" t="n">
        <v>0.0779</v>
      </c>
      <c r="P80" s="720" t="n">
        <v>0.2768</v>
      </c>
      <c r="Q80" s="718" t="n"/>
      <c r="R80" s="718" t="n"/>
      <c r="S80" s="718" t="n"/>
      <c r="T80" s="718" t="n"/>
      <c r="U80" s="718" t="n"/>
      <c r="V80" s="718" t="n"/>
      <c r="W80" s="718" t="n"/>
      <c r="X80" s="718" t="n"/>
      <c r="Y80" s="718" t="n"/>
      <c r="Z80" s="718" t="n"/>
      <c r="AA80" s="718" t="n"/>
      <c r="AB80" s="718" t="n"/>
      <c r="AC80" s="720" t="n">
        <v>0.3322</v>
      </c>
      <c r="AD80" s="718" t="n"/>
      <c r="AE80" s="718" t="n"/>
      <c r="AF80" s="718" t="n"/>
      <c r="AG80" s="718" t="n"/>
      <c r="AH80" s="720" t="n">
        <v>0.6868</v>
      </c>
      <c r="AI80" s="720" t="n">
        <v>2.8525</v>
      </c>
      <c r="AJ80" s="720" t="n">
        <v>3.5393</v>
      </c>
      <c r="AK80" s="718" t="n"/>
      <c r="AL80" s="718" t="n"/>
      <c r="AM80" s="721" t="inlineStr">
        <is>
          <t>NNN landlord expenses only; from AXG Whse Expenses PSF.xlsx (R0145680)</t>
        </is>
      </c>
    </row>
    <row r="81" ht="14.1" customHeight="1">
      <c r="A81" s="696" t="inlineStr">
        <is>
          <t>P037</t>
        </is>
      </c>
      <c r="B81" s="695" t="n">
        <v>407</v>
      </c>
      <c r="C81" s="696" t="inlineStr">
        <is>
          <t>R0145680</t>
        </is>
      </c>
      <c r="D81" s="696" t="inlineStr">
        <is>
          <t>Majestic Commercenter (R0145680)</t>
        </is>
      </c>
      <c r="E81" s="696" t="inlineStr">
        <is>
          <t>Commerce City</t>
        </is>
      </c>
      <c r="F81" s="696" t="inlineStr">
        <is>
          <t>CO</t>
        </is>
      </c>
      <c r="G81" s="696" t="inlineStr">
        <is>
          <t>Industrial</t>
        </is>
      </c>
      <c r="H81" s="696" t="inlineStr">
        <is>
          <t>Warehouse NNN</t>
        </is>
      </c>
      <c r="I81" s="722" t="n">
        <v>2001</v>
      </c>
      <c r="J81" s="722" t="n">
        <v>150027</v>
      </c>
      <c r="K81" s="722" t="n">
        <v>2022</v>
      </c>
      <c r="L81" s="696" t="n"/>
      <c r="M81" s="696" t="n"/>
      <c r="N81" s="696" t="n"/>
      <c r="O81" s="723" t="n">
        <v>0.0828</v>
      </c>
      <c r="P81" s="723" t="n">
        <v>0.2294</v>
      </c>
      <c r="Q81" s="696" t="n"/>
      <c r="R81" s="696" t="n"/>
      <c r="S81" s="696" t="n"/>
      <c r="T81" s="696" t="n"/>
      <c r="U81" s="696" t="n"/>
      <c r="V81" s="696" t="n"/>
      <c r="W81" s="696" t="n"/>
      <c r="X81" s="696" t="n"/>
      <c r="Y81" s="696" t="n"/>
      <c r="Z81" s="696" t="n"/>
      <c r="AA81" s="696" t="n"/>
      <c r="AB81" s="696" t="n"/>
      <c r="AC81" s="723" t="n">
        <v>0.3617</v>
      </c>
      <c r="AD81" s="696" t="n"/>
      <c r="AE81" s="696" t="n"/>
      <c r="AF81" s="696" t="n"/>
      <c r="AG81" s="696" t="n"/>
      <c r="AH81" s="723" t="n">
        <v>0.6739000000000001</v>
      </c>
      <c r="AI81" s="723" t="n">
        <v>2.7388</v>
      </c>
      <c r="AJ81" s="723" t="n">
        <v>3.4127</v>
      </c>
      <c r="AK81" s="696" t="n"/>
      <c r="AL81" s="696" t="n"/>
      <c r="AM81" s="724" t="inlineStr">
        <is>
          <t>NNN landlord expenses only; from AXG Whse Expenses PSF.xlsx (R0145680)</t>
        </is>
      </c>
    </row>
    <row r="82" ht="14.1" customHeight="1">
      <c r="A82" s="718" t="inlineStr">
        <is>
          <t>P038</t>
        </is>
      </c>
      <c r="B82" s="695" t="n">
        <v>584</v>
      </c>
      <c r="C82" s="718" t="inlineStr">
        <is>
          <t>R0181787</t>
        </is>
      </c>
      <c r="D82" s="718" t="inlineStr">
        <is>
          <t>Majestic Commercenter (R0181787)</t>
        </is>
      </c>
      <c r="E82" s="718" t="inlineStr">
        <is>
          <t>Commerce City</t>
        </is>
      </c>
      <c r="F82" s="718" t="inlineStr">
        <is>
          <t>CO</t>
        </is>
      </c>
      <c r="G82" s="718" t="inlineStr">
        <is>
          <t>Industrial</t>
        </is>
      </c>
      <c r="H82" s="718" t="inlineStr">
        <is>
          <t>Warehouse NNN</t>
        </is>
      </c>
      <c r="I82" s="719" t="n">
        <v>2013</v>
      </c>
      <c r="J82" s="719" t="n">
        <v>500358</v>
      </c>
      <c r="K82" s="719" t="n">
        <v>2021</v>
      </c>
      <c r="L82" s="718" t="n"/>
      <c r="M82" s="718" t="n"/>
      <c r="N82" s="718" t="n"/>
      <c r="O82" s="720" t="n">
        <v>0.0743</v>
      </c>
      <c r="P82" s="720" t="n">
        <v>0.2354</v>
      </c>
      <c r="Q82" s="718" t="n"/>
      <c r="R82" s="718" t="n"/>
      <c r="S82" s="718" t="n"/>
      <c r="T82" s="718" t="n"/>
      <c r="U82" s="718" t="n"/>
      <c r="V82" s="718" t="n"/>
      <c r="W82" s="718" t="n"/>
      <c r="X82" s="718" t="n"/>
      <c r="Y82" s="718" t="n"/>
      <c r="Z82" s="718" t="n"/>
      <c r="AA82" s="718" t="n"/>
      <c r="AB82" s="718" t="n"/>
      <c r="AC82" s="720" t="n">
        <v>0.3128</v>
      </c>
      <c r="AD82" s="718" t="n"/>
      <c r="AE82" s="718" t="n"/>
      <c r="AF82" s="720" t="n">
        <v>0.2341</v>
      </c>
      <c r="AG82" s="718" t="n"/>
      <c r="AH82" s="720" t="n">
        <v>0.8566</v>
      </c>
      <c r="AI82" s="720" t="n">
        <v>2.2838</v>
      </c>
      <c r="AJ82" s="720" t="n">
        <v>3.1403</v>
      </c>
      <c r="AK82" s="718" t="n"/>
      <c r="AL82" s="718" t="n"/>
      <c r="AM82" s="721" t="inlineStr">
        <is>
          <t>NNN landlord expenses only; from AXG Whse Expenses PSF.xlsx (R0181787)</t>
        </is>
      </c>
    </row>
    <row r="83" ht="14.1" customHeight="1">
      <c r="A83" s="696" t="inlineStr">
        <is>
          <t>P038</t>
        </is>
      </c>
      <c r="B83" s="695" t="n">
        <v>584</v>
      </c>
      <c r="C83" s="696" t="inlineStr">
        <is>
          <t>R0181787</t>
        </is>
      </c>
      <c r="D83" s="696" t="inlineStr">
        <is>
          <t>Majestic Commercenter (R0181787)</t>
        </is>
      </c>
      <c r="E83" s="696" t="inlineStr">
        <is>
          <t>Commerce City</t>
        </is>
      </c>
      <c r="F83" s="696" t="inlineStr">
        <is>
          <t>CO</t>
        </is>
      </c>
      <c r="G83" s="696" t="inlineStr">
        <is>
          <t>Industrial</t>
        </is>
      </c>
      <c r="H83" s="696" t="inlineStr">
        <is>
          <t>Warehouse NNN</t>
        </is>
      </c>
      <c r="I83" s="722" t="n">
        <v>2013</v>
      </c>
      <c r="J83" s="722" t="n">
        <v>500358</v>
      </c>
      <c r="K83" s="722" t="n">
        <v>2022</v>
      </c>
      <c r="L83" s="696" t="n"/>
      <c r="M83" s="696" t="n"/>
      <c r="N83" s="696" t="n"/>
      <c r="O83" s="723" t="n">
        <v>0.079</v>
      </c>
      <c r="P83" s="723" t="n">
        <v>0.2014</v>
      </c>
      <c r="Q83" s="696" t="n"/>
      <c r="R83" s="696" t="n"/>
      <c r="S83" s="696" t="n"/>
      <c r="T83" s="696" t="n"/>
      <c r="U83" s="696" t="n"/>
      <c r="V83" s="696" t="n"/>
      <c r="W83" s="696" t="n"/>
      <c r="X83" s="696" t="n"/>
      <c r="Y83" s="696" t="n"/>
      <c r="Z83" s="696" t="n"/>
      <c r="AA83" s="696" t="n"/>
      <c r="AB83" s="696" t="n"/>
      <c r="AC83" s="723" t="n">
        <v>0.2328</v>
      </c>
      <c r="AD83" s="696" t="n"/>
      <c r="AE83" s="696" t="n"/>
      <c r="AF83" s="723" t="n">
        <v>0.2263</v>
      </c>
      <c r="AG83" s="696" t="n"/>
      <c r="AH83" s="723" t="n">
        <v>0.7396</v>
      </c>
      <c r="AI83" s="723" t="n">
        <v>2.5398</v>
      </c>
      <c r="AJ83" s="723" t="n">
        <v>3.2794</v>
      </c>
      <c r="AK83" s="696" t="n"/>
      <c r="AL83" s="696" t="n"/>
      <c r="AM83" s="724" t="inlineStr">
        <is>
          <t>NNN landlord expenses only; from AXG Whse Expenses PSF.xlsx (R0181787)</t>
        </is>
      </c>
    </row>
    <row r="84" ht="14.1" customHeight="1">
      <c r="A84" s="718" t="inlineStr">
        <is>
          <t>P039</t>
        </is>
      </c>
      <c r="B84" s="695" t="n">
        <v>584</v>
      </c>
      <c r="C84" s="718" t="inlineStr">
        <is>
          <t>R0191101</t>
        </is>
      </c>
      <c r="D84" s="718" t="inlineStr">
        <is>
          <t>Majestic Commercenter (R0191101)</t>
        </is>
      </c>
      <c r="E84" s="718" t="inlineStr">
        <is>
          <t>Commerce City</t>
        </is>
      </c>
      <c r="F84" s="718" t="inlineStr">
        <is>
          <t>CO</t>
        </is>
      </c>
      <c r="G84" s="718" t="inlineStr">
        <is>
          <t>Industrial</t>
        </is>
      </c>
      <c r="H84" s="718" t="inlineStr">
        <is>
          <t>Warehouse NNN</t>
        </is>
      </c>
      <c r="I84" s="719" t="n">
        <v>2017</v>
      </c>
      <c r="J84" s="719" t="n">
        <v>522120</v>
      </c>
      <c r="K84" s="719" t="n">
        <v>2021</v>
      </c>
      <c r="L84" s="718" t="n"/>
      <c r="M84" s="718" t="n"/>
      <c r="N84" s="718" t="n"/>
      <c r="O84" s="720" t="n">
        <v>0.0822</v>
      </c>
      <c r="P84" s="720" t="n">
        <v>0.2582</v>
      </c>
      <c r="Q84" s="718" t="n"/>
      <c r="R84" s="718" t="n"/>
      <c r="S84" s="718" t="n"/>
      <c r="T84" s="718" t="n"/>
      <c r="U84" s="718" t="n"/>
      <c r="V84" s="718" t="n"/>
      <c r="W84" s="718" t="n"/>
      <c r="X84" s="718" t="n"/>
      <c r="Y84" s="718" t="n"/>
      <c r="Z84" s="718" t="n"/>
      <c r="AA84" s="718" t="n"/>
      <c r="AB84" s="718" t="n"/>
      <c r="AC84" s="720" t="n">
        <v>0.2825</v>
      </c>
      <c r="AD84" s="718" t="n"/>
      <c r="AE84" s="718" t="n"/>
      <c r="AF84" s="720" t="n">
        <v>0.1793</v>
      </c>
      <c r="AG84" s="718" t="n"/>
      <c r="AH84" s="720" t="n">
        <v>0.8022</v>
      </c>
      <c r="AI84" s="720" t="n">
        <v>2.1785</v>
      </c>
      <c r="AJ84" s="720" t="n">
        <v>2.9807</v>
      </c>
      <c r="AK84" s="718" t="n"/>
      <c r="AL84" s="718" t="n"/>
      <c r="AM84" s="721" t="inlineStr">
        <is>
          <t>NNN landlord expenses only; from AXG Whse Expenses PSF.xlsx (R0191101)</t>
        </is>
      </c>
    </row>
    <row r="85" ht="14.1" customHeight="1">
      <c r="A85" s="696" t="inlineStr">
        <is>
          <t>P039</t>
        </is>
      </c>
      <c r="B85" s="695" t="n">
        <v>584</v>
      </c>
      <c r="C85" s="696" t="inlineStr">
        <is>
          <t>R0191101</t>
        </is>
      </c>
      <c r="D85" s="696" t="inlineStr">
        <is>
          <t>Majestic Commercenter (R0191101)</t>
        </is>
      </c>
      <c r="E85" s="696" t="inlineStr">
        <is>
          <t>Commerce City</t>
        </is>
      </c>
      <c r="F85" s="696" t="inlineStr">
        <is>
          <t>CO</t>
        </is>
      </c>
      <c r="G85" s="696" t="inlineStr">
        <is>
          <t>Industrial</t>
        </is>
      </c>
      <c r="H85" s="696" t="inlineStr">
        <is>
          <t>Warehouse NNN</t>
        </is>
      </c>
      <c r="I85" s="722" t="n">
        <v>2017</v>
      </c>
      <c r="J85" s="722" t="n">
        <v>522120</v>
      </c>
      <c r="K85" s="722" t="n">
        <v>2022</v>
      </c>
      <c r="L85" s="696" t="n"/>
      <c r="M85" s="696" t="n"/>
      <c r="N85" s="696" t="n"/>
      <c r="O85" s="723" t="n">
        <v>0.08740000000000001</v>
      </c>
      <c r="P85" s="723" t="n">
        <v>0.2219</v>
      </c>
      <c r="Q85" s="696" t="n"/>
      <c r="R85" s="696" t="n"/>
      <c r="S85" s="696" t="n"/>
      <c r="T85" s="696" t="n"/>
      <c r="U85" s="696" t="n"/>
      <c r="V85" s="696" t="n"/>
      <c r="W85" s="696" t="n"/>
      <c r="X85" s="696" t="n"/>
      <c r="Y85" s="696" t="n"/>
      <c r="Z85" s="696" t="n"/>
      <c r="AA85" s="696" t="n"/>
      <c r="AB85" s="696" t="n"/>
      <c r="AC85" s="723" t="n">
        <v>0.1719</v>
      </c>
      <c r="AD85" s="696" t="n"/>
      <c r="AE85" s="696" t="n"/>
      <c r="AF85" s="723" t="n">
        <v>0.1738</v>
      </c>
      <c r="AG85" s="696" t="n"/>
      <c r="AH85" s="723" t="n">
        <v>0.655</v>
      </c>
      <c r="AI85" s="723" t="n">
        <v>2.2402</v>
      </c>
      <c r="AJ85" s="723" t="n">
        <v>2.8952</v>
      </c>
      <c r="AK85" s="696" t="n"/>
      <c r="AL85" s="696" t="n"/>
      <c r="AM85" s="724" t="inlineStr">
        <is>
          <t>NNN landlord expenses only; from AXG Whse Expenses PSF.xlsx (R0191101)</t>
        </is>
      </c>
    </row>
    <row r="86" ht="14.1" customHeight="1">
      <c r="A86" s="718" t="inlineStr">
        <is>
          <t>P040</t>
        </is>
      </c>
      <c r="B86" s="695" t="n">
        <v>407</v>
      </c>
      <c r="C86" s="718" t="inlineStr">
        <is>
          <t>R0202874</t>
        </is>
      </c>
      <c r="D86" s="718" t="inlineStr">
        <is>
          <t>900 E 128th Ave</t>
        </is>
      </c>
      <c r="E86" s="718" t="inlineStr">
        <is>
          <t>Henderson</t>
        </is>
      </c>
      <c r="F86" s="718" t="inlineStr">
        <is>
          <t>CO</t>
        </is>
      </c>
      <c r="G86" s="718" t="inlineStr">
        <is>
          <t>Industrial</t>
        </is>
      </c>
      <c r="H86" s="718" t="inlineStr">
        <is>
          <t>Last-Mile Distribution NNN</t>
        </is>
      </c>
      <c r="I86" s="719" t="n"/>
      <c r="J86" s="719" t="n"/>
      <c r="K86" s="719" t="n">
        <v>2021</v>
      </c>
      <c r="L86" s="730" t="n">
        <v>2633716</v>
      </c>
      <c r="M86" s="718" t="n"/>
      <c r="N86" s="730" t="n">
        <v>3256403</v>
      </c>
      <c r="O86" s="730" t="n">
        <v>56624</v>
      </c>
      <c r="P86" s="718" t="n"/>
      <c r="Q86" s="730" t="n">
        <v>300</v>
      </c>
      <c r="R86" s="718" t="n"/>
      <c r="S86" s="718" t="n"/>
      <c r="T86" s="718" t="n"/>
      <c r="U86" s="718" t="n"/>
      <c r="V86" s="718" t="n"/>
      <c r="W86" s="718" t="n"/>
      <c r="X86" s="730" t="n">
        <v>29535</v>
      </c>
      <c r="Y86" s="730" t="n">
        <v>30138</v>
      </c>
      <c r="Z86" s="718" t="n"/>
      <c r="AA86" s="730" t="n">
        <v>54136</v>
      </c>
      <c r="AB86" s="730" t="n">
        <v>127274</v>
      </c>
      <c r="AC86" s="718" t="n"/>
      <c r="AD86" s="718" t="n"/>
      <c r="AE86" s="718" t="n"/>
      <c r="AF86" s="730" t="n">
        <v>18748</v>
      </c>
      <c r="AG86" s="718" t="n"/>
      <c r="AH86" s="730" t="n">
        <v>731951</v>
      </c>
      <c r="AI86" s="718" t="n"/>
      <c r="AJ86" s="718" t="n"/>
      <c r="AK86" s="730" t="n">
        <v>2524452</v>
      </c>
      <c r="AL86" s="718" t="n"/>
      <c r="AM86" s="721" t="inlineStr">
        <is>
          <t>[NO SF] Amazon AMZL Site 51812; SF not extracted; RE Tax not broken out in 2021</t>
        </is>
      </c>
    </row>
    <row r="87" ht="14.1" customHeight="1">
      <c r="A87" s="696" t="inlineStr">
        <is>
          <t>P040</t>
        </is>
      </c>
      <c r="B87" s="695" t="n">
        <v>407</v>
      </c>
      <c r="C87" s="696" t="inlineStr">
        <is>
          <t>R0202874</t>
        </is>
      </c>
      <c r="D87" s="696" t="inlineStr">
        <is>
          <t>900 E 128th Ave</t>
        </is>
      </c>
      <c r="E87" s="696" t="inlineStr">
        <is>
          <t>Henderson</t>
        </is>
      </c>
      <c r="F87" s="696" t="inlineStr">
        <is>
          <t>CO</t>
        </is>
      </c>
      <c r="G87" s="696" t="inlineStr">
        <is>
          <t>Industrial</t>
        </is>
      </c>
      <c r="H87" s="696" t="inlineStr">
        <is>
          <t>Last-Mile Distribution NNN</t>
        </is>
      </c>
      <c r="I87" s="722" t="n"/>
      <c r="J87" s="722" t="n"/>
      <c r="K87" s="722" t="n">
        <v>2022</v>
      </c>
      <c r="L87" s="696" t="n"/>
      <c r="M87" s="696" t="n"/>
      <c r="N87" s="696" t="n"/>
      <c r="O87" s="696" t="n"/>
      <c r="P87" s="731" t="n">
        <v>69999</v>
      </c>
      <c r="Q87" s="696" t="n"/>
      <c r="R87" s="696" t="n"/>
      <c r="S87" s="696" t="n"/>
      <c r="T87" s="696" t="n"/>
      <c r="U87" s="696" t="n"/>
      <c r="V87" s="696" t="n"/>
      <c r="W87" s="696" t="n"/>
      <c r="X87" s="696" t="n"/>
      <c r="Y87" s="696" t="n"/>
      <c r="Z87" s="696" t="n"/>
      <c r="AA87" s="696" t="n"/>
      <c r="AB87" s="696" t="n"/>
      <c r="AC87" s="696" t="n"/>
      <c r="AD87" s="696" t="n"/>
      <c r="AE87" s="696" t="n"/>
      <c r="AF87" s="696" t="n"/>
      <c r="AG87" s="696" t="n"/>
      <c r="AH87" s="696" t="n"/>
      <c r="AI87" s="731" t="n">
        <v>1080500</v>
      </c>
      <c r="AJ87" s="731" t="n">
        <v>1527913</v>
      </c>
      <c r="AK87" s="731" t="n">
        <v>2475461</v>
      </c>
      <c r="AL87" s="696" t="n"/>
      <c r="AM87" s="724" t="inlineStr">
        <is>
          <t>[NO SF] Amazon AMZL Site 51812; 2022 dominated by RE Tax $1.08M; asset mgmt fee $70k</t>
        </is>
      </c>
    </row>
    <row r="88" ht="14.1" customHeight="1">
      <c r="A88" s="732" t="inlineStr">
        <is>
          <t>P041</t>
        </is>
      </c>
      <c r="B88" s="695" t="n">
        <v>386</v>
      </c>
      <c r="C88" s="732" t="inlineStr">
        <is>
          <t>R0189384</t>
        </is>
      </c>
      <c r="D88" s="732" t="inlineStr">
        <is>
          <t>1101 Colorado Blvd</t>
        </is>
      </c>
      <c r="E88" s="732" t="inlineStr">
        <is>
          <t>Thornton</t>
        </is>
      </c>
      <c r="F88" s="732" t="inlineStr">
        <is>
          <t>CO</t>
        </is>
      </c>
      <c r="G88" s="732" t="inlineStr">
        <is>
          <t>Self-Storage</t>
        </is>
      </c>
      <c r="H88" s="732" t="inlineStr">
        <is>
          <t>Climate-Controlled</t>
        </is>
      </c>
      <c r="I88" s="733" t="n"/>
      <c r="J88" s="733" t="n">
        <v>65766</v>
      </c>
      <c r="K88" s="733" t="n">
        <v>2021</v>
      </c>
      <c r="L88" s="732" t="n"/>
      <c r="M88" s="732" t="n"/>
      <c r="N88" s="734" t="n">
        <v>13.3807</v>
      </c>
      <c r="O88" s="732" t="n"/>
      <c r="P88" s="732" t="n"/>
      <c r="Q88" s="732" t="n"/>
      <c r="R88" s="732" t="n"/>
      <c r="S88" s="732" t="n"/>
      <c r="T88" s="732" t="n"/>
      <c r="U88" s="732" t="n"/>
      <c r="V88" s="732" t="n"/>
      <c r="W88" s="732" t="n"/>
      <c r="X88" s="732" t="n"/>
      <c r="Y88" s="732" t="n"/>
      <c r="Z88" s="732" t="n"/>
      <c r="AA88" s="732" t="n"/>
      <c r="AB88" s="732" t="n"/>
      <c r="AC88" s="732" t="n"/>
      <c r="AD88" s="732" t="n"/>
      <c r="AE88" s="732" t="n"/>
      <c r="AF88" s="732" t="n"/>
      <c r="AG88" s="732" t="n"/>
      <c r="AH88" s="732" t="n"/>
      <c r="AI88" s="732" t="n"/>
      <c r="AJ88" s="734" t="n">
        <v>6.3574</v>
      </c>
      <c r="AK88" s="734" t="n">
        <v>7.0233</v>
      </c>
      <c r="AL88" s="732" t="n"/>
      <c r="AM88" s="735" t="inlineStr">
        <is>
          <t>Actual SS P&amp;L; mgmt=off-site+on-site combined; admin+adv in Other</t>
        </is>
      </c>
    </row>
    <row r="89" ht="14.1" customHeight="1">
      <c r="A89" s="732" t="inlineStr">
        <is>
          <t>P041</t>
        </is>
      </c>
      <c r="B89" s="695" t="n">
        <v>386</v>
      </c>
      <c r="C89" s="732" t="inlineStr">
        <is>
          <t>R0189384</t>
        </is>
      </c>
      <c r="D89" s="732" t="inlineStr">
        <is>
          <t>1101 Colorado Blvd</t>
        </is>
      </c>
      <c r="E89" s="732" t="inlineStr">
        <is>
          <t>Thornton</t>
        </is>
      </c>
      <c r="F89" s="732" t="inlineStr">
        <is>
          <t>CO</t>
        </is>
      </c>
      <c r="G89" s="732" t="inlineStr">
        <is>
          <t>Self-Storage</t>
        </is>
      </c>
      <c r="H89" s="732" t="inlineStr">
        <is>
          <t>Climate-Controlled</t>
        </is>
      </c>
      <c r="I89" s="733" t="n"/>
      <c r="J89" s="733" t="n">
        <v>65766</v>
      </c>
      <c r="K89" s="733" t="n">
        <v>2022</v>
      </c>
      <c r="L89" s="732" t="n"/>
      <c r="M89" s="732" t="n"/>
      <c r="N89" s="734" t="n">
        <v>14.0623</v>
      </c>
      <c r="O89" s="732" t="n"/>
      <c r="P89" s="732" t="n"/>
      <c r="Q89" s="732" t="n"/>
      <c r="R89" s="732" t="n"/>
      <c r="S89" s="732" t="n"/>
      <c r="T89" s="732" t="n"/>
      <c r="U89" s="732" t="n"/>
      <c r="V89" s="732" t="n"/>
      <c r="W89" s="732" t="n"/>
      <c r="X89" s="732" t="n"/>
      <c r="Y89" s="732" t="n"/>
      <c r="Z89" s="732" t="n"/>
      <c r="AA89" s="732" t="n"/>
      <c r="AB89" s="732" t="n"/>
      <c r="AC89" s="732" t="n"/>
      <c r="AD89" s="732" t="n"/>
      <c r="AE89" s="732" t="n"/>
      <c r="AF89" s="732" t="n"/>
      <c r="AG89" s="732" t="n"/>
      <c r="AH89" s="732" t="n"/>
      <c r="AI89" s="732" t="n"/>
      <c r="AJ89" s="734" t="n">
        <v>6.9302</v>
      </c>
      <c r="AK89" s="734" t="n">
        <v>7.1322</v>
      </c>
      <c r="AL89" s="732" t="n"/>
      <c r="AM89" s="735" t="inlineStr">
        <is>
          <t>Actual SS P&amp;L; mgmt=off-site+on-site combined; admin+adv in Other</t>
        </is>
      </c>
    </row>
    <row r="90" ht="14.1" customHeight="1">
      <c r="A90" s="732" t="inlineStr">
        <is>
          <t>P041</t>
        </is>
      </c>
      <c r="B90" s="695" t="n">
        <v>386</v>
      </c>
      <c r="C90" s="732" t="inlineStr">
        <is>
          <t>R0189384</t>
        </is>
      </c>
      <c r="D90" s="732" t="inlineStr">
        <is>
          <t>1101 Colorado Blvd</t>
        </is>
      </c>
      <c r="E90" s="732" t="inlineStr">
        <is>
          <t>Thornton</t>
        </is>
      </c>
      <c r="F90" s="732" t="inlineStr">
        <is>
          <t>CO</t>
        </is>
      </c>
      <c r="G90" s="732" t="inlineStr">
        <is>
          <t>Self-Storage</t>
        </is>
      </c>
      <c r="H90" s="732" t="inlineStr">
        <is>
          <t>Climate-Controlled</t>
        </is>
      </c>
      <c r="I90" s="733" t="n"/>
      <c r="J90" s="733" t="n">
        <v>65766</v>
      </c>
      <c r="K90" s="733" t="n">
        <v>2023</v>
      </c>
      <c r="L90" s="732" t="n"/>
      <c r="M90" s="732" t="n"/>
      <c r="N90" s="734" t="n">
        <v>14.16</v>
      </c>
      <c r="O90" s="734" t="n">
        <v>0.6306</v>
      </c>
      <c r="P90" s="734" t="n">
        <v>1.5829</v>
      </c>
      <c r="Q90" s="732" t="n"/>
      <c r="R90" s="732" t="n"/>
      <c r="S90" s="732" t="n"/>
      <c r="T90" s="732" t="n"/>
      <c r="U90" s="732" t="n"/>
      <c r="V90" s="732" t="n"/>
      <c r="W90" s="732" t="n"/>
      <c r="X90" s="732" t="n"/>
      <c r="Y90" s="734" t="n">
        <v>0.2367</v>
      </c>
      <c r="Z90" s="732" t="n"/>
      <c r="AA90" s="732" t="n"/>
      <c r="AB90" s="732" t="n"/>
      <c r="AC90" s="732" t="n"/>
      <c r="AD90" s="732" t="n"/>
      <c r="AE90" s="732" t="n"/>
      <c r="AF90" s="734" t="n">
        <v>0.5644</v>
      </c>
      <c r="AG90" s="732" t="n"/>
      <c r="AH90" s="734" t="n">
        <v>4.479</v>
      </c>
      <c r="AI90" s="734" t="n">
        <v>2.7358</v>
      </c>
      <c r="AJ90" s="734" t="n">
        <v>7.2147</v>
      </c>
      <c r="AK90" s="734" t="n">
        <v>7.1427</v>
      </c>
      <c r="AL90" s="732" t="n"/>
      <c r="AM90" s="735" t="inlineStr">
        <is>
          <t>Actual SS P&amp;L; mgmt=off-site+on-site combined; admin+adv in Other</t>
        </is>
      </c>
    </row>
    <row r="91" ht="14.1" customHeight="1">
      <c r="A91" s="732" t="inlineStr">
        <is>
          <t>P042</t>
        </is>
      </c>
      <c r="B91" s="695" t="n">
        <v>386</v>
      </c>
      <c r="C91" s="732" t="inlineStr">
        <is>
          <t>R0126235</t>
        </is>
      </c>
      <c r="D91" s="732" t="inlineStr">
        <is>
          <t>15024 Laroy Drive</t>
        </is>
      </c>
      <c r="E91" s="732" t="inlineStr">
        <is>
          <t>Northglenn</t>
        </is>
      </c>
      <c r="F91" s="732" t="inlineStr">
        <is>
          <t>CO</t>
        </is>
      </c>
      <c r="G91" s="732" t="inlineStr">
        <is>
          <t>Self-Storage</t>
        </is>
      </c>
      <c r="H91" s="732" t="inlineStr">
        <is>
          <t>Climate-Controlled</t>
        </is>
      </c>
      <c r="I91" s="733" t="n"/>
      <c r="J91" s="733" t="n">
        <v>79950</v>
      </c>
      <c r="K91" s="733" t="n">
        <v>2021</v>
      </c>
      <c r="L91" s="732" t="n"/>
      <c r="M91" s="732" t="n"/>
      <c r="N91" s="734" t="n">
        <v>11.9617</v>
      </c>
      <c r="O91" s="732" t="n"/>
      <c r="P91" s="732" t="n"/>
      <c r="Q91" s="732" t="n"/>
      <c r="R91" s="732" t="n"/>
      <c r="S91" s="732" t="n"/>
      <c r="T91" s="732" t="n"/>
      <c r="U91" s="732" t="n"/>
      <c r="V91" s="732" t="n"/>
      <c r="W91" s="732" t="n"/>
      <c r="X91" s="732" t="n"/>
      <c r="Y91" s="732" t="n"/>
      <c r="Z91" s="732" t="n"/>
      <c r="AA91" s="732" t="n"/>
      <c r="AB91" s="732" t="n"/>
      <c r="AC91" s="732" t="n"/>
      <c r="AD91" s="732" t="n"/>
      <c r="AE91" s="732" t="n"/>
      <c r="AF91" s="732" t="n"/>
      <c r="AG91" s="732" t="n"/>
      <c r="AH91" s="732" t="n"/>
      <c r="AI91" s="732" t="n"/>
      <c r="AJ91" s="734" t="n">
        <v>6.0239</v>
      </c>
      <c r="AK91" s="734" t="n">
        <v>6.4381</v>
      </c>
      <c r="AL91" s="732" t="n"/>
      <c r="AM91" s="735" t="inlineStr">
        <is>
          <t>Actual SS P&amp;L; mgmt=off-site+on-site combined</t>
        </is>
      </c>
    </row>
    <row r="92" ht="14.1" customHeight="1">
      <c r="A92" s="732" t="inlineStr">
        <is>
          <t>P042</t>
        </is>
      </c>
      <c r="B92" s="695" t="n">
        <v>386</v>
      </c>
      <c r="C92" s="732" t="inlineStr">
        <is>
          <t>R0126235</t>
        </is>
      </c>
      <c r="D92" s="732" t="inlineStr">
        <is>
          <t>15024 Laroy Drive</t>
        </is>
      </c>
      <c r="E92" s="732" t="inlineStr">
        <is>
          <t>Northglenn</t>
        </is>
      </c>
      <c r="F92" s="732" t="inlineStr">
        <is>
          <t>CO</t>
        </is>
      </c>
      <c r="G92" s="732" t="inlineStr">
        <is>
          <t>Self-Storage</t>
        </is>
      </c>
      <c r="H92" s="732" t="inlineStr">
        <is>
          <t>Climate-Controlled</t>
        </is>
      </c>
      <c r="I92" s="733" t="n"/>
      <c r="J92" s="733" t="n">
        <v>79950</v>
      </c>
      <c r="K92" s="733" t="n">
        <v>2022</v>
      </c>
      <c r="L92" s="732" t="n"/>
      <c r="M92" s="732" t="n"/>
      <c r="N92" s="734" t="n">
        <v>12.7321</v>
      </c>
      <c r="O92" s="732" t="n"/>
      <c r="P92" s="732" t="n"/>
      <c r="Q92" s="732" t="n"/>
      <c r="R92" s="732" t="n"/>
      <c r="S92" s="732" t="n"/>
      <c r="T92" s="732" t="n"/>
      <c r="U92" s="732" t="n"/>
      <c r="V92" s="732" t="n"/>
      <c r="W92" s="732" t="n"/>
      <c r="X92" s="732" t="n"/>
      <c r="Y92" s="732" t="n"/>
      <c r="Z92" s="732" t="n"/>
      <c r="AA92" s="732" t="n"/>
      <c r="AB92" s="732" t="n"/>
      <c r="AC92" s="732" t="n"/>
      <c r="AD92" s="732" t="n"/>
      <c r="AE92" s="732" t="n"/>
      <c r="AF92" s="732" t="n"/>
      <c r="AG92" s="732" t="n"/>
      <c r="AH92" s="732" t="n"/>
      <c r="AI92" s="732" t="n"/>
      <c r="AJ92" s="734" t="n">
        <v>5.4064</v>
      </c>
      <c r="AK92" s="734" t="n">
        <v>7.3257</v>
      </c>
      <c r="AL92" s="732" t="n"/>
      <c r="AM92" s="735" t="inlineStr">
        <is>
          <t>Actual SS P&amp;L; mgmt=off-site+on-site combined</t>
        </is>
      </c>
    </row>
    <row r="93" ht="14.1" customHeight="1">
      <c r="A93" s="732" t="inlineStr">
        <is>
          <t>P042</t>
        </is>
      </c>
      <c r="B93" s="695" t="n">
        <v>386</v>
      </c>
      <c r="C93" s="732" t="inlineStr">
        <is>
          <t>R0126235</t>
        </is>
      </c>
      <c r="D93" s="732" t="inlineStr">
        <is>
          <t>15024 Laroy Drive</t>
        </is>
      </c>
      <c r="E93" s="732" t="inlineStr">
        <is>
          <t>Northglenn</t>
        </is>
      </c>
      <c r="F93" s="732" t="inlineStr">
        <is>
          <t>CO</t>
        </is>
      </c>
      <c r="G93" s="732" t="inlineStr">
        <is>
          <t>Self-Storage</t>
        </is>
      </c>
      <c r="H93" s="732" t="inlineStr">
        <is>
          <t>Climate-Controlled</t>
        </is>
      </c>
      <c r="I93" s="733" t="n"/>
      <c r="J93" s="733" t="n">
        <v>79950</v>
      </c>
      <c r="K93" s="733" t="n">
        <v>2023</v>
      </c>
      <c r="L93" s="732" t="n"/>
      <c r="M93" s="732" t="n"/>
      <c r="N93" s="734" t="n">
        <v>11.94</v>
      </c>
      <c r="O93" s="734" t="n">
        <v>0.5105</v>
      </c>
      <c r="P93" s="734" t="n">
        <v>1.3574</v>
      </c>
      <c r="Q93" s="732" t="n"/>
      <c r="R93" s="732" t="n"/>
      <c r="S93" s="732" t="n"/>
      <c r="T93" s="732" t="n"/>
      <c r="U93" s="732" t="n"/>
      <c r="V93" s="732" t="n"/>
      <c r="W93" s="732" t="n"/>
      <c r="X93" s="732" t="n"/>
      <c r="Y93" s="734" t="n">
        <v>0.301</v>
      </c>
      <c r="Z93" s="732" t="n"/>
      <c r="AA93" s="732" t="n"/>
      <c r="AB93" s="732" t="n"/>
      <c r="AC93" s="732" t="n"/>
      <c r="AD93" s="732" t="n"/>
      <c r="AE93" s="732" t="n"/>
      <c r="AF93" s="734" t="n">
        <v>0.2587</v>
      </c>
      <c r="AG93" s="732" t="n"/>
      <c r="AH93" s="734" t="n">
        <v>3.4355</v>
      </c>
      <c r="AI93" s="734" t="n">
        <v>3.061</v>
      </c>
      <c r="AJ93" s="734" t="n">
        <v>6.4964</v>
      </c>
      <c r="AK93" s="734" t="n">
        <v>5.4436</v>
      </c>
      <c r="AL93" s="732" t="n"/>
      <c r="AM93" s="735" t="inlineStr">
        <is>
          <t>Actual SS P&amp;L; mgmt=off-site+on-site combined</t>
        </is>
      </c>
    </row>
    <row r="94" ht="14.1" customHeight="1">
      <c r="A94" s="732" t="inlineStr">
        <is>
          <t>P043</t>
        </is>
      </c>
      <c r="B94" s="695" t="n">
        <v>386</v>
      </c>
      <c r="C94" s="732" t="inlineStr">
        <is>
          <t>R0126234</t>
        </is>
      </c>
      <c r="D94" s="732" t="inlineStr">
        <is>
          <t>715 W 112th Ave</t>
        </is>
      </c>
      <c r="E94" s="732" t="inlineStr">
        <is>
          <t>Northglenn</t>
        </is>
      </c>
      <c r="F94" s="732" t="inlineStr">
        <is>
          <t>CO</t>
        </is>
      </c>
      <c r="G94" s="732" t="inlineStr">
        <is>
          <t>Self-Storage</t>
        </is>
      </c>
      <c r="H94" s="732" t="inlineStr">
        <is>
          <t>Drive-Up/Drop-Off</t>
        </is>
      </c>
      <c r="I94" s="733" t="n"/>
      <c r="J94" s="733" t="n">
        <v>83756</v>
      </c>
      <c r="K94" s="733" t="n">
        <v>2021</v>
      </c>
      <c r="L94" s="732" t="n"/>
      <c r="M94" s="732" t="n"/>
      <c r="N94" s="734" t="n">
        <v>9.7278</v>
      </c>
      <c r="O94" s="732" t="n"/>
      <c r="P94" s="732" t="n"/>
      <c r="Q94" s="732" t="n"/>
      <c r="R94" s="732" t="n"/>
      <c r="S94" s="732" t="n"/>
      <c r="T94" s="732" t="n"/>
      <c r="U94" s="732" t="n"/>
      <c r="V94" s="732" t="n"/>
      <c r="W94" s="732" t="n"/>
      <c r="X94" s="732" t="n"/>
      <c r="Y94" s="732" t="n"/>
      <c r="Z94" s="732" t="n"/>
      <c r="AA94" s="732" t="n"/>
      <c r="AB94" s="732" t="n"/>
      <c r="AC94" s="732" t="n"/>
      <c r="AD94" s="732" t="n"/>
      <c r="AE94" s="732" t="n"/>
      <c r="AF94" s="732" t="n"/>
      <c r="AG94" s="732" t="n"/>
      <c r="AH94" s="732" t="n"/>
      <c r="AI94" s="732" t="n"/>
      <c r="AJ94" s="734" t="n">
        <v>5.2127</v>
      </c>
      <c r="AK94" s="734" t="n">
        <v>4.5151</v>
      </c>
      <c r="AL94" s="732" t="n"/>
      <c r="AM94" s="735" t="inlineStr">
        <is>
          <t>Actual SS P&amp;L; mgmt=off-site+on-site combined</t>
        </is>
      </c>
    </row>
    <row r="95" ht="14.1" customHeight="1">
      <c r="A95" s="732" t="inlineStr">
        <is>
          <t>P043</t>
        </is>
      </c>
      <c r="B95" s="695" t="n">
        <v>386</v>
      </c>
      <c r="C95" s="732" t="inlineStr">
        <is>
          <t>R0126234</t>
        </is>
      </c>
      <c r="D95" s="732" t="inlineStr">
        <is>
          <t>715 W 112th Ave</t>
        </is>
      </c>
      <c r="E95" s="732" t="inlineStr">
        <is>
          <t>Northglenn</t>
        </is>
      </c>
      <c r="F95" s="732" t="inlineStr">
        <is>
          <t>CO</t>
        </is>
      </c>
      <c r="G95" s="732" t="inlineStr">
        <is>
          <t>Self-Storage</t>
        </is>
      </c>
      <c r="H95" s="732" t="inlineStr">
        <is>
          <t>Drive-Up/Drop-Off</t>
        </is>
      </c>
      <c r="I95" s="733" t="n"/>
      <c r="J95" s="733" t="n">
        <v>83756</v>
      </c>
      <c r="K95" s="733" t="n">
        <v>2022</v>
      </c>
      <c r="L95" s="732" t="n"/>
      <c r="M95" s="732" t="n"/>
      <c r="N95" s="734" t="n">
        <v>11.7102</v>
      </c>
      <c r="O95" s="732" t="n"/>
      <c r="P95" s="732" t="n"/>
      <c r="Q95" s="732" t="n"/>
      <c r="R95" s="732" t="n"/>
      <c r="S95" s="732" t="n"/>
      <c r="T95" s="732" t="n"/>
      <c r="U95" s="732" t="n"/>
      <c r="V95" s="732" t="n"/>
      <c r="W95" s="732" t="n"/>
      <c r="X95" s="732" t="n"/>
      <c r="Y95" s="732" t="n"/>
      <c r="Z95" s="732" t="n"/>
      <c r="AA95" s="732" t="n"/>
      <c r="AB95" s="732" t="n"/>
      <c r="AC95" s="732" t="n"/>
      <c r="AD95" s="732" t="n"/>
      <c r="AE95" s="732" t="n"/>
      <c r="AF95" s="732" t="n"/>
      <c r="AG95" s="732" t="n"/>
      <c r="AH95" s="732" t="n"/>
      <c r="AI95" s="732" t="n"/>
      <c r="AJ95" s="734" t="n">
        <v>5.4426</v>
      </c>
      <c r="AK95" s="734" t="n">
        <v>6.2675</v>
      </c>
      <c r="AL95" s="732" t="n"/>
      <c r="AM95" s="735" t="inlineStr">
        <is>
          <t>Actual SS P&amp;L; mgmt=off-site+on-site combined</t>
        </is>
      </c>
    </row>
    <row r="96" ht="14.1" customHeight="1">
      <c r="A96" s="732" t="inlineStr">
        <is>
          <t>P043</t>
        </is>
      </c>
      <c r="B96" s="695" t="n">
        <v>386</v>
      </c>
      <c r="C96" s="732" t="inlineStr">
        <is>
          <t>R0126234</t>
        </is>
      </c>
      <c r="D96" s="732" t="inlineStr">
        <is>
          <t>715 W 112th Ave</t>
        </is>
      </c>
      <c r="E96" s="732" t="inlineStr">
        <is>
          <t>Northglenn</t>
        </is>
      </c>
      <c r="F96" s="732" t="inlineStr">
        <is>
          <t>CO</t>
        </is>
      </c>
      <c r="G96" s="732" t="inlineStr">
        <is>
          <t>Self-Storage</t>
        </is>
      </c>
      <c r="H96" s="732" t="inlineStr">
        <is>
          <t>Drive-Up/Drop-Off</t>
        </is>
      </c>
      <c r="I96" s="733" t="n"/>
      <c r="J96" s="733" t="n">
        <v>83756</v>
      </c>
      <c r="K96" s="733" t="n">
        <v>2023</v>
      </c>
      <c r="L96" s="732" t="n"/>
      <c r="M96" s="732" t="n"/>
      <c r="N96" s="734" t="n">
        <v>12.0821</v>
      </c>
      <c r="O96" s="734" t="n">
        <v>0.5624</v>
      </c>
      <c r="P96" s="734" t="n">
        <v>1.3342</v>
      </c>
      <c r="Q96" s="732" t="n"/>
      <c r="R96" s="732" t="n"/>
      <c r="S96" s="732" t="n"/>
      <c r="T96" s="732" t="n"/>
      <c r="U96" s="732" t="n"/>
      <c r="V96" s="732" t="n"/>
      <c r="W96" s="732" t="n"/>
      <c r="X96" s="732" t="n"/>
      <c r="Y96" s="734" t="n">
        <v>0.1222</v>
      </c>
      <c r="Z96" s="732" t="n"/>
      <c r="AA96" s="732" t="n"/>
      <c r="AB96" s="732" t="n"/>
      <c r="AC96" s="732" t="n"/>
      <c r="AD96" s="732" t="n"/>
      <c r="AE96" s="732" t="n"/>
      <c r="AF96" s="734" t="n">
        <v>0.1904</v>
      </c>
      <c r="AG96" s="732" t="n"/>
      <c r="AH96" s="734" t="n">
        <v>3.0787</v>
      </c>
      <c r="AI96" s="734" t="n">
        <v>2.42</v>
      </c>
      <c r="AJ96" s="734" t="n">
        <v>5.4986</v>
      </c>
      <c r="AK96" s="734" t="n">
        <v>6.5859</v>
      </c>
      <c r="AL96" s="732" t="n"/>
      <c r="AM96" s="735" t="inlineStr">
        <is>
          <t>Actual SS P&amp;L; mgmt=off-site+on-site combined</t>
        </is>
      </c>
    </row>
    <row r="97" ht="14.1" customHeight="1">
      <c r="A97" s="732" t="inlineStr">
        <is>
          <t>P044</t>
        </is>
      </c>
      <c r="B97" s="695" t="n">
        <v>386</v>
      </c>
      <c r="C97" s="732" t="inlineStr">
        <is>
          <t>R0027089/R0178319</t>
        </is>
      </c>
      <c r="D97" s="732" t="inlineStr">
        <is>
          <t>2290 E 120th Ave</t>
        </is>
      </c>
      <c r="E97" s="732" t="inlineStr">
        <is>
          <t>Thornton</t>
        </is>
      </c>
      <c r="F97" s="732" t="inlineStr">
        <is>
          <t>CO</t>
        </is>
      </c>
      <c r="G97" s="732" t="inlineStr">
        <is>
          <t>Self-Storage</t>
        </is>
      </c>
      <c r="H97" s="732" t="inlineStr">
        <is>
          <t>Drive-Up/Drop-Off</t>
        </is>
      </c>
      <c r="I97" s="733" t="n"/>
      <c r="J97" s="733" t="n">
        <v>71909</v>
      </c>
      <c r="K97" s="733" t="n">
        <v>2021</v>
      </c>
      <c r="L97" s="732" t="n"/>
      <c r="M97" s="732" t="n"/>
      <c r="N97" s="734" t="n">
        <v>11.6457</v>
      </c>
      <c r="O97" s="732" t="n"/>
      <c r="P97" s="732" t="n"/>
      <c r="Q97" s="732" t="n"/>
      <c r="R97" s="732" t="n"/>
      <c r="S97" s="732" t="n"/>
      <c r="T97" s="732" t="n"/>
      <c r="U97" s="732" t="n"/>
      <c r="V97" s="732" t="n"/>
      <c r="W97" s="732" t="n"/>
      <c r="X97" s="732" t="n"/>
      <c r="Y97" s="732" t="n"/>
      <c r="Z97" s="732" t="n"/>
      <c r="AA97" s="732" t="n"/>
      <c r="AB97" s="732" t="n"/>
      <c r="AC97" s="732" t="n"/>
      <c r="AD97" s="732" t="n"/>
      <c r="AE97" s="732" t="n"/>
      <c r="AF97" s="732" t="n"/>
      <c r="AG97" s="732" t="n"/>
      <c r="AH97" s="732" t="n"/>
      <c r="AI97" s="732" t="n"/>
      <c r="AJ97" s="734" t="n">
        <v>6.1981</v>
      </c>
      <c r="AK97" s="734" t="n">
        <v>5.4476</v>
      </c>
      <c r="AL97" s="732" t="n"/>
      <c r="AM97" s="735" t="inlineStr">
        <is>
          <t>Actual SS P&amp;L; combined parcels R0027089+R0178319; mgmt=off-site+on-site</t>
        </is>
      </c>
    </row>
    <row r="98" ht="14.1" customHeight="1">
      <c r="A98" s="732" t="inlineStr">
        <is>
          <t>P044</t>
        </is>
      </c>
      <c r="B98" s="695" t="n">
        <v>386</v>
      </c>
      <c r="C98" s="732" t="inlineStr">
        <is>
          <t>R0027089/R0178319</t>
        </is>
      </c>
      <c r="D98" s="732" t="inlineStr">
        <is>
          <t>2290 E 120th Ave</t>
        </is>
      </c>
      <c r="E98" s="732" t="inlineStr">
        <is>
          <t>Thornton</t>
        </is>
      </c>
      <c r="F98" s="732" t="inlineStr">
        <is>
          <t>CO</t>
        </is>
      </c>
      <c r="G98" s="732" t="inlineStr">
        <is>
          <t>Self-Storage</t>
        </is>
      </c>
      <c r="H98" s="732" t="inlineStr">
        <is>
          <t>Drive-Up/Drop-Off</t>
        </is>
      </c>
      <c r="I98" s="733" t="n"/>
      <c r="J98" s="733" t="n">
        <v>71909</v>
      </c>
      <c r="K98" s="733" t="n">
        <v>2022</v>
      </c>
      <c r="L98" s="732" t="n"/>
      <c r="M98" s="732" t="n"/>
      <c r="N98" s="734" t="n">
        <v>13.1494</v>
      </c>
      <c r="O98" s="732" t="n"/>
      <c r="P98" s="732" t="n"/>
      <c r="Q98" s="732" t="n"/>
      <c r="R98" s="732" t="n"/>
      <c r="S98" s="732" t="n"/>
      <c r="T98" s="732" t="n"/>
      <c r="U98" s="732" t="n"/>
      <c r="V98" s="732" t="n"/>
      <c r="W98" s="732" t="n"/>
      <c r="X98" s="732" t="n"/>
      <c r="Y98" s="732" t="n"/>
      <c r="Z98" s="732" t="n"/>
      <c r="AA98" s="732" t="n"/>
      <c r="AB98" s="732" t="n"/>
      <c r="AC98" s="732" t="n"/>
      <c r="AD98" s="732" t="n"/>
      <c r="AE98" s="732" t="n"/>
      <c r="AF98" s="732" t="n"/>
      <c r="AG98" s="732" t="n"/>
      <c r="AH98" s="732" t="n"/>
      <c r="AI98" s="732" t="n"/>
      <c r="AJ98" s="734" t="n">
        <v>6.1981</v>
      </c>
      <c r="AK98" s="734" t="n">
        <v>6.4846</v>
      </c>
      <c r="AL98" s="732" t="n"/>
      <c r="AM98" s="735" t="inlineStr">
        <is>
          <t>Actual SS P&amp;L; combined parcels R0027089+R0178319; mgmt=off-site+on-site</t>
        </is>
      </c>
    </row>
    <row r="99" ht="14.1" customHeight="1">
      <c r="A99" s="732" t="inlineStr">
        <is>
          <t>P044</t>
        </is>
      </c>
      <c r="B99" s="695" t="n">
        <v>386</v>
      </c>
      <c r="C99" s="732" t="inlineStr">
        <is>
          <t>R0027089/R0178319</t>
        </is>
      </c>
      <c r="D99" s="732" t="inlineStr">
        <is>
          <t>2290 E 120th Ave</t>
        </is>
      </c>
      <c r="E99" s="732" t="inlineStr">
        <is>
          <t>Thornton</t>
        </is>
      </c>
      <c r="F99" s="732" t="inlineStr">
        <is>
          <t>CO</t>
        </is>
      </c>
      <c r="G99" s="732" t="inlineStr">
        <is>
          <t>Self-Storage</t>
        </is>
      </c>
      <c r="H99" s="732" t="inlineStr">
        <is>
          <t>Drive-Up/Drop-Off</t>
        </is>
      </c>
      <c r="I99" s="733" t="n"/>
      <c r="J99" s="733" t="n">
        <v>71909</v>
      </c>
      <c r="K99" s="733" t="n">
        <v>2023</v>
      </c>
      <c r="L99" s="732" t="n"/>
      <c r="M99" s="732" t="n"/>
      <c r="N99" s="734" t="n">
        <v>13.6392</v>
      </c>
      <c r="O99" s="734" t="n">
        <v>0.6036</v>
      </c>
      <c r="P99" s="734" t="n">
        <v>1.9706</v>
      </c>
      <c r="Q99" s="732" t="n"/>
      <c r="R99" s="732" t="n"/>
      <c r="S99" s="732" t="n"/>
      <c r="T99" s="732" t="n"/>
      <c r="U99" s="732" t="n"/>
      <c r="V99" s="732" t="n"/>
      <c r="W99" s="732" t="n"/>
      <c r="X99" s="732" t="n"/>
      <c r="Y99" s="734" t="n">
        <v>0.248</v>
      </c>
      <c r="Z99" s="732" t="n"/>
      <c r="AA99" s="732" t="n"/>
      <c r="AB99" s="732" t="n"/>
      <c r="AC99" s="732" t="n"/>
      <c r="AD99" s="732" t="n"/>
      <c r="AE99" s="732" t="n"/>
      <c r="AF99" s="734" t="n">
        <v>0.298</v>
      </c>
      <c r="AG99" s="732" t="n"/>
      <c r="AH99" s="734" t="n">
        <v>4.1574</v>
      </c>
      <c r="AI99" s="734" t="n">
        <v>2.5917</v>
      </c>
      <c r="AJ99" s="734" t="n">
        <v>6.7491</v>
      </c>
      <c r="AK99" s="734" t="n">
        <v>6.8462</v>
      </c>
      <c r="AL99" s="732" t="n"/>
      <c r="AM99" s="735" t="inlineStr">
        <is>
          <t>Actual SS P&amp;L; combined parcels R0027089+R0178319; mgmt=off-site+on-site</t>
        </is>
      </c>
    </row>
    <row r="100" ht="14.1" customHeight="1">
      <c r="A100" s="732" t="inlineStr">
        <is>
          <t>P045</t>
        </is>
      </c>
      <c r="B100" s="695" t="n">
        <v>386</v>
      </c>
      <c r="C100" s="732" t="inlineStr">
        <is>
          <t>R0043569</t>
        </is>
      </c>
      <c r="D100" s="732" t="inlineStr">
        <is>
          <t>40131 Quivas St</t>
        </is>
      </c>
      <c r="E100" s="732" t="inlineStr">
        <is>
          <t>Thornton</t>
        </is>
      </c>
      <c r="F100" s="732" t="inlineStr">
        <is>
          <t>CO</t>
        </is>
      </c>
      <c r="G100" s="732" t="inlineStr">
        <is>
          <t>Self-Storage</t>
        </is>
      </c>
      <c r="H100" s="732" t="inlineStr">
        <is>
          <t>Drive-Up/Drop-Off</t>
        </is>
      </c>
      <c r="I100" s="733" t="n"/>
      <c r="J100" s="733" t="n">
        <v>41900</v>
      </c>
      <c r="K100" s="733" t="n">
        <v>2024</v>
      </c>
      <c r="L100" s="732" t="n"/>
      <c r="M100" s="732" t="n"/>
      <c r="N100" s="734" t="n">
        <v>17.1375</v>
      </c>
      <c r="O100" s="734" t="n">
        <v>0.4543</v>
      </c>
      <c r="P100" s="734" t="n">
        <v>2.2428</v>
      </c>
      <c r="Q100" s="732" t="n"/>
      <c r="R100" s="732" t="n"/>
      <c r="S100" s="732" t="n"/>
      <c r="T100" s="732" t="n"/>
      <c r="U100" s="732" t="n"/>
      <c r="V100" s="732" t="n"/>
      <c r="W100" s="732" t="n"/>
      <c r="X100" s="732" t="n"/>
      <c r="Y100" s="734" t="n">
        <v>0.2809</v>
      </c>
      <c r="Z100" s="732" t="n"/>
      <c r="AA100" s="732" t="n"/>
      <c r="AB100" s="732" t="n"/>
      <c r="AC100" s="732" t="n"/>
      <c r="AD100" s="732" t="n"/>
      <c r="AE100" s="732" t="n"/>
      <c r="AF100" s="734" t="n">
        <v>0.1293</v>
      </c>
      <c r="AG100" s="732" t="n"/>
      <c r="AH100" s="734" t="n">
        <v>4.9831</v>
      </c>
      <c r="AI100" s="734" t="n">
        <v>4.213</v>
      </c>
      <c r="AJ100" s="734" t="n">
        <v>9.196</v>
      </c>
      <c r="AK100" s="734" t="n">
        <v>7.9414</v>
      </c>
      <c r="AL100" s="732" t="n"/>
      <c r="AM100" s="735" t="inlineStr">
        <is>
          <t>Actual FY2024 P&amp;L; mgmt=off-site $42,964+on-site $51,011; RE Tax est from matrix</t>
        </is>
      </c>
    </row>
    <row r="101" ht="14.1" customHeight="1">
      <c r="A101" s="732" t="inlineStr">
        <is>
          <t>P046</t>
        </is>
      </c>
      <c r="B101" s="695" t="n">
        <v>386</v>
      </c>
      <c r="C101" s="732" t="inlineStr">
        <is>
          <t>R0193009</t>
        </is>
      </c>
      <c r="D101" s="732" t="inlineStr">
        <is>
          <t>Address unknown – see R0193009</t>
        </is>
      </c>
      <c r="E101" s="732" t="inlineStr">
        <is>
          <t>Adams County</t>
        </is>
      </c>
      <c r="F101" s="732" t="inlineStr">
        <is>
          <t>CO</t>
        </is>
      </c>
      <c r="G101" s="732" t="inlineStr">
        <is>
          <t>Self-Storage</t>
        </is>
      </c>
      <c r="H101" s="732" t="inlineStr">
        <is>
          <t>Climate-Controlled</t>
        </is>
      </c>
      <c r="I101" s="733" t="n"/>
      <c r="J101" s="733" t="n">
        <v>94736</v>
      </c>
      <c r="K101" s="733" t="n"/>
      <c r="L101" s="732" t="n"/>
      <c r="M101" s="732" t="n"/>
      <c r="N101" s="734" t="n">
        <v>16.7</v>
      </c>
      <c r="O101" s="734" t="n">
        <v>0.4183</v>
      </c>
      <c r="P101" s="734" t="n">
        <v>1.7666</v>
      </c>
      <c r="Q101" s="732" t="n"/>
      <c r="R101" s="732" t="n"/>
      <c r="S101" s="732" t="n"/>
      <c r="T101" s="732" t="n"/>
      <c r="U101" s="732" t="n"/>
      <c r="V101" s="732" t="n"/>
      <c r="W101" s="732" t="n"/>
      <c r="X101" s="732" t="n"/>
      <c r="Y101" s="734" t="n">
        <v>0.4073</v>
      </c>
      <c r="Z101" s="732" t="n"/>
      <c r="AA101" s="732" t="n"/>
      <c r="AB101" s="732" t="n"/>
      <c r="AC101" s="732" t="n"/>
      <c r="AD101" s="732" t="n"/>
      <c r="AE101" s="732" t="n"/>
      <c r="AF101" s="734" t="n">
        <v>0.207</v>
      </c>
      <c r="AG101" s="732" t="n"/>
      <c r="AH101" s="734" t="n">
        <v>3.6866</v>
      </c>
      <c r="AI101" s="734" t="n">
        <v>4.474</v>
      </c>
      <c r="AJ101" s="734" t="n">
        <v>8.160600000000001</v>
      </c>
      <c r="AK101" s="734" t="n">
        <v>8.539400000000001</v>
      </c>
      <c r="AL101" s="732" t="n"/>
      <c r="AM101" s="735" t="inlineStr">
        <is>
          <t>AXG SS Expense Matrix; year not specified (~2022/23); R0193009</t>
        </is>
      </c>
    </row>
    <row r="102" ht="14.1" customHeight="1">
      <c r="A102" s="732" t="inlineStr">
        <is>
          <t>P047</t>
        </is>
      </c>
      <c r="B102" s="695" t="n">
        <v>386</v>
      </c>
      <c r="C102" s="732" t="inlineStr">
        <is>
          <t>R0099616</t>
        </is>
      </c>
      <c r="D102" s="732" t="inlineStr">
        <is>
          <t>Address unknown – see R0099616</t>
        </is>
      </c>
      <c r="E102" s="732" t="inlineStr">
        <is>
          <t>Adams County</t>
        </is>
      </c>
      <c r="F102" s="732" t="inlineStr">
        <is>
          <t>CO</t>
        </is>
      </c>
      <c r="G102" s="732" t="inlineStr">
        <is>
          <t>Self-Storage</t>
        </is>
      </c>
      <c r="H102" s="732" t="inlineStr">
        <is>
          <t>Drive-Up/Drop-Off</t>
        </is>
      </c>
      <c r="I102" s="733" t="n"/>
      <c r="J102" s="733" t="n">
        <v>73500</v>
      </c>
      <c r="K102" s="733" t="n"/>
      <c r="L102" s="732" t="n"/>
      <c r="M102" s="732" t="n"/>
      <c r="N102" s="734" t="n">
        <v>11.3518</v>
      </c>
      <c r="O102" s="734" t="n">
        <v>0.2504</v>
      </c>
      <c r="P102" s="734" t="n">
        <v>0.8845</v>
      </c>
      <c r="Q102" s="732" t="n"/>
      <c r="R102" s="732" t="n"/>
      <c r="S102" s="732" t="n"/>
      <c r="T102" s="732" t="n"/>
      <c r="U102" s="732" t="n"/>
      <c r="V102" s="732" t="n"/>
      <c r="W102" s="732" t="n"/>
      <c r="X102" s="732" t="n"/>
      <c r="Y102" s="734" t="n">
        <v>0.3368</v>
      </c>
      <c r="Z102" s="732" t="n"/>
      <c r="AA102" s="732" t="n"/>
      <c r="AB102" s="732" t="n"/>
      <c r="AC102" s="732" t="n"/>
      <c r="AD102" s="732" t="n"/>
      <c r="AE102" s="732" t="n"/>
      <c r="AF102" s="734" t="n">
        <v>0.2348</v>
      </c>
      <c r="AG102" s="732" t="n"/>
      <c r="AH102" s="734" t="n">
        <v>2.7024</v>
      </c>
      <c r="AI102" s="734" t="n">
        <v>2.144</v>
      </c>
      <c r="AJ102" s="734" t="n">
        <v>4.8463</v>
      </c>
      <c r="AK102" s="734" t="n">
        <v>6.5055</v>
      </c>
      <c r="AL102" s="732" t="n"/>
      <c r="AM102" s="735" t="inlineStr">
        <is>
          <t>AXG SS Expense Matrix; year not specified (~2022/23); R0099616</t>
        </is>
      </c>
    </row>
    <row r="103" ht="14.1" customHeight="1">
      <c r="A103" s="732" t="inlineStr">
        <is>
          <t>P048</t>
        </is>
      </c>
      <c r="B103" s="695" t="n">
        <v>386</v>
      </c>
      <c r="C103" s="732" t="inlineStr">
        <is>
          <t>R0098019</t>
        </is>
      </c>
      <c r="D103" s="732" t="inlineStr">
        <is>
          <t>Address unknown – see R0098019</t>
        </is>
      </c>
      <c r="E103" s="732" t="inlineStr">
        <is>
          <t>Adams County</t>
        </is>
      </c>
      <c r="F103" s="732" t="inlineStr">
        <is>
          <t>CO</t>
        </is>
      </c>
      <c r="G103" s="732" t="inlineStr">
        <is>
          <t>Self-Storage</t>
        </is>
      </c>
      <c r="H103" s="732" t="inlineStr">
        <is>
          <t>Drive-Up/Drop-Off</t>
        </is>
      </c>
      <c r="I103" s="733" t="n"/>
      <c r="J103" s="733" t="n">
        <v>44975</v>
      </c>
      <c r="K103" s="733" t="n"/>
      <c r="L103" s="732" t="n"/>
      <c r="M103" s="732" t="n"/>
      <c r="N103" s="734" t="n">
        <v>13.0923</v>
      </c>
      <c r="O103" s="734" t="n">
        <v>0.4933</v>
      </c>
      <c r="P103" s="734" t="n">
        <v>0.8561</v>
      </c>
      <c r="Q103" s="732" t="n"/>
      <c r="R103" s="732" t="n"/>
      <c r="S103" s="732" t="n"/>
      <c r="T103" s="732" t="n"/>
      <c r="U103" s="732" t="n"/>
      <c r="V103" s="732" t="n"/>
      <c r="W103" s="732" t="n"/>
      <c r="X103" s="732" t="n"/>
      <c r="Y103" s="734" t="n">
        <v>0.8597</v>
      </c>
      <c r="Z103" s="732" t="n"/>
      <c r="AA103" s="732" t="n"/>
      <c r="AB103" s="732" t="n"/>
      <c r="AC103" s="732" t="n"/>
      <c r="AD103" s="732" t="n"/>
      <c r="AE103" s="732" t="n"/>
      <c r="AF103" s="734" t="n">
        <v>0.6947</v>
      </c>
      <c r="AG103" s="732" t="n"/>
      <c r="AH103" s="734" t="n">
        <v>3.1997</v>
      </c>
      <c r="AI103" s="734" t="n">
        <v>2.8576</v>
      </c>
      <c r="AJ103" s="734" t="n">
        <v>6.0573</v>
      </c>
      <c r="AK103" s="734" t="n">
        <v>7.035</v>
      </c>
      <c r="AL103" s="732" t="n"/>
      <c r="AM103" s="735" t="inlineStr">
        <is>
          <t>AXG SS Expense Matrix; year not specified (~2022/23); R0098019</t>
        </is>
      </c>
    </row>
    <row r="104" ht="14.1" customHeight="1">
      <c r="A104" s="732" t="inlineStr">
        <is>
          <t>P049</t>
        </is>
      </c>
      <c r="B104" s="695" t="n">
        <v>386</v>
      </c>
      <c r="C104" s="732" t="inlineStr">
        <is>
          <t>R0102989</t>
        </is>
      </c>
      <c r="D104" s="732" t="inlineStr">
        <is>
          <t>Address unknown – see R0102989</t>
        </is>
      </c>
      <c r="E104" s="732" t="inlineStr">
        <is>
          <t>Adams County</t>
        </is>
      </c>
      <c r="F104" s="732" t="inlineStr">
        <is>
          <t>CO</t>
        </is>
      </c>
      <c r="G104" s="732" t="inlineStr">
        <is>
          <t>Self-Storage</t>
        </is>
      </c>
      <c r="H104" s="732" t="inlineStr">
        <is>
          <t>Climate-Controlled</t>
        </is>
      </c>
      <c r="I104" s="733" t="n"/>
      <c r="J104" s="733" t="n">
        <v>94797</v>
      </c>
      <c r="K104" s="733" t="n"/>
      <c r="L104" s="732" t="n"/>
      <c r="M104" s="732" t="n"/>
      <c r="N104" s="734" t="n">
        <v>12.4952</v>
      </c>
      <c r="O104" s="734" t="n">
        <v>0.2668</v>
      </c>
      <c r="P104" s="734" t="n">
        <v>2.1805</v>
      </c>
      <c r="Q104" s="732" t="n"/>
      <c r="R104" s="732" t="n"/>
      <c r="S104" s="732" t="n"/>
      <c r="T104" s="732" t="n"/>
      <c r="U104" s="732" t="n"/>
      <c r="V104" s="732" t="n"/>
      <c r="W104" s="732" t="n"/>
      <c r="X104" s="732" t="n"/>
      <c r="Y104" s="734" t="n">
        <v>0.3013</v>
      </c>
      <c r="Z104" s="732" t="n"/>
      <c r="AA104" s="732" t="n"/>
      <c r="AB104" s="732" t="n"/>
      <c r="AC104" s="732" t="n"/>
      <c r="AD104" s="732" t="n"/>
      <c r="AE104" s="732" t="n"/>
      <c r="AF104" s="734" t="n">
        <v>0.5221</v>
      </c>
      <c r="AG104" s="732" t="n"/>
      <c r="AH104" s="734" t="n">
        <v>4.5787</v>
      </c>
      <c r="AI104" s="734" t="n">
        <v>2.7378</v>
      </c>
      <c r="AJ104" s="734" t="n">
        <v>7.3165</v>
      </c>
      <c r="AK104" s="734" t="n">
        <v>5.1786</v>
      </c>
      <c r="AL104" s="732" t="n"/>
      <c r="AM104" s="735" t="inlineStr">
        <is>
          <t>AXG SS Expense Matrix; year not specified (~2022/23); R0102989</t>
        </is>
      </c>
    </row>
    <row r="105" ht="14.1" customHeight="1">
      <c r="A105" s="732" t="inlineStr">
        <is>
          <t>P050</t>
        </is>
      </c>
      <c r="B105" s="695" t="n">
        <v>386</v>
      </c>
      <c r="C105" s="732" t="inlineStr">
        <is>
          <t>R0085523</t>
        </is>
      </c>
      <c r="D105" s="732" t="inlineStr">
        <is>
          <t>Address unknown – see R0085523</t>
        </is>
      </c>
      <c r="E105" s="732" t="inlineStr">
        <is>
          <t>Adams County</t>
        </is>
      </c>
      <c r="F105" s="732" t="inlineStr">
        <is>
          <t>CO</t>
        </is>
      </c>
      <c r="G105" s="732" t="inlineStr">
        <is>
          <t>Self-Storage</t>
        </is>
      </c>
      <c r="H105" s="732" t="inlineStr">
        <is>
          <t>Drive-Up/Drop-Off</t>
        </is>
      </c>
      <c r="I105" s="733" t="n"/>
      <c r="J105" s="733" t="n">
        <v>39525</v>
      </c>
      <c r="K105" s="733" t="n"/>
      <c r="L105" s="732" t="n"/>
      <c r="M105" s="732" t="n"/>
      <c r="N105" s="734" t="n">
        <v>13.7122</v>
      </c>
      <c r="O105" s="734" t="n">
        <v>0.2102</v>
      </c>
      <c r="P105" s="734" t="n">
        <v>2.3853</v>
      </c>
      <c r="Q105" s="732" t="n"/>
      <c r="R105" s="732" t="n"/>
      <c r="S105" s="732" t="n"/>
      <c r="T105" s="732" t="n"/>
      <c r="U105" s="732" t="n"/>
      <c r="V105" s="732" t="n"/>
      <c r="W105" s="732" t="n"/>
      <c r="X105" s="732" t="n"/>
      <c r="Y105" s="734" t="n">
        <v>0.5387</v>
      </c>
      <c r="Z105" s="732" t="n"/>
      <c r="AA105" s="732" t="n"/>
      <c r="AB105" s="732" t="n"/>
      <c r="AC105" s="732" t="n"/>
      <c r="AD105" s="732" t="n"/>
      <c r="AE105" s="732" t="n"/>
      <c r="AF105" s="734" t="n">
        <v>0.4172</v>
      </c>
      <c r="AG105" s="732" t="n"/>
      <c r="AH105" s="734" t="n">
        <v>3.7856</v>
      </c>
      <c r="AI105" s="734" t="n">
        <v>5.2913</v>
      </c>
      <c r="AJ105" s="734" t="n">
        <v>9.0769</v>
      </c>
      <c r="AK105" s="734" t="n">
        <v>4.6352</v>
      </c>
      <c r="AL105" s="732" t="n"/>
      <c r="AM105" s="735" t="inlineStr">
        <is>
          <t>AXG SS Expense Matrix; year not specified (~2022/23); R0085523</t>
        </is>
      </c>
    </row>
    <row r="106" ht="14.1" customHeight="1">
      <c r="A106" s="732" t="inlineStr">
        <is>
          <t>P051</t>
        </is>
      </c>
      <c r="B106" s="695" t="n">
        <v>386</v>
      </c>
      <c r="C106" s="732" t="inlineStr">
        <is>
          <t>R0174860</t>
        </is>
      </c>
      <c r="D106" s="732" t="inlineStr">
        <is>
          <t>Address unknown – see R0174860</t>
        </is>
      </c>
      <c r="E106" s="732" t="inlineStr">
        <is>
          <t>Adams County</t>
        </is>
      </c>
      <c r="F106" s="732" t="inlineStr">
        <is>
          <t>CO</t>
        </is>
      </c>
      <c r="G106" s="732" t="inlineStr">
        <is>
          <t>Self-Storage</t>
        </is>
      </c>
      <c r="H106" s="732" t="inlineStr">
        <is>
          <t>Drive-Up/Drop-Off (containers)</t>
        </is>
      </c>
      <c r="I106" s="733" t="n"/>
      <c r="J106" s="733" t="n">
        <v>45980</v>
      </c>
      <c r="K106" s="733" t="n"/>
      <c r="L106" s="732" t="n"/>
      <c r="M106" s="732" t="n"/>
      <c r="N106" s="734" t="n">
        <v>14.0604</v>
      </c>
      <c r="O106" s="734" t="n">
        <v>0.1085</v>
      </c>
      <c r="P106" s="734" t="n">
        <v>1.5224</v>
      </c>
      <c r="Q106" s="732" t="n"/>
      <c r="R106" s="732" t="n"/>
      <c r="S106" s="732" t="n"/>
      <c r="T106" s="732" t="n"/>
      <c r="U106" s="732" t="n"/>
      <c r="V106" s="732" t="n"/>
      <c r="W106" s="732" t="n"/>
      <c r="X106" s="732" t="n"/>
      <c r="Y106" s="734" t="n">
        <v>0.261</v>
      </c>
      <c r="Z106" s="732" t="n"/>
      <c r="AA106" s="732" t="n"/>
      <c r="AB106" s="732" t="n"/>
      <c r="AC106" s="732" t="n"/>
      <c r="AD106" s="732" t="n"/>
      <c r="AE106" s="732" t="n"/>
      <c r="AF106" s="734" t="n">
        <v>0.2604</v>
      </c>
      <c r="AG106" s="732" t="n"/>
      <c r="AH106" s="734" t="n">
        <v>3.1926</v>
      </c>
      <c r="AI106" s="734" t="n">
        <v>1.806</v>
      </c>
      <c r="AJ106" s="734" t="n">
        <v>4.9986</v>
      </c>
      <c r="AK106" s="734" t="n">
        <v>9.0617</v>
      </c>
      <c r="AL106" s="732" t="n"/>
      <c r="AM106" s="735" t="inlineStr">
        <is>
          <t>AXG SS Expense Matrix; year not specified (~2022/23); R0174860</t>
        </is>
      </c>
    </row>
    <row r="107" ht="14.1" customHeight="1">
      <c r="A107" s="732" t="inlineStr">
        <is>
          <t>P052</t>
        </is>
      </c>
      <c r="B107" s="695" t="n">
        <v>386</v>
      </c>
      <c r="C107" s="732" t="inlineStr">
        <is>
          <t>R0161412</t>
        </is>
      </c>
      <c r="D107" s="732" t="inlineStr">
        <is>
          <t>Address unknown – see R0161412</t>
        </is>
      </c>
      <c r="E107" s="732" t="inlineStr">
        <is>
          <t>Adams County</t>
        </is>
      </c>
      <c r="F107" s="732" t="inlineStr">
        <is>
          <t>CO</t>
        </is>
      </c>
      <c r="G107" s="732" t="inlineStr">
        <is>
          <t>Self-Storage</t>
        </is>
      </c>
      <c r="H107" s="732" t="inlineStr">
        <is>
          <t>Drive-Up/Drop-Off</t>
        </is>
      </c>
      <c r="I107" s="733" t="n"/>
      <c r="J107" s="733" t="n">
        <v>88043</v>
      </c>
      <c r="K107" s="733" t="n"/>
      <c r="L107" s="732" t="n"/>
      <c r="M107" s="732" t="n"/>
      <c r="N107" s="734" t="n">
        <v>13.7047</v>
      </c>
      <c r="O107" s="734" t="n">
        <v>0.1417</v>
      </c>
      <c r="P107" s="734" t="n">
        <v>2.0341</v>
      </c>
      <c r="Q107" s="732" t="n"/>
      <c r="R107" s="732" t="n"/>
      <c r="S107" s="732" t="n"/>
      <c r="T107" s="732" t="n"/>
      <c r="U107" s="732" t="n"/>
      <c r="V107" s="732" t="n"/>
      <c r="W107" s="732" t="n"/>
      <c r="X107" s="732" t="n"/>
      <c r="Y107" s="734" t="n">
        <v>0.2303</v>
      </c>
      <c r="Z107" s="732" t="n"/>
      <c r="AA107" s="732" t="n"/>
      <c r="AB107" s="732" t="n"/>
      <c r="AC107" s="732" t="n"/>
      <c r="AD107" s="732" t="n"/>
      <c r="AE107" s="732" t="n"/>
      <c r="AF107" s="734" t="n">
        <v>0.1926</v>
      </c>
      <c r="AG107" s="732" t="n"/>
      <c r="AH107" s="734" t="n">
        <v>3.2267</v>
      </c>
      <c r="AI107" s="734" t="n">
        <v>4.424</v>
      </c>
      <c r="AJ107" s="734" t="n">
        <v>7.6507</v>
      </c>
      <c r="AK107" s="734" t="n">
        <v>6.054</v>
      </c>
      <c r="AL107" s="732" t="n"/>
      <c r="AM107" s="735" t="inlineStr">
        <is>
          <t>AXG SS Expense Matrix; year not specified (~2022/23); R0161412</t>
        </is>
      </c>
    </row>
    <row r="108" ht="14.1" customHeight="1">
      <c r="A108" s="732" t="inlineStr">
        <is>
          <t>P053</t>
        </is>
      </c>
      <c r="B108" s="695" t="n">
        <v>386</v>
      </c>
      <c r="C108" s="732" t="inlineStr">
        <is>
          <t>R0169115</t>
        </is>
      </c>
      <c r="D108" s="732" t="inlineStr">
        <is>
          <t>Address unknown – see R0169115</t>
        </is>
      </c>
      <c r="E108" s="732" t="inlineStr">
        <is>
          <t>Adams County</t>
        </is>
      </c>
      <c r="F108" s="732" t="inlineStr">
        <is>
          <t>CO</t>
        </is>
      </c>
      <c r="G108" s="732" t="inlineStr">
        <is>
          <t>Self-Storage</t>
        </is>
      </c>
      <c r="H108" s="732" t="inlineStr">
        <is>
          <t>Drive-Up/Drop-Off</t>
        </is>
      </c>
      <c r="I108" s="733" t="n"/>
      <c r="J108" s="733" t="n">
        <v>41764</v>
      </c>
      <c r="K108" s="733" t="n"/>
      <c r="L108" s="732" t="n"/>
      <c r="M108" s="732" t="n"/>
      <c r="N108" s="734" t="n">
        <v>18.8527</v>
      </c>
      <c r="O108" s="734" t="n">
        <v>0.2311</v>
      </c>
      <c r="P108" s="734" t="n">
        <v>1.995</v>
      </c>
      <c r="Q108" s="732" t="n"/>
      <c r="R108" s="732" t="n"/>
      <c r="S108" s="732" t="n"/>
      <c r="T108" s="732" t="n"/>
      <c r="U108" s="732" t="n"/>
      <c r="V108" s="732" t="n"/>
      <c r="W108" s="732" t="n"/>
      <c r="X108" s="732" t="n"/>
      <c r="Y108" s="734" t="n">
        <v>0.6139</v>
      </c>
      <c r="Z108" s="732" t="n"/>
      <c r="AA108" s="732" t="n"/>
      <c r="AB108" s="732" t="n"/>
      <c r="AC108" s="732" t="n"/>
      <c r="AD108" s="732" t="n"/>
      <c r="AE108" s="732" t="n"/>
      <c r="AF108" s="734" t="n">
        <v>0.3821</v>
      </c>
      <c r="AG108" s="732" t="n"/>
      <c r="AH108" s="734" t="n">
        <v>4.6124</v>
      </c>
      <c r="AI108" s="734" t="n">
        <v>4.8634</v>
      </c>
      <c r="AJ108" s="734" t="n">
        <v>9.4758</v>
      </c>
      <c r="AK108" s="734" t="n">
        <v>9.376899999999999</v>
      </c>
      <c r="AL108" s="732" t="n"/>
      <c r="AM108" s="735" t="inlineStr">
        <is>
          <t>AXG SS Expense Matrix; year not specified (~2022/23); R0169115</t>
        </is>
      </c>
    </row>
    <row r="109" ht="14.1" customHeight="1">
      <c r="A109" s="696" t="inlineStr">
        <is>
          <t>P016</t>
        </is>
      </c>
      <c r="B109" s="695" t="n">
        <v>584</v>
      </c>
      <c r="C109" s="696" t="inlineStr">
        <is>
          <t>R0212546/R0212547</t>
        </is>
      </c>
      <c r="D109" s="696" t="inlineStr">
        <is>
          <t>2780 N Tower Rd</t>
        </is>
      </c>
      <c r="E109" s="696" t="inlineStr">
        <is>
          <t>Aurora</t>
        </is>
      </c>
      <c r="F109" s="696" t="inlineStr">
        <is>
          <t>CO</t>
        </is>
      </c>
      <c r="G109" s="696" t="inlineStr">
        <is>
          <t>Industrial</t>
        </is>
      </c>
      <c r="H109" s="696" t="inlineStr">
        <is>
          <t>Mega Warehouse NNN</t>
        </is>
      </c>
      <c r="I109" s="722" t="n">
        <v>1983</v>
      </c>
      <c r="J109" s="722" t="n">
        <v>377729</v>
      </c>
      <c r="K109" s="722" t="n">
        <v>2023</v>
      </c>
      <c r="L109" s="723" t="n">
        <v>7.8884</v>
      </c>
      <c r="M109" s="696" t="n"/>
      <c r="N109" s="723" t="n">
        <v>7.8884</v>
      </c>
      <c r="O109" s="696" t="n"/>
      <c r="P109" s="723" t="n">
        <v>0.0102</v>
      </c>
      <c r="Q109" s="696" t="n"/>
      <c r="R109" s="696" t="n"/>
      <c r="S109" s="696" t="n"/>
      <c r="T109" s="696" t="n"/>
      <c r="U109" s="696" t="n"/>
      <c r="V109" s="696" t="n"/>
      <c r="W109" s="696" t="n"/>
      <c r="X109" s="696" t="n"/>
      <c r="Y109" s="696" t="n"/>
      <c r="Z109" s="696" t="n"/>
      <c r="AA109" s="696" t="n"/>
      <c r="AB109" s="696" t="n"/>
      <c r="AC109" s="696" t="n"/>
      <c r="AD109" s="696" t="n"/>
      <c r="AE109" s="696" t="n"/>
      <c r="AF109" s="696" t="n"/>
      <c r="AG109" s="723" t="n">
        <v>0.0206</v>
      </c>
      <c r="AH109" s="723" t="n">
        <v>0.1095</v>
      </c>
      <c r="AI109" s="723" t="n">
        <v>0</v>
      </c>
      <c r="AJ109" s="723" t="n">
        <v>0.1095</v>
      </c>
      <c r="AK109" s="723" t="n">
        <v>7.7789</v>
      </c>
      <c r="AL109" s="696" t="n"/>
      <c r="AM109" s="724" t="inlineStr">
        <is>
          <t>Absolute NNN; tenant pays ALL RE tax, ins, CAM; owner opex = admin only (excl D&amp;A $456k); supersedes proforma row</t>
        </is>
      </c>
    </row>
    <row r="110" ht="14.1" customHeight="1">
      <c r="A110" s="718" t="inlineStr">
        <is>
          <t>P016</t>
        </is>
      </c>
      <c r="B110" s="695" t="n">
        <v>584</v>
      </c>
      <c r="C110" s="718" t="inlineStr">
        <is>
          <t>R0212546/R0212547</t>
        </is>
      </c>
      <c r="D110" s="718" t="inlineStr">
        <is>
          <t>2780 N Tower Rd</t>
        </is>
      </c>
      <c r="E110" s="718" t="inlineStr">
        <is>
          <t>Aurora</t>
        </is>
      </c>
      <c r="F110" s="718" t="inlineStr">
        <is>
          <t>CO</t>
        </is>
      </c>
      <c r="G110" s="718" t="inlineStr">
        <is>
          <t>Industrial</t>
        </is>
      </c>
      <c r="H110" s="718" t="inlineStr">
        <is>
          <t>Mega Warehouse NNN</t>
        </is>
      </c>
      <c r="I110" s="719" t="n">
        <v>1983</v>
      </c>
      <c r="J110" s="719" t="n">
        <v>377729</v>
      </c>
      <c r="K110" s="719" t="n">
        <v>2024</v>
      </c>
      <c r="L110" s="720" t="n">
        <v>8.067600000000001</v>
      </c>
      <c r="M110" s="718" t="n"/>
      <c r="N110" s="720" t="n">
        <v>8.067600000000001</v>
      </c>
      <c r="O110" s="718" t="n"/>
      <c r="P110" s="720" t="n">
        <v>0.0106</v>
      </c>
      <c r="Q110" s="718" t="n"/>
      <c r="R110" s="718" t="n"/>
      <c r="S110" s="718" t="n"/>
      <c r="T110" s="718" t="n"/>
      <c r="U110" s="718" t="n"/>
      <c r="V110" s="718" t="n"/>
      <c r="W110" s="718" t="n"/>
      <c r="X110" s="718" t="n"/>
      <c r="Y110" s="718" t="n"/>
      <c r="Z110" s="718" t="n"/>
      <c r="AA110" s="718" t="n"/>
      <c r="AB110" s="718" t="n"/>
      <c r="AC110" s="718" t="n"/>
      <c r="AD110" s="718" t="n"/>
      <c r="AE110" s="718" t="n"/>
      <c r="AF110" s="718" t="n"/>
      <c r="AG110" s="720" t="n">
        <v>0.06850000000000001</v>
      </c>
      <c r="AH110" s="720" t="n">
        <v>0.1558</v>
      </c>
      <c r="AI110" s="720" t="n">
        <v>0</v>
      </c>
      <c r="AJ110" s="720" t="n">
        <v>0.1558</v>
      </c>
      <c r="AK110" s="720" t="n">
        <v>7.9118</v>
      </c>
      <c r="AL110" s="718" t="n"/>
      <c r="AM110" s="721" t="inlineStr">
        <is>
          <t>Absolute NNN; tenant pays ALL RE tax, ins, CAM; owner opex = admin only (excl D&amp;A $456k); supersedes proforma row</t>
        </is>
      </c>
    </row>
    <row r="111" ht="14.1" customHeight="1">
      <c r="A111" s="696" t="inlineStr">
        <is>
          <t>P034</t>
        </is>
      </c>
      <c r="B111" s="695" t="n">
        <v>407</v>
      </c>
      <c r="C111" s="696" t="inlineStr">
        <is>
          <t>R0172865</t>
        </is>
      </c>
      <c r="D111" s="696" t="inlineStr">
        <is>
          <t>Majestic Commercenter (R0172865)</t>
        </is>
      </c>
      <c r="E111" s="696" t="inlineStr">
        <is>
          <t>Commerce City</t>
        </is>
      </c>
      <c r="F111" s="696" t="inlineStr">
        <is>
          <t>CO</t>
        </is>
      </c>
      <c r="G111" s="696" t="inlineStr">
        <is>
          <t>Industrial</t>
        </is>
      </c>
      <c r="H111" s="696" t="inlineStr">
        <is>
          <t>Warehouse NNN</t>
        </is>
      </c>
      <c r="I111" s="722" t="n">
        <v>2008</v>
      </c>
      <c r="J111" s="722" t="n">
        <v>215461</v>
      </c>
      <c r="K111" s="722" t="n">
        <v>2024</v>
      </c>
      <c r="L111" s="723" t="n">
        <v>7.1488</v>
      </c>
      <c r="M111" s="696" t="n"/>
      <c r="N111" s="723" t="n">
        <v>7.1488</v>
      </c>
      <c r="O111" s="696" t="n"/>
      <c r="P111" s="696" t="n"/>
      <c r="Q111" s="696" t="n"/>
      <c r="R111" s="696" t="n"/>
      <c r="S111" s="696" t="n"/>
      <c r="T111" s="696" t="n"/>
      <c r="U111" s="696" t="n"/>
      <c r="V111" s="696" t="n"/>
      <c r="W111" s="696" t="n"/>
      <c r="X111" s="696" t="n"/>
      <c r="Y111" s="696" t="n"/>
      <c r="Z111" s="696" t="n"/>
      <c r="AA111" s="723" t="n">
        <v>0.0459</v>
      </c>
      <c r="AB111" s="723" t="n">
        <v>0.1387</v>
      </c>
      <c r="AC111" s="696" t="n"/>
      <c r="AD111" s="696" t="n"/>
      <c r="AE111" s="696" t="n"/>
      <c r="AF111" s="696" t="n"/>
      <c r="AG111" s="696" t="n"/>
      <c r="AH111" s="696" t="n"/>
      <c r="AI111" s="696" t="n"/>
      <c r="AJ111" s="696" t="n"/>
      <c r="AK111" s="696" t="n"/>
      <c r="AL111" s="696" t="n"/>
      <c r="AM111" s="724" t="inlineStr">
        <is>
          <t>2024 actual 12-month P&amp;L; NOI est. per expense ratio; from 08_2025 Review</t>
        </is>
      </c>
    </row>
    <row r="112" ht="14.1" customHeight="1">
      <c r="A112" s="718" t="inlineStr">
        <is>
          <t>P036</t>
        </is>
      </c>
      <c r="B112" s="695" t="n">
        <v>407</v>
      </c>
      <c r="C112" s="718" t="inlineStr">
        <is>
          <t>R0172868</t>
        </is>
      </c>
      <c r="D112" s="718" t="inlineStr">
        <is>
          <t>Majestic Commercenter (R0172868)</t>
        </is>
      </c>
      <c r="E112" s="718" t="inlineStr">
        <is>
          <t>Commerce City</t>
        </is>
      </c>
      <c r="F112" s="718" t="inlineStr">
        <is>
          <t>CO</t>
        </is>
      </c>
      <c r="G112" s="718" t="inlineStr">
        <is>
          <t>Industrial</t>
        </is>
      </c>
      <c r="H112" s="718" t="inlineStr">
        <is>
          <t>Warehouse NNN</t>
        </is>
      </c>
      <c r="I112" s="719" t="n">
        <v>2007</v>
      </c>
      <c r="J112" s="719" t="n">
        <v>202091</v>
      </c>
      <c r="K112" s="719" t="n">
        <v>2024</v>
      </c>
      <c r="L112" s="718" t="n"/>
      <c r="M112" s="718" t="n"/>
      <c r="N112" s="720" t="n">
        <v>5.233</v>
      </c>
      <c r="O112" s="718" t="n"/>
      <c r="P112" s="718" t="n"/>
      <c r="Q112" s="718" t="n"/>
      <c r="R112" s="718" t="n"/>
      <c r="S112" s="718" t="n"/>
      <c r="T112" s="718" t="n"/>
      <c r="U112" s="718" t="n"/>
      <c r="V112" s="718" t="n"/>
      <c r="W112" s="718" t="n"/>
      <c r="X112" s="718" t="n"/>
      <c r="Y112" s="718" t="n"/>
      <c r="Z112" s="718" t="n"/>
      <c r="AA112" s="718" t="n"/>
      <c r="AB112" s="718" t="n"/>
      <c r="AC112" s="718" t="n"/>
      <c r="AD112" s="718" t="n"/>
      <c r="AE112" s="718" t="n"/>
      <c r="AF112" s="718" t="n"/>
      <c r="AG112" s="718" t="n"/>
      <c r="AH112" s="720" t="n">
        <v>3.5731</v>
      </c>
      <c r="AI112" s="718" t="n"/>
      <c r="AJ112" s="720" t="n">
        <v>3.5731</v>
      </c>
      <c r="AK112" s="720" t="n">
        <v>1.6599</v>
      </c>
      <c r="AL112" s="718" t="n"/>
      <c r="AM112" s="721" t="inlineStr">
        <is>
          <t>2024 actual 12-month P&amp;L; from 08_2025 Review</t>
        </is>
      </c>
    </row>
    <row r="113" ht="14.1" customHeight="1">
      <c r="A113" s="696" t="inlineStr">
        <is>
          <t>P054</t>
        </is>
      </c>
      <c r="B113" s="695" t="n">
        <v>210</v>
      </c>
      <c r="C113" s="696" t="inlineStr">
        <is>
          <t>R0180551</t>
        </is>
      </c>
      <c r="D113" s="696" t="inlineStr">
        <is>
          <t>1953 N Gun Club Rd</t>
        </is>
      </c>
      <c r="E113" s="696" t="inlineStr">
        <is>
          <t>Aurora</t>
        </is>
      </c>
      <c r="F113" s="696" t="inlineStr">
        <is>
          <t>CO</t>
        </is>
      </c>
      <c r="G113" s="696" t="inlineStr">
        <is>
          <t>Industrial</t>
        </is>
      </c>
      <c r="H113" s="696" t="inlineStr">
        <is>
          <t>Multi-Tenant Industrial/Office NNN</t>
        </is>
      </c>
      <c r="I113" s="722" t="n"/>
      <c r="J113" s="722" t="n"/>
      <c r="K113" s="722" t="n">
        <v>2023</v>
      </c>
      <c r="L113" s="696" t="n"/>
      <c r="M113" s="696" t="n"/>
      <c r="N113" s="731" t="n">
        <v>2454080</v>
      </c>
      <c r="O113" s="731" t="n">
        <v>41179</v>
      </c>
      <c r="P113" s="731" t="n">
        <v>58394</v>
      </c>
      <c r="Q113" s="696" t="n"/>
      <c r="R113" s="696" t="n"/>
      <c r="S113" s="731" t="n">
        <v>36166</v>
      </c>
      <c r="T113" s="731" t="n">
        <v>1942</v>
      </c>
      <c r="U113" s="696" t="n"/>
      <c r="V113" s="696" t="n"/>
      <c r="W113" s="696" t="n"/>
      <c r="X113" s="731" t="n">
        <v>549</v>
      </c>
      <c r="Y113" s="731" t="n">
        <v>38657</v>
      </c>
      <c r="Z113" s="696" t="n"/>
      <c r="AA113" s="731" t="n">
        <v>15068</v>
      </c>
      <c r="AB113" s="731" t="n">
        <v>55875</v>
      </c>
      <c r="AC113" s="731" t="n">
        <v>70943</v>
      </c>
      <c r="AD113" s="731" t="n">
        <v>25682</v>
      </c>
      <c r="AE113" s="696" t="n"/>
      <c r="AF113" s="731" t="n">
        <v>25682</v>
      </c>
      <c r="AG113" s="731" t="n">
        <v>1654</v>
      </c>
      <c r="AH113" s="731" t="n">
        <v>220784</v>
      </c>
      <c r="AI113" s="731" t="n">
        <v>1347168</v>
      </c>
      <c r="AJ113" s="731" t="n">
        <v>1568172</v>
      </c>
      <c r="AK113" s="731" t="n">
        <v>885908</v>
      </c>
      <c r="AL113" s="696" t="n"/>
      <c r="AM113" s="724" t="inlineStr">
        <is>
          <t>[NO SF] Actual accrual; base rent $880k; recovery $1.59M; prior-yr adj included</t>
        </is>
      </c>
    </row>
    <row r="114" ht="14.1" customHeight="1">
      <c r="A114" s="718" t="inlineStr">
        <is>
          <t>P054</t>
        </is>
      </c>
      <c r="B114" s="695" t="n">
        <v>210</v>
      </c>
      <c r="C114" s="718" t="inlineStr">
        <is>
          <t>R0180551</t>
        </is>
      </c>
      <c r="D114" s="718" t="inlineStr">
        <is>
          <t>1953 N Gun Club Rd</t>
        </is>
      </c>
      <c r="E114" s="718" t="inlineStr">
        <is>
          <t>Aurora</t>
        </is>
      </c>
      <c r="F114" s="718" t="inlineStr">
        <is>
          <t>CO</t>
        </is>
      </c>
      <c r="G114" s="718" t="inlineStr">
        <is>
          <t>Industrial</t>
        </is>
      </c>
      <c r="H114" s="718" t="inlineStr">
        <is>
          <t>Multi-Tenant Industrial/Office NNN</t>
        </is>
      </c>
      <c r="I114" s="719" t="n"/>
      <c r="J114" s="719" t="n"/>
      <c r="K114" s="719" t="n">
        <v>2024</v>
      </c>
      <c r="L114" s="718" t="n"/>
      <c r="M114" s="718" t="n"/>
      <c r="N114" s="730" t="n">
        <v>2720117</v>
      </c>
      <c r="O114" s="730" t="n">
        <v>53324</v>
      </c>
      <c r="P114" s="730" t="n">
        <v>85426</v>
      </c>
      <c r="Q114" s="718" t="n"/>
      <c r="R114" s="718" t="n"/>
      <c r="S114" s="730" t="n">
        <v>10052</v>
      </c>
      <c r="T114" s="730" t="n">
        <v>12752</v>
      </c>
      <c r="U114" s="718" t="n"/>
      <c r="V114" s="718" t="n"/>
      <c r="W114" s="718" t="n"/>
      <c r="X114" s="730" t="n">
        <v>789</v>
      </c>
      <c r="Y114" s="730" t="n">
        <v>23593</v>
      </c>
      <c r="Z114" s="718" t="n"/>
      <c r="AA114" s="730" t="n">
        <v>16126</v>
      </c>
      <c r="AB114" s="730" t="n">
        <v>57314</v>
      </c>
      <c r="AC114" s="730" t="n">
        <v>73440</v>
      </c>
      <c r="AD114" s="730" t="n">
        <v>21725</v>
      </c>
      <c r="AE114" s="718" t="n"/>
      <c r="AF114" s="730" t="n">
        <v>21725</v>
      </c>
      <c r="AG114" s="730" t="n">
        <v>2601</v>
      </c>
      <c r="AH114" s="730" t="n">
        <v>265585</v>
      </c>
      <c r="AI114" s="730" t="n">
        <v>1331347</v>
      </c>
      <c r="AJ114" s="730" t="n">
        <v>1596932</v>
      </c>
      <c r="AK114" s="730" t="n">
        <v>1123184</v>
      </c>
      <c r="AL114" s="718" t="n"/>
      <c r="AM114" s="721" t="inlineStr">
        <is>
          <t>[NO SF] Actual accrual; base rent $1.09M stepped; recovery $1.62M</t>
        </is>
      </c>
    </row>
    <row r="115" ht="14.1" customHeight="1">
      <c r="A115" s="696" t="inlineStr">
        <is>
          <t>P055</t>
        </is>
      </c>
      <c r="B115" s="695" t="n">
        <v>407</v>
      </c>
      <c r="C115" s="696" t="inlineStr">
        <is>
          <t>R0211072/R0211073/R0211074</t>
        </is>
      </c>
      <c r="D115" s="696" t="inlineStr">
        <is>
          <t>Park 76 Distribution Center</t>
        </is>
      </c>
      <c r="E115" s="696" t="inlineStr">
        <is>
          <t>Aurora</t>
        </is>
      </c>
      <c r="F115" s="696" t="inlineStr">
        <is>
          <t>CO</t>
        </is>
      </c>
      <c r="G115" s="696" t="inlineStr">
        <is>
          <t>Industrial</t>
        </is>
      </c>
      <c r="H115" s="696" t="inlineStr">
        <is>
          <t>Industrial Warehouse NNN</t>
        </is>
      </c>
      <c r="I115" s="722" t="n"/>
      <c r="J115" s="722" t="n"/>
      <c r="K115" s="722" t="n">
        <v>2023</v>
      </c>
      <c r="L115" s="731" t="n">
        <v>1865903</v>
      </c>
      <c r="M115" s="696" t="n"/>
      <c r="N115" s="731" t="n">
        <v>2819460</v>
      </c>
      <c r="O115" s="731" t="n">
        <v>30551</v>
      </c>
      <c r="P115" s="731" t="n">
        <v>174961</v>
      </c>
      <c r="Q115" s="696" t="n"/>
      <c r="R115" s="696" t="n"/>
      <c r="S115" s="731" t="n">
        <v>38995</v>
      </c>
      <c r="T115" s="731" t="n">
        <v>27460</v>
      </c>
      <c r="U115" s="696" t="n"/>
      <c r="V115" s="696" t="n"/>
      <c r="W115" s="696" t="n"/>
      <c r="X115" s="731" t="n">
        <v>2475</v>
      </c>
      <c r="Y115" s="731" t="n">
        <v>68930</v>
      </c>
      <c r="Z115" s="696" t="n"/>
      <c r="AA115" s="731" t="n">
        <v>18672</v>
      </c>
      <c r="AB115" s="731" t="n">
        <v>19945</v>
      </c>
      <c r="AC115" s="731" t="n">
        <v>38617</v>
      </c>
      <c r="AD115" s="696" t="n"/>
      <c r="AE115" s="696" t="n"/>
      <c r="AF115" s="731" t="n">
        <v>58172</v>
      </c>
      <c r="AG115" s="731" t="n">
        <v>18488</v>
      </c>
      <c r="AH115" s="731" t="n">
        <v>379535</v>
      </c>
      <c r="AI115" s="731" t="n">
        <v>895967</v>
      </c>
      <c r="AJ115" s="731" t="n">
        <v>1013502</v>
      </c>
      <c r="AK115" s="731" t="n">
        <v>1805958</v>
      </c>
      <c r="AL115" s="696" t="n"/>
      <c r="AM115" s="724" t="inlineStr">
        <is>
          <t>[NO SF] 3-bldg campus; actual accrual; base rent $1.87M; recovery $992k; prior-yr tax credit ($186k) netted</t>
        </is>
      </c>
    </row>
    <row r="116" ht="14.1" customHeight="1">
      <c r="A116" s="718" t="inlineStr">
        <is>
          <t>P055</t>
        </is>
      </c>
      <c r="B116" s="695" t="n">
        <v>407</v>
      </c>
      <c r="C116" s="718" t="inlineStr">
        <is>
          <t>R0211072/R0211073/R0211074</t>
        </is>
      </c>
      <c r="D116" s="718" t="inlineStr">
        <is>
          <t>Park 76 Distribution Center</t>
        </is>
      </c>
      <c r="E116" s="718" t="inlineStr">
        <is>
          <t>Aurora</t>
        </is>
      </c>
      <c r="F116" s="718" t="inlineStr">
        <is>
          <t>CO</t>
        </is>
      </c>
      <c r="G116" s="718" t="inlineStr">
        <is>
          <t>Industrial</t>
        </is>
      </c>
      <c r="H116" s="718" t="inlineStr">
        <is>
          <t>Industrial Warehouse NNN</t>
        </is>
      </c>
      <c r="I116" s="719" t="n"/>
      <c r="J116" s="719" t="n"/>
      <c r="K116" s="719" t="n">
        <v>2024</v>
      </c>
      <c r="L116" s="730" t="n">
        <v>2075908</v>
      </c>
      <c r="M116" s="718" t="n"/>
      <c r="N116" s="730" t="n">
        <v>3348615</v>
      </c>
      <c r="O116" s="730" t="n">
        <v>35750</v>
      </c>
      <c r="P116" s="730" t="n">
        <v>200286</v>
      </c>
      <c r="Q116" s="718" t="n"/>
      <c r="R116" s="718" t="n"/>
      <c r="S116" s="730" t="n">
        <v>22119</v>
      </c>
      <c r="T116" s="730" t="n">
        <v>33962</v>
      </c>
      <c r="U116" s="718" t="n"/>
      <c r="V116" s="718" t="n"/>
      <c r="W116" s="718" t="n"/>
      <c r="X116" s="730" t="n">
        <v>3333</v>
      </c>
      <c r="Y116" s="730" t="n">
        <v>59414</v>
      </c>
      <c r="Z116" s="718" t="n"/>
      <c r="AA116" s="730" t="n">
        <v>26689</v>
      </c>
      <c r="AB116" s="730" t="n">
        <v>56296</v>
      </c>
      <c r="AC116" s="730" t="n">
        <v>82985</v>
      </c>
      <c r="AD116" s="718" t="n"/>
      <c r="AE116" s="718" t="n"/>
      <c r="AF116" s="730" t="n">
        <v>34195</v>
      </c>
      <c r="AG116" s="730" t="n">
        <v>4284</v>
      </c>
      <c r="AH116" s="730" t="n">
        <v>341787</v>
      </c>
      <c r="AI116" s="730" t="n">
        <v>989805</v>
      </c>
      <c r="AJ116" s="730" t="n">
        <v>1331592</v>
      </c>
      <c r="AK116" s="730" t="n">
        <v>2017023</v>
      </c>
      <c r="AL116" s="718" t="n"/>
      <c r="AM116" s="721" t="inlineStr">
        <is>
          <t>[NO SF] 3-bldg campus; actual accrual; near-stabilized; base rent $2.08M; recovery $1.23M</t>
        </is>
      </c>
    </row>
    <row r="117" ht="14.1" customHeight="1">
      <c r="A117" s="696" t="inlineStr">
        <is>
          <t>P056</t>
        </is>
      </c>
      <c r="B117" s="695" t="n">
        <v>407</v>
      </c>
      <c r="C117" s="696" t="inlineStr">
        <is>
          <t>R0210485</t>
        </is>
      </c>
      <c r="D117" s="696" t="inlineStr">
        <is>
          <t>1101 E 126th Ave (Bldg A)</t>
        </is>
      </c>
      <c r="E117" s="696" t="inlineStr">
        <is>
          <t>Thornton</t>
        </is>
      </c>
      <c r="F117" s="696" t="inlineStr">
        <is>
          <t>CO</t>
        </is>
      </c>
      <c r="G117" s="696" t="inlineStr">
        <is>
          <t>Industrial</t>
        </is>
      </c>
      <c r="H117" s="696" t="inlineStr">
        <is>
          <t>Industrial Warehouse NNN</t>
        </is>
      </c>
      <c r="I117" s="722" t="n">
        <v>2022</v>
      </c>
      <c r="J117" s="722" t="n"/>
      <c r="K117" s="722" t="n">
        <v>2024</v>
      </c>
      <c r="L117" s="731" t="n">
        <v>646186</v>
      </c>
      <c r="M117" s="696" t="n"/>
      <c r="N117" s="731" t="n">
        <v>839307</v>
      </c>
      <c r="O117" s="731" t="n">
        <v>11813</v>
      </c>
      <c r="P117" s="731" t="n">
        <v>47295</v>
      </c>
      <c r="Q117" s="696" t="n"/>
      <c r="R117" s="696" t="n"/>
      <c r="S117" s="696" t="n"/>
      <c r="T117" s="731" t="n">
        <v>9156</v>
      </c>
      <c r="U117" s="696" t="n"/>
      <c r="V117" s="696" t="n"/>
      <c r="W117" s="696" t="n"/>
      <c r="X117" s="731" t="n">
        <v>3898</v>
      </c>
      <c r="Y117" s="731" t="n">
        <v>13054</v>
      </c>
      <c r="Z117" s="696" t="n"/>
      <c r="AA117" s="731" t="n">
        <v>11343</v>
      </c>
      <c r="AB117" s="731" t="n">
        <v>24799</v>
      </c>
      <c r="AC117" s="731" t="n">
        <v>36142</v>
      </c>
      <c r="AD117" s="696" t="n"/>
      <c r="AE117" s="696" t="n"/>
      <c r="AF117" s="731" t="n">
        <v>27895</v>
      </c>
      <c r="AG117" s="696" t="n"/>
      <c r="AH117" s="731" t="n">
        <v>146517</v>
      </c>
      <c r="AI117" s="731" t="n">
        <v>558285</v>
      </c>
      <c r="AJ117" s="731" t="n">
        <v>705154</v>
      </c>
      <c r="AK117" s="731" t="n">
        <v>134153</v>
      </c>
      <c r="AL117" s="696" t="n"/>
      <c r="AM117" s="724" t="inlineStr">
        <is>
          <t>[NO SF] New (YOC ~2022); 2024 near-stabilized; 2023 excluded (lease-up, negative NOI)</t>
        </is>
      </c>
    </row>
    <row r="118" ht="14.1" customHeight="1">
      <c r="A118" s="718" t="inlineStr">
        <is>
          <t>P057</t>
        </is>
      </c>
      <c r="B118" s="695" t="n">
        <v>407</v>
      </c>
      <c r="C118" s="718" t="inlineStr">
        <is>
          <t>R0210486</t>
        </is>
      </c>
      <c r="D118" s="718" t="inlineStr">
        <is>
          <t>12625 Lafayette St (Bldg B)</t>
        </is>
      </c>
      <c r="E118" s="718" t="inlineStr">
        <is>
          <t>Thornton</t>
        </is>
      </c>
      <c r="F118" s="718" t="inlineStr">
        <is>
          <t>CO</t>
        </is>
      </c>
      <c r="G118" s="718" t="inlineStr">
        <is>
          <t>Industrial</t>
        </is>
      </c>
      <c r="H118" s="718" t="inlineStr">
        <is>
          <t>Industrial Warehouse NNN</t>
        </is>
      </c>
      <c r="I118" s="719" t="n">
        <v>2022</v>
      </c>
      <c r="J118" s="719" t="n"/>
      <c r="K118" s="719" t="n">
        <v>2024</v>
      </c>
      <c r="L118" s="730" t="n">
        <v>898845</v>
      </c>
      <c r="M118" s="718" t="n"/>
      <c r="N118" s="730" t="n">
        <v>1373599</v>
      </c>
      <c r="O118" s="730" t="n">
        <v>21888</v>
      </c>
      <c r="P118" s="730" t="n">
        <v>72220</v>
      </c>
      <c r="Q118" s="718" t="n"/>
      <c r="R118" s="718" t="n"/>
      <c r="S118" s="718" t="n"/>
      <c r="T118" s="730" t="n">
        <v>8438</v>
      </c>
      <c r="U118" s="718" t="n"/>
      <c r="V118" s="718" t="n"/>
      <c r="W118" s="718" t="n"/>
      <c r="X118" s="730" t="n">
        <v>5773</v>
      </c>
      <c r="Y118" s="730" t="n">
        <v>14211</v>
      </c>
      <c r="Z118" s="718" t="n"/>
      <c r="AA118" s="730" t="n">
        <v>21287</v>
      </c>
      <c r="AB118" s="730" t="n">
        <v>29625</v>
      </c>
      <c r="AC118" s="730" t="n">
        <v>50912</v>
      </c>
      <c r="AD118" s="718" t="n"/>
      <c r="AE118" s="718" t="n"/>
      <c r="AF118" s="730" t="n">
        <v>51235</v>
      </c>
      <c r="AG118" s="718" t="n"/>
      <c r="AH118" s="730" t="n">
        <v>209004</v>
      </c>
      <c r="AI118" s="730" t="n">
        <v>762465</v>
      </c>
      <c r="AJ118" s="730" t="n">
        <v>971469</v>
      </c>
      <c r="AK118" s="730" t="n">
        <v>402131</v>
      </c>
      <c r="AL118" s="718" t="n"/>
      <c r="AM118" s="721" t="inlineStr">
        <is>
          <t>[NO SF] New (YOC ~2022); 2024 near-stabilized; 2023 excluded (lease-up, negative NOI)</t>
        </is>
      </c>
    </row>
    <row r="119" ht="14.1" customHeight="1">
      <c r="A119" s="696" t="inlineStr">
        <is>
          <t>P058</t>
        </is>
      </c>
      <c r="B119" s="695" t="n">
        <v>407</v>
      </c>
      <c r="C119" s="696" t="inlineStr">
        <is>
          <t>R0091934</t>
        </is>
      </c>
      <c r="D119" s="696" t="inlineStr">
        <is>
          <t>350 Park Industrial (5759)</t>
        </is>
      </c>
      <c r="E119" s="696" t="inlineStr">
        <is>
          <t>Aurora</t>
        </is>
      </c>
      <c r="F119" s="696" t="inlineStr">
        <is>
          <t>CO</t>
        </is>
      </c>
      <c r="G119" s="696" t="inlineStr">
        <is>
          <t>Industrial</t>
        </is>
      </c>
      <c r="H119" s="696" t="inlineStr">
        <is>
          <t>Multi-Tenant Industrial 407</t>
        </is>
      </c>
      <c r="I119" s="722" t="n">
        <v>1995</v>
      </c>
      <c r="J119" s="722" t="n">
        <v>32600</v>
      </c>
      <c r="K119" s="722" t="n">
        <v>2023</v>
      </c>
      <c r="L119" s="723" t="n">
        <v>9.103300000000001</v>
      </c>
      <c r="M119" s="696" t="n"/>
      <c r="N119" s="723" t="n">
        <v>13.7731</v>
      </c>
      <c r="O119" s="723" t="n">
        <v>0.1782</v>
      </c>
      <c r="P119" s="723" t="n">
        <v>0.5171</v>
      </c>
      <c r="Q119" s="723" t="n">
        <v>0.0369</v>
      </c>
      <c r="R119" s="696" t="n"/>
      <c r="S119" s="723" t="n">
        <v>0.3072</v>
      </c>
      <c r="T119" s="723" t="n">
        <v>0.0153</v>
      </c>
      <c r="U119" s="696" t="n"/>
      <c r="V119" s="696" t="n"/>
      <c r="W119" s="696" t="n"/>
      <c r="X119" s="723" t="n">
        <v>0.238</v>
      </c>
      <c r="Y119" s="723" t="n">
        <v>0.5975</v>
      </c>
      <c r="Z119" s="723" t="n">
        <v>0.0417</v>
      </c>
      <c r="AA119" s="696" t="n"/>
      <c r="AB119" s="696" t="n"/>
      <c r="AC119" s="723" t="n">
        <v>0.0417</v>
      </c>
      <c r="AD119" s="723" t="n">
        <v>0.1872</v>
      </c>
      <c r="AE119" s="696" t="n"/>
      <c r="AF119" s="723" t="n">
        <v>0.1872</v>
      </c>
      <c r="AG119" s="723" t="n">
        <v>0.2377</v>
      </c>
      <c r="AH119" s="723" t="n">
        <v>1.7506</v>
      </c>
      <c r="AI119" s="723" t="n">
        <v>3.1503</v>
      </c>
      <c r="AJ119" s="723" t="n">
        <v>4.8938</v>
      </c>
      <c r="AK119" s="723" t="n">
        <v>8.879300000000001</v>
      </c>
      <c r="AL119" s="696" t="n"/>
      <c r="AM119" s="724" t="inlineStr">
        <is>
          <t>Actual accrual; 3 tenants; multi-tenant industrial</t>
        </is>
      </c>
    </row>
    <row r="120" ht="14.1" customHeight="1">
      <c r="A120" s="718" t="inlineStr">
        <is>
          <t>P058</t>
        </is>
      </c>
      <c r="B120" s="695" t="n">
        <v>407</v>
      </c>
      <c r="C120" s="718" t="inlineStr">
        <is>
          <t>R0091934</t>
        </is>
      </c>
      <c r="D120" s="718" t="inlineStr">
        <is>
          <t>350 Park Industrial (5759)</t>
        </is>
      </c>
      <c r="E120" s="718" t="inlineStr">
        <is>
          <t>Aurora</t>
        </is>
      </c>
      <c r="F120" s="718" t="inlineStr">
        <is>
          <t>CO</t>
        </is>
      </c>
      <c r="G120" s="718" t="inlineStr">
        <is>
          <t>Industrial</t>
        </is>
      </c>
      <c r="H120" s="718" t="inlineStr">
        <is>
          <t>Multi-Tenant Industrial 407</t>
        </is>
      </c>
      <c r="I120" s="719" t="n">
        <v>1995</v>
      </c>
      <c r="J120" s="719" t="n">
        <v>32600</v>
      </c>
      <c r="K120" s="719" t="n">
        <v>2024</v>
      </c>
      <c r="L120" s="720" t="n">
        <v>9.582700000000001</v>
      </c>
      <c r="M120" s="718" t="n"/>
      <c r="N120" s="720" t="n">
        <v>15.2757</v>
      </c>
      <c r="O120" s="720" t="n">
        <v>0.1809</v>
      </c>
      <c r="P120" s="720" t="n">
        <v>0.5698</v>
      </c>
      <c r="Q120" s="720" t="n">
        <v>0.0384</v>
      </c>
      <c r="R120" s="718" t="n"/>
      <c r="S120" s="720" t="n">
        <v>0.2311</v>
      </c>
      <c r="T120" s="720" t="n">
        <v>0.0375</v>
      </c>
      <c r="U120" s="718" t="n"/>
      <c r="V120" s="718" t="n"/>
      <c r="W120" s="718" t="n"/>
      <c r="X120" s="720" t="n">
        <v>0.223</v>
      </c>
      <c r="Y120" s="720" t="n">
        <v>0.53</v>
      </c>
      <c r="Z120" s="720" t="n">
        <v>0.0422</v>
      </c>
      <c r="AA120" s="718" t="n"/>
      <c r="AB120" s="718" t="n"/>
      <c r="AC120" s="720" t="n">
        <v>0.0422</v>
      </c>
      <c r="AD120" s="720" t="n">
        <v>0.2095</v>
      </c>
      <c r="AE120" s="718" t="n"/>
      <c r="AF120" s="720" t="n">
        <v>0.2095</v>
      </c>
      <c r="AG120" s="720" t="n">
        <v>0.7716</v>
      </c>
      <c r="AH120" s="720" t="n">
        <v>2.124</v>
      </c>
      <c r="AI120" s="720" t="n">
        <v>3.247</v>
      </c>
      <c r="AJ120" s="720" t="n">
        <v>5.279</v>
      </c>
      <c r="AK120" s="720" t="n">
        <v>9.996700000000001</v>
      </c>
      <c r="AL120" s="718" t="n"/>
      <c r="AM120" s="721" t="inlineStr">
        <is>
          <t>Actual accrual; 3 tenants</t>
        </is>
      </c>
    </row>
    <row r="121" ht="14.1" customHeight="1">
      <c r="A121" s="696" t="inlineStr">
        <is>
          <t>P059</t>
        </is>
      </c>
      <c r="B121" s="695" t="n">
        <v>407</v>
      </c>
      <c r="C121" s="696" t="inlineStr">
        <is>
          <t>R0093111</t>
        </is>
      </c>
      <c r="D121" s="696" t="inlineStr">
        <is>
          <t>Industrial Property (R0093111)</t>
        </is>
      </c>
      <c r="E121" s="696" t="inlineStr">
        <is>
          <t>Aurora</t>
        </is>
      </c>
      <c r="F121" s="696" t="inlineStr">
        <is>
          <t>CO</t>
        </is>
      </c>
      <c r="G121" s="696" t="inlineStr">
        <is>
          <t>Industrial</t>
        </is>
      </c>
      <c r="H121" s="696" t="inlineStr">
        <is>
          <t>Multi-Tenant Industrial 407</t>
        </is>
      </c>
      <c r="I121" s="722" t="n"/>
      <c r="J121" s="722" t="n"/>
      <c r="K121" s="722" t="n">
        <v>2023</v>
      </c>
      <c r="L121" s="731" t="n">
        <v>340825</v>
      </c>
      <c r="M121" s="696" t="n"/>
      <c r="N121" s="731" t="n">
        <v>817280</v>
      </c>
      <c r="O121" s="731" t="n">
        <v>396</v>
      </c>
      <c r="P121" s="731" t="n">
        <v>24226</v>
      </c>
      <c r="Q121" s="731" t="n">
        <v>2790</v>
      </c>
      <c r="R121" s="696" t="n"/>
      <c r="S121" s="731" t="n">
        <v>17586</v>
      </c>
      <c r="T121" s="696" t="n"/>
      <c r="U121" s="696" t="n"/>
      <c r="V121" s="696" t="n"/>
      <c r="W121" s="696" t="n"/>
      <c r="X121" s="731" t="n">
        <v>1690</v>
      </c>
      <c r="Y121" s="731" t="n">
        <v>22066</v>
      </c>
      <c r="Z121" s="731" t="n">
        <v>1690</v>
      </c>
      <c r="AA121" s="731" t="n">
        <v>10029</v>
      </c>
      <c r="AB121" s="731" t="n">
        <v>13406</v>
      </c>
      <c r="AC121" s="731" t="n">
        <v>15096</v>
      </c>
      <c r="AD121" s="731" t="n">
        <v>8414</v>
      </c>
      <c r="AE121" s="696" t="n"/>
      <c r="AF121" s="731" t="n">
        <v>8414</v>
      </c>
      <c r="AG121" s="731" t="n">
        <v>7749</v>
      </c>
      <c r="AH121" s="731" t="n">
        <v>82990</v>
      </c>
      <c r="AI121" s="731" t="n">
        <v>262422</v>
      </c>
      <c r="AJ121" s="731" t="n">
        <v>345412</v>
      </c>
      <c r="AK121" s="731" t="n">
        <v>471868</v>
      </c>
      <c r="AL121" s="696" t="n"/>
      <c r="AM121" s="724" t="inlineStr">
        <is>
          <t>[NO SF] Actual; RE tax heavy due to NNN recovery; SF not confirmed</t>
        </is>
      </c>
    </row>
    <row r="122" ht="14.1" customHeight="1">
      <c r="A122" s="718" t="inlineStr">
        <is>
          <t>P059</t>
        </is>
      </c>
      <c r="B122" s="695" t="n">
        <v>407</v>
      </c>
      <c r="C122" s="718" t="inlineStr">
        <is>
          <t>R0093111</t>
        </is>
      </c>
      <c r="D122" s="718" t="inlineStr">
        <is>
          <t>Industrial Property (R0093111)</t>
        </is>
      </c>
      <c r="E122" s="718" t="inlineStr">
        <is>
          <t>Aurora</t>
        </is>
      </c>
      <c r="F122" s="718" t="inlineStr">
        <is>
          <t>CO</t>
        </is>
      </c>
      <c r="G122" s="718" t="inlineStr">
        <is>
          <t>Industrial</t>
        </is>
      </c>
      <c r="H122" s="718" t="inlineStr">
        <is>
          <t>Multi-Tenant Industrial 407</t>
        </is>
      </c>
      <c r="I122" s="719" t="n"/>
      <c r="J122" s="719" t="n"/>
      <c r="K122" s="719" t="n">
        <v>2024</v>
      </c>
      <c r="L122" s="730" t="n">
        <v>343350</v>
      </c>
      <c r="M122" s="718" t="n"/>
      <c r="N122" s="730" t="n">
        <v>632272</v>
      </c>
      <c r="O122" s="730" t="n">
        <v>9737</v>
      </c>
      <c r="P122" s="718" t="n"/>
      <c r="Q122" s="718" t="n"/>
      <c r="R122" s="718" t="n"/>
      <c r="S122" s="718" t="n"/>
      <c r="T122" s="718" t="n"/>
      <c r="U122" s="718" t="n"/>
      <c r="V122" s="718" t="n"/>
      <c r="W122" s="718" t="n"/>
      <c r="X122" s="718" t="n"/>
      <c r="Y122" s="718" t="n"/>
      <c r="Z122" s="718" t="n"/>
      <c r="AA122" s="718" t="n"/>
      <c r="AB122" s="718" t="n"/>
      <c r="AC122" s="718" t="n"/>
      <c r="AD122" s="718" t="n"/>
      <c r="AE122" s="718" t="n"/>
      <c r="AF122" s="718" t="n"/>
      <c r="AG122" s="718" t="n"/>
      <c r="AH122" s="730" t="n">
        <v>119649</v>
      </c>
      <c r="AI122" s="730" t="n">
        <v>159461</v>
      </c>
      <c r="AJ122" s="730" t="n">
        <v>279110</v>
      </c>
      <c r="AK122" s="730" t="n">
        <v>353163</v>
      </c>
      <c r="AL122" s="718" t="n"/>
      <c r="AM122" s="721" t="inlineStr">
        <is>
          <t>[NO SF] 2024 summary data; limited line-item detail; SF not confirmed</t>
        </is>
      </c>
    </row>
    <row r="123" ht="14.1" customHeight="1">
      <c r="A123" s="696" t="inlineStr">
        <is>
          <t>P060</t>
        </is>
      </c>
      <c r="B123" s="695" t="n">
        <v>407</v>
      </c>
      <c r="C123" s="696" t="inlineStr">
        <is>
          <t>R0100104</t>
        </is>
      </c>
      <c r="D123" s="696" t="inlineStr">
        <is>
          <t>312 Kew West</t>
        </is>
      </c>
      <c r="E123" s="696" t="inlineStr">
        <is>
          <t>Aurora</t>
        </is>
      </c>
      <c r="F123" s="696" t="inlineStr">
        <is>
          <t>CO</t>
        </is>
      </c>
      <c r="G123" s="696" t="inlineStr">
        <is>
          <t>Industrial</t>
        </is>
      </c>
      <c r="H123" s="696" t="inlineStr">
        <is>
          <t>Multi-Tenant Industrial 407</t>
        </is>
      </c>
      <c r="I123" s="722" t="n"/>
      <c r="J123" s="722" t="n"/>
      <c r="K123" s="722" t="n">
        <v>2023</v>
      </c>
      <c r="L123" s="731" t="n">
        <v>246837</v>
      </c>
      <c r="M123" s="696" t="n"/>
      <c r="N123" s="731" t="n">
        <v>340193</v>
      </c>
      <c r="O123" s="731" t="n">
        <v>7355</v>
      </c>
      <c r="P123" s="731" t="n">
        <v>12734</v>
      </c>
      <c r="Q123" s="731" t="n">
        <v>1711</v>
      </c>
      <c r="R123" s="696" t="n"/>
      <c r="S123" s="731" t="n">
        <v>24740</v>
      </c>
      <c r="T123" s="731" t="n">
        <v>6577</v>
      </c>
      <c r="U123" s="696" t="n"/>
      <c r="V123" s="696" t="n"/>
      <c r="W123" s="696" t="n"/>
      <c r="X123" s="731" t="n">
        <v>10612</v>
      </c>
      <c r="Y123" s="731" t="n">
        <v>43640</v>
      </c>
      <c r="Z123" s="731" t="n">
        <v>2451</v>
      </c>
      <c r="AA123" s="731" t="n">
        <v>2474</v>
      </c>
      <c r="AB123" s="731" t="n">
        <v>9457</v>
      </c>
      <c r="AC123" s="731" t="n">
        <v>14382</v>
      </c>
      <c r="AD123" s="731" t="n">
        <v>4092</v>
      </c>
      <c r="AE123" s="696" t="n"/>
      <c r="AF123" s="731" t="n">
        <v>4092</v>
      </c>
      <c r="AG123" s="696" t="n"/>
      <c r="AH123" s="731" t="n">
        <v>68233</v>
      </c>
      <c r="AI123" s="731" t="n">
        <v>92861</v>
      </c>
      <c r="AJ123" s="731" t="n">
        <v>161094</v>
      </c>
      <c r="AK123" s="731" t="n">
        <v>179099</v>
      </c>
      <c r="AL123" s="696" t="n"/>
      <c r="AM123" s="724" t="inlineStr">
        <is>
          <t>[NO SF] Actual accrual; SF not confirmed</t>
        </is>
      </c>
    </row>
    <row r="124" ht="14.1" customHeight="1">
      <c r="A124" s="718" t="inlineStr">
        <is>
          <t>P060</t>
        </is>
      </c>
      <c r="B124" s="695" t="n">
        <v>407</v>
      </c>
      <c r="C124" s="718" t="inlineStr">
        <is>
          <t>R0100104</t>
        </is>
      </c>
      <c r="D124" s="718" t="inlineStr">
        <is>
          <t>312 Kew West</t>
        </is>
      </c>
      <c r="E124" s="718" t="inlineStr">
        <is>
          <t>Aurora</t>
        </is>
      </c>
      <c r="F124" s="718" t="inlineStr">
        <is>
          <t>CO</t>
        </is>
      </c>
      <c r="G124" s="718" t="inlineStr">
        <is>
          <t>Industrial</t>
        </is>
      </c>
      <c r="H124" s="718" t="inlineStr">
        <is>
          <t>Multi-Tenant Industrial 407</t>
        </is>
      </c>
      <c r="I124" s="719" t="n"/>
      <c r="J124" s="719" t="n"/>
      <c r="K124" s="719" t="n">
        <v>2024</v>
      </c>
      <c r="L124" s="730" t="n">
        <v>239823</v>
      </c>
      <c r="M124" s="718" t="n"/>
      <c r="N124" s="730" t="n">
        <v>375845</v>
      </c>
      <c r="O124" s="730" t="n">
        <v>7287</v>
      </c>
      <c r="P124" s="730" t="n">
        <v>18575</v>
      </c>
      <c r="Q124" s="730" t="n">
        <v>816</v>
      </c>
      <c r="R124" s="718" t="n"/>
      <c r="S124" s="730" t="n">
        <v>25607</v>
      </c>
      <c r="T124" s="730" t="n">
        <v>7834</v>
      </c>
      <c r="U124" s="718" t="n"/>
      <c r="V124" s="718" t="n"/>
      <c r="W124" s="718" t="n"/>
      <c r="X124" s="730" t="n">
        <v>8752</v>
      </c>
      <c r="Y124" s="730" t="n">
        <v>42009</v>
      </c>
      <c r="Z124" s="730" t="n">
        <v>2982</v>
      </c>
      <c r="AA124" s="730" t="n">
        <v>2720</v>
      </c>
      <c r="AB124" s="730" t="n">
        <v>10994</v>
      </c>
      <c r="AC124" s="730" t="n">
        <v>16696</v>
      </c>
      <c r="AD124" s="730" t="n">
        <v>4502</v>
      </c>
      <c r="AE124" s="718" t="n"/>
      <c r="AF124" s="730" t="n">
        <v>4502</v>
      </c>
      <c r="AG124" s="718" t="n"/>
      <c r="AH124" s="730" t="n">
        <v>69570</v>
      </c>
      <c r="AI124" s="730" t="n">
        <v>102524</v>
      </c>
      <c r="AJ124" s="730" t="n">
        <v>172094</v>
      </c>
      <c r="AK124" s="730" t="n">
        <v>203752</v>
      </c>
      <c r="AL124" s="718" t="n"/>
      <c r="AM124" s="721" t="inlineStr">
        <is>
          <t>[NO SF] Actual accrual; SF not confirmed</t>
        </is>
      </c>
    </row>
    <row r="125" ht="14.1" customHeight="1">
      <c r="A125" s="696" t="inlineStr">
        <is>
          <t>P061</t>
        </is>
      </c>
      <c r="B125" s="695" t="n">
        <v>584</v>
      </c>
      <c r="C125" s="696" t="inlineStr">
        <is>
          <t>R0083935</t>
        </is>
      </c>
      <c r="D125" s="696" t="inlineStr">
        <is>
          <t>20101 E 36th Ave</t>
        </is>
      </c>
      <c r="E125" s="696" t="inlineStr">
        <is>
          <t>Aurora</t>
        </is>
      </c>
      <c r="F125" s="696" t="inlineStr">
        <is>
          <t>CO</t>
        </is>
      </c>
      <c r="G125" s="696" t="inlineStr">
        <is>
          <t>Industrial</t>
        </is>
      </c>
      <c r="H125" s="696" t="inlineStr">
        <is>
          <t>Mega Warehouse NNN</t>
        </is>
      </c>
      <c r="I125" s="722" t="n"/>
      <c r="J125" s="722" t="n">
        <v>278538</v>
      </c>
      <c r="K125" s="722" t="n">
        <v>2024</v>
      </c>
      <c r="L125" s="723" t="n">
        <v>4.4608</v>
      </c>
      <c r="M125" s="696" t="n"/>
      <c r="N125" s="723" t="n">
        <v>10.6014</v>
      </c>
      <c r="O125" s="696" t="n"/>
      <c r="P125" s="696" t="n"/>
      <c r="Q125" s="696" t="n"/>
      <c r="R125" s="696" t="n"/>
      <c r="S125" s="696" t="n"/>
      <c r="T125" s="696" t="n"/>
      <c r="U125" s="696" t="n"/>
      <c r="V125" s="696" t="n"/>
      <c r="W125" s="696" t="n"/>
      <c r="X125" s="696" t="n"/>
      <c r="Y125" s="696" t="n"/>
      <c r="Z125" s="696" t="n"/>
      <c r="AA125" s="696" t="n"/>
      <c r="AB125" s="696" t="n"/>
      <c r="AC125" s="696" t="n"/>
      <c r="AD125" s="696" t="n"/>
      <c r="AE125" s="696" t="n"/>
      <c r="AF125" s="723" t="n">
        <v>0.7035</v>
      </c>
      <c r="AG125" s="696" t="n"/>
      <c r="AH125" s="696" t="n"/>
      <c r="AI125" s="696" t="n"/>
      <c r="AJ125" s="696" t="n"/>
      <c r="AK125" s="696" t="n"/>
      <c r="AL125" s="696" t="n"/>
      <c r="AM125" s="724" t="inlineStr">
        <is>
          <t>NNN; partial data; CBRE income statement; tenant RK Industries; rent $4.47/SF NNN; RE tax recovery ~$860k</t>
        </is>
      </c>
    </row>
    <row r="126" ht="14.1" customHeight="1">
      <c r="A126" s="718" t="inlineStr">
        <is>
          <t>P062</t>
        </is>
      </c>
      <c r="B126" s="695" t="n">
        <v>407</v>
      </c>
      <c r="C126" s="718" t="inlineStr">
        <is>
          <t>R0200721</t>
        </is>
      </c>
      <c r="D126" s="718" t="inlineStr">
        <is>
          <t>3420 N Lisbon St</t>
        </is>
      </c>
      <c r="E126" s="718" t="inlineStr">
        <is>
          <t>Aurora</t>
        </is>
      </c>
      <c r="F126" s="718" t="inlineStr">
        <is>
          <t>CO</t>
        </is>
      </c>
      <c r="G126" s="718" t="inlineStr">
        <is>
          <t>Industrial</t>
        </is>
      </c>
      <c r="H126" s="718" t="inlineStr">
        <is>
          <t>Single-Tenant Industrial NNN</t>
        </is>
      </c>
      <c r="I126" s="719" t="n">
        <v>2019</v>
      </c>
      <c r="J126" s="719" t="n">
        <v>36212</v>
      </c>
      <c r="K126" s="719" t="n">
        <v>2023</v>
      </c>
      <c r="L126" s="720" t="n">
        <v>7.519</v>
      </c>
      <c r="M126" s="718" t="n"/>
      <c r="N126" s="720" t="n">
        <v>7.519</v>
      </c>
      <c r="O126" s="718" t="n"/>
      <c r="P126" s="718" t="n"/>
      <c r="Q126" s="718" t="n"/>
      <c r="R126" s="718" t="n"/>
      <c r="S126" s="718" t="n"/>
      <c r="T126" s="718" t="n"/>
      <c r="U126" s="718" t="n"/>
      <c r="V126" s="718" t="n"/>
      <c r="W126" s="718" t="n"/>
      <c r="X126" s="718" t="n"/>
      <c r="Y126" s="718" t="n"/>
      <c r="Z126" s="718" t="n"/>
      <c r="AA126" s="718" t="n"/>
      <c r="AB126" s="718" t="n"/>
      <c r="AC126" s="718" t="n"/>
      <c r="AD126" s="718" t="n"/>
      <c r="AE126" s="718" t="n"/>
      <c r="AF126" s="718" t="n"/>
      <c r="AG126" s="718" t="n"/>
      <c r="AH126" s="718" t="n"/>
      <c r="AI126" s="718" t="n"/>
      <c r="AJ126" s="718" t="n"/>
      <c r="AK126" s="718" t="n"/>
      <c r="AL126" s="718" t="n"/>
      <c r="AM126" s="721" t="inlineStr">
        <is>
          <t>NNN absolute; tenant pays all opex; owner income = rent only; $7.52/SF</t>
        </is>
      </c>
    </row>
    <row r="127" ht="14.1" customHeight="1">
      <c r="A127" s="696" t="inlineStr">
        <is>
          <t>P062</t>
        </is>
      </c>
      <c r="B127" s="695" t="n">
        <v>407</v>
      </c>
      <c r="C127" s="696" t="inlineStr">
        <is>
          <t>R0200721</t>
        </is>
      </c>
      <c r="D127" s="696" t="inlineStr">
        <is>
          <t>3420 N Lisbon St</t>
        </is>
      </c>
      <c r="E127" s="696" t="inlineStr">
        <is>
          <t>Aurora</t>
        </is>
      </c>
      <c r="F127" s="696" t="inlineStr">
        <is>
          <t>CO</t>
        </is>
      </c>
      <c r="G127" s="696" t="inlineStr">
        <is>
          <t>Industrial</t>
        </is>
      </c>
      <c r="H127" s="696" t="inlineStr">
        <is>
          <t>Single-Tenant Industrial NNN</t>
        </is>
      </c>
      <c r="I127" s="722" t="n">
        <v>2019</v>
      </c>
      <c r="J127" s="722" t="n">
        <v>36212</v>
      </c>
      <c r="K127" s="722" t="n">
        <v>2024</v>
      </c>
      <c r="L127" s="723" t="n">
        <v>7.7446</v>
      </c>
      <c r="M127" s="696" t="n"/>
      <c r="N127" s="723" t="n">
        <v>7.7446</v>
      </c>
      <c r="O127" s="696" t="n"/>
      <c r="P127" s="696" t="n"/>
      <c r="Q127" s="696" t="n"/>
      <c r="R127" s="696" t="n"/>
      <c r="S127" s="696" t="n"/>
      <c r="T127" s="696" t="n"/>
      <c r="U127" s="696" t="n"/>
      <c r="V127" s="696" t="n"/>
      <c r="W127" s="696" t="n"/>
      <c r="X127" s="696" t="n"/>
      <c r="Y127" s="696" t="n"/>
      <c r="Z127" s="696" t="n"/>
      <c r="AA127" s="696" t="n"/>
      <c r="AB127" s="696" t="n"/>
      <c r="AC127" s="696" t="n"/>
      <c r="AD127" s="696" t="n"/>
      <c r="AE127" s="696" t="n"/>
      <c r="AF127" s="696" t="n"/>
      <c r="AG127" s="696" t="n"/>
      <c r="AH127" s="696" t="n"/>
      <c r="AI127" s="696" t="n"/>
      <c r="AJ127" s="696" t="n"/>
      <c r="AK127" s="696" t="n"/>
      <c r="AL127" s="696" t="n"/>
      <c r="AM127" s="724" t="inlineStr">
        <is>
          <t>NNN absolute; tenant pays all opex; owner income = rent only; $7.75/SF</t>
        </is>
      </c>
    </row>
    <row r="128" ht="14.1" customHeight="1">
      <c r="A128" s="725" t="inlineStr">
        <is>
          <t>P063</t>
        </is>
      </c>
      <c r="B128" s="695" t="n">
        <v>344</v>
      </c>
      <c r="C128" s="725" t="inlineStr">
        <is>
          <t>R0040581</t>
        </is>
      </c>
      <c r="D128" s="725" t="inlineStr">
        <is>
          <t>2090 E 104th Ave</t>
        </is>
      </c>
      <c r="E128" s="725" t="inlineStr">
        <is>
          <t>Thornton</t>
        </is>
      </c>
      <c r="F128" s="725" t="inlineStr">
        <is>
          <t>CO</t>
        </is>
      </c>
      <c r="G128" s="725" t="inlineStr">
        <is>
          <t>Office</t>
        </is>
      </c>
      <c r="H128" s="725" t="inlineStr">
        <is>
          <t>Multi-Tenant Office</t>
        </is>
      </c>
      <c r="I128" s="726" t="n"/>
      <c r="J128" s="726" t="n">
        <v>19764</v>
      </c>
      <c r="K128" s="726" t="n">
        <v>2023</v>
      </c>
      <c r="L128" s="725" t="n"/>
      <c r="M128" s="725" t="n"/>
      <c r="N128" s="725" t="n"/>
      <c r="O128" s="729" t="n">
        <v>0.1585</v>
      </c>
      <c r="P128" s="729" t="n">
        <v>0.4648</v>
      </c>
      <c r="Q128" s="725" t="n"/>
      <c r="R128" s="725" t="n"/>
      <c r="S128" s="725" t="n"/>
      <c r="T128" s="725" t="n"/>
      <c r="U128" s="725" t="n"/>
      <c r="V128" s="725" t="n"/>
      <c r="W128" s="725" t="n"/>
      <c r="X128" s="729" t="n">
        <v>2.4351</v>
      </c>
      <c r="Y128" s="729" t="n">
        <v>2.4351</v>
      </c>
      <c r="Z128" s="725" t="n"/>
      <c r="AA128" s="729" t="n">
        <v>0.4976</v>
      </c>
      <c r="AB128" s="725" t="n"/>
      <c r="AC128" s="729" t="n">
        <v>0.4976</v>
      </c>
      <c r="AD128" s="725" t="n"/>
      <c r="AE128" s="725" t="n"/>
      <c r="AF128" s="729" t="n">
        <v>1.8998</v>
      </c>
      <c r="AG128" s="729" t="n">
        <v>0.4171</v>
      </c>
      <c r="AH128" s="729" t="n">
        <v>6.7472</v>
      </c>
      <c r="AI128" s="729" t="n">
        <v>2.0601</v>
      </c>
      <c r="AJ128" s="729" t="n">
        <v>8.8073</v>
      </c>
      <c r="AK128" s="729" t="n">
        <v>2.7531</v>
      </c>
      <c r="AL128" s="725" t="n"/>
      <c r="AM128" s="728" t="inlineStr">
        <is>
          <t>Office; expenses only; GRI est. ~$228k at $11.56/SF 100% occ</t>
        </is>
      </c>
    </row>
    <row r="129" ht="14.1" customHeight="1">
      <c r="A129" s="725" t="inlineStr">
        <is>
          <t>P063</t>
        </is>
      </c>
      <c r="B129" s="695" t="n">
        <v>344</v>
      </c>
      <c r="C129" s="725" t="inlineStr">
        <is>
          <t>R0040581</t>
        </is>
      </c>
      <c r="D129" s="725" t="inlineStr">
        <is>
          <t>2090 E 104th Ave</t>
        </is>
      </c>
      <c r="E129" s="725" t="inlineStr">
        <is>
          <t>Thornton</t>
        </is>
      </c>
      <c r="F129" s="725" t="inlineStr">
        <is>
          <t>CO</t>
        </is>
      </c>
      <c r="G129" s="725" t="inlineStr">
        <is>
          <t>Office</t>
        </is>
      </c>
      <c r="H129" s="725" t="inlineStr">
        <is>
          <t>Multi-Tenant Office</t>
        </is>
      </c>
      <c r="I129" s="726" t="n"/>
      <c r="J129" s="726" t="n">
        <v>19764</v>
      </c>
      <c r="K129" s="726" t="n">
        <v>2024</v>
      </c>
      <c r="L129" s="725" t="n"/>
      <c r="M129" s="725" t="n"/>
      <c r="N129" s="725" t="n"/>
      <c r="O129" s="729" t="n">
        <v>0.5652</v>
      </c>
      <c r="P129" s="729" t="n">
        <v>0.4554</v>
      </c>
      <c r="Q129" s="725" t="n"/>
      <c r="R129" s="725" t="n"/>
      <c r="S129" s="725" t="n"/>
      <c r="T129" s="725" t="n"/>
      <c r="U129" s="725" t="n"/>
      <c r="V129" s="725" t="n"/>
      <c r="W129" s="725" t="n"/>
      <c r="X129" s="729" t="n">
        <v>2.4623</v>
      </c>
      <c r="Y129" s="729" t="n">
        <v>2.4623</v>
      </c>
      <c r="Z129" s="725" t="n"/>
      <c r="AA129" s="729" t="n">
        <v>0.5888</v>
      </c>
      <c r="AB129" s="725" t="n"/>
      <c r="AC129" s="729" t="n">
        <v>0.5888</v>
      </c>
      <c r="AD129" s="725" t="n"/>
      <c r="AE129" s="725" t="n"/>
      <c r="AF129" s="729" t="n">
        <v>2.4159</v>
      </c>
      <c r="AG129" s="729" t="n">
        <v>0.3126</v>
      </c>
      <c r="AH129" s="729" t="n">
        <v>6.8005</v>
      </c>
      <c r="AI129" s="729" t="n">
        <v>2.0271</v>
      </c>
      <c r="AJ129" s="729" t="n">
        <v>8.8276</v>
      </c>
      <c r="AK129" s="729" t="n">
        <v>2.7328</v>
      </c>
      <c r="AL129" s="725" t="n"/>
      <c r="AM129" s="728" t="inlineStr">
        <is>
          <t>Office; expenses only; GRI est. ~$228k</t>
        </is>
      </c>
    </row>
    <row r="130" ht="14.1" customHeight="1">
      <c r="A130" s="725" t="inlineStr">
        <is>
          <t>P064</t>
        </is>
      </c>
      <c r="B130" s="695" t="n">
        <v>344</v>
      </c>
      <c r="C130" s="725" t="inlineStr">
        <is>
          <t>R0050977</t>
        </is>
      </c>
      <c r="D130" s="725" t="inlineStr">
        <is>
          <t>9351 Grant St</t>
        </is>
      </c>
      <c r="E130" s="725" t="inlineStr">
        <is>
          <t>Thornton</t>
        </is>
      </c>
      <c r="F130" s="725" t="inlineStr">
        <is>
          <t>CO</t>
        </is>
      </c>
      <c r="G130" s="725" t="inlineStr">
        <is>
          <t>Office</t>
        </is>
      </c>
      <c r="H130" s="725" t="inlineStr">
        <is>
          <t>Multi-Tenant Office</t>
        </is>
      </c>
      <c r="I130" s="726" t="n"/>
      <c r="J130" s="726" t="n"/>
      <c r="K130" s="726" t="n">
        <v>2023</v>
      </c>
      <c r="L130" s="727" t="n">
        <v>2011958</v>
      </c>
      <c r="M130" s="725" t="n"/>
      <c r="N130" s="727" t="n">
        <v>2239234</v>
      </c>
      <c r="O130" s="725" t="n"/>
      <c r="P130" s="725" t="n"/>
      <c r="Q130" s="725" t="n"/>
      <c r="R130" s="725" t="n"/>
      <c r="S130" s="725" t="n"/>
      <c r="T130" s="725" t="n"/>
      <c r="U130" s="725" t="n"/>
      <c r="V130" s="725" t="n"/>
      <c r="W130" s="725" t="n"/>
      <c r="X130" s="727" t="n">
        <v>144543</v>
      </c>
      <c r="Y130" s="727" t="n">
        <v>144543</v>
      </c>
      <c r="Z130" s="725" t="n"/>
      <c r="AA130" s="725" t="n"/>
      <c r="AB130" s="725" t="n"/>
      <c r="AC130" s="725" t="n"/>
      <c r="AD130" s="725" t="n"/>
      <c r="AE130" s="725" t="n"/>
      <c r="AF130" s="727" t="n">
        <v>240350</v>
      </c>
      <c r="AG130" s="727" t="n">
        <v>279549</v>
      </c>
      <c r="AH130" s="727" t="n">
        <v>719555</v>
      </c>
      <c r="AI130" s="727" t="n">
        <v>497852</v>
      </c>
      <c r="AJ130" s="727" t="n">
        <v>1217407</v>
      </c>
      <c r="AK130" s="727" t="n">
        <v>1021827</v>
      </c>
      <c r="AL130" s="725" t="n"/>
      <c r="AM130" s="728" t="inlineStr">
        <is>
          <t>[NO SF] Actual P&amp;L; Crown RE Group; RE Tax + Ins combined in $497,852 line; large office property</t>
        </is>
      </c>
    </row>
    <row r="131" ht="14.1" customHeight="1">
      <c r="A131" s="725" t="inlineStr">
        <is>
          <t>P065</t>
        </is>
      </c>
      <c r="B131" s="695" t="n">
        <v>344</v>
      </c>
      <c r="C131" s="725" t="inlineStr">
        <is>
          <t>R0069041</t>
        </is>
      </c>
      <c r="D131" s="725" t="inlineStr">
        <is>
          <t>7475 Dakin St (Turnpike Tower)</t>
        </is>
      </c>
      <c r="E131" s="725" t="inlineStr">
        <is>
          <t>Denver</t>
        </is>
      </c>
      <c r="F131" s="725" t="inlineStr">
        <is>
          <t>CO</t>
        </is>
      </c>
      <c r="G131" s="725" t="inlineStr">
        <is>
          <t>Office</t>
        </is>
      </c>
      <c r="H131" s="725" t="inlineStr">
        <is>
          <t>Multi-Tenant Office</t>
        </is>
      </c>
      <c r="I131" s="726" t="n"/>
      <c r="J131" s="726" t="n">
        <v>114843</v>
      </c>
      <c r="K131" s="726" t="n">
        <v>2023</v>
      </c>
      <c r="L131" s="725" t="n"/>
      <c r="M131" s="725" t="n"/>
      <c r="N131" s="729" t="n">
        <v>5.3899</v>
      </c>
      <c r="O131" s="725" t="n"/>
      <c r="P131" s="725" t="n"/>
      <c r="Q131" s="725" t="n"/>
      <c r="R131" s="725" t="n"/>
      <c r="S131" s="725" t="n"/>
      <c r="T131" s="725" t="n"/>
      <c r="U131" s="725" t="n"/>
      <c r="V131" s="725" t="n"/>
      <c r="W131" s="725" t="n"/>
      <c r="X131" s="725" t="n"/>
      <c r="Y131" s="725" t="n"/>
      <c r="Z131" s="725" t="n"/>
      <c r="AA131" s="729" t="n">
        <v>0.0873</v>
      </c>
      <c r="AB131" s="725" t="n"/>
      <c r="AC131" s="725" t="n"/>
      <c r="AD131" s="725" t="n"/>
      <c r="AE131" s="725" t="n"/>
      <c r="AF131" s="725" t="n"/>
      <c r="AG131" s="725" t="n"/>
      <c r="AH131" s="729" t="n">
        <v>2.6434</v>
      </c>
      <c r="AI131" s="729" t="n">
        <v>2.2851</v>
      </c>
      <c r="AJ131" s="729" t="n">
        <v>4.9285</v>
      </c>
      <c r="AK131" s="729" t="n">
        <v>0.4627</v>
      </c>
      <c r="AL131" s="725" t="n"/>
      <c r="AM131" s="728" t="inlineStr">
        <is>
          <t>Actual; 87.7% occ; NNN/Modified leases; RE Tax heavy; approx figures</t>
        </is>
      </c>
    </row>
    <row r="132" ht="14.1" customHeight="1">
      <c r="A132" s="725" t="inlineStr">
        <is>
          <t>P065</t>
        </is>
      </c>
      <c r="B132" s="695" t="n">
        <v>344</v>
      </c>
      <c r="C132" s="725" t="inlineStr">
        <is>
          <t>R0069041</t>
        </is>
      </c>
      <c r="D132" s="725" t="inlineStr">
        <is>
          <t>7475 Dakin St (Turnpike Tower)</t>
        </is>
      </c>
      <c r="E132" s="725" t="inlineStr">
        <is>
          <t>Denver</t>
        </is>
      </c>
      <c r="F132" s="725" t="inlineStr">
        <is>
          <t>CO</t>
        </is>
      </c>
      <c r="G132" s="725" t="inlineStr">
        <is>
          <t>Office</t>
        </is>
      </c>
      <c r="H132" s="725" t="inlineStr">
        <is>
          <t>Multi-Tenant Office</t>
        </is>
      </c>
      <c r="I132" s="726" t="n"/>
      <c r="J132" s="726" t="n">
        <v>114843</v>
      </c>
      <c r="K132" s="726" t="n">
        <v>2024</v>
      </c>
      <c r="L132" s="725" t="n"/>
      <c r="M132" s="725" t="n"/>
      <c r="N132" s="729" t="n">
        <v>11.7878</v>
      </c>
      <c r="O132" s="725" t="n"/>
      <c r="P132" s="725" t="n"/>
      <c r="Q132" s="725" t="n"/>
      <c r="R132" s="725" t="n"/>
      <c r="S132" s="725" t="n"/>
      <c r="T132" s="725" t="n"/>
      <c r="U132" s="725" t="n"/>
      <c r="V132" s="725" t="n"/>
      <c r="W132" s="725" t="n"/>
      <c r="X132" s="725" t="n"/>
      <c r="Y132" s="725" t="n"/>
      <c r="Z132" s="725" t="n"/>
      <c r="AA132" s="725" t="n"/>
      <c r="AB132" s="725" t="n"/>
      <c r="AC132" s="725" t="n"/>
      <c r="AD132" s="725" t="n"/>
      <c r="AE132" s="725" t="n"/>
      <c r="AF132" s="725" t="n"/>
      <c r="AG132" s="725" t="n"/>
      <c r="AH132" s="729" t="n">
        <v>8.9252</v>
      </c>
      <c r="AI132" s="725" t="n"/>
      <c r="AJ132" s="729" t="n">
        <v>11.2066</v>
      </c>
      <c r="AK132" s="729" t="n">
        <v>0.5806</v>
      </c>
      <c r="AL132" s="725" t="n"/>
      <c r="AM132" s="728" t="inlineStr">
        <is>
          <t>Actual 2024; approx figures; RE Tax est. ~$262k</t>
        </is>
      </c>
    </row>
    <row r="133" ht="14.1" customHeight="1">
      <c r="A133" s="725" t="inlineStr">
        <is>
          <t>P066</t>
        </is>
      </c>
      <c r="B133" s="695" t="n">
        <v>344</v>
      </c>
      <c r="C133" s="725" t="inlineStr">
        <is>
          <t>R0079409</t>
        </is>
      </c>
      <c r="D133" s="725" t="inlineStr">
        <is>
          <t>6401 E 72nd Ave</t>
        </is>
      </c>
      <c r="E133" s="725" t="inlineStr">
        <is>
          <t>Commerce City</t>
        </is>
      </c>
      <c r="F133" s="725" t="inlineStr">
        <is>
          <t>CO</t>
        </is>
      </c>
      <c r="G133" s="725" t="inlineStr">
        <is>
          <t>Office</t>
        </is>
      </c>
      <c r="H133" s="725" t="inlineStr">
        <is>
          <t>Multi-Tenant Office</t>
        </is>
      </c>
      <c r="I133" s="726" t="n"/>
      <c r="J133" s="726" t="n">
        <v>8218</v>
      </c>
      <c r="K133" s="726" t="n">
        <v>2023</v>
      </c>
      <c r="L133" s="729" t="n">
        <v>11.7637</v>
      </c>
      <c r="M133" s="725" t="n"/>
      <c r="N133" s="729" t="n">
        <v>13.2835</v>
      </c>
      <c r="O133" s="729" t="n">
        <v>0.2901</v>
      </c>
      <c r="P133" s="729" t="n">
        <v>0.6571</v>
      </c>
      <c r="Q133" s="725" t="n"/>
      <c r="R133" s="725" t="n"/>
      <c r="S133" s="725" t="n"/>
      <c r="T133" s="725" t="n"/>
      <c r="U133" s="725" t="n"/>
      <c r="V133" s="725" t="n"/>
      <c r="W133" s="725" t="n"/>
      <c r="X133" s="729" t="n">
        <v>2.2109</v>
      </c>
      <c r="Y133" s="729" t="n">
        <v>2.2109</v>
      </c>
      <c r="Z133" s="725" t="n"/>
      <c r="AA133" s="725" t="n"/>
      <c r="AB133" s="725" t="n"/>
      <c r="AC133" s="725" t="n"/>
      <c r="AD133" s="725" t="n"/>
      <c r="AE133" s="725" t="n"/>
      <c r="AF133" s="729" t="n">
        <v>1.5784</v>
      </c>
      <c r="AG133" s="729" t="n">
        <v>0.4882</v>
      </c>
      <c r="AH133" s="729" t="n">
        <v>4.8338</v>
      </c>
      <c r="AI133" s="729" t="n">
        <v>1.9805</v>
      </c>
      <c r="AJ133" s="729" t="n">
        <v>6.8143</v>
      </c>
      <c r="AK133" s="729" t="n">
        <v>6.4493</v>
      </c>
      <c r="AL133" s="725" t="n"/>
      <c r="AM133" s="728" t="inlineStr">
        <is>
          <t>Actual 2023; 9 tenants small multi-tenant office; approx total OPX/NOI</t>
        </is>
      </c>
    </row>
    <row r="134" ht="14.1" customHeight="1">
      <c r="A134" s="725" t="inlineStr">
        <is>
          <t>P067</t>
        </is>
      </c>
      <c r="B134" s="695" t="n">
        <v>344</v>
      </c>
      <c r="C134" s="725" t="inlineStr">
        <is>
          <t>R0189338</t>
        </is>
      </c>
      <c r="D134" s="725" t="inlineStr">
        <is>
          <t>203 Telluride St</t>
        </is>
      </c>
      <c r="E134" s="725" t="inlineStr">
        <is>
          <t>Aurora</t>
        </is>
      </c>
      <c r="F134" s="725" t="inlineStr">
        <is>
          <t>CO</t>
        </is>
      </c>
      <c r="G134" s="725" t="inlineStr">
        <is>
          <t>Office</t>
        </is>
      </c>
      <c r="H134" s="725" t="inlineStr">
        <is>
          <t>Multi-Tenant Office</t>
        </is>
      </c>
      <c r="I134" s="726" t="n"/>
      <c r="J134" s="726" t="n"/>
      <c r="K134" s="726" t="n">
        <v>2023</v>
      </c>
      <c r="L134" s="727" t="n">
        <v>326779</v>
      </c>
      <c r="M134" s="725" t="n"/>
      <c r="N134" s="727" t="n">
        <v>315661</v>
      </c>
      <c r="O134" s="725" t="n"/>
      <c r="P134" s="725" t="n"/>
      <c r="Q134" s="725" t="n"/>
      <c r="R134" s="725" t="n"/>
      <c r="S134" s="725" t="n"/>
      <c r="T134" s="725" t="n"/>
      <c r="U134" s="725" t="n"/>
      <c r="V134" s="725" t="n"/>
      <c r="W134" s="725" t="n"/>
      <c r="X134" s="725" t="n"/>
      <c r="Y134" s="725" t="n"/>
      <c r="Z134" s="725" t="n"/>
      <c r="AA134" s="727" t="n">
        <v>16009</v>
      </c>
      <c r="AB134" s="725" t="n"/>
      <c r="AC134" s="725" t="n"/>
      <c r="AD134" s="725" t="n"/>
      <c r="AE134" s="725" t="n"/>
      <c r="AF134" s="725" t="n"/>
      <c r="AG134" s="725" t="n"/>
      <c r="AH134" s="727" t="n">
        <v>78034</v>
      </c>
      <c r="AI134" s="727" t="n">
        <v>66966</v>
      </c>
      <c r="AJ134" s="727" t="n">
        <v>145000</v>
      </c>
      <c r="AK134" s="727" t="n">
        <v>170661</v>
      </c>
      <c r="AL134" s="725" t="n"/>
      <c r="AM134" s="728" t="inlineStr">
        <is>
          <t>[NO SF] Actual 2023; SF not stated; approx total OPX</t>
        </is>
      </c>
    </row>
    <row r="135" ht="14.1" customHeight="1">
      <c r="A135" s="725" t="inlineStr">
        <is>
          <t>P067</t>
        </is>
      </c>
      <c r="B135" s="695" t="n">
        <v>344</v>
      </c>
      <c r="C135" s="725" t="inlineStr">
        <is>
          <t>R0189338</t>
        </is>
      </c>
      <c r="D135" s="725" t="inlineStr">
        <is>
          <t>203 Telluride St</t>
        </is>
      </c>
      <c r="E135" s="725" t="inlineStr">
        <is>
          <t>Aurora</t>
        </is>
      </c>
      <c r="F135" s="725" t="inlineStr">
        <is>
          <t>CO</t>
        </is>
      </c>
      <c r="G135" s="725" t="inlineStr">
        <is>
          <t>Office</t>
        </is>
      </c>
      <c r="H135" s="725" t="inlineStr">
        <is>
          <t>Multi-Tenant Office</t>
        </is>
      </c>
      <c r="I135" s="726" t="n"/>
      <c r="J135" s="726" t="n"/>
      <c r="K135" s="726" t="n">
        <v>2024</v>
      </c>
      <c r="L135" s="727" t="n">
        <v>357674</v>
      </c>
      <c r="M135" s="725" t="n"/>
      <c r="N135" s="727" t="n">
        <v>335977</v>
      </c>
      <c r="O135" s="727" t="n">
        <v>9791</v>
      </c>
      <c r="P135" s="727" t="n">
        <v>7884</v>
      </c>
      <c r="Q135" s="725" t="n"/>
      <c r="R135" s="725" t="n"/>
      <c r="S135" s="725" t="n"/>
      <c r="T135" s="725" t="n"/>
      <c r="U135" s="725" t="n"/>
      <c r="V135" s="725" t="n"/>
      <c r="W135" s="725" t="n"/>
      <c r="X135" s="727" t="n">
        <v>41510</v>
      </c>
      <c r="Y135" s="727" t="n">
        <v>41510</v>
      </c>
      <c r="Z135" s="725" t="n"/>
      <c r="AA135" s="727" t="n">
        <v>12092</v>
      </c>
      <c r="AB135" s="725" t="n"/>
      <c r="AC135" s="725" t="n"/>
      <c r="AD135" s="725" t="n"/>
      <c r="AE135" s="725" t="n"/>
      <c r="AF135" s="727" t="n">
        <v>9302</v>
      </c>
      <c r="AG135" s="727" t="n">
        <v>10772</v>
      </c>
      <c r="AH135" s="727" t="n">
        <v>109544</v>
      </c>
      <c r="AI135" s="727" t="n">
        <v>68307</v>
      </c>
      <c r="AJ135" s="727" t="n">
        <v>177851</v>
      </c>
      <c r="AK135" s="727" t="n">
        <v>158126</v>
      </c>
      <c r="AL135" s="725" t="n"/>
      <c r="AM135" s="728" t="inlineStr">
        <is>
          <t>[NO SF] Actual 2024; SF not stated</t>
        </is>
      </c>
    </row>
    <row r="136" ht="14.1" customHeight="1">
      <c r="A136" s="725" t="inlineStr">
        <is>
          <t>P068</t>
        </is>
      </c>
      <c r="B136" s="695" t="n">
        <v>344</v>
      </c>
      <c r="C136" s="725" t="inlineStr">
        <is>
          <t>R0193830</t>
        </is>
      </c>
      <c r="D136" s="725" t="inlineStr">
        <is>
          <t>Justice Center Office Plaza</t>
        </is>
      </c>
      <c r="E136" s="725" t="inlineStr">
        <is>
          <t>Denver</t>
        </is>
      </c>
      <c r="F136" s="725" t="inlineStr">
        <is>
          <t>CO</t>
        </is>
      </c>
      <c r="G136" s="725" t="inlineStr">
        <is>
          <t>Office</t>
        </is>
      </c>
      <c r="H136" s="725" t="inlineStr">
        <is>
          <t>Multi-Tenant Office NNN</t>
        </is>
      </c>
      <c r="I136" s="726" t="n"/>
      <c r="J136" s="726" t="n">
        <v>41979</v>
      </c>
      <c r="K136" s="726" t="n">
        <v>2023</v>
      </c>
      <c r="L136" s="729" t="n">
        <v>23.2395</v>
      </c>
      <c r="M136" s="725" t="n"/>
      <c r="N136" s="729" t="n">
        <v>32.1906</v>
      </c>
      <c r="O136" s="729" t="n">
        <v>0.7301</v>
      </c>
      <c r="P136" s="729" t="n">
        <v>2.0601</v>
      </c>
      <c r="Q136" s="725" t="n"/>
      <c r="R136" s="725" t="n"/>
      <c r="S136" s="725" t="n"/>
      <c r="T136" s="725" t="n"/>
      <c r="U136" s="725" t="n"/>
      <c r="V136" s="725" t="n"/>
      <c r="W136" s="725" t="n"/>
      <c r="X136" s="729" t="n">
        <v>3.2415</v>
      </c>
      <c r="Y136" s="729" t="n">
        <v>3.2415</v>
      </c>
      <c r="Z136" s="725" t="n"/>
      <c r="AA136" s="725" t="n"/>
      <c r="AB136" s="725" t="n"/>
      <c r="AC136" s="725" t="n"/>
      <c r="AD136" s="725" t="n"/>
      <c r="AE136" s="725" t="n"/>
      <c r="AF136" s="729" t="n">
        <v>3.4458</v>
      </c>
      <c r="AG136" s="729" t="n">
        <v>0.5937</v>
      </c>
      <c r="AH136" s="729" t="n">
        <v>10.0688</v>
      </c>
      <c r="AI136" s="729" t="n">
        <v>2.0543</v>
      </c>
      <c r="AJ136" s="729" t="n">
        <v>12.123</v>
      </c>
      <c r="AK136" s="729" t="n">
        <v>20.0676</v>
      </c>
      <c r="AL136" s="725" t="n"/>
      <c r="AM136" s="728" t="inlineStr">
        <is>
          <t>Actual accrual; govt tenants; 100% occ NNN; special assessments in Other</t>
        </is>
      </c>
    </row>
    <row r="137" ht="14.1" customHeight="1">
      <c r="A137" s="725" t="inlineStr">
        <is>
          <t>P068</t>
        </is>
      </c>
      <c r="B137" s="695" t="n">
        <v>344</v>
      </c>
      <c r="C137" s="725" t="inlineStr">
        <is>
          <t>R0193830</t>
        </is>
      </c>
      <c r="D137" s="725" t="inlineStr">
        <is>
          <t>Justice Center Office Plaza</t>
        </is>
      </c>
      <c r="E137" s="725" t="inlineStr">
        <is>
          <t>Denver</t>
        </is>
      </c>
      <c r="F137" s="725" t="inlineStr">
        <is>
          <t>CO</t>
        </is>
      </c>
      <c r="G137" s="725" t="inlineStr">
        <is>
          <t>Office</t>
        </is>
      </c>
      <c r="H137" s="725" t="inlineStr">
        <is>
          <t>Multi-Tenant Office NNN</t>
        </is>
      </c>
      <c r="I137" s="726" t="n"/>
      <c r="J137" s="726" t="n">
        <v>41979</v>
      </c>
      <c r="K137" s="726" t="n">
        <v>2024</v>
      </c>
      <c r="L137" s="729" t="n">
        <v>20.4556</v>
      </c>
      <c r="M137" s="725" t="n"/>
      <c r="N137" s="729" t="n">
        <v>33.188</v>
      </c>
      <c r="O137" s="729" t="n">
        <v>0.8289</v>
      </c>
      <c r="P137" s="729" t="n">
        <v>2.1306</v>
      </c>
      <c r="Q137" s="725" t="n"/>
      <c r="R137" s="725" t="n"/>
      <c r="S137" s="725" t="n"/>
      <c r="T137" s="725" t="n"/>
      <c r="U137" s="725" t="n"/>
      <c r="V137" s="725" t="n"/>
      <c r="W137" s="725" t="n"/>
      <c r="X137" s="729" t="n">
        <v>2.7757</v>
      </c>
      <c r="Y137" s="729" t="n">
        <v>2.7757</v>
      </c>
      <c r="Z137" s="725" t="n"/>
      <c r="AA137" s="725" t="n"/>
      <c r="AB137" s="725" t="n"/>
      <c r="AC137" s="725" t="n"/>
      <c r="AD137" s="725" t="n"/>
      <c r="AE137" s="725" t="n"/>
      <c r="AF137" s="729" t="n">
        <v>3.5734</v>
      </c>
      <c r="AG137" s="729" t="n">
        <v>0.7077</v>
      </c>
      <c r="AH137" s="729" t="n">
        <v>10.1354</v>
      </c>
      <c r="AI137" s="729" t="n">
        <v>2.0662</v>
      </c>
      <c r="AJ137" s="729" t="n">
        <v>12.2016</v>
      </c>
      <c r="AK137" s="729" t="n">
        <v>20.9864</v>
      </c>
      <c r="AL137" s="725" t="n"/>
      <c r="AM137" s="728" t="inlineStr">
        <is>
          <t>Actual accrual; govt tenants; 100% occ NNN; special assessments in Other</t>
        </is>
      </c>
    </row>
    <row r="138" ht="14.1" customHeight="1">
      <c r="A138" s="725" t="inlineStr">
        <is>
          <t>P069</t>
        </is>
      </c>
      <c r="B138" s="695" t="n">
        <v>210</v>
      </c>
      <c r="C138" s="725" t="inlineStr">
        <is>
          <t>R0098223</t>
        </is>
      </c>
      <c r="D138" s="725" t="inlineStr">
        <is>
          <t>Washington Commerce Center</t>
        </is>
      </c>
      <c r="E138" s="725" t="inlineStr">
        <is>
          <t>Commerce City</t>
        </is>
      </c>
      <c r="F138" s="725" t="inlineStr">
        <is>
          <t>CO</t>
        </is>
      </c>
      <c r="G138" s="725" t="inlineStr">
        <is>
          <t>Office/Industrial</t>
        </is>
      </c>
      <c r="H138" s="725" t="inlineStr">
        <is>
          <t>Multi-Tenant Office/Industrial</t>
        </is>
      </c>
      <c r="I138" s="726" t="n"/>
      <c r="J138" s="726" t="n">
        <v>278538</v>
      </c>
      <c r="K138" s="726" t="n">
        <v>2023</v>
      </c>
      <c r="L138" s="729" t="n">
        <v>5.8736</v>
      </c>
      <c r="M138" s="725" t="n"/>
      <c r="N138" s="729" t="n">
        <v>5.7822</v>
      </c>
      <c r="O138" s="729" t="n">
        <v>0.0183</v>
      </c>
      <c r="P138" s="729" t="n">
        <v>0.0788</v>
      </c>
      <c r="Q138" s="725" t="n"/>
      <c r="R138" s="725" t="n"/>
      <c r="S138" s="725" t="n"/>
      <c r="T138" s="725" t="n"/>
      <c r="U138" s="725" t="n"/>
      <c r="V138" s="725" t="n"/>
      <c r="W138" s="725" t="n"/>
      <c r="X138" s="729" t="n">
        <v>0.9203</v>
      </c>
      <c r="Y138" s="729" t="n">
        <v>0.9203</v>
      </c>
      <c r="Z138" s="725" t="n"/>
      <c r="AA138" s="729" t="n">
        <v>0.2083</v>
      </c>
      <c r="AB138" s="729" t="n">
        <v>0.0116</v>
      </c>
      <c r="AC138" s="729" t="n">
        <v>0.2199</v>
      </c>
      <c r="AD138" s="725" t="n"/>
      <c r="AE138" s="725" t="n"/>
      <c r="AF138" s="729" t="n">
        <v>0.1146</v>
      </c>
      <c r="AG138" s="725" t="n"/>
      <c r="AH138" s="729" t="n">
        <v>1.3485</v>
      </c>
      <c r="AI138" s="729" t="n">
        <v>0</v>
      </c>
      <c r="AJ138" s="729" t="n">
        <v>1.3485</v>
      </c>
      <c r="AK138" s="729" t="n">
        <v>0.2751</v>
      </c>
      <c r="AL138" s="725" t="n"/>
      <c r="AM138" s="728" t="inlineStr">
        <is>
          <t>Actual; tenants pay RE tax; high R&amp;M 2023 ($127k major maint); SF est.</t>
        </is>
      </c>
    </row>
    <row r="139" ht="14.1" customHeight="1">
      <c r="A139" s="725" t="inlineStr">
        <is>
          <t>P069</t>
        </is>
      </c>
      <c r="B139" s="695" t="n">
        <v>210</v>
      </c>
      <c r="C139" s="725" t="inlineStr">
        <is>
          <t>R0098223</t>
        </is>
      </c>
      <c r="D139" s="725" t="inlineStr">
        <is>
          <t>Washington Commerce Center</t>
        </is>
      </c>
      <c r="E139" s="725" t="inlineStr">
        <is>
          <t>Commerce City</t>
        </is>
      </c>
      <c r="F139" s="725" t="inlineStr">
        <is>
          <t>CO</t>
        </is>
      </c>
      <c r="G139" s="725" t="inlineStr">
        <is>
          <t>Office/Industrial</t>
        </is>
      </c>
      <c r="H139" s="725" t="inlineStr">
        <is>
          <t>Multi-Tenant Office/Industrial</t>
        </is>
      </c>
      <c r="I139" s="726" t="n"/>
      <c r="J139" s="726" t="n">
        <v>278538</v>
      </c>
      <c r="K139" s="726" t="n">
        <v>2024</v>
      </c>
      <c r="L139" s="729" t="n">
        <v>5.4604</v>
      </c>
      <c r="M139" s="725" t="n"/>
      <c r="N139" s="729" t="n">
        <v>5.4604</v>
      </c>
      <c r="O139" s="729" t="n">
        <v>0.032</v>
      </c>
      <c r="P139" s="729" t="n">
        <v>0.09180000000000001</v>
      </c>
      <c r="Q139" s="725" t="n"/>
      <c r="R139" s="725" t="n"/>
      <c r="S139" s="725" t="n"/>
      <c r="T139" s="725" t="n"/>
      <c r="U139" s="725" t="n"/>
      <c r="V139" s="725" t="n"/>
      <c r="W139" s="725" t="n"/>
      <c r="X139" s="729" t="n">
        <v>0.4497</v>
      </c>
      <c r="Y139" s="729" t="n">
        <v>0.4497</v>
      </c>
      <c r="Z139" s="725" t="n"/>
      <c r="AA139" s="729" t="n">
        <v>0.2083</v>
      </c>
      <c r="AB139" s="729" t="n">
        <v>0.0357</v>
      </c>
      <c r="AC139" s="729" t="n">
        <v>0.2441</v>
      </c>
      <c r="AD139" s="725" t="n"/>
      <c r="AE139" s="725" t="n"/>
      <c r="AF139" s="729" t="n">
        <v>0.1146</v>
      </c>
      <c r="AG139" s="725" t="n"/>
      <c r="AH139" s="729" t="n">
        <v>0.9322</v>
      </c>
      <c r="AI139" s="729" t="n">
        <v>0</v>
      </c>
      <c r="AJ139" s="729" t="n">
        <v>0.9322</v>
      </c>
      <c r="AK139" s="729" t="n">
        <v>0.3374</v>
      </c>
      <c r="AL139" s="725" t="n"/>
      <c r="AM139" s="728" t="inlineStr">
        <is>
          <t>Actual; tenants pay RE tax; lower R&amp;M 2024; SF est.</t>
        </is>
      </c>
    </row>
    <row r="140" ht="14.1" customHeight="1">
      <c r="A140" s="718" t="inlineStr">
        <is>
          <t>P070</t>
        </is>
      </c>
      <c r="B140" s="695" t="n">
        <v>210</v>
      </c>
      <c r="C140" s="718" t="inlineStr">
        <is>
          <t>R0084242</t>
        </is>
      </c>
      <c r="D140" s="718" t="inlineStr">
        <is>
          <t>Upland Dist Ctr I (Bldg 1)</t>
        </is>
      </c>
      <c r="E140" s="718" t="inlineStr">
        <is>
          <t>Aurora</t>
        </is>
      </c>
      <c r="F140" s="718" t="inlineStr">
        <is>
          <t>CO</t>
        </is>
      </c>
      <c r="G140" s="718" t="inlineStr">
        <is>
          <t>Industrial</t>
        </is>
      </c>
      <c r="H140" s="718" t="inlineStr">
        <is>
          <t>Multi-Tenant Industrial NNN</t>
        </is>
      </c>
      <c r="I140" s="719" t="n"/>
      <c r="J140" s="719" t="n"/>
      <c r="K140" s="719" t="n">
        <v>2024</v>
      </c>
      <c r="L140" s="730" t="n">
        <v>693913</v>
      </c>
      <c r="M140" s="718" t="n"/>
      <c r="N140" s="730" t="n">
        <v>1038740</v>
      </c>
      <c r="O140" s="730" t="n">
        <v>10142</v>
      </c>
      <c r="P140" s="730" t="n">
        <v>11589</v>
      </c>
      <c r="Q140" s="718" t="n"/>
      <c r="R140" s="718" t="n"/>
      <c r="S140" s="730" t="n">
        <v>10801</v>
      </c>
      <c r="T140" s="730" t="n">
        <v>2121</v>
      </c>
      <c r="U140" s="718" t="n"/>
      <c r="V140" s="718" t="n"/>
      <c r="W140" s="718" t="n"/>
      <c r="X140" s="730" t="n">
        <v>1602</v>
      </c>
      <c r="Y140" s="730" t="n">
        <v>14524</v>
      </c>
      <c r="Z140" s="718" t="n"/>
      <c r="AA140" s="730" t="n">
        <v>10822</v>
      </c>
      <c r="AB140" s="730" t="n">
        <v>32162</v>
      </c>
      <c r="AC140" s="730" t="n">
        <v>3096</v>
      </c>
      <c r="AD140" s="730" t="n">
        <v>10863</v>
      </c>
      <c r="AE140" s="718" t="n"/>
      <c r="AF140" s="730" t="n">
        <v>10863</v>
      </c>
      <c r="AG140" s="718" t="n"/>
      <c r="AH140" s="730" t="n">
        <v>103843</v>
      </c>
      <c r="AI140" s="730" t="n">
        <v>285245</v>
      </c>
      <c r="AJ140" s="730" t="n">
        <v>389088</v>
      </c>
      <c r="AK140" s="730" t="n">
        <v>649652</v>
      </c>
      <c r="AL140" s="718" t="n"/>
      <c r="AM140" s="721" t="inlineStr">
        <is>
          <t>[NO SF] Link Logistics actual accrual; security $3,096 in contract; mgmt non-billable</t>
        </is>
      </c>
    </row>
    <row r="141" ht="14.1" customHeight="1">
      <c r="A141" s="696" t="inlineStr">
        <is>
          <t>P070</t>
        </is>
      </c>
      <c r="B141" s="695" t="n">
        <v>210</v>
      </c>
      <c r="C141" s="696" t="inlineStr">
        <is>
          <t>R0084242</t>
        </is>
      </c>
      <c r="D141" s="696" t="inlineStr">
        <is>
          <t>Upland Dist Ctr I (Bldg 1)</t>
        </is>
      </c>
      <c r="E141" s="696" t="inlineStr">
        <is>
          <t>Aurora</t>
        </is>
      </c>
      <c r="F141" s="696" t="inlineStr">
        <is>
          <t>CO</t>
        </is>
      </c>
      <c r="G141" s="696" t="inlineStr">
        <is>
          <t>Industrial</t>
        </is>
      </c>
      <c r="H141" s="696" t="inlineStr">
        <is>
          <t>Multi-Tenant Industrial NNN</t>
        </is>
      </c>
      <c r="I141" s="722" t="n"/>
      <c r="J141" s="722" t="n"/>
      <c r="K141" s="722" t="n">
        <v>2023</v>
      </c>
      <c r="L141" s="731" t="n">
        <v>636291</v>
      </c>
      <c r="M141" s="696" t="n"/>
      <c r="N141" s="731" t="n">
        <v>1062200</v>
      </c>
      <c r="O141" s="731" t="n">
        <v>7751</v>
      </c>
      <c r="P141" s="731" t="n">
        <v>9831</v>
      </c>
      <c r="Q141" s="696" t="n"/>
      <c r="R141" s="696" t="n"/>
      <c r="S141" s="731" t="n">
        <v>6802</v>
      </c>
      <c r="T141" s="731" t="n">
        <v>2340</v>
      </c>
      <c r="U141" s="696" t="n"/>
      <c r="V141" s="696" t="n"/>
      <c r="W141" s="696" t="n"/>
      <c r="X141" s="731" t="n">
        <v>1498</v>
      </c>
      <c r="Y141" s="731" t="n">
        <v>10640</v>
      </c>
      <c r="Z141" s="696" t="n"/>
      <c r="AA141" s="731" t="n">
        <v>12695</v>
      </c>
      <c r="AB141" s="731" t="n">
        <v>15327</v>
      </c>
      <c r="AC141" s="731" t="n">
        <v>3871</v>
      </c>
      <c r="AD141" s="731" t="n">
        <v>18104</v>
      </c>
      <c r="AE141" s="696" t="n"/>
      <c r="AF141" s="731" t="n">
        <v>18104</v>
      </c>
      <c r="AG141" s="696" t="n"/>
      <c r="AH141" s="731" t="n">
        <v>93172</v>
      </c>
      <c r="AI141" s="731" t="n">
        <v>284308</v>
      </c>
      <c r="AJ141" s="731" t="n">
        <v>377480</v>
      </c>
      <c r="AK141" s="731" t="n">
        <v>684720</v>
      </c>
      <c r="AL141" s="696" t="n"/>
      <c r="AM141" s="724" t="inlineStr">
        <is>
          <t>[NO SF] Link Logistics actual accrual; security $3,871 in contract; mgmt non-billable</t>
        </is>
      </c>
    </row>
    <row r="142" ht="14.1" customHeight="1">
      <c r="A142" s="718" t="inlineStr">
        <is>
          <t>P071</t>
        </is>
      </c>
      <c r="B142" s="695" t="n">
        <v>210</v>
      </c>
      <c r="C142" s="718" t="inlineStr">
        <is>
          <t>R0084243</t>
        </is>
      </c>
      <c r="D142" s="718" t="inlineStr">
        <is>
          <t>Upland Dist Ctr I (Bldg 2)</t>
        </is>
      </c>
      <c r="E142" s="718" t="inlineStr">
        <is>
          <t>Aurora</t>
        </is>
      </c>
      <c r="F142" s="718" t="inlineStr">
        <is>
          <t>CO</t>
        </is>
      </c>
      <c r="G142" s="718" t="inlineStr">
        <is>
          <t>Industrial</t>
        </is>
      </c>
      <c r="H142" s="718" t="inlineStr">
        <is>
          <t>Multi-Tenant Industrial NNN</t>
        </is>
      </c>
      <c r="I142" s="719" t="n"/>
      <c r="J142" s="719" t="n"/>
      <c r="K142" s="719" t="n">
        <v>2024</v>
      </c>
      <c r="L142" s="730" t="n">
        <v>559154</v>
      </c>
      <c r="M142" s="718" t="n"/>
      <c r="N142" s="730" t="n">
        <v>904777</v>
      </c>
      <c r="O142" s="730" t="n">
        <v>9318</v>
      </c>
      <c r="P142" s="730" t="n">
        <v>8966</v>
      </c>
      <c r="Q142" s="718" t="n"/>
      <c r="R142" s="718" t="n"/>
      <c r="S142" s="730" t="n">
        <v>5962</v>
      </c>
      <c r="T142" s="730" t="n">
        <v>2221</v>
      </c>
      <c r="U142" s="730" t="n">
        <v>2465</v>
      </c>
      <c r="V142" s="718" t="n"/>
      <c r="W142" s="718" t="n"/>
      <c r="X142" s="730" t="n">
        <v>1589</v>
      </c>
      <c r="Y142" s="730" t="n">
        <v>12237</v>
      </c>
      <c r="Z142" s="718" t="n"/>
      <c r="AA142" s="730" t="n">
        <v>11302</v>
      </c>
      <c r="AB142" s="730" t="n">
        <v>32413</v>
      </c>
      <c r="AC142" s="730" t="n">
        <v>3096</v>
      </c>
      <c r="AD142" s="730" t="n">
        <v>23773</v>
      </c>
      <c r="AE142" s="718" t="n"/>
      <c r="AF142" s="730" t="n">
        <v>23773</v>
      </c>
      <c r="AG142" s="718" t="n"/>
      <c r="AH142" s="730" t="n">
        <v>130296</v>
      </c>
      <c r="AI142" s="730" t="n">
        <v>265848</v>
      </c>
      <c r="AJ142" s="730" t="n">
        <v>396144</v>
      </c>
      <c r="AK142" s="730" t="n">
        <v>508633</v>
      </c>
      <c r="AL142" s="718" t="n"/>
      <c r="AM142" s="721" t="inlineStr">
        <is>
          <t>[NO SF] Link Logistics actual accrual</t>
        </is>
      </c>
    </row>
    <row r="143" ht="14.1" customHeight="1">
      <c r="A143" s="696" t="inlineStr">
        <is>
          <t>P071</t>
        </is>
      </c>
      <c r="B143" s="695" t="n">
        <v>210</v>
      </c>
      <c r="C143" s="696" t="inlineStr">
        <is>
          <t>R0084243</t>
        </is>
      </c>
      <c r="D143" s="696" t="inlineStr">
        <is>
          <t>Upland Dist Ctr I (Bldg 2)</t>
        </is>
      </c>
      <c r="E143" s="696" t="inlineStr">
        <is>
          <t>Aurora</t>
        </is>
      </c>
      <c r="F143" s="696" t="inlineStr">
        <is>
          <t>CO</t>
        </is>
      </c>
      <c r="G143" s="696" t="inlineStr">
        <is>
          <t>Industrial</t>
        </is>
      </c>
      <c r="H143" s="696" t="inlineStr">
        <is>
          <t>Multi-Tenant Industrial NNN</t>
        </is>
      </c>
      <c r="I143" s="722" t="n"/>
      <c r="J143" s="722" t="n"/>
      <c r="K143" s="722" t="n">
        <v>2023</v>
      </c>
      <c r="L143" s="731" t="n">
        <v>671895</v>
      </c>
      <c r="M143" s="696" t="n"/>
      <c r="N143" s="731" t="n">
        <v>1034507</v>
      </c>
      <c r="O143" s="731" t="n">
        <v>7124</v>
      </c>
      <c r="P143" s="731" t="n">
        <v>9660</v>
      </c>
      <c r="Q143" s="696" t="n"/>
      <c r="R143" s="696" t="n"/>
      <c r="S143" s="731" t="n">
        <v>5338</v>
      </c>
      <c r="T143" s="731" t="n">
        <v>2480</v>
      </c>
      <c r="U143" s="731" t="n">
        <v>875</v>
      </c>
      <c r="V143" s="696" t="n"/>
      <c r="W143" s="696" t="n"/>
      <c r="X143" s="731" t="n">
        <v>1484</v>
      </c>
      <c r="Y143" s="731" t="n">
        <v>10177</v>
      </c>
      <c r="Z143" s="696" t="n"/>
      <c r="AA143" s="731" t="n">
        <v>8120</v>
      </c>
      <c r="AB143" s="731" t="n">
        <v>15088</v>
      </c>
      <c r="AC143" s="731" t="n">
        <v>3871</v>
      </c>
      <c r="AD143" s="731" t="n">
        <v>13983</v>
      </c>
      <c r="AE143" s="696" t="n"/>
      <c r="AF143" s="731" t="n">
        <v>13983</v>
      </c>
      <c r="AG143" s="696" t="n"/>
      <c r="AH143" s="731" t="n">
        <v>29277</v>
      </c>
      <c r="AI143" s="731" t="n">
        <v>265936</v>
      </c>
      <c r="AJ143" s="731" t="n">
        <v>295213</v>
      </c>
      <c r="AK143" s="731" t="n">
        <v>739294</v>
      </c>
      <c r="AL143" s="696" t="n"/>
      <c r="AM143" s="724" t="inlineStr">
        <is>
          <t>[NO SF] Link Logistics actual accrual</t>
        </is>
      </c>
    </row>
    <row r="144" ht="14.1" customHeight="1">
      <c r="A144" s="718" t="inlineStr">
        <is>
          <t>P072</t>
        </is>
      </c>
      <c r="B144" s="695" t="n">
        <v>210</v>
      </c>
      <c r="C144" s="718" t="inlineStr">
        <is>
          <t>R0084244</t>
        </is>
      </c>
      <c r="D144" s="718" t="inlineStr">
        <is>
          <t>Upland Dist Ctr I (Bldg 3)</t>
        </is>
      </c>
      <c r="E144" s="718" t="inlineStr">
        <is>
          <t>Aurora</t>
        </is>
      </c>
      <c r="F144" s="718" t="inlineStr">
        <is>
          <t>CO</t>
        </is>
      </c>
      <c r="G144" s="718" t="inlineStr">
        <is>
          <t>Industrial</t>
        </is>
      </c>
      <c r="H144" s="718" t="inlineStr">
        <is>
          <t>Multi-Tenant Industrial NNN</t>
        </is>
      </c>
      <c r="I144" s="719" t="n"/>
      <c r="J144" s="719" t="n"/>
      <c r="K144" s="719" t="n">
        <v>2023</v>
      </c>
      <c r="L144" s="730" t="n">
        <v>633240</v>
      </c>
      <c r="M144" s="718" t="n"/>
      <c r="N144" s="730" t="n">
        <v>1026818</v>
      </c>
      <c r="O144" s="730" t="n">
        <v>6101</v>
      </c>
      <c r="P144" s="730" t="n">
        <v>8518</v>
      </c>
      <c r="Q144" s="718" t="n"/>
      <c r="R144" s="718" t="n"/>
      <c r="S144" s="730" t="n">
        <v>32990</v>
      </c>
      <c r="T144" s="730" t="n">
        <v>1965</v>
      </c>
      <c r="U144" s="718" t="n"/>
      <c r="V144" s="718" t="n"/>
      <c r="W144" s="718" t="n"/>
      <c r="X144" s="730" t="n">
        <v>1498</v>
      </c>
      <c r="Y144" s="730" t="n">
        <v>34453</v>
      </c>
      <c r="Z144" s="718" t="n"/>
      <c r="AA144" s="730" t="n">
        <v>11861</v>
      </c>
      <c r="AB144" s="730" t="n">
        <v>15620</v>
      </c>
      <c r="AC144" s="730" t="n">
        <v>3871</v>
      </c>
      <c r="AD144" s="730" t="n">
        <v>5672</v>
      </c>
      <c r="AE144" s="730" t="n">
        <v>3430</v>
      </c>
      <c r="AF144" s="730" t="n">
        <v>9102</v>
      </c>
      <c r="AG144" s="718" t="n"/>
      <c r="AH144" s="730" t="n">
        <v>107544</v>
      </c>
      <c r="AI144" s="730" t="n">
        <v>284308</v>
      </c>
      <c r="AJ144" s="730" t="n">
        <v>391852</v>
      </c>
      <c r="AK144" s="730" t="n">
        <v>634966</v>
      </c>
      <c r="AL144" s="718" t="n"/>
      <c r="AM144" s="721" t="inlineStr">
        <is>
          <t>[NO SF] Link Logistics 2023 only; large warehouse; notable free rent ($111k) and lease-up period</t>
        </is>
      </c>
    </row>
    <row r="145" ht="14.1" customHeight="1">
      <c r="A145" s="696" t="inlineStr">
        <is>
          <t>P073</t>
        </is>
      </c>
      <c r="B145" s="695" t="n">
        <v>210</v>
      </c>
      <c r="C145" s="696" t="inlineStr">
        <is>
          <t>R0084247</t>
        </is>
      </c>
      <c r="D145" s="696" t="inlineStr">
        <is>
          <t>13802 E 33rd Place</t>
        </is>
      </c>
      <c r="E145" s="696" t="inlineStr">
        <is>
          <t>Aurora</t>
        </is>
      </c>
      <c r="F145" s="696" t="inlineStr">
        <is>
          <t>CO</t>
        </is>
      </c>
      <c r="G145" s="696" t="inlineStr">
        <is>
          <t>Industrial</t>
        </is>
      </c>
      <c r="H145" s="696" t="inlineStr">
        <is>
          <t>Multi-Tenant Industrial NNN</t>
        </is>
      </c>
      <c r="I145" s="722" t="n"/>
      <c r="J145" s="722" t="n"/>
      <c r="K145" s="722" t="n">
        <v>2024</v>
      </c>
      <c r="L145" s="731" t="n">
        <v>318721</v>
      </c>
      <c r="M145" s="696" t="n"/>
      <c r="N145" s="731" t="n">
        <v>578332</v>
      </c>
      <c r="O145" s="731" t="n">
        <v>7156</v>
      </c>
      <c r="P145" s="731" t="n">
        <v>5471</v>
      </c>
      <c r="Q145" s="696" t="n"/>
      <c r="R145" s="696" t="n"/>
      <c r="S145" s="731" t="n">
        <v>8874</v>
      </c>
      <c r="T145" s="731" t="n">
        <v>1655</v>
      </c>
      <c r="U145" s="696" t="n"/>
      <c r="V145" s="696" t="n"/>
      <c r="W145" s="696" t="n"/>
      <c r="X145" s="731" t="n">
        <v>1556</v>
      </c>
      <c r="Y145" s="731" t="n">
        <v>12085</v>
      </c>
      <c r="Z145" s="696" t="n"/>
      <c r="AA145" s="731" t="n">
        <v>9686</v>
      </c>
      <c r="AB145" s="731" t="n">
        <v>20653</v>
      </c>
      <c r="AC145" s="731" t="n">
        <v>6987</v>
      </c>
      <c r="AD145" s="731" t="n">
        <v>10547</v>
      </c>
      <c r="AE145" s="731" t="n">
        <v>1600</v>
      </c>
      <c r="AF145" s="731" t="n">
        <v>12147</v>
      </c>
      <c r="AG145" s="696" t="n"/>
      <c r="AH145" s="731" t="n">
        <v>91002</v>
      </c>
      <c r="AI145" s="731" t="n">
        <v>204010</v>
      </c>
      <c r="AJ145" s="731" t="n">
        <v>295012</v>
      </c>
      <c r="AK145" s="731" t="n">
        <v>283320</v>
      </c>
      <c r="AL145" s="696" t="n"/>
      <c r="AM145" s="724" t="inlineStr">
        <is>
          <t>[NO SF] Link Logistics actual accrual</t>
        </is>
      </c>
    </row>
    <row r="146" ht="14.1" customHeight="1">
      <c r="A146" s="718" t="inlineStr">
        <is>
          <t>P073</t>
        </is>
      </c>
      <c r="B146" s="695" t="n">
        <v>210</v>
      </c>
      <c r="C146" s="718" t="inlineStr">
        <is>
          <t>R0084247</t>
        </is>
      </c>
      <c r="D146" s="718" t="inlineStr">
        <is>
          <t>13802 E 33rd Place</t>
        </is>
      </c>
      <c r="E146" s="718" t="inlineStr">
        <is>
          <t>Aurora</t>
        </is>
      </c>
      <c r="F146" s="718" t="inlineStr">
        <is>
          <t>CO</t>
        </is>
      </c>
      <c r="G146" s="718" t="inlineStr">
        <is>
          <t>Industrial</t>
        </is>
      </c>
      <c r="H146" s="718" t="inlineStr">
        <is>
          <t>Multi-Tenant Industrial NNN</t>
        </is>
      </c>
      <c r="I146" s="719" t="n"/>
      <c r="J146" s="719" t="n"/>
      <c r="K146" s="719" t="n">
        <v>2023</v>
      </c>
      <c r="L146" s="730" t="n">
        <v>394581</v>
      </c>
      <c r="M146" s="718" t="n"/>
      <c r="N146" s="730" t="n">
        <v>671481</v>
      </c>
      <c r="O146" s="730" t="n">
        <v>6075</v>
      </c>
      <c r="P146" s="730" t="n">
        <v>5987</v>
      </c>
      <c r="Q146" s="718" t="n"/>
      <c r="R146" s="718" t="n"/>
      <c r="S146" s="730" t="n">
        <v>7762</v>
      </c>
      <c r="T146" s="730" t="n">
        <v>1575</v>
      </c>
      <c r="U146" s="718" t="n"/>
      <c r="V146" s="718" t="n"/>
      <c r="W146" s="718" t="n"/>
      <c r="X146" s="730" t="n">
        <v>1452</v>
      </c>
      <c r="Y146" s="730" t="n">
        <v>10789</v>
      </c>
      <c r="Z146" s="718" t="n"/>
      <c r="AA146" s="730" t="n">
        <v>11249</v>
      </c>
      <c r="AB146" s="730" t="n">
        <v>12318</v>
      </c>
      <c r="AC146" s="730" t="n">
        <v>6967</v>
      </c>
      <c r="AD146" s="730" t="n">
        <v>11424</v>
      </c>
      <c r="AE146" s="730" t="n">
        <v>1898</v>
      </c>
      <c r="AF146" s="730" t="n">
        <v>13322</v>
      </c>
      <c r="AG146" s="718" t="n"/>
      <c r="AH146" s="730" t="n">
        <v>37127</v>
      </c>
      <c r="AI146" s="730" t="n">
        <v>204497</v>
      </c>
      <c r="AJ146" s="730" t="n">
        <v>241624</v>
      </c>
      <c r="AK146" s="730" t="n">
        <v>429857</v>
      </c>
      <c r="AL146" s="718" t="n"/>
      <c r="AM146" s="721" t="inlineStr">
        <is>
          <t>[NO SF] Link Logistics actual accrual</t>
        </is>
      </c>
    </row>
    <row r="147" ht="14.1" customHeight="1">
      <c r="A147" s="696" t="inlineStr">
        <is>
          <t>P074</t>
        </is>
      </c>
      <c r="B147" s="695" t="n">
        <v>210</v>
      </c>
      <c r="C147" s="696" t="inlineStr">
        <is>
          <t>R0084248</t>
        </is>
      </c>
      <c r="D147" s="696" t="inlineStr">
        <is>
          <t>14002 E 33rd Place</t>
        </is>
      </c>
      <c r="E147" s="696" t="inlineStr">
        <is>
          <t>Aurora</t>
        </is>
      </c>
      <c r="F147" s="696" t="inlineStr">
        <is>
          <t>CO</t>
        </is>
      </c>
      <c r="G147" s="696" t="inlineStr">
        <is>
          <t>Industrial</t>
        </is>
      </c>
      <c r="H147" s="696" t="inlineStr">
        <is>
          <t>Multi-Tenant Industrial NNN</t>
        </is>
      </c>
      <c r="I147" s="722" t="n"/>
      <c r="J147" s="722" t="n"/>
      <c r="K147" s="722" t="n">
        <v>2024</v>
      </c>
      <c r="L147" s="731" t="n">
        <v>352733</v>
      </c>
      <c r="M147" s="696" t="n"/>
      <c r="N147" s="731" t="n">
        <v>649568</v>
      </c>
      <c r="O147" s="731" t="n">
        <v>6988</v>
      </c>
      <c r="P147" s="731" t="n">
        <v>6207</v>
      </c>
      <c r="Q147" s="696" t="n"/>
      <c r="R147" s="696" t="n"/>
      <c r="S147" s="731" t="n">
        <v>16981</v>
      </c>
      <c r="T147" s="731" t="n">
        <v>1800</v>
      </c>
      <c r="U147" s="696" t="n"/>
      <c r="V147" s="696" t="n"/>
      <c r="W147" s="696" t="n"/>
      <c r="X147" s="731" t="n">
        <v>1556</v>
      </c>
      <c r="Y147" s="731" t="n">
        <v>20337</v>
      </c>
      <c r="Z147" s="696" t="n"/>
      <c r="AA147" s="731" t="n">
        <v>8036</v>
      </c>
      <c r="AB147" s="731" t="n">
        <v>22795</v>
      </c>
      <c r="AC147" s="731" t="n">
        <v>6988</v>
      </c>
      <c r="AD147" s="731" t="n">
        <v>8875</v>
      </c>
      <c r="AE147" s="696" t="n"/>
      <c r="AF147" s="731" t="n">
        <v>8875</v>
      </c>
      <c r="AG147" s="696" t="n"/>
      <c r="AH147" s="731" t="n">
        <v>94654</v>
      </c>
      <c r="AI147" s="731" t="n">
        <v>204010</v>
      </c>
      <c r="AJ147" s="731" t="n">
        <v>298664</v>
      </c>
      <c r="AK147" s="731" t="n">
        <v>350904</v>
      </c>
      <c r="AL147" s="696" t="n"/>
      <c r="AM147" s="724" t="inlineStr">
        <is>
          <t>[NO SF] Link Logistics actual; 2023 RE tax net $53k refund; 2024 normal rate</t>
        </is>
      </c>
    </row>
    <row r="148" ht="14.1" customHeight="1">
      <c r="A148" s="718" t="inlineStr">
        <is>
          <t>P074</t>
        </is>
      </c>
      <c r="B148" s="695" t="n">
        <v>210</v>
      </c>
      <c r="C148" s="718" t="inlineStr">
        <is>
          <t>R0084248</t>
        </is>
      </c>
      <c r="D148" s="718" t="inlineStr">
        <is>
          <t>14002 E 33rd Place</t>
        </is>
      </c>
      <c r="E148" s="718" t="inlineStr">
        <is>
          <t>Aurora</t>
        </is>
      </c>
      <c r="F148" s="718" t="inlineStr">
        <is>
          <t>CO</t>
        </is>
      </c>
      <c r="G148" s="718" t="inlineStr">
        <is>
          <t>Industrial</t>
        </is>
      </c>
      <c r="H148" s="718" t="inlineStr">
        <is>
          <t>Multi-Tenant Industrial NNN</t>
        </is>
      </c>
      <c r="I148" s="719" t="n"/>
      <c r="J148" s="719" t="n"/>
      <c r="K148" s="719" t="n">
        <v>2023</v>
      </c>
      <c r="L148" s="730" t="n">
        <v>345583</v>
      </c>
      <c r="M148" s="718" t="n"/>
      <c r="N148" s="730" t="n">
        <v>582999</v>
      </c>
      <c r="O148" s="730" t="n">
        <v>6051</v>
      </c>
      <c r="P148" s="730" t="n">
        <v>6115</v>
      </c>
      <c r="Q148" s="718" t="n"/>
      <c r="R148" s="718" t="n"/>
      <c r="S148" s="730" t="n">
        <v>4932</v>
      </c>
      <c r="T148" s="730" t="n">
        <v>1822</v>
      </c>
      <c r="U148" s="718" t="n"/>
      <c r="V148" s="718" t="n"/>
      <c r="W148" s="718" t="n"/>
      <c r="X148" s="730" t="n">
        <v>1452</v>
      </c>
      <c r="Y148" s="730" t="n">
        <v>8206</v>
      </c>
      <c r="Z148" s="718" t="n"/>
      <c r="AA148" s="730" t="n">
        <v>6275</v>
      </c>
      <c r="AB148" s="730" t="n">
        <v>13573</v>
      </c>
      <c r="AC148" s="730" t="n">
        <v>6967</v>
      </c>
      <c r="AD148" s="730" t="n">
        <v>11933</v>
      </c>
      <c r="AE148" s="718" t="n"/>
      <c r="AF148" s="730" t="n">
        <v>11933</v>
      </c>
      <c r="AG148" s="718" t="n"/>
      <c r="AH148" s="730" t="n">
        <v>71541</v>
      </c>
      <c r="AI148" s="730" t="n">
        <v>162088</v>
      </c>
      <c r="AJ148" s="730" t="n">
        <v>233629</v>
      </c>
      <c r="AK148" s="730" t="n">
        <v>349370</v>
      </c>
      <c r="AL148" s="718" t="n"/>
      <c r="AM148" s="721" t="inlineStr">
        <is>
          <t>[NO SF] Link Logistics actual; 2023 RE tax net $53k refund; 2024 normal rate</t>
        </is>
      </c>
    </row>
    <row r="149" ht="14.1" customHeight="1">
      <c r="A149" s="696" t="inlineStr">
        <is>
          <t>P075</t>
        </is>
      </c>
      <c r="B149" s="695" t="n">
        <v>210</v>
      </c>
      <c r="C149" s="696" t="inlineStr">
        <is>
          <t>R0084250</t>
        </is>
      </c>
      <c r="D149" s="696" t="inlineStr">
        <is>
          <t>3250 Abilene Street</t>
        </is>
      </c>
      <c r="E149" s="696" t="inlineStr">
        <is>
          <t>Aurora</t>
        </is>
      </c>
      <c r="F149" s="696" t="inlineStr">
        <is>
          <t>CO</t>
        </is>
      </c>
      <c r="G149" s="696" t="inlineStr">
        <is>
          <t>Industrial</t>
        </is>
      </c>
      <c r="H149" s="696" t="inlineStr">
        <is>
          <t>Multi-Tenant Industrial NNN</t>
        </is>
      </c>
      <c r="I149" s="722" t="n"/>
      <c r="J149" s="722" t="n"/>
      <c r="K149" s="722" t="n">
        <v>2024</v>
      </c>
      <c r="L149" s="731" t="n">
        <v>406844</v>
      </c>
      <c r="M149" s="696" t="n"/>
      <c r="N149" s="731" t="n">
        <v>797212</v>
      </c>
      <c r="O149" s="731" t="n">
        <v>45992</v>
      </c>
      <c r="P149" s="731" t="n">
        <v>6921</v>
      </c>
      <c r="Q149" s="696" t="n"/>
      <c r="R149" s="696" t="n"/>
      <c r="S149" s="731" t="n">
        <v>10380</v>
      </c>
      <c r="T149" s="731" t="n">
        <v>3470</v>
      </c>
      <c r="U149" s="731" t="n">
        <v>2000</v>
      </c>
      <c r="V149" s="696" t="n"/>
      <c r="W149" s="696" t="n"/>
      <c r="X149" s="731" t="n">
        <v>1676</v>
      </c>
      <c r="Y149" s="731" t="n">
        <v>17526</v>
      </c>
      <c r="Z149" s="696" t="n"/>
      <c r="AA149" s="731" t="n">
        <v>8417</v>
      </c>
      <c r="AB149" s="731" t="n">
        <v>30101</v>
      </c>
      <c r="AC149" s="731" t="n">
        <v>8211</v>
      </c>
      <c r="AD149" s="731" t="n">
        <v>12042</v>
      </c>
      <c r="AE149" s="731" t="n">
        <v>3218</v>
      </c>
      <c r="AF149" s="731" t="n">
        <v>15260</v>
      </c>
      <c r="AG149" s="696" t="n"/>
      <c r="AH149" s="731" t="n">
        <v>180865</v>
      </c>
      <c r="AI149" s="731" t="n">
        <v>410137</v>
      </c>
      <c r="AJ149" s="731" t="n">
        <v>591002</v>
      </c>
      <c r="AK149" s="731" t="n">
        <v>206210</v>
      </c>
      <c r="AL149" s="696" t="n"/>
      <c r="AM149" s="724" t="inlineStr">
        <is>
          <t>[NO SF] Link Logistics actual; 2024 tenant turnover – NOI depressed; base rent $787k→$407k; 2024 ins inflated by $25k deductible</t>
        </is>
      </c>
    </row>
    <row r="150" ht="14.1" customHeight="1">
      <c r="A150" s="718" t="inlineStr">
        <is>
          <t>P075</t>
        </is>
      </c>
      <c r="B150" s="695" t="n">
        <v>210</v>
      </c>
      <c r="C150" s="718" t="inlineStr">
        <is>
          <t>R0084250</t>
        </is>
      </c>
      <c r="D150" s="718" t="inlineStr">
        <is>
          <t>3250 Abilene Street</t>
        </is>
      </c>
      <c r="E150" s="718" t="inlineStr">
        <is>
          <t>Aurora</t>
        </is>
      </c>
      <c r="F150" s="718" t="inlineStr">
        <is>
          <t>CO</t>
        </is>
      </c>
      <c r="G150" s="718" t="inlineStr">
        <is>
          <t>Industrial</t>
        </is>
      </c>
      <c r="H150" s="718" t="inlineStr">
        <is>
          <t>Multi-Tenant Industrial NNN</t>
        </is>
      </c>
      <c r="I150" s="719" t="n"/>
      <c r="J150" s="719" t="n"/>
      <c r="K150" s="719" t="n">
        <v>2023</v>
      </c>
      <c r="L150" s="730" t="n">
        <v>787792</v>
      </c>
      <c r="M150" s="718" t="n"/>
      <c r="N150" s="730" t="n">
        <v>1333856</v>
      </c>
      <c r="O150" s="730" t="n">
        <v>12351</v>
      </c>
      <c r="P150" s="730" t="n">
        <v>13140</v>
      </c>
      <c r="Q150" s="718" t="n"/>
      <c r="R150" s="718" t="n"/>
      <c r="S150" s="730" t="n">
        <v>10370</v>
      </c>
      <c r="T150" s="730" t="n">
        <v>3061</v>
      </c>
      <c r="U150" s="730" t="n">
        <v>0</v>
      </c>
      <c r="V150" s="718" t="n"/>
      <c r="W150" s="718" t="n"/>
      <c r="X150" s="730" t="n">
        <v>1572</v>
      </c>
      <c r="Y150" s="730" t="n">
        <v>15003</v>
      </c>
      <c r="Z150" s="718" t="n"/>
      <c r="AA150" s="730" t="n">
        <v>24879</v>
      </c>
      <c r="AB150" s="730" t="n">
        <v>16871</v>
      </c>
      <c r="AC150" s="730" t="n">
        <v>7678</v>
      </c>
      <c r="AD150" s="730" t="n">
        <v>12785</v>
      </c>
      <c r="AE150" s="718" t="n"/>
      <c r="AF150" s="730" t="n">
        <v>12785</v>
      </c>
      <c r="AG150" s="718" t="n"/>
      <c r="AH150" s="730" t="n">
        <v>123031</v>
      </c>
      <c r="AI150" s="730" t="n">
        <v>409295</v>
      </c>
      <c r="AJ150" s="730" t="n">
        <v>532326</v>
      </c>
      <c r="AK150" s="730" t="n">
        <v>801530</v>
      </c>
      <c r="AL150" s="718" t="n"/>
      <c r="AM150" s="721" t="inlineStr">
        <is>
          <t>[NO SF] Link Logistics actual; 2023 stable; 2024 ins inflated by $25k deductible</t>
        </is>
      </c>
    </row>
    <row r="151" ht="14.1" customHeight="1">
      <c r="A151" s="696" t="inlineStr">
        <is>
          <t>P076</t>
        </is>
      </c>
      <c r="B151" s="695" t="n">
        <v>210</v>
      </c>
      <c r="C151" s="696" t="inlineStr">
        <is>
          <t>R0084253</t>
        </is>
      </c>
      <c r="D151" s="696" t="inlineStr">
        <is>
          <t>14509 E 33rd Place</t>
        </is>
      </c>
      <c r="E151" s="696" t="inlineStr">
        <is>
          <t>Aurora</t>
        </is>
      </c>
      <c r="F151" s="696" t="inlineStr">
        <is>
          <t>CO</t>
        </is>
      </c>
      <c r="G151" s="696" t="inlineStr">
        <is>
          <t>Industrial</t>
        </is>
      </c>
      <c r="H151" s="696" t="inlineStr">
        <is>
          <t>Multi-Tenant Industrial NNN</t>
        </is>
      </c>
      <c r="I151" s="722" t="n"/>
      <c r="J151" s="722" t="n"/>
      <c r="K151" s="722" t="n">
        <v>2024</v>
      </c>
      <c r="L151" s="731" t="n">
        <v>987101</v>
      </c>
      <c r="M151" s="696" t="n"/>
      <c r="N151" s="731" t="n">
        <v>1613814</v>
      </c>
      <c r="O151" s="731" t="n">
        <v>26027</v>
      </c>
      <c r="P151" s="731" t="n">
        <v>17785</v>
      </c>
      <c r="Q151" s="696" t="n"/>
      <c r="R151" s="696" t="n"/>
      <c r="S151" s="731" t="n">
        <v>9496</v>
      </c>
      <c r="T151" s="731" t="n">
        <v>2104</v>
      </c>
      <c r="U151" s="696" t="n"/>
      <c r="V151" s="696" t="n"/>
      <c r="W151" s="696" t="n"/>
      <c r="X151" s="731" t="n">
        <v>1676</v>
      </c>
      <c r="Y151" s="731" t="n">
        <v>13276</v>
      </c>
      <c r="Z151" s="696" t="n"/>
      <c r="AA151" s="731" t="n">
        <v>11885</v>
      </c>
      <c r="AB151" s="731" t="n">
        <v>37419</v>
      </c>
      <c r="AC151" s="731" t="n">
        <v>5705</v>
      </c>
      <c r="AD151" s="731" t="n">
        <v>39182</v>
      </c>
      <c r="AE151" s="731" t="n">
        <v>1573</v>
      </c>
      <c r="AF151" s="731" t="n">
        <v>40755</v>
      </c>
      <c r="AG151" s="696" t="n"/>
      <c r="AH151" s="731" t="n">
        <v>178810</v>
      </c>
      <c r="AI151" s="731" t="n">
        <v>442744</v>
      </c>
      <c r="AJ151" s="731" t="n">
        <v>621554</v>
      </c>
      <c r="AK151" s="731" t="n">
        <v>992260</v>
      </c>
      <c r="AL151" s="696" t="n"/>
      <c r="AM151" s="724" t="inlineStr">
        <is>
          <t>[NO SF] Link Logistics actual; 2023 security includes one-time $54k</t>
        </is>
      </c>
    </row>
    <row r="152" ht="14.1" customHeight="1">
      <c r="A152" s="718" t="inlineStr">
        <is>
          <t>P076</t>
        </is>
      </c>
      <c r="B152" s="695" t="n">
        <v>210</v>
      </c>
      <c r="C152" s="718" t="inlineStr">
        <is>
          <t>R0084253</t>
        </is>
      </c>
      <c r="D152" s="718" t="inlineStr">
        <is>
          <t>14509 E 33rd Place</t>
        </is>
      </c>
      <c r="E152" s="718" t="inlineStr">
        <is>
          <t>Aurora</t>
        </is>
      </c>
      <c r="F152" s="718" t="inlineStr">
        <is>
          <t>CO</t>
        </is>
      </c>
      <c r="G152" s="718" t="inlineStr">
        <is>
          <t>Industrial</t>
        </is>
      </c>
      <c r="H152" s="718" t="inlineStr">
        <is>
          <t>Multi-Tenant Industrial NNN</t>
        </is>
      </c>
      <c r="I152" s="719" t="n"/>
      <c r="J152" s="719" t="n"/>
      <c r="K152" s="719" t="n">
        <v>2023</v>
      </c>
      <c r="L152" s="730" t="n">
        <v>932587</v>
      </c>
      <c r="M152" s="718" t="n"/>
      <c r="N152" s="730" t="n">
        <v>1610926</v>
      </c>
      <c r="O152" s="730" t="n">
        <v>12903</v>
      </c>
      <c r="P152" s="730" t="n">
        <v>15271</v>
      </c>
      <c r="Q152" s="718" t="n"/>
      <c r="R152" s="718" t="n"/>
      <c r="S152" s="730" t="n">
        <v>16438</v>
      </c>
      <c r="T152" s="730" t="n">
        <v>17000</v>
      </c>
      <c r="U152" s="718" t="n"/>
      <c r="V152" s="718" t="n"/>
      <c r="W152" s="718" t="n"/>
      <c r="X152" s="730" t="n">
        <v>1572</v>
      </c>
      <c r="Y152" s="730" t="n">
        <v>35010</v>
      </c>
      <c r="Z152" s="718" t="n"/>
      <c r="AA152" s="730" t="n">
        <v>11941</v>
      </c>
      <c r="AB152" s="730" t="n">
        <v>21409</v>
      </c>
      <c r="AC152" s="730" t="n">
        <v>54490</v>
      </c>
      <c r="AD152" s="730" t="n">
        <v>34733</v>
      </c>
      <c r="AE152" s="730" t="n">
        <v>1638</v>
      </c>
      <c r="AF152" s="730" t="n">
        <v>36371</v>
      </c>
      <c r="AG152" s="718" t="n"/>
      <c r="AH152" s="730" t="n">
        <v>211012</v>
      </c>
      <c r="AI152" s="730" t="n">
        <v>441491</v>
      </c>
      <c r="AJ152" s="730" t="n">
        <v>652503</v>
      </c>
      <c r="AK152" s="730" t="n">
        <v>958423</v>
      </c>
      <c r="AL152" s="718" t="n"/>
      <c r="AM152" s="721" t="inlineStr">
        <is>
          <t>[NO SF] Link Logistics actual; 2023 security includes one-time $54k</t>
        </is>
      </c>
    </row>
    <row r="153" ht="14.1" customHeight="1">
      <c r="A153" s="696" t="inlineStr">
        <is>
          <t>P077</t>
        </is>
      </c>
      <c r="B153" s="695" t="n">
        <v>210</v>
      </c>
      <c r="C153" s="696" t="inlineStr">
        <is>
          <t>R0084253</t>
        </is>
      </c>
      <c r="D153" s="696" t="inlineStr">
        <is>
          <t>14704 E 33rd Place</t>
        </is>
      </c>
      <c r="E153" s="696" t="inlineStr">
        <is>
          <t>Aurora</t>
        </is>
      </c>
      <c r="F153" s="696" t="inlineStr">
        <is>
          <t>CO</t>
        </is>
      </c>
      <c r="G153" s="696" t="inlineStr">
        <is>
          <t>Industrial</t>
        </is>
      </c>
      <c r="H153" s="696" t="inlineStr">
        <is>
          <t>Multi-Tenant Industrial NNN</t>
        </is>
      </c>
      <c r="I153" s="722" t="n"/>
      <c r="J153" s="722" t="n"/>
      <c r="K153" s="722" t="n">
        <v>2024</v>
      </c>
      <c r="L153" s="731" t="n">
        <v>977394</v>
      </c>
      <c r="M153" s="696" t="n"/>
      <c r="N153" s="731" t="n">
        <v>1537076</v>
      </c>
      <c r="O153" s="731" t="n">
        <v>12170</v>
      </c>
      <c r="P153" s="731" t="n">
        <v>17077</v>
      </c>
      <c r="Q153" s="696" t="n"/>
      <c r="R153" s="696" t="n"/>
      <c r="S153" s="731" t="n">
        <v>10377</v>
      </c>
      <c r="T153" s="731" t="n">
        <v>1760</v>
      </c>
      <c r="U153" s="731" t="n">
        <v>265</v>
      </c>
      <c r="V153" s="696" t="n"/>
      <c r="W153" s="696" t="n"/>
      <c r="X153" s="731" t="n">
        <v>1636</v>
      </c>
      <c r="Y153" s="731" t="n">
        <v>13036</v>
      </c>
      <c r="Z153" s="696" t="n"/>
      <c r="AA153" s="731" t="n">
        <v>10043</v>
      </c>
      <c r="AB153" s="731" t="n">
        <v>41626</v>
      </c>
      <c r="AC153" s="731" t="n">
        <v>5705</v>
      </c>
      <c r="AD153" s="731" t="n">
        <v>19336</v>
      </c>
      <c r="AE153" s="731" t="n">
        <v>2462</v>
      </c>
      <c r="AF153" s="731" t="n">
        <v>21798</v>
      </c>
      <c r="AG153" s="696" t="n"/>
      <c r="AH153" s="731" t="n">
        <v>228019</v>
      </c>
      <c r="AI153" s="731" t="n">
        <v>364330</v>
      </c>
      <c r="AJ153" s="731" t="n">
        <v>592349</v>
      </c>
      <c r="AK153" s="731" t="n">
        <v>944727</v>
      </c>
      <c r="AL153" s="696" t="n"/>
      <c r="AM153" s="724" t="inlineStr">
        <is>
          <t>[NO SF] Link Logistics 2024; partial vacancy (elec/gas $124k); NOI understated excl vacancy costs</t>
        </is>
      </c>
    </row>
    <row r="154" ht="14.1" customHeight="1">
      <c r="A154" s="718" t="inlineStr">
        <is>
          <t>P078</t>
        </is>
      </c>
      <c r="B154" s="695" t="n">
        <v>210</v>
      </c>
      <c r="C154" s="718" t="inlineStr">
        <is>
          <t>R0084253</t>
        </is>
      </c>
      <c r="D154" s="718" t="inlineStr">
        <is>
          <t>14705 E 33rd Place</t>
        </is>
      </c>
      <c r="E154" s="718" t="inlineStr">
        <is>
          <t>Aurora</t>
        </is>
      </c>
      <c r="F154" s="718" t="inlineStr">
        <is>
          <t>CO</t>
        </is>
      </c>
      <c r="G154" s="718" t="inlineStr">
        <is>
          <t>Industrial</t>
        </is>
      </c>
      <c r="H154" s="718" t="inlineStr">
        <is>
          <t>Multi-Tenant Industrial NNN</t>
        </is>
      </c>
      <c r="I154" s="719" t="n"/>
      <c r="J154" s="719" t="n"/>
      <c r="K154" s="719" t="n">
        <v>2024</v>
      </c>
      <c r="L154" s="730" t="n">
        <v>436928</v>
      </c>
      <c r="M154" s="718" t="n"/>
      <c r="N154" s="730" t="n">
        <v>714461</v>
      </c>
      <c r="O154" s="730" t="n">
        <v>6456</v>
      </c>
      <c r="P154" s="730" t="n">
        <v>6962</v>
      </c>
      <c r="Q154" s="718" t="n"/>
      <c r="R154" s="718" t="n"/>
      <c r="S154" s="730" t="n">
        <v>6889</v>
      </c>
      <c r="T154" s="730" t="n">
        <v>1125</v>
      </c>
      <c r="U154" s="730" t="n">
        <v>285</v>
      </c>
      <c r="V154" s="718" t="n"/>
      <c r="W154" s="718" t="n"/>
      <c r="X154" s="730" t="n">
        <v>1546</v>
      </c>
      <c r="Y154" s="730" t="n">
        <v>9845</v>
      </c>
      <c r="Z154" s="718" t="n"/>
      <c r="AA154" s="730" t="n">
        <v>6931</v>
      </c>
      <c r="AB154" s="730" t="n">
        <v>27052</v>
      </c>
      <c r="AC154" s="730" t="n">
        <v>5705</v>
      </c>
      <c r="AD154" s="718" t="n"/>
      <c r="AE154" s="730" t="n">
        <v>929</v>
      </c>
      <c r="AF154" s="730" t="n">
        <v>929</v>
      </c>
      <c r="AG154" s="718" t="n"/>
      <c r="AH154" s="730" t="n">
        <v>77944</v>
      </c>
      <c r="AI154" s="730" t="n">
        <v>188633</v>
      </c>
      <c r="AJ154" s="730" t="n">
        <v>266577</v>
      </c>
      <c r="AK154" s="730" t="n">
        <v>447884</v>
      </c>
      <c r="AL154" s="718" t="n"/>
      <c r="AM154" s="721" t="inlineStr">
        <is>
          <t>[NO SF] Link Logistics 2024; partial free rent ($38k); lease-up period</t>
        </is>
      </c>
    </row>
    <row r="155" ht="14.1" customHeight="1">
      <c r="A155" s="696" t="inlineStr">
        <is>
          <t>P079</t>
        </is>
      </c>
      <c r="B155" s="695" t="n">
        <v>584</v>
      </c>
      <c r="C155" s="696" t="inlineStr">
        <is>
          <t>R0086214</t>
        </is>
      </c>
      <c r="D155" s="696" t="inlineStr">
        <is>
          <t>Aurora Warehouse (Polar)</t>
        </is>
      </c>
      <c r="E155" s="696" t="inlineStr">
        <is>
          <t>Aurora</t>
        </is>
      </c>
      <c r="F155" s="696" t="inlineStr">
        <is>
          <t>CO</t>
        </is>
      </c>
      <c r="G155" s="696" t="inlineStr">
        <is>
          <t>Industrial</t>
        </is>
      </c>
      <c r="H155" s="696" t="inlineStr">
        <is>
          <t>Mega Warehouse NNN</t>
        </is>
      </c>
      <c r="I155" s="722" t="n"/>
      <c r="J155" s="722" t="n"/>
      <c r="K155" s="722" t="n">
        <v>2024</v>
      </c>
      <c r="L155" s="731" t="n">
        <v>3771986</v>
      </c>
      <c r="M155" s="696" t="n"/>
      <c r="N155" s="731" t="n">
        <v>7045455</v>
      </c>
      <c r="O155" s="731" t="n">
        <v>83764</v>
      </c>
      <c r="P155" s="731" t="n">
        <v>67999</v>
      </c>
      <c r="Q155" s="696" t="n"/>
      <c r="R155" s="696" t="n"/>
      <c r="S155" s="696" t="n"/>
      <c r="T155" s="696" t="n"/>
      <c r="U155" s="696" t="n"/>
      <c r="V155" s="696" t="n"/>
      <c r="W155" s="696" t="n"/>
      <c r="X155" s="731" t="n">
        <v>5829</v>
      </c>
      <c r="Y155" s="731" t="n">
        <v>5829</v>
      </c>
      <c r="Z155" s="696" t="n"/>
      <c r="AA155" s="696" t="n"/>
      <c r="AB155" s="696" t="n"/>
      <c r="AC155" s="696" t="n"/>
      <c r="AD155" s="696" t="n"/>
      <c r="AE155" s="696" t="n"/>
      <c r="AF155" s="696" t="n"/>
      <c r="AG155" s="696" t="n"/>
      <c r="AH155" s="731" t="n">
        <v>381011</v>
      </c>
      <c r="AI155" s="731" t="n">
        <v>2407392</v>
      </c>
      <c r="AJ155" s="731" t="n">
        <v>2788403</v>
      </c>
      <c r="AK155" s="731" t="n">
        <v>4257052</v>
      </c>
      <c r="AL155" s="696" t="n"/>
      <c r="AM155" s="724" t="inlineStr">
        <is>
          <t>[NO SF] Link Logistics; very large – RE tax $2.2-2.4M; minimal CAM (near-absolute NNN); SF not confirmed</t>
        </is>
      </c>
    </row>
    <row r="156" ht="14.1" customHeight="1">
      <c r="A156" s="718" t="inlineStr">
        <is>
          <t>P079</t>
        </is>
      </c>
      <c r="B156" s="695" t="n">
        <v>584</v>
      </c>
      <c r="C156" s="718" t="inlineStr">
        <is>
          <t>R0086214</t>
        </is>
      </c>
      <c r="D156" s="718" t="inlineStr">
        <is>
          <t>Aurora Warehouse (Polar)</t>
        </is>
      </c>
      <c r="E156" s="718" t="inlineStr">
        <is>
          <t>Aurora</t>
        </is>
      </c>
      <c r="F156" s="718" t="inlineStr">
        <is>
          <t>CO</t>
        </is>
      </c>
      <c r="G156" s="718" t="inlineStr">
        <is>
          <t>Industrial</t>
        </is>
      </c>
      <c r="H156" s="718" t="inlineStr">
        <is>
          <t>Mega Warehouse NNN</t>
        </is>
      </c>
      <c r="I156" s="719" t="n"/>
      <c r="J156" s="719" t="n"/>
      <c r="K156" s="719" t="n">
        <v>2023</v>
      </c>
      <c r="L156" s="730" t="n">
        <v>3679986</v>
      </c>
      <c r="M156" s="718" t="n"/>
      <c r="N156" s="730" t="n">
        <v>6546351</v>
      </c>
      <c r="O156" s="730" t="n">
        <v>60105</v>
      </c>
      <c r="P156" s="730" t="n">
        <v>54144</v>
      </c>
      <c r="Q156" s="718" t="n"/>
      <c r="R156" s="718" t="n"/>
      <c r="S156" s="718" t="n"/>
      <c r="T156" s="718" t="n"/>
      <c r="U156" s="718" t="n"/>
      <c r="V156" s="718" t="n"/>
      <c r="W156" s="718" t="n"/>
      <c r="X156" s="730" t="n">
        <v>4184</v>
      </c>
      <c r="Y156" s="730" t="n">
        <v>4184</v>
      </c>
      <c r="Z156" s="718" t="n"/>
      <c r="AA156" s="718" t="n"/>
      <c r="AB156" s="718" t="n"/>
      <c r="AC156" s="718" t="n"/>
      <c r="AD156" s="718" t="n"/>
      <c r="AE156" s="718" t="n"/>
      <c r="AF156" s="718" t="n"/>
      <c r="AG156" s="718" t="n"/>
      <c r="AH156" s="730" t="n">
        <v>101213</v>
      </c>
      <c r="AI156" s="730" t="n">
        <v>2175995</v>
      </c>
      <c r="AJ156" s="730" t="n">
        <v>2277208</v>
      </c>
      <c r="AK156" s="730" t="n">
        <v>4269143</v>
      </c>
      <c r="AL156" s="718" t="n"/>
      <c r="AM156" s="721" t="inlineStr">
        <is>
          <t>[NO SF] Link Logistics; very large – RE tax $2.2-2.4M; minimal CAM (near-absolute NNN); SF not confirmed</t>
        </is>
      </c>
    </row>
    <row r="157" ht="14.1" customHeight="1">
      <c r="A157" s="696" t="inlineStr">
        <is>
          <t>P080</t>
        </is>
      </c>
      <c r="B157" s="695" t="n">
        <v>407</v>
      </c>
      <c r="C157" s="696" t="inlineStr">
        <is>
          <t>R0194277</t>
        </is>
      </c>
      <c r="D157" s="696" t="inlineStr">
        <is>
          <t>8251 Quintero St</t>
        </is>
      </c>
      <c r="E157" s="696" t="inlineStr">
        <is>
          <t>Commerce City</t>
        </is>
      </c>
      <c r="F157" s="696" t="inlineStr">
        <is>
          <t>CO</t>
        </is>
      </c>
      <c r="G157" s="696" t="inlineStr">
        <is>
          <t>Industrial</t>
        </is>
      </c>
      <c r="H157" s="696" t="inlineStr">
        <is>
          <t>Industrial Warehouse NNN</t>
        </is>
      </c>
      <c r="I157" s="722" t="n"/>
      <c r="J157" s="722" t="n"/>
      <c r="K157" s="722" t="n">
        <v>2024</v>
      </c>
      <c r="L157" s="731" t="n">
        <v>2966529</v>
      </c>
      <c r="M157" s="696" t="n"/>
      <c r="N157" s="731" t="n">
        <v>7433451</v>
      </c>
      <c r="O157" s="731" t="n">
        <v>32539</v>
      </c>
      <c r="P157" s="731" t="n">
        <v>86633</v>
      </c>
      <c r="Q157" s="696" t="n"/>
      <c r="R157" s="696" t="n"/>
      <c r="S157" s="731" t="n">
        <v>21784</v>
      </c>
      <c r="T157" s="696" t="n"/>
      <c r="U157" s="696" t="n"/>
      <c r="V157" s="696" t="n"/>
      <c r="W157" s="696" t="n"/>
      <c r="X157" s="696" t="n"/>
      <c r="Y157" s="731" t="n">
        <v>21784</v>
      </c>
      <c r="Z157" s="696" t="n"/>
      <c r="AA157" s="731" t="n">
        <v>30810</v>
      </c>
      <c r="AB157" s="731" t="n">
        <v>188483</v>
      </c>
      <c r="AC157" s="696" t="n"/>
      <c r="AD157" s="731" t="n">
        <v>29080</v>
      </c>
      <c r="AE157" s="696" t="n"/>
      <c r="AF157" s="731" t="n">
        <v>29080</v>
      </c>
      <c r="AG157" s="696" t="n"/>
      <c r="AH157" s="731" t="n">
        <v>1433299</v>
      </c>
      <c r="AI157" s="731" t="n">
        <v>3137254</v>
      </c>
      <c r="AJ157" s="731" t="n">
        <v>4570553</v>
      </c>
      <c r="AK157" s="731" t="n">
        <v>2862898</v>
      </c>
      <c r="AL157" s="696" t="n"/>
      <c r="AM157" s="724" t="inlineStr">
        <is>
          <t>[NO SF] Becknell Industrial; 2024 EGI/OPX inflated by $967k PY RE tax true-up; normalized NOI ~$2.86M</t>
        </is>
      </c>
    </row>
    <row r="158" ht="14.1" customHeight="1">
      <c r="A158" s="718" t="inlineStr">
        <is>
          <t>P080</t>
        </is>
      </c>
      <c r="B158" s="695" t="n">
        <v>407</v>
      </c>
      <c r="C158" s="718" t="inlineStr">
        <is>
          <t>R0194277</t>
        </is>
      </c>
      <c r="D158" s="718" t="inlineStr">
        <is>
          <t>8251 Quintero St</t>
        </is>
      </c>
      <c r="E158" s="718" t="inlineStr">
        <is>
          <t>Commerce City</t>
        </is>
      </c>
      <c r="F158" s="718" t="inlineStr">
        <is>
          <t>CO</t>
        </is>
      </c>
      <c r="G158" s="718" t="inlineStr">
        <is>
          <t>Industrial</t>
        </is>
      </c>
      <c r="H158" s="718" t="inlineStr">
        <is>
          <t>Industrial Warehouse NNN</t>
        </is>
      </c>
      <c r="I158" s="719" t="n"/>
      <c r="J158" s="719" t="n"/>
      <c r="K158" s="719" t="n">
        <v>2023</v>
      </c>
      <c r="L158" s="730" t="n">
        <v>2897673</v>
      </c>
      <c r="M158" s="718" t="n"/>
      <c r="N158" s="730" t="n">
        <v>5335437</v>
      </c>
      <c r="O158" s="730" t="n">
        <v>29390</v>
      </c>
      <c r="P158" s="730" t="n">
        <v>83488</v>
      </c>
      <c r="Q158" s="718" t="n"/>
      <c r="R158" s="718" t="n"/>
      <c r="S158" s="730" t="n">
        <v>35137</v>
      </c>
      <c r="T158" s="718" t="n"/>
      <c r="U158" s="718" t="n"/>
      <c r="V158" s="718" t="n"/>
      <c r="W158" s="718" t="n"/>
      <c r="X158" s="718" t="n"/>
      <c r="Y158" s="730" t="n">
        <v>35137</v>
      </c>
      <c r="Z158" s="718" t="n"/>
      <c r="AA158" s="730" t="n">
        <v>33419</v>
      </c>
      <c r="AB158" s="730" t="n">
        <v>151223</v>
      </c>
      <c r="AC158" s="718" t="n"/>
      <c r="AD158" s="730" t="n">
        <v>24034</v>
      </c>
      <c r="AE158" s="718" t="n"/>
      <c r="AF158" s="730" t="n">
        <v>24034</v>
      </c>
      <c r="AG158" s="718" t="n"/>
      <c r="AH158" s="730" t="n">
        <v>541522</v>
      </c>
      <c r="AI158" s="730" t="n">
        <v>2045093</v>
      </c>
      <c r="AJ158" s="730" t="n">
        <v>2586615</v>
      </c>
      <c r="AK158" s="730" t="n">
        <v>2748822</v>
      </c>
      <c r="AL158" s="718" t="n"/>
      <c r="AM158" s="721" t="inlineStr">
        <is>
          <t>[NO SF] Becknell Industrial; actual accrual</t>
        </is>
      </c>
    </row>
    <row r="159" ht="14.1" customHeight="1">
      <c r="A159" s="696" t="inlineStr">
        <is>
          <t>P081</t>
        </is>
      </c>
      <c r="B159" s="695" t="n">
        <v>407</v>
      </c>
      <c r="C159" s="696" t="inlineStr">
        <is>
          <t>R0198176</t>
        </is>
      </c>
      <c r="D159" s="696" t="inlineStr">
        <is>
          <t>21800 E 19th Ave</t>
        </is>
      </c>
      <c r="E159" s="696" t="inlineStr">
        <is>
          <t>Aurora</t>
        </is>
      </c>
      <c r="F159" s="696" t="inlineStr">
        <is>
          <t>CO</t>
        </is>
      </c>
      <c r="G159" s="696" t="inlineStr">
        <is>
          <t>Industrial</t>
        </is>
      </c>
      <c r="H159" s="696" t="inlineStr">
        <is>
          <t>Industrial Warehouse NNN</t>
        </is>
      </c>
      <c r="I159" s="722" t="n"/>
      <c r="J159" s="722" t="n"/>
      <c r="K159" s="722" t="n">
        <v>2024</v>
      </c>
      <c r="L159" s="731" t="n">
        <v>1502445</v>
      </c>
      <c r="M159" s="696" t="n"/>
      <c r="N159" s="731" t="n">
        <v>1698847</v>
      </c>
      <c r="O159" s="731" t="n">
        <v>18279</v>
      </c>
      <c r="P159" s="731" t="n">
        <v>45073</v>
      </c>
      <c r="Q159" s="696" t="n"/>
      <c r="R159" s="696" t="n"/>
      <c r="S159" s="731" t="n">
        <v>14583</v>
      </c>
      <c r="T159" s="696" t="n"/>
      <c r="U159" s="696" t="n"/>
      <c r="V159" s="696" t="n"/>
      <c r="W159" s="696" t="n"/>
      <c r="X159" s="696" t="n"/>
      <c r="Y159" s="731" t="n">
        <v>14583</v>
      </c>
      <c r="Z159" s="696" t="n"/>
      <c r="AA159" s="731" t="n">
        <v>30156</v>
      </c>
      <c r="AB159" s="731" t="n">
        <v>117922</v>
      </c>
      <c r="AC159" s="696" t="n"/>
      <c r="AD159" s="696" t="n"/>
      <c r="AE159" s="696" t="n"/>
      <c r="AF159" s="696" t="n"/>
      <c r="AG159" s="696" t="n"/>
      <c r="AH159" s="731" t="n">
        <v>268829</v>
      </c>
      <c r="AI159" s="731" t="n">
        <v>0</v>
      </c>
      <c r="AJ159" s="731" t="n">
        <v>268829</v>
      </c>
      <c r="AK159" s="731" t="n">
        <v>1430018</v>
      </c>
      <c r="AL159" s="696" t="n"/>
      <c r="AM159" s="724" t="inlineStr">
        <is>
          <t>[NO SF] Becknell; absolute NNN – tenant pays RE taxes directly; opex = CAM only</t>
        </is>
      </c>
    </row>
    <row r="160" ht="14.1" customHeight="1">
      <c r="A160" s="718" t="inlineStr">
        <is>
          <t>P081</t>
        </is>
      </c>
      <c r="B160" s="695" t="n">
        <v>407</v>
      </c>
      <c r="C160" s="718" t="inlineStr">
        <is>
          <t>R0198176</t>
        </is>
      </c>
      <c r="D160" s="718" t="inlineStr">
        <is>
          <t>21800 E 19th Ave</t>
        </is>
      </c>
      <c r="E160" s="718" t="inlineStr">
        <is>
          <t>Aurora</t>
        </is>
      </c>
      <c r="F160" s="718" t="inlineStr">
        <is>
          <t>CO</t>
        </is>
      </c>
      <c r="G160" s="718" t="inlineStr">
        <is>
          <t>Industrial</t>
        </is>
      </c>
      <c r="H160" s="718" t="inlineStr">
        <is>
          <t>Industrial Warehouse NNN</t>
        </is>
      </c>
      <c r="I160" s="719" t="n"/>
      <c r="J160" s="719" t="n"/>
      <c r="K160" s="719" t="n">
        <v>2023</v>
      </c>
      <c r="L160" s="730" t="n">
        <v>1458685</v>
      </c>
      <c r="M160" s="718" t="n"/>
      <c r="N160" s="730" t="n">
        <v>1647477</v>
      </c>
      <c r="O160" s="730" t="n">
        <v>15865</v>
      </c>
      <c r="P160" s="730" t="n">
        <v>43761</v>
      </c>
      <c r="Q160" s="718" t="n"/>
      <c r="R160" s="718" t="n"/>
      <c r="S160" s="730" t="n">
        <v>12850</v>
      </c>
      <c r="T160" s="718" t="n"/>
      <c r="U160" s="718" t="n"/>
      <c r="V160" s="718" t="n"/>
      <c r="W160" s="718" t="n"/>
      <c r="X160" s="718" t="n"/>
      <c r="Y160" s="730" t="n">
        <v>12850</v>
      </c>
      <c r="Z160" s="718" t="n"/>
      <c r="AA160" s="730" t="n">
        <v>31555</v>
      </c>
      <c r="AB160" s="730" t="n">
        <v>112261</v>
      </c>
      <c r="AC160" s="718" t="n"/>
      <c r="AD160" s="718" t="n"/>
      <c r="AE160" s="718" t="n"/>
      <c r="AF160" s="718" t="n"/>
      <c r="AG160" s="718" t="n"/>
      <c r="AH160" s="730" t="n">
        <v>238940</v>
      </c>
      <c r="AI160" s="730" t="n">
        <v>0</v>
      </c>
      <c r="AJ160" s="730" t="n">
        <v>238940</v>
      </c>
      <c r="AK160" s="730" t="n">
        <v>1408537</v>
      </c>
      <c r="AL160" s="718" t="n"/>
      <c r="AM160" s="721" t="inlineStr">
        <is>
          <t>[NO SF] Becknell; absolute NNN – tenant pays RE taxes directly; opex = CAM only</t>
        </is>
      </c>
    </row>
    <row r="161" ht="14.1" customHeight="1">
      <c r="A161" s="696" t="inlineStr">
        <is>
          <t>P082</t>
        </is>
      </c>
      <c r="B161" s="695" t="n">
        <v>407</v>
      </c>
      <c r="C161" s="696" t="inlineStr">
        <is>
          <t>R0201311</t>
        </is>
      </c>
      <c r="D161" s="696" t="inlineStr">
        <is>
          <t>Ascent Commerce Center Bldg I</t>
        </is>
      </c>
      <c r="E161" s="696" t="inlineStr">
        <is>
          <t>Aurora</t>
        </is>
      </c>
      <c r="F161" s="696" t="inlineStr">
        <is>
          <t>CO</t>
        </is>
      </c>
      <c r="G161" s="696" t="inlineStr">
        <is>
          <t>Industrial</t>
        </is>
      </c>
      <c r="H161" s="696" t="inlineStr">
        <is>
          <t>Industrial Warehouse NNN</t>
        </is>
      </c>
      <c r="I161" s="722" t="n"/>
      <c r="J161" s="722" t="n"/>
      <c r="K161" s="722" t="n">
        <v>2024</v>
      </c>
      <c r="L161" s="731" t="n">
        <v>187536</v>
      </c>
      <c r="M161" s="696" t="n"/>
      <c r="N161" s="731" t="n">
        <v>335936</v>
      </c>
      <c r="O161" s="731" t="n">
        <v>185</v>
      </c>
      <c r="P161" s="731" t="n">
        <v>6539</v>
      </c>
      <c r="Q161" s="696" t="n"/>
      <c r="R161" s="696" t="n"/>
      <c r="S161" s="731" t="n">
        <v>6694</v>
      </c>
      <c r="T161" s="696" t="n"/>
      <c r="U161" s="696" t="n"/>
      <c r="V161" s="696" t="n"/>
      <c r="W161" s="696" t="n"/>
      <c r="X161" s="696" t="n"/>
      <c r="Y161" s="731" t="n">
        <v>6694</v>
      </c>
      <c r="Z161" s="696" t="n"/>
      <c r="AA161" s="731" t="n">
        <v>1378</v>
      </c>
      <c r="AB161" s="731" t="n">
        <v>13095</v>
      </c>
      <c r="AC161" s="696" t="n"/>
      <c r="AD161" s="731" t="n">
        <v>52</v>
      </c>
      <c r="AE161" s="731" t="n">
        <v>6714</v>
      </c>
      <c r="AF161" s="731" t="n">
        <v>6766</v>
      </c>
      <c r="AG161" s="696" t="n"/>
      <c r="AH161" s="731" t="n">
        <v>42252</v>
      </c>
      <c r="AI161" s="731" t="n">
        <v>100794</v>
      </c>
      <c r="AJ161" s="731" t="n">
        <v>143046</v>
      </c>
      <c r="AK161" s="731" t="n">
        <v>181918</v>
      </c>
      <c r="AL161" s="696" t="n"/>
      <c r="AM161" s="724" t="inlineStr">
        <is>
          <t>[NO SF] Ambrose; Q4 2024 ONLY (Oct–Dec, 3 months); lease-up/stabilizing; DO NOT use for annual PSF</t>
        </is>
      </c>
    </row>
    <row r="162" ht="14.1" customHeight="1">
      <c r="A162" s="718" t="inlineStr">
        <is>
          <t>P083</t>
        </is>
      </c>
      <c r="B162" s="695" t="n">
        <v>407</v>
      </c>
      <c r="C162" s="718" t="inlineStr">
        <is>
          <t>R0201311</t>
        </is>
      </c>
      <c r="D162" s="718" t="inlineStr">
        <is>
          <t>Ascent Commerce Center Bldg II</t>
        </is>
      </c>
      <c r="E162" s="718" t="inlineStr">
        <is>
          <t>Aurora</t>
        </is>
      </c>
      <c r="F162" s="718" t="inlineStr">
        <is>
          <t>CO</t>
        </is>
      </c>
      <c r="G162" s="718" t="inlineStr">
        <is>
          <t>Industrial</t>
        </is>
      </c>
      <c r="H162" s="718" t="inlineStr">
        <is>
          <t>Industrial Warehouse NNN</t>
        </is>
      </c>
      <c r="I162" s="719" t="n"/>
      <c r="J162" s="719" t="n"/>
      <c r="K162" s="719" t="n">
        <v>2024</v>
      </c>
      <c r="L162" s="730" t="n">
        <v>143974</v>
      </c>
      <c r="M162" s="718" t="n"/>
      <c r="N162" s="730" t="n">
        <v>314952</v>
      </c>
      <c r="O162" s="730" t="n">
        <v>375</v>
      </c>
      <c r="P162" s="730" t="n">
        <v>6224</v>
      </c>
      <c r="Q162" s="718" t="n"/>
      <c r="R162" s="718" t="n"/>
      <c r="S162" s="730" t="n">
        <v>13434</v>
      </c>
      <c r="T162" s="718" t="n"/>
      <c r="U162" s="718" t="n"/>
      <c r="V162" s="718" t="n"/>
      <c r="W162" s="718" t="n"/>
      <c r="X162" s="718" t="n"/>
      <c r="Y162" s="730" t="n">
        <v>13434</v>
      </c>
      <c r="Z162" s="718" t="n"/>
      <c r="AA162" s="730" t="n">
        <v>1877</v>
      </c>
      <c r="AB162" s="730" t="n">
        <v>25288</v>
      </c>
      <c r="AC162" s="718" t="n"/>
      <c r="AD162" s="730" t="n">
        <v>104</v>
      </c>
      <c r="AE162" s="730" t="n">
        <v>11552</v>
      </c>
      <c r="AF162" s="730" t="n">
        <v>11656</v>
      </c>
      <c r="AG162" s="718" t="n"/>
      <c r="AH162" s="730" t="n">
        <v>70908</v>
      </c>
      <c r="AI162" s="730" t="n">
        <v>203797</v>
      </c>
      <c r="AJ162" s="730" t="n">
        <v>274705</v>
      </c>
      <c r="AK162" s="730" t="n">
        <v>22624</v>
      </c>
      <c r="AL162" s="718" t="n"/>
      <c r="AM162" s="721" t="inlineStr">
        <is>
          <t>[NO SF] Ambrose; Q4 2024 ONLY (Oct–Dec, 3 months); lease-up/stabilizing; DO NOT use for annual PSF</t>
        </is>
      </c>
    </row>
    <row r="163" ht="14.1" customHeight="1">
      <c r="A163" s="696" t="inlineStr">
        <is>
          <t>P084</t>
        </is>
      </c>
      <c r="B163" s="695" t="n">
        <v>407</v>
      </c>
      <c r="C163" s="696" t="inlineStr">
        <is>
          <t>R0201311</t>
        </is>
      </c>
      <c r="D163" s="696" t="inlineStr">
        <is>
          <t>Ascent Commerce Center Bldg III</t>
        </is>
      </c>
      <c r="E163" s="696" t="inlineStr">
        <is>
          <t>Aurora</t>
        </is>
      </c>
      <c r="F163" s="696" t="inlineStr">
        <is>
          <t>CO</t>
        </is>
      </c>
      <c r="G163" s="696" t="inlineStr">
        <is>
          <t>Industrial</t>
        </is>
      </c>
      <c r="H163" s="696" t="inlineStr">
        <is>
          <t>Industrial Warehouse NNN</t>
        </is>
      </c>
      <c r="I163" s="722" t="n"/>
      <c r="J163" s="722" t="n"/>
      <c r="K163" s="722" t="n">
        <v>2024</v>
      </c>
      <c r="L163" s="731" t="n">
        <v>49334</v>
      </c>
      <c r="M163" s="696" t="n"/>
      <c r="N163" s="731" t="n">
        <v>85139</v>
      </c>
      <c r="O163" s="731" t="n">
        <v>153</v>
      </c>
      <c r="P163" s="731" t="n">
        <v>5032</v>
      </c>
      <c r="Q163" s="696" t="n"/>
      <c r="R163" s="696" t="n"/>
      <c r="S163" s="731" t="n">
        <v>10772</v>
      </c>
      <c r="T163" s="696" t="n"/>
      <c r="U163" s="696" t="n"/>
      <c r="V163" s="696" t="n"/>
      <c r="W163" s="696" t="n"/>
      <c r="X163" s="696" t="n"/>
      <c r="Y163" s="731" t="n">
        <v>10772</v>
      </c>
      <c r="Z163" s="696" t="n"/>
      <c r="AA163" s="731" t="n">
        <v>949</v>
      </c>
      <c r="AB163" s="731" t="n">
        <v>10894</v>
      </c>
      <c r="AC163" s="696" t="n"/>
      <c r="AD163" s="731" t="n">
        <v>207</v>
      </c>
      <c r="AE163" s="731" t="n">
        <v>8484</v>
      </c>
      <c r="AF163" s="731" t="n">
        <v>8691</v>
      </c>
      <c r="AG163" s="696" t="n"/>
      <c r="AH163" s="731" t="n">
        <v>57603</v>
      </c>
      <c r="AI163" s="731" t="n">
        <v>83077</v>
      </c>
      <c r="AJ163" s="731" t="n">
        <v>140680</v>
      </c>
      <c r="AK163" s="731" t="n">
        <v>-69674</v>
      </c>
      <c r="AL163" s="696" t="n"/>
      <c r="AM163" s="724" t="inlineStr">
        <is>
          <t>[NO SF] Ambrose; Q4 2024 ONLY (Oct–Dec, 3 months); lease-up/stabilizing; DO NOT use for annual PSF</t>
        </is>
      </c>
    </row>
    <row r="164" ht="14.1" customHeight="1">
      <c r="A164" s="718" t="inlineStr">
        <is>
          <t>P085</t>
        </is>
      </c>
      <c r="B164" s="695" t="n">
        <v>210</v>
      </c>
      <c r="C164" s="718" t="inlineStr">
        <is>
          <t>R0093018</t>
        </is>
      </c>
      <c r="D164" s="718" t="inlineStr">
        <is>
          <t>3350 Peoria St</t>
        </is>
      </c>
      <c r="E164" s="718" t="inlineStr">
        <is>
          <t>Denver</t>
        </is>
      </c>
      <c r="F164" s="718" t="inlineStr">
        <is>
          <t>CO</t>
        </is>
      </c>
      <c r="G164" s="718" t="inlineStr">
        <is>
          <t>Industrial</t>
        </is>
      </c>
      <c r="H164" s="718" t="inlineStr">
        <is>
          <t>Office/Industrial Flex</t>
        </is>
      </c>
      <c r="I164" s="719" t="n"/>
      <c r="J164" s="719" t="n">
        <v>33057</v>
      </c>
      <c r="K164" s="719" t="n">
        <v>2024</v>
      </c>
      <c r="L164" s="718" t="n"/>
      <c r="M164" s="718" t="n"/>
      <c r="N164" s="720" t="n">
        <v>11.7474</v>
      </c>
      <c r="O164" s="720" t="n">
        <v>0.8464</v>
      </c>
      <c r="P164" s="720" t="n">
        <v>0.4718</v>
      </c>
      <c r="Q164" s="718" t="n"/>
      <c r="R164" s="718" t="n"/>
      <c r="S164" s="718" t="n"/>
      <c r="T164" s="718" t="n"/>
      <c r="U164" s="720" t="n">
        <v>0.2489</v>
      </c>
      <c r="V164" s="718" t="n"/>
      <c r="W164" s="718" t="n"/>
      <c r="X164" s="720" t="n">
        <v>2.7614</v>
      </c>
      <c r="Y164" s="718" t="n"/>
      <c r="Z164" s="718" t="n"/>
      <c r="AA164" s="720" t="n">
        <v>0.1383</v>
      </c>
      <c r="AB164" s="720" t="n">
        <v>0.07580000000000001</v>
      </c>
      <c r="AC164" s="720" t="n">
        <v>1.6023</v>
      </c>
      <c r="AD164" s="718" t="n"/>
      <c r="AE164" s="718" t="n"/>
      <c r="AF164" s="720" t="n">
        <v>1.6128</v>
      </c>
      <c r="AG164" s="718" t="n"/>
      <c r="AH164" s="720" t="n">
        <v>7.4837</v>
      </c>
      <c r="AI164" s="718" t="n"/>
      <c r="AJ164" s="720" t="n">
        <v>7.4837</v>
      </c>
      <c r="AK164" s="720" t="n">
        <v>4.2637</v>
      </c>
      <c r="AL164" s="718" t="n"/>
      <c r="AM164" s="721" t="inlineStr">
        <is>
          <t>Owner P&amp;L 2024; RE taxes not broken out separately; contracts incl HVAC $8,229/alarm $9,124/landscape $4,573/snow $2,505</t>
        </is>
      </c>
    </row>
    <row r="165" ht="14.1" customHeight="1">
      <c r="A165" s="696" t="inlineStr">
        <is>
          <t>P086</t>
        </is>
      </c>
      <c r="B165" s="695" t="n">
        <v>406</v>
      </c>
      <c r="C165" s="696" t="inlineStr">
        <is>
          <t>R0210684</t>
        </is>
      </c>
      <c r="D165" s="696" t="inlineStr">
        <is>
          <t>14200 E Moncrieff Place</t>
        </is>
      </c>
      <c r="E165" s="696" t="inlineStr">
        <is>
          <t>Aurora</t>
        </is>
      </c>
      <c r="F165" s="696" t="inlineStr">
        <is>
          <t>CO</t>
        </is>
      </c>
      <c r="G165" s="696" t="inlineStr">
        <is>
          <t>Industrial</t>
        </is>
      </c>
      <c r="H165" s="696" t="inlineStr">
        <is>
          <t>Industrial Warehouse</t>
        </is>
      </c>
      <c r="I165" s="722" t="n">
        <v>1980</v>
      </c>
      <c r="J165" s="722" t="n">
        <v>233808</v>
      </c>
      <c r="K165" s="722" t="n">
        <v>2023</v>
      </c>
      <c r="L165" s="696" t="n"/>
      <c r="M165" s="696" t="n"/>
      <c r="N165" s="723" t="n">
        <v>8.609299999999999</v>
      </c>
      <c r="O165" s="723" t="n">
        <v>0.0521</v>
      </c>
      <c r="P165" s="723" t="n">
        <v>0.167</v>
      </c>
      <c r="Q165" s="696" t="n"/>
      <c r="R165" s="696" t="n"/>
      <c r="S165" s="696" t="n"/>
      <c r="T165" s="696" t="n"/>
      <c r="U165" s="696" t="n"/>
      <c r="V165" s="696" t="n"/>
      <c r="W165" s="696" t="n"/>
      <c r="X165" s="723" t="n">
        <v>0.1877</v>
      </c>
      <c r="Y165" s="723" t="n">
        <v>0.1877</v>
      </c>
      <c r="Z165" s="696" t="n"/>
      <c r="AA165" s="723" t="n">
        <v>0.0527</v>
      </c>
      <c r="AB165" s="723" t="n">
        <v>0.138</v>
      </c>
      <c r="AC165" s="723" t="n">
        <v>0.2173</v>
      </c>
      <c r="AD165" s="723" t="n">
        <v>0.1223</v>
      </c>
      <c r="AE165" s="696" t="n"/>
      <c r="AF165" s="723" t="n">
        <v>0.1223</v>
      </c>
      <c r="AG165" s="696" t="n"/>
      <c r="AH165" s="723" t="n">
        <v>0.7875</v>
      </c>
      <c r="AI165" s="723" t="n">
        <v>2.6041</v>
      </c>
      <c r="AJ165" s="723" t="n">
        <v>3.3916</v>
      </c>
      <c r="AK165" s="723" t="n">
        <v>5.2177</v>
      </c>
      <c r="AL165" s="696" t="n"/>
      <c r="AM165" s="724" t="inlineStr">
        <is>
          <t>Owner P&amp;L 2023; large industrial 233,808 SF; 1980 YOC; landscape $12,324/snow $32,256 in CAM</t>
        </is>
      </c>
    </row>
    <row r="166" ht="14.1" customHeight="1">
      <c r="A166" s="718" t="inlineStr">
        <is>
          <t>P086</t>
        </is>
      </c>
      <c r="B166" s="695" t="n">
        <v>406</v>
      </c>
      <c r="C166" s="718" t="inlineStr">
        <is>
          <t>R0210684</t>
        </is>
      </c>
      <c r="D166" s="718" t="inlineStr">
        <is>
          <t>14200 E Moncrieff Place</t>
        </is>
      </c>
      <c r="E166" s="718" t="inlineStr">
        <is>
          <t>Aurora</t>
        </is>
      </c>
      <c r="F166" s="718" t="inlineStr">
        <is>
          <t>CO</t>
        </is>
      </c>
      <c r="G166" s="718" t="inlineStr">
        <is>
          <t>Industrial</t>
        </is>
      </c>
      <c r="H166" s="718" t="inlineStr">
        <is>
          <t>Industrial Warehouse</t>
        </is>
      </c>
      <c r="I166" s="719" t="n">
        <v>1980</v>
      </c>
      <c r="J166" s="719" t="n">
        <v>233808</v>
      </c>
      <c r="K166" s="719" t="n">
        <v>2024</v>
      </c>
      <c r="L166" s="718" t="n"/>
      <c r="M166" s="718" t="n"/>
      <c r="N166" s="720" t="n">
        <v>8.7334</v>
      </c>
      <c r="O166" s="718" t="n"/>
      <c r="P166" s="718" t="n"/>
      <c r="Q166" s="718" t="n"/>
      <c r="R166" s="718" t="n"/>
      <c r="S166" s="718" t="n"/>
      <c r="T166" s="718" t="n"/>
      <c r="U166" s="718" t="n"/>
      <c r="V166" s="718" t="n"/>
      <c r="W166" s="718" t="n"/>
      <c r="X166" s="718" t="n"/>
      <c r="Y166" s="718" t="n"/>
      <c r="Z166" s="718" t="n"/>
      <c r="AA166" s="718" t="n"/>
      <c r="AB166" s="718" t="n"/>
      <c r="AC166" s="718" t="n"/>
      <c r="AD166" s="718" t="n"/>
      <c r="AE166" s="718" t="n"/>
      <c r="AF166" s="718" t="n"/>
      <c r="AG166" s="718" t="n"/>
      <c r="AH166" s="718" t="n"/>
      <c r="AI166" s="718" t="n"/>
      <c r="AJ166" s="720" t="n">
        <v>3.5718</v>
      </c>
      <c r="AK166" s="720" t="n">
        <v>5.1616</v>
      </c>
      <c r="AL166" s="718" t="n"/>
      <c r="AM166" s="721" t="inlineStr">
        <is>
          <t>Owner P&amp;L 2024; total OPX only – line items not fully detailed for 2024</t>
        </is>
      </c>
    </row>
    <row r="167" ht="14.1" customHeight="1">
      <c r="A167" s="696" t="inlineStr">
        <is>
          <t>P087</t>
        </is>
      </c>
      <c r="B167" s="695" t="n">
        <v>407</v>
      </c>
      <c r="C167" s="696" t="inlineStr">
        <is>
          <t>R0102985</t>
        </is>
      </c>
      <c r="D167" s="696" t="inlineStr">
        <is>
          <t>5861 Tennyson St</t>
        </is>
      </c>
      <c r="E167" s="696" t="inlineStr">
        <is>
          <t>Arvada</t>
        </is>
      </c>
      <c r="F167" s="696" t="inlineStr">
        <is>
          <t>CO</t>
        </is>
      </c>
      <c r="G167" s="696" t="inlineStr">
        <is>
          <t>Industrial</t>
        </is>
      </c>
      <c r="H167" s="696" t="inlineStr">
        <is>
          <t>Industrial NNN</t>
        </is>
      </c>
      <c r="I167" s="722" t="n">
        <v>2000</v>
      </c>
      <c r="J167" s="722" t="n">
        <v>80640</v>
      </c>
      <c r="K167" s="722" t="n">
        <v>2023</v>
      </c>
      <c r="L167" s="723" t="n">
        <v>6.2378</v>
      </c>
      <c r="M167" s="696" t="n"/>
      <c r="N167" s="696" t="n"/>
      <c r="O167" s="696" t="n"/>
      <c r="P167" s="696" t="n"/>
      <c r="Q167" s="696" t="n"/>
      <c r="R167" s="696" t="n"/>
      <c r="S167" s="696" t="n"/>
      <c r="T167" s="696" t="n"/>
      <c r="U167" s="696" t="n"/>
      <c r="V167" s="696" t="n"/>
      <c r="W167" s="696" t="n"/>
      <c r="X167" s="696" t="n"/>
      <c r="Y167" s="696" t="n"/>
      <c r="Z167" s="696" t="n"/>
      <c r="AA167" s="696" t="n"/>
      <c r="AB167" s="696" t="n"/>
      <c r="AC167" s="696" t="n"/>
      <c r="AD167" s="696" t="n"/>
      <c r="AE167" s="696" t="n"/>
      <c r="AF167" s="696" t="n"/>
      <c r="AG167" s="696" t="n"/>
      <c r="AH167" s="723" t="n">
        <v>0.2057</v>
      </c>
      <c r="AI167" s="696" t="n"/>
      <c r="AJ167" s="723" t="n">
        <v>0.2057</v>
      </c>
      <c r="AK167" s="723" t="n">
        <v>6.0321</v>
      </c>
      <c r="AL167" s="696" t="n"/>
      <c r="AM167" s="724" t="inlineStr">
        <is>
          <t>NNN; landlord expenses only; tenant pays RE taxes; 2023</t>
        </is>
      </c>
    </row>
    <row r="168" ht="14.1" customHeight="1">
      <c r="A168" s="718" t="inlineStr">
        <is>
          <t>P087</t>
        </is>
      </c>
      <c r="B168" s="695" t="n">
        <v>407</v>
      </c>
      <c r="C168" s="718" t="inlineStr">
        <is>
          <t>R0102985</t>
        </is>
      </c>
      <c r="D168" s="718" t="inlineStr">
        <is>
          <t>5861 Tennyson St</t>
        </is>
      </c>
      <c r="E168" s="718" t="inlineStr">
        <is>
          <t>Arvada</t>
        </is>
      </c>
      <c r="F168" s="718" t="inlineStr">
        <is>
          <t>CO</t>
        </is>
      </c>
      <c r="G168" s="718" t="inlineStr">
        <is>
          <t>Industrial</t>
        </is>
      </c>
      <c r="H168" s="718" t="inlineStr">
        <is>
          <t>Industrial NNN</t>
        </is>
      </c>
      <c r="I168" s="719" t="n">
        <v>2000</v>
      </c>
      <c r="J168" s="719" t="n">
        <v>80640</v>
      </c>
      <c r="K168" s="719" t="n">
        <v>2024</v>
      </c>
      <c r="L168" s="720" t="n">
        <v>6.3625</v>
      </c>
      <c r="M168" s="718" t="n"/>
      <c r="N168" s="718" t="n"/>
      <c r="O168" s="718" t="n"/>
      <c r="P168" s="718" t="n"/>
      <c r="Q168" s="718" t="n"/>
      <c r="R168" s="718" t="n"/>
      <c r="S168" s="718" t="n"/>
      <c r="T168" s="718" t="n"/>
      <c r="U168" s="718" t="n"/>
      <c r="V168" s="718" t="n"/>
      <c r="W168" s="718" t="n"/>
      <c r="X168" s="718" t="n"/>
      <c r="Y168" s="718" t="n"/>
      <c r="Z168" s="718" t="n"/>
      <c r="AA168" s="718" t="n"/>
      <c r="AB168" s="718" t="n"/>
      <c r="AC168" s="718" t="n"/>
      <c r="AD168" s="718" t="n"/>
      <c r="AE168" s="718" t="n"/>
      <c r="AF168" s="718" t="n"/>
      <c r="AG168" s="718" t="n"/>
      <c r="AH168" s="720" t="n">
        <v>0.1921</v>
      </c>
      <c r="AI168" s="718" t="n"/>
      <c r="AJ168" s="720" t="n">
        <v>0.1921</v>
      </c>
      <c r="AK168" s="720" t="n">
        <v>6.1704</v>
      </c>
      <c r="AL168" s="718" t="n"/>
      <c r="AM168" s="721" t="inlineStr">
        <is>
          <t>NNN; landlord expenses only; tenant pays RE taxes; 2024</t>
        </is>
      </c>
    </row>
    <row r="169" ht="14.1" customHeight="1">
      <c r="A169" s="696" t="inlineStr">
        <is>
          <t>P088</t>
        </is>
      </c>
      <c r="B169" s="695" t="n">
        <v>210</v>
      </c>
      <c r="C169" s="696" t="inlineStr">
        <is>
          <t>R0090973</t>
        </is>
      </c>
      <c r="D169" s="696" t="inlineStr">
        <is>
          <t>3975 E 56th Ave</t>
        </is>
      </c>
      <c r="E169" s="696" t="inlineStr">
        <is>
          <t>Commerce City</t>
        </is>
      </c>
      <c r="F169" s="696" t="inlineStr">
        <is>
          <t>CO</t>
        </is>
      </c>
      <c r="G169" s="696" t="inlineStr">
        <is>
          <t>Industrial</t>
        </is>
      </c>
      <c r="H169" s="696" t="inlineStr">
        <is>
          <t>Multi-Tenant Industrial</t>
        </is>
      </c>
      <c r="I169" s="722" t="n"/>
      <c r="J169" s="722" t="n">
        <v>42299</v>
      </c>
      <c r="K169" s="722" t="n">
        <v>2024</v>
      </c>
      <c r="L169" s="696" t="n"/>
      <c r="M169" s="696" t="n"/>
      <c r="N169" s="723" t="n">
        <v>9.259499999999999</v>
      </c>
      <c r="O169" s="696" t="n"/>
      <c r="P169" s="696" t="n"/>
      <c r="Q169" s="696" t="n"/>
      <c r="R169" s="696" t="n"/>
      <c r="S169" s="696" t="n"/>
      <c r="T169" s="696" t="n"/>
      <c r="U169" s="696" t="n"/>
      <c r="V169" s="696" t="n"/>
      <c r="W169" s="696" t="n"/>
      <c r="X169" s="696" t="n"/>
      <c r="Y169" s="696" t="n"/>
      <c r="Z169" s="696" t="n"/>
      <c r="AA169" s="696" t="n"/>
      <c r="AB169" s="696" t="n"/>
      <c r="AC169" s="696" t="n"/>
      <c r="AD169" s="696" t="n"/>
      <c r="AE169" s="696" t="n"/>
      <c r="AF169" s="696" t="n"/>
      <c r="AG169" s="696" t="n"/>
      <c r="AH169" s="723" t="n">
        <v>0.7408</v>
      </c>
      <c r="AI169" s="696" t="n"/>
      <c r="AJ169" s="723" t="n">
        <v>0.7408</v>
      </c>
      <c r="AK169" s="723" t="n">
        <v>8.518800000000001</v>
      </c>
      <c r="AL169" s="696" t="n"/>
      <c r="AM169" s="724" t="inlineStr">
        <is>
          <t>Sand Creek Business Park; owner P&amp;L 2024; limited line-item detail</t>
        </is>
      </c>
    </row>
    <row r="170" ht="14.1" customHeight="1">
      <c r="A170" s="718" t="inlineStr">
        <is>
          <t>P089</t>
        </is>
      </c>
      <c r="B170" s="695" t="n">
        <v>407</v>
      </c>
      <c r="C170" s="718" t="inlineStr">
        <is>
          <t>R0180951</t>
        </is>
      </c>
      <c r="D170" s="718" t="inlineStr">
        <is>
          <t>(Address TBD – R0180951)</t>
        </is>
      </c>
      <c r="E170" s="718" t="inlineStr">
        <is>
          <t>Adams County</t>
        </is>
      </c>
      <c r="F170" s="718" t="inlineStr">
        <is>
          <t>CO</t>
        </is>
      </c>
      <c r="G170" s="718" t="inlineStr">
        <is>
          <t>Industrial</t>
        </is>
      </c>
      <c r="H170" s="718" t="inlineStr">
        <is>
          <t>Industrial NNN</t>
        </is>
      </c>
      <c r="I170" s="719" t="n">
        <v>2016</v>
      </c>
      <c r="J170" s="719" t="n">
        <v>122106</v>
      </c>
      <c r="K170" s="719" t="n">
        <v>2023</v>
      </c>
      <c r="L170" s="718" t="n"/>
      <c r="M170" s="718" t="n"/>
      <c r="N170" s="718" t="n"/>
      <c r="O170" s="720" t="n">
        <v>0.0609</v>
      </c>
      <c r="P170" s="718" t="n"/>
      <c r="Q170" s="718" t="n"/>
      <c r="R170" s="718" t="n"/>
      <c r="S170" s="718" t="n"/>
      <c r="T170" s="718" t="n"/>
      <c r="U170" s="718" t="n"/>
      <c r="V170" s="718" t="n"/>
      <c r="W170" s="718" t="n"/>
      <c r="X170" s="718" t="n"/>
      <c r="Y170" s="718" t="n"/>
      <c r="Z170" s="718" t="n"/>
      <c r="AA170" s="718" t="n"/>
      <c r="AB170" s="718" t="n"/>
      <c r="AC170" s="720" t="n">
        <v>0.415</v>
      </c>
      <c r="AD170" s="720" t="n">
        <v>0.4794</v>
      </c>
      <c r="AE170" s="718" t="n"/>
      <c r="AF170" s="720" t="n">
        <v>0.4794</v>
      </c>
      <c r="AG170" s="718" t="n"/>
      <c r="AH170" s="718" t="n"/>
      <c r="AI170" s="720" t="n">
        <v>3.233</v>
      </c>
      <c r="AJ170" s="720" t="n">
        <v>4.1884</v>
      </c>
      <c r="AK170" s="718" t="n"/>
      <c r="AL170" s="718" t="n"/>
      <c r="AM170" s="721" t="inlineStr">
        <is>
          <t>NNN; landlord expenses only from WH Expenses 2026; 2016 YOC; 2023: RE Tax $394,774/Ins $7,435/Utils $58,541/CAM $50,680</t>
        </is>
      </c>
    </row>
    <row r="171" ht="14.1" customHeight="1">
      <c r="A171" s="696" t="inlineStr">
        <is>
          <t>P089</t>
        </is>
      </c>
      <c r="B171" s="695" t="n">
        <v>407</v>
      </c>
      <c r="C171" s="696" t="inlineStr">
        <is>
          <t>R0180951</t>
        </is>
      </c>
      <c r="D171" s="696" t="inlineStr">
        <is>
          <t>(Address TBD – R0180951)</t>
        </is>
      </c>
      <c r="E171" s="696" t="inlineStr">
        <is>
          <t>Adams County</t>
        </is>
      </c>
      <c r="F171" s="696" t="inlineStr">
        <is>
          <t>CO</t>
        </is>
      </c>
      <c r="G171" s="696" t="inlineStr">
        <is>
          <t>Industrial</t>
        </is>
      </c>
      <c r="H171" s="696" t="inlineStr">
        <is>
          <t>Industrial NNN</t>
        </is>
      </c>
      <c r="I171" s="722" t="n">
        <v>2016</v>
      </c>
      <c r="J171" s="722" t="n">
        <v>122106</v>
      </c>
      <c r="K171" s="722" t="n">
        <v>2024</v>
      </c>
      <c r="L171" s="696" t="n"/>
      <c r="M171" s="696" t="n"/>
      <c r="N171" s="696" t="n"/>
      <c r="O171" s="723" t="n">
        <v>0.0625</v>
      </c>
      <c r="P171" s="696" t="n"/>
      <c r="Q171" s="696" t="n"/>
      <c r="R171" s="696" t="n"/>
      <c r="S171" s="696" t="n"/>
      <c r="T171" s="696" t="n"/>
      <c r="U171" s="696" t="n"/>
      <c r="V171" s="696" t="n"/>
      <c r="W171" s="696" t="n"/>
      <c r="X171" s="696" t="n"/>
      <c r="Y171" s="696" t="n"/>
      <c r="Z171" s="696" t="n"/>
      <c r="AA171" s="696" t="n"/>
      <c r="AB171" s="696" t="n"/>
      <c r="AC171" s="723" t="n">
        <v>0.5279</v>
      </c>
      <c r="AD171" s="723" t="n">
        <v>0.4794</v>
      </c>
      <c r="AE171" s="696" t="n"/>
      <c r="AF171" s="723" t="n">
        <v>0.4794</v>
      </c>
      <c r="AG171" s="696" t="n"/>
      <c r="AH171" s="696" t="n"/>
      <c r="AI171" s="723" t="n">
        <v>4.358</v>
      </c>
      <c r="AJ171" s="723" t="n">
        <v>5.4279</v>
      </c>
      <c r="AK171" s="696" t="n"/>
      <c r="AL171" s="696" t="n"/>
      <c r="AM171" s="724" t="inlineStr">
        <is>
          <t>NNN; landlord expenses only from WH Expenses 2026; 2024: RE Tax $532,140/Ins $7,635/Utils $58,541/CAM $64,465</t>
        </is>
      </c>
    </row>
    <row r="172" ht="14.1" customHeight="1">
      <c r="A172" s="718" t="inlineStr">
        <is>
          <t>P090</t>
        </is>
      </c>
      <c r="B172" s="695" t="n">
        <v>407</v>
      </c>
      <c r="C172" s="718" t="inlineStr">
        <is>
          <t>R0110351</t>
        </is>
      </c>
      <c r="D172" s="718" t="inlineStr">
        <is>
          <t>(Address TBD – R0110351)</t>
        </is>
      </c>
      <c r="E172" s="718" t="inlineStr">
        <is>
          <t>Adams County</t>
        </is>
      </c>
      <c r="F172" s="718" t="inlineStr">
        <is>
          <t>CO</t>
        </is>
      </c>
      <c r="G172" s="718" t="inlineStr">
        <is>
          <t>Industrial</t>
        </is>
      </c>
      <c r="H172" s="718" t="inlineStr">
        <is>
          <t>Industrial NNN</t>
        </is>
      </c>
      <c r="I172" s="719" t="n">
        <v>2000</v>
      </c>
      <c r="J172" s="719" t="n">
        <v>85200</v>
      </c>
      <c r="K172" s="719" t="n">
        <v>2023</v>
      </c>
      <c r="L172" s="718" t="n"/>
      <c r="M172" s="718" t="n"/>
      <c r="N172" s="718" t="n"/>
      <c r="O172" s="720" t="n">
        <v>0.2413</v>
      </c>
      <c r="P172" s="718" t="n"/>
      <c r="Q172" s="718" t="n"/>
      <c r="R172" s="718" t="n"/>
      <c r="S172" s="718" t="n"/>
      <c r="T172" s="718" t="n"/>
      <c r="U172" s="718" t="n"/>
      <c r="V172" s="718" t="n"/>
      <c r="W172" s="718" t="n"/>
      <c r="X172" s="718" t="n"/>
      <c r="Y172" s="718" t="n"/>
      <c r="Z172" s="718" t="n"/>
      <c r="AA172" s="718" t="n"/>
      <c r="AB172" s="718" t="n"/>
      <c r="AC172" s="720" t="n">
        <v>0.2176</v>
      </c>
      <c r="AD172" s="718" t="n"/>
      <c r="AE172" s="718" t="n"/>
      <c r="AF172" s="718" t="n"/>
      <c r="AG172" s="718" t="n"/>
      <c r="AH172" s="718" t="n"/>
      <c r="AI172" s="720" t="n">
        <v>3.5826</v>
      </c>
      <c r="AJ172" s="720" t="n">
        <v>4.0415</v>
      </c>
      <c r="AK172" s="718" t="n"/>
      <c r="AL172" s="718" t="n"/>
      <c r="AM172" s="721" t="inlineStr">
        <is>
          <t>NNN; landlord expenses only from WH Expenses 2026; 2000 YOC; 2023: RE Tax $305,241/Ins $20,559/CAM $18,539</t>
        </is>
      </c>
    </row>
    <row r="173" ht="14.1" customHeight="1">
      <c r="A173" s="696" t="inlineStr">
        <is>
          <t>P090</t>
        </is>
      </c>
      <c r="B173" s="695" t="n">
        <v>407</v>
      </c>
      <c r="C173" s="696" t="inlineStr">
        <is>
          <t>R0110351</t>
        </is>
      </c>
      <c r="D173" s="696" t="inlineStr">
        <is>
          <t>(Address TBD – R0110351)</t>
        </is>
      </c>
      <c r="E173" s="696" t="inlineStr">
        <is>
          <t>Adams County</t>
        </is>
      </c>
      <c r="F173" s="696" t="inlineStr">
        <is>
          <t>CO</t>
        </is>
      </c>
      <c r="G173" s="696" t="inlineStr">
        <is>
          <t>Industrial</t>
        </is>
      </c>
      <c r="H173" s="696" t="inlineStr">
        <is>
          <t>Industrial NNN</t>
        </is>
      </c>
      <c r="I173" s="722" t="n">
        <v>2000</v>
      </c>
      <c r="J173" s="722" t="n">
        <v>85200</v>
      </c>
      <c r="K173" s="722" t="n">
        <v>2024</v>
      </c>
      <c r="L173" s="696" t="n"/>
      <c r="M173" s="696" t="n"/>
      <c r="N173" s="696" t="n"/>
      <c r="O173" s="723" t="n">
        <v>0.3002</v>
      </c>
      <c r="P173" s="696" t="n"/>
      <c r="Q173" s="696" t="n"/>
      <c r="R173" s="696" t="n"/>
      <c r="S173" s="696" t="n"/>
      <c r="T173" s="696" t="n"/>
      <c r="U173" s="696" t="n"/>
      <c r="V173" s="696" t="n"/>
      <c r="W173" s="696" t="n"/>
      <c r="X173" s="696" t="n"/>
      <c r="Y173" s="696" t="n"/>
      <c r="Z173" s="696" t="n"/>
      <c r="AA173" s="696" t="n"/>
      <c r="AB173" s="696" t="n"/>
      <c r="AC173" s="723" t="n">
        <v>0.2508</v>
      </c>
      <c r="AD173" s="696" t="n"/>
      <c r="AE173" s="696" t="n"/>
      <c r="AF173" s="696" t="n"/>
      <c r="AG173" s="696" t="n"/>
      <c r="AH173" s="696" t="n"/>
      <c r="AI173" s="723" t="n">
        <v>3.8945</v>
      </c>
      <c r="AJ173" s="723" t="n">
        <v>4.4456</v>
      </c>
      <c r="AK173" s="696" t="n"/>
      <c r="AL173" s="696" t="n"/>
      <c r="AM173" s="724" t="inlineStr">
        <is>
          <t>NNN; landlord expenses only from WH Expenses 2026; 2024: RE Tax $331,811/Ins $25,578/CAM $21,372</t>
        </is>
      </c>
    </row>
    <row r="174" ht="14.1" customHeight="1">
      <c r="A174" s="718" t="inlineStr">
        <is>
          <t>P091</t>
        </is>
      </c>
      <c r="B174" s="695" t="n">
        <v>584</v>
      </c>
      <c r="C174" s="718" t="inlineStr">
        <is>
          <t>R0198530</t>
        </is>
      </c>
      <c r="D174" s="718" t="inlineStr">
        <is>
          <t>(Address TBD – R0198530)</t>
        </is>
      </c>
      <c r="E174" s="718" t="inlineStr">
        <is>
          <t>Adams County</t>
        </is>
      </c>
      <c r="F174" s="718" t="inlineStr">
        <is>
          <t>CO</t>
        </is>
      </c>
      <c r="G174" s="718" t="inlineStr">
        <is>
          <t>Industrial</t>
        </is>
      </c>
      <c r="H174" s="718" t="inlineStr">
        <is>
          <t>Industrial Mega-Warehouse NNN</t>
        </is>
      </c>
      <c r="I174" s="719" t="n">
        <v>2019</v>
      </c>
      <c r="J174" s="719" t="n">
        <v>555867</v>
      </c>
      <c r="K174" s="719" t="n">
        <v>2024</v>
      </c>
      <c r="L174" s="718" t="n"/>
      <c r="M174" s="718" t="n"/>
      <c r="N174" s="718" t="n"/>
      <c r="O174" s="720" t="n">
        <v>0.1549</v>
      </c>
      <c r="P174" s="720" t="n">
        <v>0.1152</v>
      </c>
      <c r="Q174" s="718" t="n"/>
      <c r="R174" s="718" t="n"/>
      <c r="S174" s="718" t="n"/>
      <c r="T174" s="718" t="n"/>
      <c r="U174" s="718" t="n"/>
      <c r="V174" s="718" t="n"/>
      <c r="W174" s="718" t="n"/>
      <c r="X174" s="718" t="n"/>
      <c r="Y174" s="718" t="n"/>
      <c r="Z174" s="718" t="n"/>
      <c r="AA174" s="718" t="n"/>
      <c r="AB174" s="718" t="n"/>
      <c r="AC174" s="718" t="n"/>
      <c r="AD174" s="718" t="n"/>
      <c r="AE174" s="718" t="n"/>
      <c r="AF174" s="718" t="n"/>
      <c r="AG174" s="718" t="n"/>
      <c r="AH174" s="718" t="n"/>
      <c r="AI174" s="720" t="n">
        <v>3.8872</v>
      </c>
      <c r="AJ174" s="720" t="n">
        <v>4.1573</v>
      </c>
      <c r="AK174" s="718" t="n"/>
      <c r="AL174" s="718" t="n"/>
      <c r="AM174" s="721" t="inlineStr">
        <is>
          <t>Mega-warehouse 555,867 SF; NNN; landlord only: RE Tax $2,160,792/Ins $86,084/Mgmt $64,029; 2019 YOC</t>
        </is>
      </c>
    </row>
    <row r="175" ht="14.1" customHeight="1">
      <c r="A175" s="696" t="inlineStr">
        <is>
          <t>P092</t>
        </is>
      </c>
      <c r="B175" s="695" t="n">
        <v>447</v>
      </c>
      <c r="C175" s="696" t="inlineStr">
        <is>
          <t>R0180834</t>
        </is>
      </c>
      <c r="D175" s="696" t="inlineStr">
        <is>
          <t>(Address TBD – R0180834)</t>
        </is>
      </c>
      <c r="E175" s="696" t="inlineStr">
        <is>
          <t>Adams County</t>
        </is>
      </c>
      <c r="F175" s="696" t="inlineStr">
        <is>
          <t>CO</t>
        </is>
      </c>
      <c r="G175" s="696" t="inlineStr">
        <is>
          <t>Industrial</t>
        </is>
      </c>
      <c r="H175" s="696" t="inlineStr">
        <is>
          <t>Cold Storage/Mega-Warehouse NNN</t>
        </is>
      </c>
      <c r="I175" s="722" t="n">
        <v>2012</v>
      </c>
      <c r="J175" s="722" t="n">
        <v>550031</v>
      </c>
      <c r="K175" s="722" t="n">
        <v>2024</v>
      </c>
      <c r="L175" s="696" t="n"/>
      <c r="M175" s="696" t="n"/>
      <c r="N175" s="696" t="n"/>
      <c r="O175" s="723" t="n">
        <v>0.1402</v>
      </c>
      <c r="P175" s="723" t="n">
        <v>0.251</v>
      </c>
      <c r="Q175" s="696" t="n"/>
      <c r="R175" s="696" t="n"/>
      <c r="S175" s="696" t="n"/>
      <c r="T175" s="696" t="n"/>
      <c r="U175" s="696" t="n"/>
      <c r="V175" s="696" t="n"/>
      <c r="W175" s="696" t="n"/>
      <c r="X175" s="696" t="n"/>
      <c r="Y175" s="696" t="n"/>
      <c r="Z175" s="696" t="n"/>
      <c r="AA175" s="696" t="n"/>
      <c r="AB175" s="696" t="n"/>
      <c r="AC175" s="696" t="n"/>
      <c r="AD175" s="696" t="n"/>
      <c r="AE175" s="696" t="n"/>
      <c r="AF175" s="696" t="n"/>
      <c r="AG175" s="696" t="n"/>
      <c r="AH175" s="696" t="n"/>
      <c r="AI175" s="723" t="n">
        <v>3.8519</v>
      </c>
      <c r="AJ175" s="723" t="n">
        <v>4.2431</v>
      </c>
      <c r="AK175" s="696" t="n"/>
      <c r="AL175" s="696" t="n"/>
      <c r="AM175" s="724" t="inlineStr">
        <is>
          <t>Cold storage/mega-WH 550,031 SF; NNN; landlord only: RE Tax $2,118,655/Ins $77,117/Mgmt $138,053; 2012 YOC</t>
        </is>
      </c>
    </row>
    <row r="176" ht="14.1" customHeight="1">
      <c r="A176" s="718" t="inlineStr">
        <is>
          <t>P093</t>
        </is>
      </c>
      <c r="B176" s="695" t="n">
        <v>407</v>
      </c>
      <c r="C176" s="718" t="inlineStr">
        <is>
          <t>R0114792</t>
        </is>
      </c>
      <c r="D176" s="718" t="inlineStr">
        <is>
          <t>(Address TBD – R0114792)</t>
        </is>
      </c>
      <c r="E176" s="718" t="inlineStr">
        <is>
          <t>Adams County</t>
        </is>
      </c>
      <c r="F176" s="718" t="inlineStr">
        <is>
          <t>CO</t>
        </is>
      </c>
      <c r="G176" s="718" t="inlineStr">
        <is>
          <t>Industrial</t>
        </is>
      </c>
      <c r="H176" s="718" t="inlineStr">
        <is>
          <t>Industrial NNN</t>
        </is>
      </c>
      <c r="I176" s="719" t="n">
        <v>1998</v>
      </c>
      <c r="J176" s="719" t="n">
        <v>64501</v>
      </c>
      <c r="K176" s="719" t="n">
        <v>2023</v>
      </c>
      <c r="L176" s="718" t="n"/>
      <c r="M176" s="718" t="n"/>
      <c r="N176" s="718" t="n"/>
      <c r="O176" s="720" t="n">
        <v>0.1487</v>
      </c>
      <c r="P176" s="720" t="n">
        <v>0.365</v>
      </c>
      <c r="Q176" s="718" t="n"/>
      <c r="R176" s="718" t="n"/>
      <c r="S176" s="718" t="n"/>
      <c r="T176" s="718" t="n"/>
      <c r="U176" s="718" t="n"/>
      <c r="V176" s="718" t="n"/>
      <c r="W176" s="718" t="n"/>
      <c r="X176" s="718" t="n"/>
      <c r="Y176" s="718" t="n"/>
      <c r="Z176" s="718" t="n"/>
      <c r="AA176" s="718" t="n"/>
      <c r="AB176" s="718" t="n"/>
      <c r="AC176" s="718" t="n"/>
      <c r="AD176" s="718" t="n"/>
      <c r="AE176" s="718" t="n"/>
      <c r="AF176" s="718" t="n"/>
      <c r="AG176" s="718" t="n"/>
      <c r="AH176" s="718" t="n"/>
      <c r="AI176" s="720" t="n">
        <v>3.1201</v>
      </c>
      <c r="AJ176" s="720" t="n">
        <v>3.6337</v>
      </c>
      <c r="AK176" s="718" t="n"/>
      <c r="AL176" s="718" t="n"/>
      <c r="AM176" s="721" t="inlineStr">
        <is>
          <t>NNN; landlord only: RE Tax $201,248/Ins $9,589/Mgmt $23,542; 1998 YOC</t>
        </is>
      </c>
    </row>
    <row r="177" ht="14.1" customHeight="1">
      <c r="A177" s="696" t="inlineStr">
        <is>
          <t>P093</t>
        </is>
      </c>
      <c r="B177" s="695" t="n">
        <v>407</v>
      </c>
      <c r="C177" s="696" t="inlineStr">
        <is>
          <t>R0114792</t>
        </is>
      </c>
      <c r="D177" s="696" t="inlineStr">
        <is>
          <t>(Address TBD – R0114792)</t>
        </is>
      </c>
      <c r="E177" s="696" t="inlineStr">
        <is>
          <t>Adams County</t>
        </is>
      </c>
      <c r="F177" s="696" t="inlineStr">
        <is>
          <t>CO</t>
        </is>
      </c>
      <c r="G177" s="696" t="inlineStr">
        <is>
          <t>Industrial</t>
        </is>
      </c>
      <c r="H177" s="696" t="inlineStr">
        <is>
          <t>Industrial NNN</t>
        </is>
      </c>
      <c r="I177" s="722" t="n">
        <v>1998</v>
      </c>
      <c r="J177" s="722" t="n">
        <v>64501</v>
      </c>
      <c r="K177" s="722" t="n">
        <v>2024</v>
      </c>
      <c r="L177" s="696" t="n"/>
      <c r="M177" s="696" t="n"/>
      <c r="N177" s="696" t="n"/>
      <c r="O177" s="723" t="n">
        <v>0.1168</v>
      </c>
      <c r="P177" s="723" t="n">
        <v>0.3704</v>
      </c>
      <c r="Q177" s="696" t="n"/>
      <c r="R177" s="696" t="n"/>
      <c r="S177" s="696" t="n"/>
      <c r="T177" s="696" t="n"/>
      <c r="U177" s="696" t="n"/>
      <c r="V177" s="696" t="n"/>
      <c r="W177" s="696" t="n"/>
      <c r="X177" s="696" t="n"/>
      <c r="Y177" s="696" t="n"/>
      <c r="Z177" s="696" t="n"/>
      <c r="AA177" s="696" t="n"/>
      <c r="AB177" s="696" t="n"/>
      <c r="AC177" s="696" t="n"/>
      <c r="AD177" s="696" t="n"/>
      <c r="AE177" s="696" t="n"/>
      <c r="AF177" s="696" t="n"/>
      <c r="AG177" s="696" t="n"/>
      <c r="AH177" s="696" t="n"/>
      <c r="AI177" s="723" t="n">
        <v>3.7914</v>
      </c>
      <c r="AJ177" s="723" t="n">
        <v>4.2786</v>
      </c>
      <c r="AK177" s="696" t="n"/>
      <c r="AL177" s="696" t="n"/>
      <c r="AM177" s="724" t="inlineStr">
        <is>
          <t>NNN; landlord only: RE Tax $244,551/Ins $7,536/Mgmt $23,889</t>
        </is>
      </c>
    </row>
    <row r="178" ht="14.1" customHeight="1">
      <c r="A178" s="718" t="inlineStr">
        <is>
          <t>P027</t>
        </is>
      </c>
      <c r="B178" s="695" t="n">
        <v>407</v>
      </c>
      <c r="C178" s="718" t="inlineStr">
        <is>
          <t>R0132030</t>
        </is>
      </c>
      <c r="D178" s="718" t="inlineStr">
        <is>
          <t>(R0132030)</t>
        </is>
      </c>
      <c r="E178" s="718" t="inlineStr">
        <is>
          <t>Adams County</t>
        </is>
      </c>
      <c r="F178" s="718" t="inlineStr">
        <is>
          <t>CO</t>
        </is>
      </c>
      <c r="G178" s="718" t="inlineStr">
        <is>
          <t>Industrial</t>
        </is>
      </c>
      <c r="H178" s="718" t="inlineStr">
        <is>
          <t>Industrial NNN</t>
        </is>
      </c>
      <c r="I178" s="719" t="n"/>
      <c r="J178" s="719" t="n">
        <v>200094</v>
      </c>
      <c r="K178" s="719" t="n">
        <v>2024</v>
      </c>
      <c r="L178" s="718" t="n"/>
      <c r="M178" s="718" t="n"/>
      <c r="N178" s="718" t="n"/>
      <c r="O178" s="720" t="n">
        <v>0.1315</v>
      </c>
      <c r="P178" s="720" t="n">
        <v>0.2443</v>
      </c>
      <c r="Q178" s="718" t="n"/>
      <c r="R178" s="718" t="n"/>
      <c r="S178" s="718" t="n"/>
      <c r="T178" s="718" t="n"/>
      <c r="U178" s="718" t="n"/>
      <c r="V178" s="718" t="n"/>
      <c r="W178" s="718" t="n"/>
      <c r="X178" s="718" t="n"/>
      <c r="Y178" s="718" t="n"/>
      <c r="Z178" s="718" t="n"/>
      <c r="AA178" s="718" t="n"/>
      <c r="AB178" s="718" t="n"/>
      <c r="AC178" s="720" t="n">
        <v>0.4013</v>
      </c>
      <c r="AD178" s="720" t="n">
        <v>0.321</v>
      </c>
      <c r="AE178" s="718" t="n"/>
      <c r="AF178" s="720" t="n">
        <v>0.321</v>
      </c>
      <c r="AG178" s="718" t="n"/>
      <c r="AH178" s="718" t="n"/>
      <c r="AI178" s="720" t="n">
        <v>2.2004</v>
      </c>
      <c r="AJ178" s="720" t="n">
        <v>3.297</v>
      </c>
      <c r="AK178" s="718" t="n"/>
      <c r="AL178" s="718" t="n"/>
      <c r="AM178" s="721" t="inlineStr">
        <is>
          <t>NNN; WH Expenses 2026 landlord data: RE Tax $440,287/Ins $26,308/Utils $64,237/Mgmt $48,882/CAM $80,298</t>
        </is>
      </c>
    </row>
    <row r="179" ht="14.1" customHeight="1">
      <c r="A179" s="696" t="inlineStr">
        <is>
          <t>P028</t>
        </is>
      </c>
      <c r="B179" s="695" t="n">
        <v>407</v>
      </c>
      <c r="C179" s="696" t="inlineStr">
        <is>
          <t>R0084040</t>
        </is>
      </c>
      <c r="D179" s="696" t="inlineStr">
        <is>
          <t>(R0084040)</t>
        </is>
      </c>
      <c r="E179" s="696" t="inlineStr">
        <is>
          <t>Adams County</t>
        </is>
      </c>
      <c r="F179" s="696" t="inlineStr">
        <is>
          <t>CO</t>
        </is>
      </c>
      <c r="G179" s="696" t="inlineStr">
        <is>
          <t>Industrial</t>
        </is>
      </c>
      <c r="H179" s="696" t="inlineStr">
        <is>
          <t>Industrial NNN</t>
        </is>
      </c>
      <c r="I179" s="722" t="n"/>
      <c r="J179" s="722" t="n"/>
      <c r="K179" s="722" t="n">
        <v>2024</v>
      </c>
      <c r="L179" s="696" t="n"/>
      <c r="M179" s="696" t="n"/>
      <c r="N179" s="696" t="n"/>
      <c r="O179" s="731" t="n">
        <v>24025</v>
      </c>
      <c r="P179" s="731" t="n">
        <v>65817</v>
      </c>
      <c r="Q179" s="696" t="n"/>
      <c r="R179" s="696" t="n"/>
      <c r="S179" s="696" t="n"/>
      <c r="T179" s="696" t="n"/>
      <c r="U179" s="696" t="n"/>
      <c r="V179" s="696" t="n"/>
      <c r="W179" s="696" t="n"/>
      <c r="X179" s="696" t="n"/>
      <c r="Y179" s="696" t="n"/>
      <c r="Z179" s="696" t="n"/>
      <c r="AA179" s="696" t="n"/>
      <c r="AB179" s="696" t="n"/>
      <c r="AC179" s="731" t="n">
        <v>128840</v>
      </c>
      <c r="AD179" s="731" t="n">
        <v>69481</v>
      </c>
      <c r="AE179" s="696" t="n"/>
      <c r="AF179" s="731" t="n">
        <v>69481</v>
      </c>
      <c r="AG179" s="696" t="n"/>
      <c r="AH179" s="696" t="n"/>
      <c r="AI179" s="731" t="n">
        <v>598274</v>
      </c>
      <c r="AJ179" s="731" t="n">
        <v>886437</v>
      </c>
      <c r="AK179" s="696" t="n"/>
      <c r="AL179" s="696" t="n"/>
      <c r="AM179" s="724" t="inlineStr">
        <is>
          <t>[NO SF] NNN; WH Expenses 2026 landlord data: RE Tax $598,274/Ins $24,025/Utils $69,481/Mgmt $65,817/CAM $128,840</t>
        </is>
      </c>
    </row>
    <row r="180" ht="14.1" customHeight="1">
      <c r="A180" s="718" t="inlineStr">
        <is>
          <t>P034</t>
        </is>
      </c>
      <c r="B180" s="695" t="n">
        <v>407</v>
      </c>
      <c r="C180" s="718" t="inlineStr">
        <is>
          <t>R0172865</t>
        </is>
      </c>
      <c r="D180" s="718" t="inlineStr">
        <is>
          <t>(R0172865)</t>
        </is>
      </c>
      <c r="E180" s="718" t="inlineStr">
        <is>
          <t>Adams County</t>
        </is>
      </c>
      <c r="F180" s="718" t="inlineStr">
        <is>
          <t>CO</t>
        </is>
      </c>
      <c r="G180" s="718" t="inlineStr">
        <is>
          <t>Industrial</t>
        </is>
      </c>
      <c r="H180" s="718" t="inlineStr">
        <is>
          <t>Industrial NNN</t>
        </is>
      </c>
      <c r="I180" s="719" t="n"/>
      <c r="J180" s="719" t="n">
        <v>215461</v>
      </c>
      <c r="K180" s="719" t="n">
        <v>2024</v>
      </c>
      <c r="L180" s="718" t="n"/>
      <c r="M180" s="718" t="n"/>
      <c r="N180" s="718" t="n"/>
      <c r="O180" s="720" t="n">
        <v>0.1431</v>
      </c>
      <c r="P180" s="720" t="n">
        <v>0.331</v>
      </c>
      <c r="Q180" s="718" t="n"/>
      <c r="R180" s="718" t="n"/>
      <c r="S180" s="718" t="n"/>
      <c r="T180" s="718" t="n"/>
      <c r="U180" s="718" t="n"/>
      <c r="V180" s="718" t="n"/>
      <c r="W180" s="718" t="n"/>
      <c r="X180" s="718" t="n"/>
      <c r="Y180" s="718" t="n"/>
      <c r="Z180" s="718" t="n"/>
      <c r="AA180" s="718" t="n"/>
      <c r="AB180" s="718" t="n"/>
      <c r="AC180" s="720" t="n">
        <v>0.5903</v>
      </c>
      <c r="AD180" s="720" t="n">
        <v>0.4731</v>
      </c>
      <c r="AE180" s="718" t="n"/>
      <c r="AF180" s="720" t="n">
        <v>0.4731</v>
      </c>
      <c r="AG180" s="718" t="n"/>
      <c r="AH180" s="718" t="n"/>
      <c r="AI180" s="720" t="n">
        <v>2.6197</v>
      </c>
      <c r="AJ180" s="720" t="n">
        <v>4.1572</v>
      </c>
      <c r="AK180" s="718" t="n"/>
      <c r="AL180" s="718" t="n"/>
      <c r="AM180" s="721" t="inlineStr">
        <is>
          <t>NNN; WH Expenses 2026 landlord data: RE Tax $564,450/Ins $30,832/Utils $101,924/Mgmt $71,321/CAM $127,177</t>
        </is>
      </c>
    </row>
    <row r="181" ht="14.1" customHeight="1">
      <c r="A181" s="696" t="inlineStr">
        <is>
          <t>P036</t>
        </is>
      </c>
      <c r="B181" s="695" t="n">
        <v>407</v>
      </c>
      <c r="C181" s="696" t="inlineStr">
        <is>
          <t>R0172868</t>
        </is>
      </c>
      <c r="D181" s="696" t="inlineStr">
        <is>
          <t>(R0172868)</t>
        </is>
      </c>
      <c r="E181" s="696" t="inlineStr">
        <is>
          <t>Adams County</t>
        </is>
      </c>
      <c r="F181" s="696" t="inlineStr">
        <is>
          <t>CO</t>
        </is>
      </c>
      <c r="G181" s="696" t="inlineStr">
        <is>
          <t>Industrial</t>
        </is>
      </c>
      <c r="H181" s="696" t="inlineStr">
        <is>
          <t>Industrial NNN</t>
        </is>
      </c>
      <c r="I181" s="722" t="n"/>
      <c r="J181" s="722" t="n">
        <v>200000</v>
      </c>
      <c r="K181" s="722" t="n">
        <v>2024</v>
      </c>
      <c r="L181" s="696" t="n"/>
      <c r="M181" s="696" t="n"/>
      <c r="N181" s="696" t="n"/>
      <c r="O181" s="723" t="n">
        <v>0.153</v>
      </c>
      <c r="P181" s="723" t="n">
        <v>0.1804</v>
      </c>
      <c r="Q181" s="696" t="n"/>
      <c r="R181" s="696" t="n"/>
      <c r="S181" s="696" t="n"/>
      <c r="T181" s="696" t="n"/>
      <c r="U181" s="696" t="n"/>
      <c r="V181" s="696" t="n"/>
      <c r="W181" s="696" t="n"/>
      <c r="X181" s="696" t="n"/>
      <c r="Y181" s="696" t="n"/>
      <c r="Z181" s="696" t="n"/>
      <c r="AA181" s="696" t="n"/>
      <c r="AB181" s="696" t="n"/>
      <c r="AC181" s="723" t="n">
        <v>0.479</v>
      </c>
      <c r="AD181" s="696" t="n"/>
      <c r="AE181" s="696" t="n"/>
      <c r="AF181" s="696" t="n"/>
      <c r="AG181" s="696" t="n"/>
      <c r="AH181" s="696" t="n"/>
      <c r="AI181" s="723" t="n">
        <v>3.041</v>
      </c>
      <c r="AJ181" s="723" t="n">
        <v>3.8534</v>
      </c>
      <c r="AK181" s="696" t="n"/>
      <c r="AL181" s="696" t="n"/>
      <c r="AM181" s="724" t="inlineStr">
        <is>
          <t>NNN; WH Expenses 2026 landlord data: RE Tax $608,209/Ins $30,594/Mgmt $36,085/CAM $95,792</t>
        </is>
      </c>
    </row>
    <row r="182" ht="14.1" customHeight="1">
      <c r="A182" s="718" t="inlineStr">
        <is>
          <t>P061</t>
        </is>
      </c>
      <c r="B182" s="695" t="n">
        <v>584</v>
      </c>
      <c r="C182" s="718" t="inlineStr">
        <is>
          <t>R0083935</t>
        </is>
      </c>
      <c r="D182" s="718" t="inlineStr">
        <is>
          <t>(R0083935)</t>
        </is>
      </c>
      <c r="E182" s="718" t="inlineStr">
        <is>
          <t>Adams County</t>
        </is>
      </c>
      <c r="F182" s="718" t="inlineStr">
        <is>
          <t>CO</t>
        </is>
      </c>
      <c r="G182" s="718" t="inlineStr">
        <is>
          <t>Industrial</t>
        </is>
      </c>
      <c r="H182" s="718" t="inlineStr">
        <is>
          <t>Industrial NNN</t>
        </is>
      </c>
      <c r="I182" s="719" t="n"/>
      <c r="J182" s="719" t="n">
        <v>277690</v>
      </c>
      <c r="K182" s="719" t="n">
        <v>2024</v>
      </c>
      <c r="L182" s="718" t="n"/>
      <c r="M182" s="718" t="n"/>
      <c r="N182" s="718" t="n"/>
      <c r="O182" s="720" t="n">
        <v>0.2911</v>
      </c>
      <c r="P182" s="720" t="n">
        <v>0.6228</v>
      </c>
      <c r="Q182" s="718" t="n"/>
      <c r="R182" s="718" t="n"/>
      <c r="S182" s="718" t="n"/>
      <c r="T182" s="718" t="n"/>
      <c r="U182" s="718" t="n"/>
      <c r="V182" s="718" t="n"/>
      <c r="W182" s="718" t="n"/>
      <c r="X182" s="718" t="n"/>
      <c r="Y182" s="718" t="n"/>
      <c r="Z182" s="718" t="n"/>
      <c r="AA182" s="718" t="n"/>
      <c r="AB182" s="718" t="n"/>
      <c r="AC182" s="720" t="n">
        <v>1.0179</v>
      </c>
      <c r="AD182" s="720" t="n">
        <v>0.7056</v>
      </c>
      <c r="AE182" s="718" t="n"/>
      <c r="AF182" s="720" t="n">
        <v>0.7056</v>
      </c>
      <c r="AG182" s="718" t="n"/>
      <c r="AH182" s="718" t="n"/>
      <c r="AI182" s="720" t="n">
        <v>2.8384</v>
      </c>
      <c r="AJ182" s="720" t="n">
        <v>5.4758</v>
      </c>
      <c r="AK182" s="718" t="n"/>
      <c r="AL182" s="718" t="n"/>
      <c r="AM182" s="721" t="inlineStr">
        <is>
          <t>NNN; WH Expenses 2026 landlord data 2024; ranges used (midpoints): RE Tax ~$788k/Ins ~$81k/Utils $195,945/Mgmt $172,937/CAM ~$283k</t>
        </is>
      </c>
    </row>
    <row r="183" ht="14.1" customHeight="1">
      <c r="A183" s="696" t="inlineStr">
        <is>
          <t>P069</t>
        </is>
      </c>
      <c r="B183" s="695" t="n">
        <v>210</v>
      </c>
      <c r="C183" s="696" t="inlineStr">
        <is>
          <t>R0098223</t>
        </is>
      </c>
      <c r="D183" s="696" t="inlineStr">
        <is>
          <t>(R0098223)</t>
        </is>
      </c>
      <c r="E183" s="696" t="inlineStr">
        <is>
          <t>Adams County</t>
        </is>
      </c>
      <c r="F183" s="696" t="inlineStr">
        <is>
          <t>CO</t>
        </is>
      </c>
      <c r="G183" s="696" t="inlineStr">
        <is>
          <t>Industrial</t>
        </is>
      </c>
      <c r="H183" s="696" t="inlineStr">
        <is>
          <t>Industrial</t>
        </is>
      </c>
      <c r="I183" s="722" t="n"/>
      <c r="J183" s="722" t="n"/>
      <c r="K183" s="722" t="n">
        <v>2023</v>
      </c>
      <c r="L183" s="696" t="n"/>
      <c r="M183" s="696" t="n"/>
      <c r="N183" s="696" t="n"/>
      <c r="O183" s="696" t="n"/>
      <c r="P183" s="696" t="n"/>
      <c r="Q183" s="696" t="n"/>
      <c r="R183" s="696" t="n"/>
      <c r="S183" s="696" t="n"/>
      <c r="T183" s="696" t="n"/>
      <c r="U183" s="696" t="n"/>
      <c r="V183" s="696" t="n"/>
      <c r="W183" s="696" t="n"/>
      <c r="X183" s="696" t="n"/>
      <c r="Y183" s="696" t="n"/>
      <c r="Z183" s="696" t="n"/>
      <c r="AA183" s="696" t="n"/>
      <c r="AB183" s="696" t="n"/>
      <c r="AC183" s="696" t="n"/>
      <c r="AD183" s="696" t="n"/>
      <c r="AE183" s="696" t="n"/>
      <c r="AF183" s="696" t="n"/>
      <c r="AG183" s="696" t="n"/>
      <c r="AH183" s="696" t="n"/>
      <c r="AI183" s="696" t="n"/>
      <c r="AJ183" s="696" t="n"/>
      <c r="AK183" s="731" t="n">
        <v>951113</v>
      </c>
      <c r="AL183" s="696" t="n"/>
      <c r="AM183" s="724" t="inlineStr">
        <is>
          <t>[NO SF] CORRECTED: previous entry had wrong NOI ($76,629). Correct 2023 NOI = $951,113 per WH Expenses 2026</t>
        </is>
      </c>
    </row>
    <row r="184" ht="14.1" customHeight="1">
      <c r="A184" s="718" t="inlineStr">
        <is>
          <t>P069</t>
        </is>
      </c>
      <c r="B184" s="695" t="n">
        <v>210</v>
      </c>
      <c r="C184" s="718" t="inlineStr">
        <is>
          <t>R0098223</t>
        </is>
      </c>
      <c r="D184" s="718" t="inlineStr">
        <is>
          <t>(R0098223)</t>
        </is>
      </c>
      <c r="E184" s="718" t="inlineStr">
        <is>
          <t>Adams County</t>
        </is>
      </c>
      <c r="F184" s="718" t="inlineStr">
        <is>
          <t>CO</t>
        </is>
      </c>
      <c r="G184" s="718" t="inlineStr">
        <is>
          <t>Industrial</t>
        </is>
      </c>
      <c r="H184" s="718" t="inlineStr">
        <is>
          <t>Industrial</t>
        </is>
      </c>
      <c r="I184" s="719" t="n"/>
      <c r="J184" s="719" t="n"/>
      <c r="K184" s="719" t="n">
        <v>2024</v>
      </c>
      <c r="L184" s="718" t="n"/>
      <c r="M184" s="718" t="n"/>
      <c r="N184" s="718" t="n"/>
      <c r="O184" s="718" t="n"/>
      <c r="P184" s="718" t="n"/>
      <c r="Q184" s="718" t="n"/>
      <c r="R184" s="718" t="n"/>
      <c r="S184" s="718" t="n"/>
      <c r="T184" s="718" t="n"/>
      <c r="U184" s="718" t="n"/>
      <c r="V184" s="718" t="n"/>
      <c r="W184" s="718" t="n"/>
      <c r="X184" s="718" t="n"/>
      <c r="Y184" s="718" t="n"/>
      <c r="Z184" s="718" t="n"/>
      <c r="AA184" s="718" t="n"/>
      <c r="AB184" s="718" t="n"/>
      <c r="AC184" s="718" t="n"/>
      <c r="AD184" s="718" t="n"/>
      <c r="AE184" s="718" t="n"/>
      <c r="AF184" s="718" t="n"/>
      <c r="AG184" s="718" t="n"/>
      <c r="AH184" s="718" t="n"/>
      <c r="AI184" s="718" t="n"/>
      <c r="AJ184" s="718" t="n"/>
      <c r="AK184" s="730" t="n">
        <v>1005999</v>
      </c>
      <c r="AL184" s="718" t="n"/>
      <c r="AM184" s="721" t="inlineStr">
        <is>
          <t>[NO SF] New 2024 row from WH Expenses 2026; NOI $1,005,999</t>
        </is>
      </c>
    </row>
    <row r="185" ht="14.1" customHeight="1">
      <c r="A185" s="696" t="inlineStr">
        <is>
          <t>P094</t>
        </is>
      </c>
      <c r="B185" s="695" t="n">
        <v>407</v>
      </c>
      <c r="C185" s="696" t="inlineStr">
        <is>
          <t>R0104122</t>
        </is>
      </c>
      <c r="D185" s="696" t="inlineStr">
        <is>
          <t>550 W 53rd Pl</t>
        </is>
      </c>
      <c r="E185" s="696" t="inlineStr">
        <is>
          <t>Denver</t>
        </is>
      </c>
      <c r="F185" s="696" t="inlineStr">
        <is>
          <t>CO</t>
        </is>
      </c>
      <c r="G185" s="696" t="inlineStr">
        <is>
          <t>Industrial</t>
        </is>
      </c>
      <c r="H185" s="696" t="inlineStr">
        <is>
          <t>Distribution Warehouse</t>
        </is>
      </c>
      <c r="I185" s="722" t="n">
        <v>1971</v>
      </c>
      <c r="J185" s="722" t="n">
        <v>127900</v>
      </c>
      <c r="K185" s="722" t="n">
        <v>2024</v>
      </c>
      <c r="L185" s="723" t="n">
        <v>6.5</v>
      </c>
      <c r="M185" s="696" t="n"/>
      <c r="N185" s="723" t="n">
        <v>6.11</v>
      </c>
      <c r="O185" s="696" t="n"/>
      <c r="P185" s="696" t="n"/>
      <c r="Q185" s="696" t="n"/>
      <c r="R185" s="696" t="n"/>
      <c r="S185" s="696" t="n"/>
      <c r="T185" s="696" t="n"/>
      <c r="U185" s="696" t="n"/>
      <c r="V185" s="696" t="n"/>
      <c r="W185" s="696" t="n"/>
      <c r="X185" s="696" t="n"/>
      <c r="Y185" s="696" t="n"/>
      <c r="Z185" s="696" t="n"/>
      <c r="AA185" s="696" t="n"/>
      <c r="AB185" s="696" t="n"/>
      <c r="AC185" s="696" t="n"/>
      <c r="AD185" s="696" t="n"/>
      <c r="AE185" s="696" t="n"/>
      <c r="AF185" s="696" t="n"/>
      <c r="AG185" s="696" t="n"/>
      <c r="AH185" s="723" t="n">
        <v>0.4888</v>
      </c>
      <c r="AI185" s="696" t="n"/>
      <c r="AJ185" s="723" t="n">
        <v>0.4888</v>
      </c>
      <c r="AK185" s="723" t="n">
        <v>5.6212</v>
      </c>
      <c r="AL185" s="696" t="n"/>
      <c r="AM185" s="724" t="inlineStr">
        <is>
          <t>Appraiser income approach (CBOE 2024 abatement); market rent $6.50/SF; vac 6%; OPX 5% + reserves 3%; 6.00% OAR; value $11,985,000</t>
        </is>
      </c>
    </row>
    <row r="186" ht="14.1" customHeight="1">
      <c r="A186" s="732" t="inlineStr">
        <is>
          <t>P095</t>
        </is>
      </c>
      <c r="B186" s="695" t="n">
        <v>386</v>
      </c>
      <c r="C186" s="732" t="inlineStr">
        <is>
          <t>R0086010</t>
        </is>
      </c>
      <c r="D186" s="732" t="inlineStr">
        <is>
          <t>15413 E 18th Ave</t>
        </is>
      </c>
      <c r="E186" s="732" t="inlineStr">
        <is>
          <t>Aurora</t>
        </is>
      </c>
      <c r="F186" s="732" t="inlineStr">
        <is>
          <t>CO</t>
        </is>
      </c>
      <c r="G186" s="732" t="inlineStr">
        <is>
          <t>Self-Storage</t>
        </is>
      </c>
      <c r="H186" s="732" t="inlineStr">
        <is>
          <t>Self-Storage</t>
        </is>
      </c>
      <c r="I186" s="733" t="n">
        <v>1984</v>
      </c>
      <c r="J186" s="733" t="n">
        <v>63989</v>
      </c>
      <c r="K186" s="733" t="n">
        <v>2024</v>
      </c>
      <c r="L186" s="734" t="n">
        <v>15.0547</v>
      </c>
      <c r="M186" s="734" t="n">
        <v>0.1953</v>
      </c>
      <c r="N186" s="734" t="n">
        <v>12.9919</v>
      </c>
      <c r="O186" s="732" t="n"/>
      <c r="P186" s="732" t="n"/>
      <c r="Q186" s="732" t="n"/>
      <c r="R186" s="732" t="n"/>
      <c r="S186" s="732" t="n"/>
      <c r="T186" s="732" t="n"/>
      <c r="U186" s="732" t="n"/>
      <c r="V186" s="732" t="n"/>
      <c r="W186" s="732" t="n"/>
      <c r="X186" s="732" t="n"/>
      <c r="Y186" s="732" t="n"/>
      <c r="Z186" s="732" t="n"/>
      <c r="AA186" s="732" t="n"/>
      <c r="AB186" s="732" t="n"/>
      <c r="AC186" s="732" t="n"/>
      <c r="AD186" s="732" t="n"/>
      <c r="AE186" s="732" t="n"/>
      <c r="AF186" s="732" t="n"/>
      <c r="AG186" s="732" t="n"/>
      <c r="AH186" s="734" t="n">
        <v>2.5984</v>
      </c>
      <c r="AI186" s="732" t="n"/>
      <c r="AJ186" s="734" t="n">
        <v>3.118</v>
      </c>
      <c r="AK186" s="734" t="n">
        <v>9.873799999999999</v>
      </c>
      <c r="AL186" s="734" t="n">
        <v>0.5197000000000001</v>
      </c>
      <c r="AM186" s="735" t="inlineStr">
        <is>
          <t>Appraiser pro forma (AXG CBOE 2024); NRA 57,754 SF; market rent $1.39/mo/SF NRA; vac 15%; OPX 20% EGI; reserves 4%; 7.90% loaded cap; value $8,000,000</t>
        </is>
      </c>
    </row>
    <row r="187" ht="14.1" customHeight="1">
      <c r="A187" s="696" t="inlineStr">
        <is>
          <t>P096</t>
        </is>
      </c>
      <c r="B187" s="695" t="n">
        <v>407</v>
      </c>
      <c r="C187" s="696" t="inlineStr">
        <is>
          <t>R0083917</t>
        </is>
      </c>
      <c r="D187" s="696" t="inlineStr">
        <is>
          <t>14701 E 38th Ave</t>
        </is>
      </c>
      <c r="E187" s="696" t="inlineStr">
        <is>
          <t>Aurora</t>
        </is>
      </c>
      <c r="F187" s="696" t="inlineStr">
        <is>
          <t>CO</t>
        </is>
      </c>
      <c r="G187" s="696" t="inlineStr">
        <is>
          <t>Industrial</t>
        </is>
      </c>
      <c r="H187" s="696" t="inlineStr">
        <is>
          <t>Industrial Owner-User</t>
        </is>
      </c>
      <c r="I187" s="722" t="n"/>
      <c r="J187" s="722" t="n">
        <v>117280</v>
      </c>
      <c r="K187" s="722" t="n">
        <v>2024</v>
      </c>
      <c r="L187" s="696" t="n"/>
      <c r="M187" s="696" t="n"/>
      <c r="N187" s="696" t="n"/>
      <c r="O187" s="723" t="n">
        <v>0.4818</v>
      </c>
      <c r="P187" s="723" t="n">
        <v>3.8578</v>
      </c>
      <c r="Q187" s="696" t="n"/>
      <c r="R187" s="696" t="n"/>
      <c r="S187" s="696" t="n"/>
      <c r="T187" s="696" t="n"/>
      <c r="U187" s="696" t="n"/>
      <c r="V187" s="696" t="n"/>
      <c r="W187" s="696" t="n"/>
      <c r="X187" s="723" t="n">
        <v>1.8719</v>
      </c>
      <c r="Y187" s="723" t="n">
        <v>1.8719</v>
      </c>
      <c r="Z187" s="723" t="n">
        <v>0.1178</v>
      </c>
      <c r="AA187" s="723" t="n">
        <v>0.04</v>
      </c>
      <c r="AB187" s="696" t="n"/>
      <c r="AC187" s="723" t="n">
        <v>0.1578</v>
      </c>
      <c r="AD187" s="696" t="n"/>
      <c r="AE187" s="696" t="n"/>
      <c r="AF187" s="723" t="n">
        <v>3.1677</v>
      </c>
      <c r="AG187" s="696" t="n"/>
      <c r="AH187" s="723" t="n">
        <v>9.537000000000001</v>
      </c>
      <c r="AI187" s="696" t="n"/>
      <c r="AJ187" s="723" t="n">
        <v>9.537000000000001</v>
      </c>
      <c r="AK187" s="696" t="n"/>
      <c r="AL187" s="696" t="n"/>
      <c r="AM187" s="724" t="inlineStr">
        <is>
          <t>I&amp;E Survey 2024; owner-user; CAUTION: expenses likely include non-RE business costs (mgmt $452k + utils $372k very high); 117,280 SF</t>
        </is>
      </c>
    </row>
    <row r="188" ht="14.1" customHeight="1">
      <c r="A188" s="718" t="inlineStr">
        <is>
          <t>P097</t>
        </is>
      </c>
      <c r="B188" s="695" t="n">
        <v>210</v>
      </c>
      <c r="C188" s="718" t="inlineStr">
        <is>
          <t>R0137586</t>
        </is>
      </c>
      <c r="D188" s="718" t="inlineStr">
        <is>
          <t>7273-7285 E 96th Ave</t>
        </is>
      </c>
      <c r="E188" s="718" t="inlineStr">
        <is>
          <t>Commerce City</t>
        </is>
      </c>
      <c r="F188" s="718" t="inlineStr">
        <is>
          <t>CO</t>
        </is>
      </c>
      <c r="G188" s="718" t="inlineStr">
        <is>
          <t>Industrial</t>
        </is>
      </c>
      <c r="H188" s="718" t="inlineStr">
        <is>
          <t>Multi-Tenant Industrial</t>
        </is>
      </c>
      <c r="I188" s="719" t="n"/>
      <c r="J188" s="719" t="n">
        <v>57200</v>
      </c>
      <c r="K188" s="719" t="n">
        <v>2023</v>
      </c>
      <c r="L188" s="720" t="n">
        <v>14.0542</v>
      </c>
      <c r="M188" s="718" t="n"/>
      <c r="N188" s="718" t="n"/>
      <c r="O188" s="720" t="n">
        <v>0.2194</v>
      </c>
      <c r="P188" s="720" t="n">
        <v>0.9815</v>
      </c>
      <c r="Q188" s="718" t="n"/>
      <c r="R188" s="718" t="n"/>
      <c r="S188" s="718" t="n"/>
      <c r="T188" s="718" t="n"/>
      <c r="U188" s="718" t="n"/>
      <c r="V188" s="718" t="n"/>
      <c r="W188" s="718" t="n"/>
      <c r="X188" s="720" t="n">
        <v>0.6945</v>
      </c>
      <c r="Y188" s="720" t="n">
        <v>0.6945</v>
      </c>
      <c r="Z188" s="720" t="n">
        <v>0.3918</v>
      </c>
      <c r="AA188" s="720" t="n">
        <v>0.0257</v>
      </c>
      <c r="AB188" s="718" t="n"/>
      <c r="AC188" s="720" t="n">
        <v>0.4175</v>
      </c>
      <c r="AD188" s="718" t="n"/>
      <c r="AE188" s="720" t="n">
        <v>0.1169</v>
      </c>
      <c r="AF188" s="720" t="n">
        <v>0.1169</v>
      </c>
      <c r="AG188" s="718" t="n"/>
      <c r="AH188" s="720" t="n">
        <v>2.4266</v>
      </c>
      <c r="AI188" s="718" t="n"/>
      <c r="AJ188" s="720" t="n">
        <v>2.4266</v>
      </c>
      <c r="AK188" s="718" t="n"/>
      <c r="AL188" s="718" t="n"/>
      <c r="AM188" s="721" t="inlineStr">
        <is>
          <t>I&amp;E Survey 2023; modified lease; 57,200 SF; total expenses approx (excludes RE taxes not reported)</t>
        </is>
      </c>
    </row>
    <row r="189" ht="14.1" customHeight="1">
      <c r="A189" s="696" t="inlineStr">
        <is>
          <t>P098</t>
        </is>
      </c>
      <c r="B189" s="695" t="n">
        <v>210</v>
      </c>
      <c r="C189" s="696" t="inlineStr">
        <is>
          <t>R0187010</t>
        </is>
      </c>
      <c r="D189" s="696" t="inlineStr">
        <is>
          <t>8020 Steele St</t>
        </is>
      </c>
      <c r="E189" s="696" t="inlineStr">
        <is>
          <t>Denver</t>
        </is>
      </c>
      <c r="F189" s="696" t="inlineStr">
        <is>
          <t>CO</t>
        </is>
      </c>
      <c r="G189" s="696" t="inlineStr">
        <is>
          <t>Industrial</t>
        </is>
      </c>
      <c r="H189" s="696" t="inlineStr">
        <is>
          <t>Industrial Modified Gross</t>
        </is>
      </c>
      <c r="I189" s="722" t="n"/>
      <c r="J189" s="722" t="n">
        <v>70000</v>
      </c>
      <c r="K189" s="722" t="n">
        <v>2024</v>
      </c>
      <c r="L189" s="723" t="n">
        <v>7.7</v>
      </c>
      <c r="M189" s="696" t="n"/>
      <c r="N189" s="696" t="n"/>
      <c r="O189" s="696" t="n"/>
      <c r="P189" s="723" t="n">
        <v>0.231</v>
      </c>
      <c r="Q189" s="696" t="n"/>
      <c r="R189" s="696" t="n"/>
      <c r="S189" s="696" t="n"/>
      <c r="T189" s="696" t="n"/>
      <c r="U189" s="696" t="n"/>
      <c r="V189" s="696" t="n"/>
      <c r="W189" s="696" t="n"/>
      <c r="X189" s="723" t="n">
        <v>0.0514</v>
      </c>
      <c r="Y189" s="723" t="n">
        <v>0.0514</v>
      </c>
      <c r="Z189" s="696" t="n"/>
      <c r="AA189" s="723" t="n">
        <v>0.0571</v>
      </c>
      <c r="AB189" s="696" t="n"/>
      <c r="AC189" s="723" t="n">
        <v>0.0571</v>
      </c>
      <c r="AD189" s="696" t="n"/>
      <c r="AE189" s="696" t="n"/>
      <c r="AF189" s="696" t="n"/>
      <c r="AG189" s="696" t="n"/>
      <c r="AH189" s="723" t="n">
        <v>0.3396</v>
      </c>
      <c r="AI189" s="696" t="n"/>
      <c r="AJ189" s="723" t="n">
        <v>0.3396</v>
      </c>
      <c r="AK189" s="696" t="n"/>
      <c r="AL189" s="696" t="n"/>
      <c r="AM189" s="724" t="inlineStr">
        <is>
          <t>I&amp;E Survey 2024; modified gross; owner pays ins/R&amp;M/mgmt only; tenant pays utils/trash; 70,000 SF; partial expense data</t>
        </is>
      </c>
    </row>
    <row r="190" ht="14.1" customHeight="1">
      <c r="A190" s="718" t="inlineStr">
        <is>
          <t>P099</t>
        </is>
      </c>
      <c r="B190" s="695" t="n">
        <v>210</v>
      </c>
      <c r="C190" s="718" t="inlineStr">
        <is>
          <t>R0111914</t>
        </is>
      </c>
      <c r="D190" s="718" t="inlineStr">
        <is>
          <t>1963 Jasper St</t>
        </is>
      </c>
      <c r="E190" s="718" t="inlineStr">
        <is>
          <t>Aurora</t>
        </is>
      </c>
      <c r="F190" s="718" t="inlineStr">
        <is>
          <t>CO</t>
        </is>
      </c>
      <c r="G190" s="718" t="inlineStr">
        <is>
          <t>Industrial</t>
        </is>
      </c>
      <c r="H190" s="718" t="inlineStr">
        <is>
          <t>Multi-Tenant Industrial Gross</t>
        </is>
      </c>
      <c r="I190" s="719" t="n"/>
      <c r="J190" s="719" t="n">
        <v>33574</v>
      </c>
      <c r="K190" s="719" t="n">
        <v>2024</v>
      </c>
      <c r="L190" s="720" t="n">
        <v>9.829000000000001</v>
      </c>
      <c r="M190" s="718" t="n"/>
      <c r="N190" s="720" t="n">
        <v>9.829000000000001</v>
      </c>
      <c r="O190" s="720" t="n">
        <v>0.2475</v>
      </c>
      <c r="P190" s="720" t="n">
        <v>0.4915</v>
      </c>
      <c r="Q190" s="718" t="n"/>
      <c r="R190" s="718" t="n"/>
      <c r="S190" s="718" t="n"/>
      <c r="T190" s="718" t="n"/>
      <c r="U190" s="718" t="n"/>
      <c r="V190" s="718" t="n"/>
      <c r="W190" s="718" t="n"/>
      <c r="X190" s="720" t="n">
        <v>0.5624</v>
      </c>
      <c r="Y190" s="720" t="n">
        <v>0.5624</v>
      </c>
      <c r="Z190" s="720" t="n">
        <v>0.2949</v>
      </c>
      <c r="AA190" s="720" t="n">
        <v>0.3366</v>
      </c>
      <c r="AB190" s="718" t="n"/>
      <c r="AC190" s="720" t="n">
        <v>0.6314</v>
      </c>
      <c r="AD190" s="718" t="n"/>
      <c r="AE190" s="720" t="n">
        <v>0.3437</v>
      </c>
      <c r="AF190" s="720" t="n">
        <v>0.3437</v>
      </c>
      <c r="AG190" s="718" t="n"/>
      <c r="AH190" s="720" t="n">
        <v>2.2765</v>
      </c>
      <c r="AI190" s="718" t="n"/>
      <c r="AJ190" s="720" t="n">
        <v>2.2765</v>
      </c>
      <c r="AK190" s="720" t="n">
        <v>7.5525</v>
      </c>
      <c r="AL190" s="718" t="n"/>
      <c r="AM190" s="721" t="inlineStr">
        <is>
          <t>I&amp;E Survey 2024; gross lease (tenant pays gas/elec); approx NOI = GRI minus owner expenses; 33,574 SF</t>
        </is>
      </c>
    </row>
    <row r="191" ht="14.1" customHeight="1">
      <c r="A191" s="736" t="inlineStr">
        <is>
          <t>P100</t>
        </is>
      </c>
      <c r="B191" s="695" t="n">
        <v>1332</v>
      </c>
      <c r="C191" s="736" t="inlineStr">
        <is>
          <t>R0111965</t>
        </is>
      </c>
      <c r="D191" s="736" t="inlineStr">
        <is>
          <t>12101 Grant St</t>
        </is>
      </c>
      <c r="E191" s="736" t="inlineStr">
        <is>
          <t>Thornton</t>
        </is>
      </c>
      <c r="F191" s="736" t="inlineStr">
        <is>
          <t>CO</t>
        </is>
      </c>
      <c r="G191" s="736" t="inlineStr">
        <is>
          <t>Hospitality</t>
        </is>
      </c>
      <c r="H191" s="736" t="inlineStr">
        <is>
          <t>Hotel Limited Service</t>
        </is>
      </c>
      <c r="I191" s="737" t="n">
        <v>1998</v>
      </c>
      <c r="J191" s="737" t="n"/>
      <c r="K191" s="737" t="n">
        <v>2024</v>
      </c>
      <c r="L191" s="738" t="n">
        <v>3007421</v>
      </c>
      <c r="M191" s="736" t="n"/>
      <c r="N191" s="738" t="n">
        <v>3007421</v>
      </c>
      <c r="O191" s="738" t="n">
        <v>45111</v>
      </c>
      <c r="P191" s="736" t="n"/>
      <c r="Q191" s="736" t="n"/>
      <c r="R191" s="736" t="n"/>
      <c r="S191" s="736" t="n"/>
      <c r="T191" s="736" t="n"/>
      <c r="U191" s="736" t="n"/>
      <c r="V191" s="736" t="n"/>
      <c r="W191" s="736" t="n"/>
      <c r="X191" s="736" t="n"/>
      <c r="Y191" s="736" t="n"/>
      <c r="Z191" s="736" t="n"/>
      <c r="AA191" s="736" t="n"/>
      <c r="AB191" s="736" t="n"/>
      <c r="AC191" s="736" t="n"/>
      <c r="AD191" s="736" t="n"/>
      <c r="AE191" s="736" t="n"/>
      <c r="AF191" s="736" t="n"/>
      <c r="AG191" s="738" t="n">
        <v>1975907</v>
      </c>
      <c r="AH191" s="738" t="n">
        <v>2143856</v>
      </c>
      <c r="AI191" s="736" t="n"/>
      <c r="AJ191" s="738" t="n">
        <v>2143856</v>
      </c>
      <c r="AK191" s="738" t="n">
        <v>863565</v>
      </c>
      <c r="AL191" s="736" t="n"/>
      <c r="AM191" s="739" t="inlineStr">
        <is>
          <t>[NO SF] Appraiser Rushmore income approach (AXG CBOE 2024); 100 rooms; ADR $115; occ 70%; RevPAR $80.50; loaded cap 11.30%; RE prop value ~$7.49M. Total Revenue breakout: Rooms+F&amp;B+Other</t>
        </is>
      </c>
    </row>
    <row r="192" ht="14.1" customHeight="1">
      <c r="A192" s="736" t="inlineStr">
        <is>
          <t>P101</t>
        </is>
      </c>
      <c r="B192" s="695" t="n">
        <v>332</v>
      </c>
      <c r="C192" s="736" t="inlineStr">
        <is>
          <t>R0202410</t>
        </is>
      </c>
      <c r="D192" s="736" t="inlineStr">
        <is>
          <t>2556 Oswego St</t>
        </is>
      </c>
      <c r="E192" s="736" t="inlineStr">
        <is>
          <t>Aurora</t>
        </is>
      </c>
      <c r="F192" s="736" t="inlineStr">
        <is>
          <t>CO</t>
        </is>
      </c>
      <c r="G192" s="736" t="inlineStr">
        <is>
          <t>Hospitality</t>
        </is>
      </c>
      <c r="H192" s="736" t="inlineStr">
        <is>
          <t>Hotel Full Service</t>
        </is>
      </c>
      <c r="I192" s="737" t="n">
        <v>2023</v>
      </c>
      <c r="J192" s="737" t="n"/>
      <c r="K192" s="737" t="n">
        <v>2024</v>
      </c>
      <c r="L192" s="738" t="n">
        <v>11899487</v>
      </c>
      <c r="M192" s="736" t="n"/>
      <c r="N192" s="738" t="n">
        <v>11899487</v>
      </c>
      <c r="O192" s="738" t="n">
        <v>154693</v>
      </c>
      <c r="P192" s="736" t="n"/>
      <c r="Q192" s="736" t="n"/>
      <c r="R192" s="736" t="n"/>
      <c r="S192" s="736" t="n"/>
      <c r="T192" s="736" t="n"/>
      <c r="U192" s="736" t="n"/>
      <c r="V192" s="736" t="n"/>
      <c r="W192" s="736" t="n"/>
      <c r="X192" s="736" t="n"/>
      <c r="Y192" s="736" t="n"/>
      <c r="Z192" s="736" t="n"/>
      <c r="AA192" s="736" t="n"/>
      <c r="AB192" s="736" t="n"/>
      <c r="AC192" s="736" t="n"/>
      <c r="AD192" s="736" t="n"/>
      <c r="AE192" s="736" t="n"/>
      <c r="AF192" s="736" t="n"/>
      <c r="AG192" s="738" t="n">
        <v>8760469</v>
      </c>
      <c r="AH192" s="738" t="n">
        <v>8915468</v>
      </c>
      <c r="AI192" s="736" t="n"/>
      <c r="AJ192" s="738" t="n">
        <v>9391447</v>
      </c>
      <c r="AK192" s="738" t="n">
        <v>2984019</v>
      </c>
      <c r="AL192" s="738" t="n">
        <v>475979</v>
      </c>
      <c r="AM192" s="739" t="inlineStr">
        <is>
          <t>[NO SF] Appraiser Rushmore income approach (AXG CBOE 2024); 227 rooms; built 2023; ADR $140; occ 70%; RevPAR $98; loaded cap 12.45%; RE value ~$23.47M (less FF&amp;E)</t>
        </is>
      </c>
    </row>
    <row r="193" ht="14.1" customHeight="1">
      <c r="A193" s="736" t="inlineStr">
        <is>
          <t>P102</t>
        </is>
      </c>
      <c r="B193" s="695" t="n">
        <v>332</v>
      </c>
      <c r="C193" s="736" t="inlineStr">
        <is>
          <t>R0024498</t>
        </is>
      </c>
      <c r="D193" s="736" t="inlineStr">
        <is>
          <t>83 E 120th Ave</t>
        </is>
      </c>
      <c r="E193" s="736" t="inlineStr">
        <is>
          <t>Thornton</t>
        </is>
      </c>
      <c r="F193" s="736" t="inlineStr">
        <is>
          <t>CO</t>
        </is>
      </c>
      <c r="G193" s="736" t="inlineStr">
        <is>
          <t>Hospitality</t>
        </is>
      </c>
      <c r="H193" s="736" t="inlineStr">
        <is>
          <t>Hotel Full Service</t>
        </is>
      </c>
      <c r="I193" s="737" t="n">
        <v>1984</v>
      </c>
      <c r="J193" s="737" t="n">
        <v>114796</v>
      </c>
      <c r="K193" s="737" t="n">
        <v>2024</v>
      </c>
      <c r="L193" s="740" t="n">
        <v>66.4378</v>
      </c>
      <c r="M193" s="736" t="n"/>
      <c r="N193" s="740" t="n">
        <v>66.4378</v>
      </c>
      <c r="O193" s="740" t="n">
        <v>0.8637</v>
      </c>
      <c r="P193" s="736" t="n"/>
      <c r="Q193" s="736" t="n"/>
      <c r="R193" s="736" t="n"/>
      <c r="S193" s="736" t="n"/>
      <c r="T193" s="736" t="n"/>
      <c r="U193" s="736" t="n"/>
      <c r="V193" s="736" t="n"/>
      <c r="W193" s="736" t="n"/>
      <c r="X193" s="736" t="n"/>
      <c r="Y193" s="736" t="n"/>
      <c r="Z193" s="736" t="n"/>
      <c r="AA193" s="736" t="n"/>
      <c r="AB193" s="736" t="n"/>
      <c r="AC193" s="736" t="n"/>
      <c r="AD193" s="736" t="n"/>
      <c r="AE193" s="736" t="n"/>
      <c r="AF193" s="736" t="n"/>
      <c r="AG193" s="740" t="n">
        <v>48.7513</v>
      </c>
      <c r="AH193" s="740" t="n">
        <v>51.4075</v>
      </c>
      <c r="AI193" s="736" t="n"/>
      <c r="AJ193" s="740" t="n">
        <v>54.0651</v>
      </c>
      <c r="AK193" s="740" t="n">
        <v>15.0303</v>
      </c>
      <c r="AL193" s="740" t="n">
        <v>2.6575</v>
      </c>
      <c r="AM193" s="739" t="inlineStr">
        <is>
          <t>Appraiser Rushmore income approach (AXG CBOE 2024); 137 rooms; 114,796 SF; 2 bldgs; 1984 YOC; ADR $142; occ 70%; loaded cap 10.56%; RE value $15.78M (less FF&amp;E); STR data: occ ~73%, ADR ~$147-161</t>
        </is>
      </c>
    </row>
    <row r="194" ht="14.1" customHeight="1">
      <c r="A194" s="718" t="inlineStr">
        <is>
          <t>P103</t>
        </is>
      </c>
      <c r="B194" s="695" t="n">
        <v>407</v>
      </c>
      <c r="C194" s="718" t="inlineStr">
        <is>
          <t>R0075212</t>
        </is>
      </c>
      <c r="D194" s="718" t="inlineStr">
        <is>
          <t>10500 Havana Ct</t>
        </is>
      </c>
      <c r="E194" s="718" t="inlineStr">
        <is>
          <t>Commerce City</t>
        </is>
      </c>
      <c r="F194" s="718" t="inlineStr">
        <is>
          <t>CO</t>
        </is>
      </c>
      <c r="G194" s="718" t="inlineStr">
        <is>
          <t>Industrial</t>
        </is>
      </c>
      <c r="H194" s="718" t="inlineStr">
        <is>
          <t>Industrial NNN</t>
        </is>
      </c>
      <c r="I194" s="719" t="n"/>
      <c r="J194" s="719" t="n">
        <v>30000</v>
      </c>
      <c r="K194" s="719" t="n">
        <v>2024</v>
      </c>
      <c r="L194" s="720" t="n">
        <v>8.4</v>
      </c>
      <c r="M194" s="718" t="n"/>
      <c r="N194" s="718" t="n"/>
      <c r="O194" s="720" t="n">
        <v>0.7568</v>
      </c>
      <c r="P194" s="720" t="n">
        <v>0.3167</v>
      </c>
      <c r="Q194" s="718" t="n"/>
      <c r="R194" s="718" t="n"/>
      <c r="S194" s="718" t="n"/>
      <c r="T194" s="718" t="n"/>
      <c r="U194" s="718" t="n"/>
      <c r="V194" s="718" t="n"/>
      <c r="W194" s="718" t="n"/>
      <c r="X194" s="720" t="n">
        <v>0.3647</v>
      </c>
      <c r="Y194" s="720" t="n">
        <v>0.3647</v>
      </c>
      <c r="Z194" s="720" t="n">
        <v>0.1164</v>
      </c>
      <c r="AA194" s="720" t="n">
        <v>0.2303</v>
      </c>
      <c r="AB194" s="718" t="n"/>
      <c r="AC194" s="720" t="n">
        <v>0.3468</v>
      </c>
      <c r="AD194" s="718" t="n"/>
      <c r="AE194" s="720" t="n">
        <v>0.06519999999999999</v>
      </c>
      <c r="AF194" s="720" t="n">
        <v>0.06519999999999999</v>
      </c>
      <c r="AG194" s="718" t="n"/>
      <c r="AH194" s="720" t="n">
        <v>1.8501</v>
      </c>
      <c r="AI194" s="718" t="n"/>
      <c r="AJ194" s="720" t="n">
        <v>1.8501</v>
      </c>
      <c r="AK194" s="718" t="n"/>
      <c r="AL194" s="718" t="n"/>
      <c r="AM194" s="721" t="inlineStr">
        <is>
          <t>I&amp;E Survey 2024; NNN lease; owner-reported; 30,000 SF; no NOI computed (no EGI reported)</t>
        </is>
      </c>
    </row>
    <row r="195" ht="14.1" customHeight="1">
      <c r="A195" s="696" t="inlineStr">
        <is>
          <t>P089</t>
        </is>
      </c>
      <c r="B195" s="695" t="n">
        <v>407</v>
      </c>
      <c r="C195" s="696" t="inlineStr">
        <is>
          <t>R0180951</t>
        </is>
      </c>
      <c r="D195" s="696" t="inlineStr">
        <is>
          <t>21200 E 36th Dr</t>
        </is>
      </c>
      <c r="E195" s="696" t="inlineStr">
        <is>
          <t>Aurora</t>
        </is>
      </c>
      <c r="F195" s="696" t="inlineStr">
        <is>
          <t>CO</t>
        </is>
      </c>
      <c r="G195" s="696" t="inlineStr">
        <is>
          <t>Industrial</t>
        </is>
      </c>
      <c r="H195" s="696" t="inlineStr">
        <is>
          <t>Industrial NNN</t>
        </is>
      </c>
      <c r="I195" s="722" t="n">
        <v>2016</v>
      </c>
      <c r="J195" s="722" t="n">
        <v>122106</v>
      </c>
      <c r="K195" s="722" t="n">
        <v>2024</v>
      </c>
      <c r="L195" s="696" t="n"/>
      <c r="M195" s="696" t="n"/>
      <c r="N195" s="696" t="n"/>
      <c r="O195" s="723" t="n">
        <v>0.0625</v>
      </c>
      <c r="P195" s="696" t="n"/>
      <c r="Q195" s="696" t="n"/>
      <c r="R195" s="696" t="n"/>
      <c r="S195" s="696" t="n"/>
      <c r="T195" s="696" t="n"/>
      <c r="U195" s="696" t="n"/>
      <c r="V195" s="696" t="n"/>
      <c r="W195" s="696" t="n"/>
      <c r="X195" s="723" t="n">
        <v>0.3183</v>
      </c>
      <c r="Y195" s="723" t="n">
        <v>0.3183</v>
      </c>
      <c r="Z195" s="723" t="n">
        <v>0.1129</v>
      </c>
      <c r="AA195" s="723" t="n">
        <v>0.09669999999999999</v>
      </c>
      <c r="AB195" s="696" t="n"/>
      <c r="AC195" s="723" t="n">
        <v>0.2096</v>
      </c>
      <c r="AD195" s="723" t="n">
        <v>0.4794</v>
      </c>
      <c r="AE195" s="696" t="n"/>
      <c r="AF195" s="723" t="n">
        <v>0.4794</v>
      </c>
      <c r="AG195" s="696" t="n"/>
      <c r="AH195" s="696" t="n"/>
      <c r="AI195" s="723" t="n">
        <v>4.358</v>
      </c>
      <c r="AJ195" s="723" t="n">
        <v>5.4279</v>
      </c>
      <c r="AK195" s="696" t="n"/>
      <c r="AL195" s="696" t="n"/>
      <c r="AM195" s="724" t="inlineStr">
        <is>
          <t>MT.xlsx 2024 survey — DETAIL UPDATE for R0180951; R&amp;M $38,871/Grd Maint $11,809/Snow-Trash $13,785 additional breakdown (matches WH Expenses totals)</t>
        </is>
      </c>
    </row>
    <row r="196" ht="14.1" customHeight="1">
      <c r="A196" s="718" t="inlineStr">
        <is>
          <t>P104</t>
        </is>
      </c>
      <c r="B196" s="695" t="n">
        <v>210</v>
      </c>
      <c r="C196" s="718" t="inlineStr">
        <is>
          <t>R0226379</t>
        </is>
      </c>
      <c r="D196" s="718" t="inlineStr">
        <is>
          <t>26100 E 68th Ave</t>
        </is>
      </c>
      <c r="E196" s="718" t="inlineStr">
        <is>
          <t>Aurora</t>
        </is>
      </c>
      <c r="F196" s="718" t="inlineStr">
        <is>
          <t>CO</t>
        </is>
      </c>
      <c r="G196" s="718" t="inlineStr">
        <is>
          <t>Industrial</t>
        </is>
      </c>
      <c r="H196" s="718" t="inlineStr">
        <is>
          <t>Industrial Multi-Tenant</t>
        </is>
      </c>
      <c r="I196" s="719" t="n"/>
      <c r="J196" s="719" t="n">
        <v>187720</v>
      </c>
      <c r="K196" s="719" t="n">
        <v>2024</v>
      </c>
      <c r="L196" s="720" t="n">
        <v>7.35</v>
      </c>
      <c r="M196" s="720" t="n">
        <v>6.1013</v>
      </c>
      <c r="N196" s="720" t="n">
        <v>13.4512</v>
      </c>
      <c r="O196" s="720" t="n">
        <v>0.9408</v>
      </c>
      <c r="P196" s="720" t="n">
        <v>0.6045</v>
      </c>
      <c r="Q196" s="718" t="n"/>
      <c r="R196" s="718" t="n"/>
      <c r="S196" s="720" t="n">
        <v>0.091</v>
      </c>
      <c r="T196" s="720" t="n">
        <v>0.0133</v>
      </c>
      <c r="U196" s="718" t="n"/>
      <c r="V196" s="720" t="n">
        <v>0.0316</v>
      </c>
      <c r="W196" s="720" t="n">
        <v>0.073</v>
      </c>
      <c r="X196" s="720" t="n">
        <v>0.08649999999999999</v>
      </c>
      <c r="Y196" s="720" t="n">
        <v>0.2954</v>
      </c>
      <c r="Z196" s="718" t="n"/>
      <c r="AA196" s="720" t="n">
        <v>0.0495</v>
      </c>
      <c r="AB196" s="720" t="n">
        <v>0.1714</v>
      </c>
      <c r="AC196" s="720" t="n">
        <v>0.3656</v>
      </c>
      <c r="AD196" s="720" t="n">
        <v>0.1559</v>
      </c>
      <c r="AE196" s="720" t="n">
        <v>0.0609</v>
      </c>
      <c r="AF196" s="720" t="n">
        <v>0.2168</v>
      </c>
      <c r="AG196" s="720" t="n">
        <v>0.0238</v>
      </c>
      <c r="AH196" s="720" t="n">
        <v>3.1568</v>
      </c>
      <c r="AI196" s="720" t="n">
        <v>3.6317</v>
      </c>
      <c r="AJ196" s="720" t="n">
        <v>6.7886</v>
      </c>
      <c r="AK196" s="720" t="n">
        <v>6.6627</v>
      </c>
      <c r="AL196" s="718" t="n"/>
      <c r="AM196" s="721" t="inlineStr">
        <is>
          <t>2024 actuals; CAM reimb + TBB structure; TBBs (178,730.57) included in Total OPX; RE Taxes include Metro District (179,316.74); Mgmt = CAM Mgmt + non-recov mgmt; Landscape+Snow+Security+Sweeping in Contract Svcs; SF unknown</t>
        </is>
      </c>
    </row>
    <row r="197" ht="14.1" customHeight="1">
      <c r="A197" s="696" t="inlineStr">
        <is>
          <t>P104</t>
        </is>
      </c>
      <c r="B197" s="695" t="n">
        <v>210</v>
      </c>
      <c r="C197" s="696" t="inlineStr">
        <is>
          <t>R0226379</t>
        </is>
      </c>
      <c r="D197" s="696" t="inlineStr">
        <is>
          <t>26100 E 68th Ave</t>
        </is>
      </c>
      <c r="E197" s="696" t="inlineStr">
        <is>
          <t>Aurora</t>
        </is>
      </c>
      <c r="F197" s="696" t="inlineStr">
        <is>
          <t>CO</t>
        </is>
      </c>
      <c r="G197" s="696" t="inlineStr">
        <is>
          <t>Industrial</t>
        </is>
      </c>
      <c r="H197" s="696" t="inlineStr">
        <is>
          <t>Industrial Multi-Tenant</t>
        </is>
      </c>
      <c r="I197" s="722" t="n"/>
      <c r="J197" s="722" t="n">
        <v>187720</v>
      </c>
      <c r="K197" s="722" t="n">
        <v>2023</v>
      </c>
      <c r="L197" s="723" t="n">
        <v>6.3132</v>
      </c>
      <c r="M197" s="723" t="n">
        <v>6.0317</v>
      </c>
      <c r="N197" s="723" t="n">
        <v>12.3449</v>
      </c>
      <c r="O197" s="723" t="n">
        <v>0.6231</v>
      </c>
      <c r="P197" s="723" t="n">
        <v>0.5661</v>
      </c>
      <c r="Q197" s="696" t="n"/>
      <c r="R197" s="696" t="n"/>
      <c r="S197" s="723" t="n">
        <v>0.0179</v>
      </c>
      <c r="T197" s="723" t="n">
        <v>0.0238</v>
      </c>
      <c r="U197" s="696" t="n"/>
      <c r="V197" s="723" t="n">
        <v>0.1469</v>
      </c>
      <c r="W197" s="723" t="n">
        <v>0.0926</v>
      </c>
      <c r="X197" s="723" t="n">
        <v>0.0829</v>
      </c>
      <c r="Y197" s="723" t="n">
        <v>0.3641</v>
      </c>
      <c r="Z197" s="696" t="n"/>
      <c r="AA197" s="723" t="n">
        <v>0.057</v>
      </c>
      <c r="AB197" s="723" t="n">
        <v>0.1505</v>
      </c>
      <c r="AC197" s="723" t="n">
        <v>0.485</v>
      </c>
      <c r="AD197" s="723" t="n">
        <v>0.138</v>
      </c>
      <c r="AE197" s="723" t="n">
        <v>0.0588</v>
      </c>
      <c r="AF197" s="723" t="n">
        <v>0.1967</v>
      </c>
      <c r="AG197" s="723" t="n">
        <v>0.0498</v>
      </c>
      <c r="AH197" s="723" t="n">
        <v>2.8811</v>
      </c>
      <c r="AI197" s="723" t="n">
        <v>3.5113</v>
      </c>
      <c r="AJ197" s="723" t="n">
        <v>6.3924</v>
      </c>
      <c r="AK197" s="723" t="n">
        <v>5.9525</v>
      </c>
      <c r="AL197" s="696" t="n"/>
      <c r="AM197" s="724"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M2"/>
    <mergeCell ref="A1:AM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2026-07-10T02:19:44Z</dcterms:modified>
  <cp:lastModifiedBy>Armon Goldanloo</cp:lastModifiedBy>
  <cp:lastPrinted>2021-04-29T19:41:45Z</cp:lastPrinted>
</cp:coreProperties>
</file>