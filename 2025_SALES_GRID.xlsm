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Resource Directory" sheetId="17" state="visible" r:id="rId17"/>
    <sheet name="Property Registry" sheetId="18" state="visible" r:id="rId18"/>
    <sheet name="Expense Database" sheetId="19" state="visible" r:id="rId19"/>
    <sheet name="PSF Summary" sheetId="20" state="visible" r:id="rId20"/>
  </sheets>
  <externalReferences>
    <externalReference r:id="rId21"/>
    <externalReference r:id="rId22"/>
    <externalReference r:id="rId23"/>
    <externalReference r:id="rId24"/>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_xlnm.Print_Area" localSheetId="3">'WO'!$A$1:$I$55</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xlnm.Print_Area" localSheetId="4">'BAA Market'!$A$1:$J$39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Print_Area" localSheetId="6">'Appeal'!$A$1:$M$74</definedName>
    <definedName name="_xlnm.Print_Area" localSheetId="7">'BOCC'!$A$1:$L$48</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6"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44">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
      <name val="Calibri"/>
      <b val="1"/>
      <color rgb="00FFFFFF"/>
      <sz val="15"/>
    </font>
    <font>
      <name val="Calibri"/>
      <color rgb="00333F50"/>
      <sz val="11"/>
    </font>
    <font>
      <name val="Calibri"/>
      <b val="1"/>
      <color rgb="001F4E78"/>
      <sz val="10"/>
    </font>
    <font>
      <name val="Calibri"/>
      <b val="1"/>
      <sz val="12"/>
    </font>
    <font>
      <name val="Calibri"/>
      <b val="1"/>
      <color rgb="00FFFFFF"/>
      <sz val="11"/>
    </font>
    <font>
      <name val="Calibri"/>
      <b val="1"/>
      <color rgb="001F4E78"/>
      <sz val="9"/>
    </font>
    <font>
      <name val="Calibri"/>
      <b val="1"/>
      <color rgb="00375623"/>
      <sz val="10"/>
    </font>
    <font>
      <name val="Calibri"/>
      <b val="1"/>
      <color rgb="00833C00"/>
      <sz val="9"/>
    </font>
  </fonts>
  <fills count="4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
      <patternFill patternType="solid">
        <fgColor rgb="002E74B5"/>
      </patternFill>
    </fill>
    <fill>
      <patternFill patternType="solid">
        <fgColor rgb="00DCE9F5"/>
      </patternFill>
    </fill>
    <fill>
      <patternFill patternType="solid">
        <fgColor rgb="00F2F7FB"/>
      </patternFill>
    </fill>
  </fills>
  <borders count="9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
      <left/>
      <right/>
      <top/>
      <bottom style="thin">
        <color rgb="00D9D9D9"/>
      </bottom>
      <diagonal/>
    </border>
    <border>
      <left style="thin">
        <color rgb="00B7C9DB"/>
      </left>
      <right style="thin">
        <color rgb="00B7C9DB"/>
      </right>
      <top style="thin">
        <color rgb="00B7C9DB"/>
      </top>
      <bottom style="thin">
        <color rgb="00B7C9DB"/>
      </bottom>
    </border>
    <border>
      <left style="medium">
        <color rgb="001F4E78"/>
      </left>
      <right style="thin">
        <color rgb="00B7C9DB"/>
      </right>
      <top style="medium">
        <color rgb="001F4E78"/>
      </top>
      <bottom style="thin">
        <color rgb="00B7C9DB"/>
      </bottom>
    </border>
    <border>
      <left style="thin">
        <color rgb="00B7C9DB"/>
      </left>
      <right style="thin">
        <color rgb="00B7C9DB"/>
      </right>
      <top style="medium">
        <color rgb="001F4E78"/>
      </top>
      <bottom style="thin">
        <color rgb="00B7C9DB"/>
      </bottom>
    </border>
    <border>
      <left style="thin">
        <color rgb="00B7C9DB"/>
      </left>
      <right style="medium">
        <color rgb="001F4E78"/>
      </right>
      <top style="medium">
        <color rgb="001F4E78"/>
      </top>
      <bottom style="thin">
        <color rgb="00B7C9DB"/>
      </bottom>
    </border>
    <border>
      <left style="medium">
        <color rgb="001F4E78"/>
      </left>
      <right style="thin">
        <color rgb="00B7C9DB"/>
      </right>
      <top style="thin">
        <color rgb="00B7C9DB"/>
      </top>
      <bottom style="thin">
        <color rgb="00B7C9DB"/>
      </bottom>
    </border>
    <border>
      <left style="thin">
        <color rgb="00B7C9DB"/>
      </left>
      <right style="medium">
        <color rgb="001F4E78"/>
      </right>
      <top style="thin">
        <color rgb="00B7C9DB"/>
      </top>
      <bottom style="thin">
        <color rgb="00B7C9DB"/>
      </bottom>
    </border>
    <border>
      <left style="medium">
        <color rgb="001F4E78"/>
      </left>
      <right style="thin">
        <color rgb="00B7C9DB"/>
      </right>
      <top style="thin">
        <color rgb="00B7C9DB"/>
      </top>
      <bottom style="medium">
        <color rgb="001F4E78"/>
      </bottom>
    </border>
    <border>
      <left style="thin">
        <color rgb="00B7C9DB"/>
      </left>
      <right style="thin">
        <color rgb="00B7C9DB"/>
      </right>
      <top style="thin">
        <color rgb="00B7C9DB"/>
      </top>
      <bottom style="medium">
        <color rgb="001F4E78"/>
      </bottom>
    </border>
    <border>
      <left style="thin">
        <color rgb="00B7C9DB"/>
      </left>
      <right style="medium">
        <color rgb="001F4E78"/>
      </right>
      <top style="thin">
        <color rgb="00B7C9DB"/>
      </top>
      <bottom style="medium">
        <color rgb="001F4E78"/>
      </bottom>
    </border>
    <border>
      <bottom style="thin">
        <color rgb="00404040"/>
      </bottom>
    </border>
    <border>
      <left/>
      <right/>
      <top style="medium">
        <color rgb="001F4E78"/>
      </top>
      <bottom/>
      <diagonal/>
    </border>
    <border>
      <left style="medium">
        <color rgb="001F4E78"/>
      </left>
      <right/>
      <top/>
      <bottom/>
      <diagonal/>
    </border>
    <border>
      <left/>
      <right style="thin">
        <color rgb="00B7C9DB"/>
      </right>
      <top style="medium">
        <color rgb="001F4E78"/>
      </top>
      <bottom/>
      <diagonal/>
    </border>
    <border>
      <left/>
      <right style="thin">
        <color rgb="00B7C9DB"/>
      </right>
      <top/>
      <bottom/>
      <diagonal/>
    </border>
    <border>
      <left style="medium">
        <color rgb="001F4E78"/>
      </left>
      <right/>
      <top/>
      <bottom style="thin">
        <color rgb="00B7C9DB"/>
      </bottom>
      <diagonal/>
    </border>
    <border>
      <left/>
      <right/>
      <top/>
      <bottom style="thin">
        <color rgb="00B7C9DB"/>
      </bottom>
      <diagonal/>
    </border>
    <border>
      <left/>
      <right style="thin">
        <color rgb="00B7C9DB"/>
      </right>
      <top/>
      <bottom style="thin">
        <color rgb="00B7C9DB"/>
      </bottom>
      <diagonal/>
    </border>
    <border>
      <left style="thin">
        <color rgb="00B7C9DB"/>
      </left>
      <right/>
      <top/>
      <bottom/>
      <diagonal/>
    </border>
    <border>
      <left style="thin">
        <color rgb="00B7C9DB"/>
      </left>
      <right style="thin">
        <color rgb="00B7C9DB"/>
      </right>
      <top/>
      <bottom/>
      <diagonal/>
    </border>
    <border>
      <left style="thin">
        <color rgb="00B7C9DB"/>
      </left>
      <right style="thin">
        <color rgb="00B7C9DB"/>
      </right>
      <top/>
      <bottom style="thin">
        <color rgb="00B7C9DB"/>
      </bottom>
      <diagonal/>
    </border>
    <border>
      <left/>
      <right/>
      <top style="thin">
        <color rgb="00B7C9DB"/>
      </top>
      <bottom/>
      <diagonal/>
    </border>
    <border>
      <left/>
      <right style="thin">
        <color rgb="00B7C9DB"/>
      </right>
      <top style="thin">
        <color rgb="00B7C9DB"/>
      </top>
      <bottom/>
      <diagonal/>
    </border>
    <border>
      <left/>
      <right style="thin">
        <color rgb="00B7C9DB"/>
      </right>
      <top style="thin">
        <color rgb="00B7C9DB"/>
      </top>
      <bottom style="thin">
        <color rgb="00B7C9DB"/>
      </bottom>
      <diagonal/>
    </border>
    <border>
      <left/>
      <right/>
      <top style="thin">
        <color rgb="00B7C9DB"/>
      </top>
      <bottom style="thin">
        <color rgb="00B7C9DB"/>
      </bottom>
      <diagonal/>
    </border>
    <border>
      <right/>
      <bottom style="thin">
        <color rgb="00D9D9D9"/>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51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xf numFmtId="0" fontId="136" fillId="45" borderId="0" applyAlignment="1" pivotButton="0" quotePrefix="1" xfId="0">
      <alignment horizontal="left" vertical="center"/>
    </xf>
    <xf numFmtId="0" fontId="136" fillId="45" borderId="0" applyAlignment="1" pivotButton="0" quotePrefix="0" xfId="0">
      <alignment horizontal="left" vertical="center"/>
    </xf>
    <xf numFmtId="0" fontId="137" fillId="0" borderId="0" applyAlignment="1" pivotButton="0" quotePrefix="1" xfId="0">
      <alignment horizontal="left" vertical="top" wrapText="1"/>
    </xf>
    <xf numFmtId="0" fontId="137" fillId="0" borderId="0" pivotButton="0" quotePrefix="0" xfId="0"/>
    <xf numFmtId="0" fontId="137" fillId="0" borderId="0" applyAlignment="1" pivotButton="0" quotePrefix="0" xfId="0">
      <alignment horizontal="left"/>
    </xf>
    <xf numFmtId="0" fontId="137" fillId="0" borderId="0" applyAlignment="1" pivotButton="0" quotePrefix="0" xfId="0">
      <alignment horizontal="left" indent="1"/>
    </xf>
    <xf numFmtId="0" fontId="138" fillId="0" borderId="62" applyAlignment="1" pivotButton="0" quotePrefix="0" xfId="0">
      <alignment vertical="top" wrapText="1"/>
    </xf>
    <xf numFmtId="0" fontId="139" fillId="13" borderId="70" pivotButton="0" quotePrefix="0" xfId="0"/>
    <xf numFmtId="0" fontId="140" fillId="45" borderId="0" applyAlignment="1" pivotButton="0" quotePrefix="1" xfId="0">
      <alignment horizontal="left" vertical="center"/>
    </xf>
    <xf numFmtId="0" fontId="140" fillId="45" borderId="0" applyAlignment="1" pivotButton="0" quotePrefix="0" xfId="0">
      <alignment horizontal="left" vertical="center"/>
    </xf>
    <xf numFmtId="0" fontId="96" fillId="13" borderId="70" applyAlignment="1" pivotButton="0" quotePrefix="0" xfId="0">
      <alignment horizontal="left" vertical="center"/>
    </xf>
    <xf numFmtId="0" fontId="140" fillId="45" borderId="0" applyAlignment="1" applyProtection="1" pivotButton="0" quotePrefix="0" xfId="0">
      <alignment horizontal="left" vertical="center"/>
      <protection locked="0" hidden="0"/>
    </xf>
    <xf numFmtId="0" fontId="140" fillId="46" borderId="1" applyAlignment="1" pivotButton="0" quotePrefix="0" xfId="0">
      <alignment horizontal="left" vertical="center"/>
    </xf>
    <xf numFmtId="0" fontId="140" fillId="46" borderId="2" applyAlignment="1" pivotButton="0" quotePrefix="0" xfId="0">
      <alignment horizontal="left" vertical="center"/>
    </xf>
    <xf numFmtId="0" fontId="140" fillId="46" borderId="3" applyAlignment="1" pivotButton="0" quotePrefix="0" xfId="0">
      <alignment horizontal="left" vertical="center"/>
    </xf>
    <xf numFmtId="0" fontId="141" fillId="47" borderId="70" applyAlignment="1" pivotButton="0" quotePrefix="0" xfId="0">
      <alignment horizontal="center" vertical="center" wrapText="1"/>
    </xf>
    <xf numFmtId="0" fontId="141" fillId="47" borderId="70" applyAlignment="1" pivotButton="0" quotePrefix="1" xfId="0">
      <alignment horizontal="center" vertical="center" wrapText="1"/>
    </xf>
    <xf numFmtId="49" fontId="96" fillId="13" borderId="70" applyAlignment="1" applyProtection="1" pivotButton="0" quotePrefix="0" xfId="0">
      <alignment horizontal="left" vertical="center"/>
      <protection locked="0" hidden="0"/>
    </xf>
    <xf numFmtId="0" fontId="96" fillId="13" borderId="70" applyAlignment="1" applyProtection="1" pivotButton="0" quotePrefix="0" xfId="0">
      <alignment horizontal="right" vertical="center"/>
      <protection locked="0" hidden="0"/>
    </xf>
    <xf numFmtId="37" fontId="96" fillId="39" borderId="70" applyAlignment="1" applyProtection="1" pivotButton="0" quotePrefix="0" xfId="0">
      <alignment horizontal="right" vertical="center"/>
      <protection locked="0" hidden="0"/>
    </xf>
    <xf numFmtId="0" fontId="96" fillId="39" borderId="70" applyAlignment="1" applyProtection="1" pivotButton="0" quotePrefix="0" xfId="0">
      <alignment horizontal="center" vertical="center"/>
      <protection locked="0" hidden="0"/>
    </xf>
    <xf numFmtId="167" fontId="96" fillId="13" borderId="70" applyAlignment="1" applyProtection="1" pivotButton="0" quotePrefix="0" xfId="0">
      <alignment horizontal="right" vertical="center"/>
      <protection locked="0" hidden="0"/>
    </xf>
    <xf numFmtId="0" fontId="96" fillId="13" borderId="70" applyAlignment="1" pivotButton="0" quotePrefix="0" xfId="0">
      <alignment horizontal="right" vertical="center"/>
    </xf>
    <xf numFmtId="49" fontId="96" fillId="39" borderId="70" applyAlignment="1" applyProtection="1" pivotButton="0" quotePrefix="0" xfId="0">
      <alignment horizontal="left" vertical="center"/>
      <protection locked="0" hidden="0"/>
    </xf>
    <xf numFmtId="0" fontId="96" fillId="39" borderId="70" applyAlignment="1" applyProtection="1" pivotButton="0" quotePrefix="0" xfId="0">
      <alignment horizontal="right" vertical="center"/>
      <protection locked="0" hidden="0"/>
    </xf>
    <xf numFmtId="37" fontId="96" fillId="39" borderId="70" applyAlignment="1" pivotButton="0" quotePrefix="0" xfId="0">
      <alignment horizontal="right" vertical="center"/>
    </xf>
    <xf numFmtId="9" fontId="96" fillId="13" borderId="70" applyAlignment="1" applyProtection="1" pivotButton="0" quotePrefix="0" xfId="0">
      <alignment horizontal="right" vertical="center"/>
      <protection locked="0" hidden="0"/>
    </xf>
    <xf numFmtId="49" fontId="96" fillId="13" borderId="70" applyAlignment="1" applyProtection="1" pivotButton="0" quotePrefix="0" xfId="0">
      <alignment horizontal="right" vertical="center"/>
      <protection locked="0" hidden="0"/>
    </xf>
    <xf numFmtId="167" fontId="96" fillId="0" borderId="70" applyAlignment="1" pivotButton="0" quotePrefix="0" xfId="0">
      <alignment horizontal="right" vertical="center"/>
    </xf>
    <xf numFmtId="0" fontId="96" fillId="39" borderId="70" applyAlignment="1" applyProtection="1" pivotButton="0" quotePrefix="0" xfId="0">
      <alignment horizontal="left" vertical="center"/>
      <protection locked="0" hidden="0"/>
    </xf>
    <xf numFmtId="0" fontId="96" fillId="13" borderId="70" applyAlignment="1" applyProtection="1" pivotButton="0" quotePrefix="0" xfId="0">
      <alignment horizontal="center" vertical="center"/>
      <protection locked="0" hidden="0"/>
    </xf>
    <xf numFmtId="166" fontId="96" fillId="13" borderId="70" applyAlignment="1" applyProtection="1" pivotButton="0" quotePrefix="0" xfId="0">
      <alignment horizontal="right" vertical="center"/>
      <protection locked="0" hidden="0"/>
    </xf>
    <xf numFmtId="0" fontId="96" fillId="0" borderId="70" applyAlignment="1" pivotButton="0" quotePrefix="0" xfId="0">
      <alignment horizontal="left" vertical="center"/>
    </xf>
    <xf numFmtId="0" fontId="96" fillId="0" borderId="70" applyAlignment="1" pivotButton="0" quotePrefix="0" xfId="0">
      <alignment horizontal="right" vertical="center"/>
    </xf>
    <xf numFmtId="37" fontId="96" fillId="0" borderId="70" applyAlignment="1" pivotButton="0" quotePrefix="0" xfId="0">
      <alignment horizontal="right" vertical="center"/>
    </xf>
    <xf numFmtId="0" fontId="96" fillId="0" borderId="70" applyAlignment="1" pivotButton="0" quotePrefix="0" xfId="0">
      <alignment horizontal="center" vertical="center"/>
    </xf>
    <xf numFmtId="172" fontId="96" fillId="0" borderId="70" applyAlignment="1" pivotButton="0" quotePrefix="0" xfId="0">
      <alignment horizontal="right" vertical="center"/>
    </xf>
    <xf numFmtId="0" fontId="138" fillId="13" borderId="70" applyAlignment="1" pivotButton="0" quotePrefix="0" xfId="0">
      <alignment horizontal="left" vertical="center"/>
    </xf>
    <xf numFmtId="166" fontId="96" fillId="0" borderId="70" applyAlignment="1" pivotButton="0" quotePrefix="0" xfId="0">
      <alignment horizontal="right" vertical="center"/>
    </xf>
    <xf numFmtId="170" fontId="96" fillId="13" borderId="70" applyAlignment="1" applyProtection="1" pivotButton="0" quotePrefix="0" xfId="0">
      <alignment horizontal="right" vertical="center"/>
      <protection locked="0" hidden="0"/>
    </xf>
    <xf numFmtId="167" fontId="142" fillId="11" borderId="70" applyAlignment="1" pivotButton="0" quotePrefix="0" xfId="0">
      <alignment horizontal="right" vertical="center"/>
    </xf>
    <xf numFmtId="166" fontId="142" fillId="11" borderId="70" applyAlignment="1" pivotButton="0" quotePrefix="0" xfId="0">
      <alignment horizontal="right" vertical="center"/>
    </xf>
    <xf numFmtId="0" fontId="96" fillId="48" borderId="70" applyAlignment="1" pivotButton="0" quotePrefix="0" xfId="0">
      <alignment horizontal="left" vertical="center"/>
    </xf>
    <xf numFmtId="0" fontId="96" fillId="48" borderId="70" applyAlignment="1" pivotButton="0" quotePrefix="0" xfId="0">
      <alignment horizontal="right" vertical="center"/>
    </xf>
    <xf numFmtId="37" fontId="96" fillId="48" borderId="70" applyAlignment="1" pivotButton="0" quotePrefix="0" xfId="0">
      <alignment horizontal="right" vertical="center"/>
    </xf>
    <xf numFmtId="0" fontId="96" fillId="48" borderId="70" applyAlignment="1" pivotButton="0" quotePrefix="0" xfId="0">
      <alignment horizontal="center" vertical="center"/>
    </xf>
    <xf numFmtId="172" fontId="96" fillId="48" borderId="70" applyAlignment="1" pivotButton="0" quotePrefix="0" xfId="0">
      <alignment horizontal="right" vertical="center"/>
    </xf>
    <xf numFmtId="167" fontId="96" fillId="48" borderId="70" applyAlignment="1" pivotButton="0" quotePrefix="0" xfId="0">
      <alignment horizontal="right" vertical="center"/>
    </xf>
    <xf numFmtId="166" fontId="96" fillId="48" borderId="70" applyAlignment="1" pivotButton="0" quotePrefix="0" xfId="0">
      <alignment horizontal="right" vertical="center"/>
    </xf>
    <xf numFmtId="0" fontId="140" fillId="46" borderId="28" applyAlignment="1" pivotButton="0" quotePrefix="0" xfId="0">
      <alignment horizontal="left" vertical="center"/>
    </xf>
    <xf numFmtId="0" fontId="140" fillId="46" borderId="22" applyAlignment="1" pivotButton="0" quotePrefix="0" xfId="0">
      <alignment horizontal="left" vertical="center"/>
    </xf>
    <xf numFmtId="0" fontId="140" fillId="46" borderId="23" applyAlignment="1" pivotButton="0" quotePrefix="0" xfId="0">
      <alignment horizontal="left" vertical="center"/>
    </xf>
    <xf numFmtId="0" fontId="96" fillId="13" borderId="71" applyAlignment="1" applyProtection="1" pivotButton="0" quotePrefix="0" xfId="0">
      <alignment horizontal="left" vertical="top" wrapText="1"/>
      <protection locked="0" hidden="0"/>
    </xf>
    <xf numFmtId="0" fontId="0" fillId="13" borderId="72" applyProtection="1" pivotButton="0" quotePrefix="0" xfId="0">
      <protection locked="0" hidden="0"/>
    </xf>
    <xf numFmtId="0" fontId="0" fillId="13" borderId="73" applyProtection="1" pivotButton="0" quotePrefix="0" xfId="0">
      <protection locked="0" hidden="0"/>
    </xf>
    <xf numFmtId="0" fontId="0" fillId="13" borderId="74" applyProtection="1" pivotButton="0" quotePrefix="0" xfId="0">
      <protection locked="0" hidden="0"/>
    </xf>
    <xf numFmtId="0" fontId="0" fillId="13" borderId="70" applyProtection="1" pivotButton="0" quotePrefix="0" xfId="0">
      <protection locked="0" hidden="0"/>
    </xf>
    <xf numFmtId="0" fontId="0" fillId="13" borderId="75" applyProtection="1" pivotButton="0" quotePrefix="0" xfId="0">
      <protection locked="0" hidden="0"/>
    </xf>
    <xf numFmtId="0" fontId="0" fillId="13" borderId="76" applyProtection="1" pivotButton="0" quotePrefix="0" xfId="0">
      <protection locked="0" hidden="0"/>
    </xf>
    <xf numFmtId="0" fontId="0" fillId="13" borderId="77" applyProtection="1" pivotButton="0" quotePrefix="0" xfId="0">
      <protection locked="0" hidden="0"/>
    </xf>
    <xf numFmtId="0" fontId="0" fillId="13" borderId="78" applyProtection="1" pivotButton="0" quotePrefix="0" xfId="0">
      <protection locked="0" hidden="0"/>
    </xf>
    <xf numFmtId="0" fontId="140" fillId="46" borderId="0" applyAlignment="1" pivotButton="0" quotePrefix="0" xfId="0">
      <alignment horizontal="left" vertical="center"/>
    </xf>
    <xf numFmtId="39" fontId="96" fillId="0" borderId="70" applyAlignment="1" pivotButton="0" quotePrefix="0" xfId="0">
      <alignment horizontal="right" vertical="center"/>
    </xf>
    <xf numFmtId="0" fontId="96" fillId="13" borderId="70" applyAlignment="1" pivotButton="0" quotePrefix="0" xfId="0">
      <alignment horizontal="center" vertical="center"/>
    </xf>
    <xf numFmtId="9" fontId="96" fillId="0" borderId="70" applyAlignment="1" pivotButton="0" quotePrefix="0" xfId="0">
      <alignment horizontal="right" vertical="center"/>
    </xf>
    <xf numFmtId="39" fontId="96" fillId="48" borderId="70" applyAlignment="1" pivotButton="0" quotePrefix="0" xfId="0">
      <alignment horizontal="right" vertical="center"/>
    </xf>
    <xf numFmtId="9" fontId="96" fillId="48" borderId="70" applyAlignment="1" pivotButton="0" quotePrefix="0" xfId="0">
      <alignment horizontal="right" vertical="center"/>
    </xf>
    <xf numFmtId="0" fontId="136" fillId="45" borderId="0" applyAlignment="1" pivotButton="0" quotePrefix="0" xfId="7">
      <alignment horizontal="left" vertical="center"/>
    </xf>
    <xf numFmtId="0" fontId="140" fillId="46" borderId="0" applyAlignment="1" pivotButton="0" quotePrefix="0" xfId="7">
      <alignment horizontal="left" vertical="center"/>
    </xf>
    <xf numFmtId="0" fontId="141" fillId="47" borderId="70" applyAlignment="1" pivotButton="0" quotePrefix="0" xfId="7">
      <alignment horizontal="center" vertical="center" wrapText="1"/>
    </xf>
    <xf numFmtId="0" fontId="141" fillId="47" borderId="70" applyAlignment="1" pivotButton="0" quotePrefix="1" xfId="7">
      <alignment horizontal="center" vertical="center" wrapText="1"/>
    </xf>
    <xf numFmtId="0" fontId="96" fillId="13" borderId="70" applyAlignment="1" applyProtection="1" pivotButton="0" quotePrefix="0" xfId="7">
      <alignment horizontal="left" vertical="center"/>
      <protection locked="0" hidden="0"/>
    </xf>
    <xf numFmtId="166"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centerContinuous" vertical="center"/>
      <protection locked="0" hidden="0"/>
    </xf>
    <xf numFmtId="167" fontId="96" fillId="0" borderId="70" applyAlignment="1" applyProtection="1" pivotButton="0" quotePrefix="0" xfId="7">
      <alignment horizontal="right" vertical="center"/>
      <protection locked="0" hidden="0"/>
    </xf>
    <xf numFmtId="37" fontId="96" fillId="13" borderId="70" applyAlignment="1" applyProtection="1" pivotButton="0" quotePrefix="0" xfId="7">
      <alignment horizontal="right" vertical="center"/>
      <protection locked="0" hidden="0"/>
    </xf>
    <xf numFmtId="169" fontId="142" fillId="11" borderId="70" applyAlignment="1" applyProtection="1" pivotButton="0" quotePrefix="0" xfId="7">
      <alignment horizontal="right" vertical="center"/>
      <protection locked="0" hidden="0"/>
    </xf>
    <xf numFmtId="1" fontId="96" fillId="13" borderId="70" applyAlignment="1" applyProtection="1" pivotButton="0" quotePrefix="1" xfId="7">
      <alignment horizontal="left" vertical="center"/>
      <protection locked="0" hidden="0"/>
    </xf>
    <xf numFmtId="2" fontId="96" fillId="13" borderId="70" applyAlignment="1" applyProtection="1" pivotButton="0" quotePrefix="0" xfId="7">
      <alignment horizontal="right" vertical="center"/>
      <protection locked="0" hidden="0"/>
    </xf>
    <xf numFmtId="17" fontId="96" fillId="13" borderId="70" applyAlignment="1" applyProtection="1" pivotButton="0" quotePrefix="0" xfId="7">
      <alignment horizontal="left" vertical="center"/>
      <protection locked="0" hidden="0"/>
    </xf>
    <xf numFmtId="167" fontId="96" fillId="13" borderId="70" applyAlignment="1" applyProtection="1" pivotButton="0" quotePrefix="0" xfId="7">
      <alignment horizontal="right" vertical="center"/>
      <protection locked="0" hidden="0"/>
    </xf>
    <xf numFmtId="176" fontId="142" fillId="11" borderId="70" applyAlignment="1" applyProtection="1" pivotButton="0" quotePrefix="0" xfId="7">
      <alignment horizontal="right" vertical="center"/>
      <protection locked="0" hidden="0"/>
    </xf>
    <xf numFmtId="169" fontId="96" fillId="13" borderId="70" applyAlignment="1" pivotButton="0" quotePrefix="0" xfId="7">
      <alignment horizontal="left" vertical="center"/>
    </xf>
    <xf numFmtId="0" fontId="138" fillId="13" borderId="70" applyAlignment="1" pivotButton="0" quotePrefix="1" xfId="7">
      <alignment horizontal="left" vertical="center"/>
    </xf>
    <xf numFmtId="0" fontId="96" fillId="0" borderId="70" applyAlignment="1" pivotButton="0" quotePrefix="0" xfId="7">
      <alignment horizontal="left" vertical="center"/>
    </xf>
    <xf numFmtId="166" fontId="96" fillId="0" borderId="70" applyAlignment="1" pivotButton="0" quotePrefix="0" xfId="7">
      <alignment horizontal="right" vertical="center"/>
    </xf>
    <xf numFmtId="0" fontId="96" fillId="0" borderId="70" applyAlignment="1" pivotButton="0" quotePrefix="0" xfId="7">
      <alignment horizontal="right" vertical="center"/>
    </xf>
    <xf numFmtId="9" fontId="96" fillId="13" borderId="70" applyAlignment="1" pivotButton="0" quotePrefix="0" xfId="7">
      <alignment horizontal="right" vertical="center"/>
    </xf>
    <xf numFmtId="0" fontId="96" fillId="13" borderId="70" applyAlignment="1" pivotButton="0" quotePrefix="0" xfId="7">
      <alignment horizontal="right" vertical="center"/>
    </xf>
    <xf numFmtId="167" fontId="96" fillId="0" borderId="70" applyAlignment="1" pivotButton="0" quotePrefix="0" xfId="7">
      <alignment horizontal="right" vertical="center"/>
    </xf>
    <xf numFmtId="37" fontId="96" fillId="0" borderId="70" applyAlignment="1" pivotButton="0" quotePrefix="0" xfId="7">
      <alignment horizontal="right" vertical="center"/>
    </xf>
    <xf numFmtId="0" fontId="96" fillId="0" borderId="70" applyAlignment="1" pivotButton="0" quotePrefix="1" xfId="7">
      <alignment horizontal="right" vertical="center"/>
    </xf>
    <xf numFmtId="169" fontId="142" fillId="11" borderId="70" applyAlignment="1" pivotButton="0" quotePrefix="0" xfId="7">
      <alignment horizontal="right" vertical="center"/>
    </xf>
    <xf numFmtId="166" fontId="96" fillId="13" borderId="70" applyAlignment="1" pivotButton="0" quotePrefix="0" xfId="7">
      <alignment horizontal="right" vertical="center"/>
    </xf>
    <xf numFmtId="0" fontId="96" fillId="0" borderId="70" applyAlignment="1" pivotButton="0" quotePrefix="1" xfId="7">
      <alignment horizontal="left" vertical="center"/>
    </xf>
    <xf numFmtId="172" fontId="96" fillId="0" borderId="70" applyAlignment="1" pivotButton="0" quotePrefix="0" xfId="7">
      <alignment horizontal="left" vertical="center"/>
    </xf>
    <xf numFmtId="170" fontId="96" fillId="13" borderId="70" applyAlignment="1" pivotButton="0" quotePrefix="0" xfId="7">
      <alignment horizontal="right" vertical="center"/>
    </xf>
    <xf numFmtId="176" fontId="142" fillId="11" borderId="70" applyAlignment="1" pivotButton="0" quotePrefix="0" xfId="7">
      <alignment horizontal="right" vertical="center"/>
    </xf>
    <xf numFmtId="0" fontId="96" fillId="48" borderId="70" applyAlignment="1" pivotButton="0" quotePrefix="0" xfId="7">
      <alignment horizontal="left" vertical="center"/>
    </xf>
    <xf numFmtId="166" fontId="96" fillId="48" borderId="70" applyAlignment="1" pivotButton="0" quotePrefix="0" xfId="7">
      <alignment horizontal="right" vertical="center"/>
    </xf>
    <xf numFmtId="0" fontId="96" fillId="48" borderId="70" applyAlignment="1" pivotButton="0" quotePrefix="0" xfId="7">
      <alignment horizontal="right" vertical="center"/>
    </xf>
    <xf numFmtId="10" fontId="96" fillId="13" borderId="70" applyAlignment="1" pivotButton="0" quotePrefix="0" xfId="7">
      <alignment horizontal="right" vertical="center"/>
    </xf>
    <xf numFmtId="167" fontId="96" fillId="48" borderId="70" applyAlignment="1" pivotButton="0" quotePrefix="0" xfId="7">
      <alignment horizontal="right" vertical="center"/>
    </xf>
    <xf numFmtId="37" fontId="96" fillId="48" borderId="70" applyAlignment="1" pivotButton="0" quotePrefix="0" xfId="7">
      <alignment horizontal="right" vertical="center"/>
    </xf>
    <xf numFmtId="0" fontId="96" fillId="48" borderId="70" applyAlignment="1" pivotButton="0" quotePrefix="1" xfId="7">
      <alignment horizontal="left" vertical="center"/>
    </xf>
    <xf numFmtId="172" fontId="96" fillId="48" borderId="70" applyAlignment="1" pivotButton="0" quotePrefix="0" xfId="7">
      <alignment horizontal="left" vertical="center"/>
    </xf>
    <xf numFmtId="0" fontId="136" fillId="45" borderId="0" applyAlignment="1" pivotButton="0" quotePrefix="0" xfId="8">
      <alignment horizontal="left" vertical="center"/>
    </xf>
    <xf numFmtId="0" fontId="140" fillId="46" borderId="0" applyAlignment="1" pivotButton="0" quotePrefix="0" xfId="8">
      <alignment horizontal="left" vertical="center"/>
    </xf>
    <xf numFmtId="0" fontId="141" fillId="47" borderId="70" applyAlignment="1" pivotButton="0" quotePrefix="0" xfId="8">
      <alignment horizontal="center" vertical="center" wrapText="1"/>
    </xf>
    <xf numFmtId="0" fontId="141" fillId="47" borderId="70" applyAlignment="1" pivotButton="0" quotePrefix="1" xfId="8">
      <alignment horizontal="center" vertical="center" wrapText="1"/>
    </xf>
    <xf numFmtId="0" fontId="96" fillId="0" borderId="70" applyAlignment="1" applyProtection="1" pivotButton="0" quotePrefix="0" xfId="8">
      <alignment horizontal="left" vertical="center"/>
      <protection locked="0" hidden="0"/>
    </xf>
    <xf numFmtId="169" fontId="96" fillId="13" borderId="70" applyAlignment="1" pivotButton="0" quotePrefix="0" xfId="8">
      <alignment horizontal="right" vertical="center"/>
    </xf>
    <xf numFmtId="0" fontId="96" fillId="0" borderId="70" applyAlignment="1" applyProtection="1" pivotButton="0" quotePrefix="0" xfId="8">
      <alignment horizontal="right" vertical="center"/>
      <protection locked="0" hidden="0"/>
    </xf>
    <xf numFmtId="0" fontId="96" fillId="13" borderId="70" applyAlignment="1" applyProtection="1" pivotButton="0" quotePrefix="0" xfId="8">
      <alignment horizontal="right" vertical="center"/>
      <protection locked="0" hidden="0"/>
    </xf>
    <xf numFmtId="0" fontId="96" fillId="13" borderId="70" applyAlignment="1" applyProtection="1" pivotButton="0" quotePrefix="0" xfId="8">
      <alignment horizontal="centerContinuous" vertical="center"/>
      <protection locked="0" hidden="0"/>
    </xf>
    <xf numFmtId="49" fontId="96" fillId="0" borderId="70" applyAlignment="1" applyProtection="1" pivotButton="0" quotePrefix="0" xfId="8">
      <alignment horizontal="left" vertical="center"/>
      <protection locked="0" hidden="0"/>
    </xf>
    <xf numFmtId="170" fontId="96" fillId="13" borderId="70" applyAlignment="1" pivotButton="0" quotePrefix="0" xfId="8">
      <alignment horizontal="right" vertical="center"/>
    </xf>
    <xf numFmtId="3" fontId="96" fillId="0" borderId="70" applyAlignment="1" applyProtection="1" pivotButton="0" quotePrefix="0" xfId="8">
      <alignment horizontal="right" vertical="center"/>
      <protection locked="0" hidden="0"/>
    </xf>
    <xf numFmtId="0" fontId="96" fillId="0" borderId="70" applyAlignment="1" pivotButton="0" quotePrefix="0" xfId="8">
      <alignment horizontal="right" vertical="center"/>
    </xf>
    <xf numFmtId="0" fontId="138" fillId="13" borderId="70" applyAlignment="1" pivotButton="0" quotePrefix="1" xfId="8">
      <alignment horizontal="left" vertical="center"/>
    </xf>
    <xf numFmtId="0" fontId="96" fillId="13" borderId="70" applyAlignment="1" pivotButton="0" quotePrefix="0" xfId="8">
      <alignment horizontal="left" vertical="center"/>
    </xf>
    <xf numFmtId="169" fontId="96" fillId="0" borderId="70" applyAlignment="1" pivotButton="0" quotePrefix="0" xfId="8">
      <alignment horizontal="right" vertical="center"/>
    </xf>
    <xf numFmtId="0" fontId="96" fillId="13" borderId="70" applyAlignment="1" pivotButton="0" quotePrefix="0" xfId="8">
      <alignment horizontal="right" vertical="center"/>
    </xf>
    <xf numFmtId="9" fontId="96" fillId="0" borderId="70" applyAlignment="1" pivotButton="0" quotePrefix="0" xfId="8">
      <alignment horizontal="right" vertical="center"/>
    </xf>
    <xf numFmtId="0" fontId="96" fillId="0" borderId="70" applyAlignment="1" pivotButton="0" quotePrefix="0" xfId="8">
      <alignment horizontal="left" vertical="center"/>
    </xf>
    <xf numFmtId="170" fontId="96" fillId="13" borderId="70" applyAlignment="1" applyProtection="1" pivotButton="0" quotePrefix="0" xfId="8">
      <alignment horizontal="right" vertical="center"/>
      <protection locked="0" hidden="0"/>
    </xf>
    <xf numFmtId="169" fontId="142" fillId="11" borderId="70" applyAlignment="1" pivotButton="0" quotePrefix="0" xfId="8">
      <alignment horizontal="left" vertical="center"/>
    </xf>
    <xf numFmtId="169" fontId="96" fillId="48" borderId="70" applyAlignment="1" pivotButton="0" quotePrefix="0" xfId="8">
      <alignment horizontal="right" vertical="center"/>
    </xf>
    <xf numFmtId="9" fontId="96" fillId="48" borderId="70" applyAlignment="1" pivotButton="0" quotePrefix="0" xfId="8">
      <alignment horizontal="right" vertical="center"/>
    </xf>
    <xf numFmtId="0" fontId="96" fillId="48" borderId="70" applyAlignment="1" pivotButton="0" quotePrefix="0" xfId="8">
      <alignment horizontal="left" vertical="center"/>
    </xf>
    <xf numFmtId="0" fontId="141" fillId="47" borderId="70" applyAlignment="1" pivotButton="0" quotePrefix="1" xfId="6">
      <alignment horizontal="center" vertical="center" wrapText="1"/>
    </xf>
    <xf numFmtId="0" fontId="138" fillId="0" borderId="0" pivotButton="0" quotePrefix="0" xfId="6"/>
    <xf numFmtId="176" fontId="96" fillId="13" borderId="70" applyAlignment="1" applyProtection="1" pivotButton="0" quotePrefix="0" xfId="6">
      <alignment horizontal="right" vertical="center"/>
      <protection locked="0" hidden="0"/>
    </xf>
    <xf numFmtId="0" fontId="96" fillId="13" borderId="70" applyAlignment="1" applyProtection="1" pivotButton="0" quotePrefix="0" xfId="0">
      <alignment horizontal="left" vertical="center"/>
      <protection locked="0" hidden="0"/>
    </xf>
    <xf numFmtId="166" fontId="96" fillId="13" borderId="70" applyAlignment="1" pivotButton="0" quotePrefix="0" xfId="6">
      <alignment horizontal="left" vertical="center"/>
    </xf>
    <xf numFmtId="166" fontId="142" fillId="11" borderId="70" applyAlignment="1" pivotButton="0" quotePrefix="0" xfId="6">
      <alignment horizontal="left" vertical="center"/>
    </xf>
    <xf numFmtId="0" fontId="142" fillId="11" borderId="70" applyAlignment="1" pivotButton="0" quotePrefix="0" xfId="0">
      <alignment horizontal="left" vertical="center"/>
    </xf>
    <xf numFmtId="0" fontId="138" fillId="0" borderId="0" applyAlignment="1" pivotButton="0" quotePrefix="1" xfId="6">
      <alignment horizontal="left"/>
    </xf>
    <xf numFmtId="176" fontId="96" fillId="0" borderId="70" applyAlignment="1" pivotButton="0" quotePrefix="0" xfId="6">
      <alignment horizontal="right" vertical="center"/>
    </xf>
    <xf numFmtId="166" fontId="96" fillId="0" borderId="70" applyAlignment="1" pivotButton="0" quotePrefix="0" xfId="6">
      <alignment horizontal="right" vertical="center"/>
    </xf>
    <xf numFmtId="0" fontId="31" fillId="0" borderId="79" pivotButton="0" quotePrefix="0" xfId="6"/>
    <xf numFmtId="0" fontId="33" fillId="0" borderId="79" pivotButton="0" quotePrefix="0" xfId="6"/>
    <xf numFmtId="0" fontId="0" fillId="0" borderId="79" pivotButton="0" quotePrefix="0" xfId="0"/>
    <xf numFmtId="0" fontId="138" fillId="0" borderId="46" pivotButton="0" quotePrefix="0" xfId="6"/>
    <xf numFmtId="0" fontId="138" fillId="0" borderId="45" pivotButton="0" quotePrefix="0" xfId="6"/>
    <xf numFmtId="0" fontId="140" fillId="46" borderId="50" applyAlignment="1" pivotButton="0" quotePrefix="0" xfId="6">
      <alignment horizontal="left" vertical="center"/>
    </xf>
    <xf numFmtId="0" fontId="140" fillId="46" borderId="13" applyAlignment="1" pivotButton="0" quotePrefix="0" xfId="6">
      <alignment horizontal="left" vertical="center"/>
    </xf>
    <xf numFmtId="0" fontId="140" fillId="46" borderId="13" applyAlignment="1" pivotButton="0" quotePrefix="1" xfId="6">
      <alignment horizontal="left" vertical="center"/>
    </xf>
    <xf numFmtId="0" fontId="140" fillId="46" borderId="14" applyAlignment="1" pivotButton="0" quotePrefix="1" xfId="6">
      <alignment horizontal="left" vertical="center"/>
    </xf>
    <xf numFmtId="0" fontId="141" fillId="47" borderId="70" applyAlignment="1" pivotButton="0" quotePrefix="0" xfId="6">
      <alignment horizontal="center" vertical="center" wrapText="1"/>
    </xf>
    <xf numFmtId="0" fontId="138" fillId="13" borderId="70" applyAlignment="1" pivotButton="0" quotePrefix="0" xfId="6">
      <alignment horizontal="left" vertical="center"/>
    </xf>
    <xf numFmtId="0" fontId="96" fillId="13" borderId="70" applyAlignment="1" pivotButton="0" quotePrefix="0" xfId="6">
      <alignment horizontal="left" vertical="center"/>
    </xf>
    <xf numFmtId="0" fontId="96" fillId="13" borderId="70" applyAlignment="1" pivotButton="0" quotePrefix="0" xfId="6">
      <alignment horizontal="center" vertical="center"/>
    </xf>
    <xf numFmtId="0" fontId="96" fillId="13" borderId="70" applyAlignment="1" pivotButton="0" quotePrefix="1" xfId="6">
      <alignment horizontal="right" vertical="center"/>
    </xf>
    <xf numFmtId="0" fontId="96" fillId="13" borderId="70" applyAlignment="1" applyProtection="1" pivotButton="0" quotePrefix="0" xfId="6">
      <alignment horizontal="left" vertical="center"/>
      <protection locked="0" hidden="0"/>
    </xf>
    <xf numFmtId="0" fontId="96" fillId="13" borderId="70" applyAlignment="1" applyProtection="1" pivotButton="0" quotePrefix="0" xfId="6">
      <alignment horizontal="center" vertical="center"/>
      <protection locked="0" hidden="0"/>
    </xf>
    <xf numFmtId="37" fontId="96" fillId="13" borderId="70" applyAlignment="1" applyProtection="1" pivotButton="0" quotePrefix="0" xfId="6">
      <alignment horizontal="left" vertical="center"/>
      <protection locked="0" hidden="0"/>
    </xf>
    <xf numFmtId="167" fontId="96" fillId="13" borderId="70" applyAlignment="1" pivotButton="0" quotePrefix="0" xfId="6">
      <alignment horizontal="left" vertical="center"/>
    </xf>
    <xf numFmtId="9" fontId="96" fillId="13" borderId="70" applyAlignment="1" applyProtection="1" pivotButton="0" quotePrefix="0" xfId="6">
      <alignment horizontal="left" vertical="center"/>
      <protection locked="0" hidden="0"/>
    </xf>
    <xf numFmtId="0" fontId="96" fillId="0" borderId="70" applyAlignment="1" pivotButton="0" quotePrefix="0" xfId="6">
      <alignment horizontal="left" vertical="center"/>
    </xf>
    <xf numFmtId="0" fontId="96" fillId="0" borderId="70" applyAlignment="1" pivotButton="0" quotePrefix="0" xfId="6">
      <alignment horizontal="center" vertical="center"/>
    </xf>
    <xf numFmtId="37" fontId="96" fillId="0" borderId="70" applyAlignment="1" pivotButton="0" quotePrefix="0" xfId="6">
      <alignment horizontal="left" vertical="center"/>
    </xf>
    <xf numFmtId="37" fontId="96" fillId="13" borderId="70" applyAlignment="1" pivotButton="0" quotePrefix="0" xfId="6">
      <alignment horizontal="left" vertical="center"/>
    </xf>
    <xf numFmtId="167" fontId="96" fillId="0" borderId="70" applyAlignment="1" pivotButton="0" quotePrefix="0" xfId="6">
      <alignment horizontal="left" vertical="center"/>
    </xf>
    <xf numFmtId="9" fontId="96" fillId="0" borderId="70" applyAlignment="1" pivotButton="0" quotePrefix="0" xfId="6">
      <alignment horizontal="left" vertical="center"/>
    </xf>
    <xf numFmtId="0" fontId="96" fillId="48" borderId="70" applyAlignment="1" pivotButton="0" quotePrefix="0" xfId="6">
      <alignment horizontal="left" vertical="center"/>
    </xf>
    <xf numFmtId="0" fontId="96" fillId="48" borderId="70" applyAlignment="1" pivotButton="0" quotePrefix="0" xfId="6">
      <alignment horizontal="center" vertical="center"/>
    </xf>
    <xf numFmtId="37" fontId="96" fillId="48" borderId="70" applyAlignment="1" pivotButton="0" quotePrefix="0" xfId="6">
      <alignment horizontal="left" vertical="center"/>
    </xf>
    <xf numFmtId="167" fontId="96" fillId="48" borderId="70" applyAlignment="1" pivotButton="0" quotePrefix="0" xfId="6">
      <alignment horizontal="left" vertical="center"/>
    </xf>
    <xf numFmtId="9" fontId="96" fillId="48" borderId="70" applyAlignment="1" pivotButton="0" quotePrefix="0" xfId="6">
      <alignment horizontal="left" vertical="center"/>
    </xf>
    <xf numFmtId="0" fontId="140" fillId="46" borderId="14" applyAlignment="1" pivotButton="0" quotePrefix="0" xfId="6">
      <alignment horizontal="left" vertical="center"/>
    </xf>
    <xf numFmtId="169" fontId="96" fillId="0" borderId="70" applyAlignment="1" pivotButton="0" quotePrefix="0" xfId="6">
      <alignment horizontal="left" vertical="center"/>
    </xf>
    <xf numFmtId="172" fontId="96" fillId="0" borderId="70" applyAlignment="1" pivotButton="0" quotePrefix="0" xfId="6">
      <alignment horizontal="right" vertical="center"/>
    </xf>
    <xf numFmtId="166" fontId="96" fillId="0" borderId="70" applyAlignment="1" pivotButton="0" quotePrefix="0" xfId="6">
      <alignment horizontal="left" vertical="center"/>
    </xf>
    <xf numFmtId="172" fontId="96" fillId="48" borderId="70" applyAlignment="1" pivotButton="0" quotePrefix="0" xfId="6">
      <alignment horizontal="right" vertical="center"/>
    </xf>
    <xf numFmtId="166" fontId="96" fillId="48" borderId="70" applyAlignment="1" pivotButton="0" quotePrefix="0" xfId="6">
      <alignment horizontal="left" vertical="center"/>
    </xf>
    <xf numFmtId="0" fontId="136" fillId="45" borderId="0" applyAlignment="1" pivotButton="0" quotePrefix="0" xfId="9">
      <alignment horizontal="left" vertical="center"/>
    </xf>
    <xf numFmtId="0" fontId="138" fillId="0" borderId="0" pivotButton="0" quotePrefix="0" xfId="9"/>
    <xf numFmtId="0" fontId="96" fillId="13" borderId="70" applyAlignment="1" pivotButton="0" quotePrefix="0" xfId="9">
      <alignment horizontal="left"/>
    </xf>
    <xf numFmtId="0" fontId="96" fillId="13" borderId="70" pivotButton="0" quotePrefix="0" xfId="9"/>
    <xf numFmtId="0" fontId="138" fillId="0" borderId="0" applyAlignment="1" pivotButton="0" quotePrefix="1" xfId="9">
      <alignment horizontal="left"/>
    </xf>
    <xf numFmtId="0" fontId="96" fillId="13" borderId="71" applyAlignment="1" pivotButton="0" quotePrefix="0" xfId="9">
      <alignment horizontal="left" vertical="top" wrapText="1"/>
    </xf>
    <xf numFmtId="0" fontId="0" fillId="13" borderId="72" pivotButton="0" quotePrefix="0" xfId="0"/>
    <xf numFmtId="0" fontId="0" fillId="13" borderId="73" pivotButton="0" quotePrefix="0" xfId="0"/>
    <xf numFmtId="0" fontId="0" fillId="13" borderId="74" pivotButton="0" quotePrefix="0" xfId="0"/>
    <xf numFmtId="0" fontId="0" fillId="13" borderId="70" pivotButton="0" quotePrefix="0" xfId="0"/>
    <xf numFmtId="0" fontId="0" fillId="13" borderId="75" pivotButton="0" quotePrefix="0" xfId="0"/>
    <xf numFmtId="0" fontId="0" fillId="13" borderId="76" pivotButton="0" quotePrefix="0" xfId="0"/>
    <xf numFmtId="0" fontId="0" fillId="13" borderId="77" pivotButton="0" quotePrefix="0" xfId="0"/>
    <xf numFmtId="0" fontId="0" fillId="13" borderId="78" pivotButton="0" quotePrefix="0" xfId="0"/>
    <xf numFmtId="0" fontId="140" fillId="46" borderId="50" applyAlignment="1" pivotButton="0" quotePrefix="0" xfId="9">
      <alignment horizontal="left" vertical="center"/>
    </xf>
    <xf numFmtId="0" fontId="140" fillId="46" borderId="13" applyAlignment="1" pivotButton="0" quotePrefix="0" xfId="9">
      <alignment horizontal="left" vertical="center"/>
    </xf>
    <xf numFmtId="0" fontId="140" fillId="46" borderId="13" applyAlignment="1" pivotButton="0" quotePrefix="1" xfId="9">
      <alignment horizontal="left" vertical="center"/>
    </xf>
    <xf numFmtId="0" fontId="140" fillId="46" borderId="14" applyAlignment="1" pivotButton="0" quotePrefix="1" xfId="9">
      <alignment horizontal="left" vertical="center"/>
    </xf>
    <xf numFmtId="0" fontId="141" fillId="47" borderId="70" applyAlignment="1" pivotButton="0" quotePrefix="0" xfId="9">
      <alignment horizontal="center" vertical="center" wrapText="1"/>
    </xf>
    <xf numFmtId="0" fontId="141" fillId="47" borderId="70" applyAlignment="1" pivotButton="0" quotePrefix="1" xfId="9">
      <alignment horizontal="center" vertical="center" wrapText="1"/>
    </xf>
    <xf numFmtId="0" fontId="138" fillId="13" borderId="70" applyAlignment="1" pivotButton="0" quotePrefix="0" xfId="9">
      <alignment horizontal="left" vertical="center"/>
    </xf>
    <xf numFmtId="0" fontId="96" fillId="13" borderId="70" applyAlignment="1" pivotButton="0" quotePrefix="0" xfId="9">
      <alignment horizontal="left" vertical="center"/>
    </xf>
    <xf numFmtId="0" fontId="96" fillId="13" borderId="70" applyAlignment="1" pivotButton="0" quotePrefix="0" xfId="9">
      <alignment horizontal="center" vertical="center"/>
    </xf>
    <xf numFmtId="0" fontId="96" fillId="13" borderId="70" applyAlignment="1" pivotButton="0" quotePrefix="1" xfId="9">
      <alignment horizontal="right" vertical="center"/>
    </xf>
    <xf numFmtId="0" fontId="96" fillId="0" borderId="70" applyAlignment="1" applyProtection="1" pivotButton="0" quotePrefix="0" xfId="9">
      <alignment horizontal="center" vertical="center"/>
      <protection locked="0" hidden="0"/>
    </xf>
    <xf numFmtId="0" fontId="96" fillId="13" borderId="70" applyAlignment="1" applyProtection="1" pivotButton="0" quotePrefix="0" xfId="9">
      <alignment horizontal="left" vertical="center"/>
      <protection locked="0" hidden="0"/>
    </xf>
    <xf numFmtId="166" fontId="96" fillId="13" borderId="70" applyAlignment="1" pivotButton="0" quotePrefix="0" xfId="9">
      <alignment horizontal="left" vertical="center"/>
    </xf>
    <xf numFmtId="0" fontId="96" fillId="13" borderId="70" applyAlignment="1" applyProtection="1" pivotButton="0" quotePrefix="0" xfId="9">
      <alignment horizontal="center" vertical="center"/>
      <protection locked="0" hidden="0"/>
    </xf>
    <xf numFmtId="37" fontId="96" fillId="13" borderId="70" applyAlignment="1" applyProtection="1" pivotButton="0" quotePrefix="0" xfId="9">
      <alignment horizontal="left" vertical="center"/>
      <protection locked="0" hidden="0"/>
    </xf>
    <xf numFmtId="9" fontId="96" fillId="13" borderId="70" applyAlignment="1" applyProtection="1" pivotButton="0" quotePrefix="0" xfId="9">
      <alignment horizontal="left" vertical="center"/>
      <protection locked="0" hidden="0"/>
    </xf>
    <xf numFmtId="0" fontId="140" fillId="46" borderId="14" applyAlignment="1" pivotButton="0" quotePrefix="0" xfId="9">
      <alignment horizontal="left" vertical="center"/>
    </xf>
    <xf numFmtId="0" fontId="96" fillId="0" borderId="70" applyAlignment="1" applyProtection="1" pivotButton="0" quotePrefix="0" xfId="9">
      <alignment horizontal="left" vertical="center"/>
      <protection locked="0" hidden="0"/>
    </xf>
    <xf numFmtId="0" fontId="96" fillId="0" borderId="70" applyAlignment="1" pivotButton="0" quotePrefix="0" xfId="9">
      <alignment horizontal="left" vertical="center"/>
    </xf>
    <xf numFmtId="0" fontId="96" fillId="0" borderId="70" applyAlignment="1" pivotButton="0" quotePrefix="0" xfId="9">
      <alignment horizontal="center" vertical="center"/>
    </xf>
    <xf numFmtId="37" fontId="96" fillId="0" borderId="70" applyAlignment="1" pivotButton="0" quotePrefix="0" xfId="9">
      <alignment horizontal="left" vertical="center"/>
    </xf>
    <xf numFmtId="167" fontId="96" fillId="13" borderId="70" applyAlignment="1" pivotButton="0" quotePrefix="0" xfId="9">
      <alignment horizontal="left" vertical="center"/>
    </xf>
    <xf numFmtId="167" fontId="96" fillId="0" borderId="70" applyAlignment="1" pivotButton="0" quotePrefix="0" xfId="9">
      <alignment horizontal="left" vertical="center"/>
    </xf>
    <xf numFmtId="172" fontId="96" fillId="0" borderId="70" applyAlignment="1" pivotButton="0" quotePrefix="0" xfId="9">
      <alignment horizontal="right" vertical="center"/>
    </xf>
    <xf numFmtId="166" fontId="96" fillId="0" borderId="70" applyAlignment="1" pivotButton="0" quotePrefix="0" xfId="9">
      <alignment horizontal="left" vertical="center"/>
    </xf>
    <xf numFmtId="0" fontId="96" fillId="48" borderId="70" applyAlignment="1" pivotButton="0" quotePrefix="0" xfId="9">
      <alignment horizontal="left" vertical="center"/>
    </xf>
    <xf numFmtId="0" fontId="96" fillId="48" borderId="70" applyAlignment="1" pivotButton="0" quotePrefix="0" xfId="9">
      <alignment horizontal="center" vertical="center"/>
    </xf>
    <xf numFmtId="37" fontId="96" fillId="48" borderId="70" applyAlignment="1" pivotButton="0" quotePrefix="0" xfId="9">
      <alignment horizontal="left" vertical="center"/>
    </xf>
    <xf numFmtId="172" fontId="96" fillId="48" borderId="70" applyAlignment="1" pivotButton="0" quotePrefix="0" xfId="9">
      <alignment horizontal="right" vertical="center"/>
    </xf>
    <xf numFmtId="166" fontId="96" fillId="48" borderId="70" applyAlignment="1" pivotButton="0" quotePrefix="0" xfId="9">
      <alignment horizontal="left" vertical="center"/>
    </xf>
    <xf numFmtId="167" fontId="96" fillId="48" borderId="70" applyAlignment="1" pivotButton="0" quotePrefix="0" xfId="9">
      <alignment horizontal="left" vertical="center"/>
    </xf>
    <xf numFmtId="0" fontId="140" fillId="46" borderId="0" applyAlignment="1" pivotButton="0" quotePrefix="1" xfId="9">
      <alignment horizontal="left" vertical="center"/>
    </xf>
    <xf numFmtId="176" fontId="96" fillId="13" borderId="70" applyAlignment="1" pivotButton="0" quotePrefix="0" xfId="9">
      <alignment horizontal="right"/>
    </xf>
    <xf numFmtId="0" fontId="96" fillId="13" borderId="70" pivotButton="0" quotePrefix="0" xfId="0"/>
    <xf numFmtId="0" fontId="143" fillId="0" borderId="0" pivotButton="0" quotePrefix="0" xfId="9"/>
    <xf numFmtId="0" fontId="143" fillId="0" borderId="0" pivotButton="0" quotePrefix="0" xfId="0"/>
    <xf numFmtId="0" fontId="0" fillId="0" borderId="69" pivotButton="0" quotePrefix="0" xfId="0"/>
    <xf numFmtId="0" fontId="0" fillId="0" borderId="80" applyProtection="1" pivotButton="0" quotePrefix="0" xfId="0">
      <protection locked="0" hidden="0"/>
    </xf>
    <xf numFmtId="0" fontId="0" fillId="0" borderId="82" applyProtection="1" pivotButton="0" quotePrefix="0" xfId="0">
      <protection locked="0" hidden="0"/>
    </xf>
    <xf numFmtId="0" fontId="0" fillId="0" borderId="81" applyProtection="1" pivotButton="0" quotePrefix="0" xfId="0">
      <protection locked="0" hidden="0"/>
    </xf>
    <xf numFmtId="0" fontId="0" fillId="0" borderId="83" applyProtection="1" pivotButton="0" quotePrefix="0" xfId="0">
      <protection locked="0" hidden="0"/>
    </xf>
    <xf numFmtId="0" fontId="0" fillId="0" borderId="84" applyProtection="1" pivotButton="0" quotePrefix="0" xfId="0">
      <protection locked="0" hidden="0"/>
    </xf>
    <xf numFmtId="0" fontId="0" fillId="0" borderId="85" applyProtection="1" pivotButton="0" quotePrefix="0" xfId="0">
      <protection locked="0" hidden="0"/>
    </xf>
    <xf numFmtId="0" fontId="0" fillId="0" borderId="86" applyProtection="1" pivotButton="0" quotePrefix="0" xfId="0">
      <protection locked="0" hidden="0"/>
    </xf>
    <xf numFmtId="0" fontId="0" fillId="0" borderId="88" pivotButton="0" quotePrefix="0" xfId="0"/>
    <xf numFmtId="0" fontId="0" fillId="0" borderId="89" pivotButton="0" quotePrefix="0" xfId="0"/>
    <xf numFmtId="0" fontId="136" fillId="45" borderId="0" pivotButton="0" quotePrefix="0" xfId="0"/>
    <xf numFmtId="0" fontId="138" fillId="0" borderId="0" pivotButton="0" quotePrefix="0" xfId="0"/>
    <xf numFmtId="0" fontId="0" fillId="0" borderId="70" pivotButton="0" quotePrefix="0" xfId="0"/>
    <xf numFmtId="0" fontId="96" fillId="0" borderId="70" pivotButton="0" quotePrefix="0" xfId="0"/>
    <xf numFmtId="0" fontId="96" fillId="13" borderId="71" applyAlignment="1" pivotButton="0" quotePrefix="0" xfId="0">
      <alignment horizontal="left" vertical="top" wrapText="1"/>
    </xf>
    <xf numFmtId="0" fontId="0" fillId="0" borderId="80" pivotButton="0" quotePrefix="0" xfId="0"/>
    <xf numFmtId="0" fontId="0" fillId="0" borderId="82" pivotButton="0" quotePrefix="0" xfId="0"/>
    <xf numFmtId="0" fontId="0" fillId="0" borderId="81" pivotButton="0" quotePrefix="0" xfId="0"/>
    <xf numFmtId="0" fontId="0" fillId="0" borderId="83" pivotButton="0" quotePrefix="0" xfId="0"/>
    <xf numFmtId="0" fontId="0" fillId="0" borderId="84" pivotButton="0" quotePrefix="0" xfId="0"/>
    <xf numFmtId="0" fontId="0" fillId="0" borderId="85" pivotButton="0" quotePrefix="0" xfId="0"/>
    <xf numFmtId="0" fontId="0" fillId="0" borderId="86" pivotButton="0" quotePrefix="0" xfId="0"/>
    <xf numFmtId="0" fontId="140" fillId="46" borderId="0" pivotButton="0" quotePrefix="0" xfId="0"/>
    <xf numFmtId="0" fontId="0" fillId="0" borderId="92" pivotButton="0" quotePrefix="0" xfId="0"/>
    <xf numFmtId="0" fontId="0" fillId="0" borderId="93" pivotButton="0" quotePrefix="0" xfId="0"/>
    <xf numFmtId="0" fontId="0" fillId="0" borderId="92" applyProtection="1" pivotButton="0" quotePrefix="0" xfId="0">
      <protection locked="0" hidden="0"/>
    </xf>
    <xf numFmtId="0" fontId="0" fillId="0" borderId="93" applyProtection="1" pivotButton="0" quotePrefix="0" xfId="0">
      <protection locked="0" hidden="0"/>
    </xf>
    <xf numFmtId="3" fontId="96" fillId="13" borderId="70" applyAlignment="1" applyProtection="1" pivotButton="0" quotePrefix="0" xfId="6">
      <alignment horizontal="left" vertical="center"/>
      <protection locked="0" hidden="0"/>
    </xf>
    <xf numFmtId="169" fontId="96" fillId="13" borderId="70" applyAlignment="1" pivotButton="0" quotePrefix="0" xfId="6">
      <alignment horizontal="left" vertical="center"/>
    </xf>
    <xf numFmtId="0" fontId="134" fillId="0" borderId="94"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externalLink" Target="/xl/externalLinks/externalLink1.xml" Id="rId21" /><Relationship Type="http://schemas.openxmlformats.org/officeDocument/2006/relationships/externalLink" Target="/xl/externalLinks/externalLink2.xml" Id="rId22" /><Relationship Type="http://schemas.openxmlformats.org/officeDocument/2006/relationships/externalLink" Target="/xl/externalLinks/externalLink3.xml" Id="rId23" /><Relationship Type="http://schemas.openxmlformats.org/officeDocument/2006/relationships/externalLink" Target="/xl/externalLinks/externalLink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7.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1F4E78"/>
    <outlinePr summaryBelow="1" summaryRight="1"/>
    <pageSetUpPr fitToPage="1"/>
  </sheetPr>
  <dimension ref="A1:O8"/>
  <sheetViews>
    <sheetView showGridLines="0" workbookViewId="0">
      <selection activeCell="C21" sqref="C21"/>
    </sheetView>
  </sheetViews>
  <sheetFormatPr baseColWidth="8" defaultColWidth="9.1640625" defaultRowHeight="14.25"/>
  <cols>
    <col width="16" customWidth="1" style="229" min="1" max="1"/>
    <col width="14" customWidth="1" style="229" min="2" max="2"/>
    <col width="30" customWidth="1" style="229" min="3" max="3"/>
    <col width="9.1640625" customWidth="1" style="229" min="4" max="16384"/>
  </cols>
  <sheetData>
    <row r="1" ht="24" customHeight="1">
      <c r="A1" s="1261" t="inlineStr">
        <is>
          <t>Click on the tab at the bottom to switch between worksheets</t>
        </is>
      </c>
      <c r="B1" s="1262" t="n"/>
      <c r="C1" s="1262" t="n"/>
      <c r="D1" s="1262" t="n"/>
      <c r="E1" s="1262" t="n"/>
      <c r="F1" s="1262" t="n"/>
      <c r="G1" s="1262" t="n"/>
      <c r="H1" s="1262" t="n"/>
      <c r="I1" s="1262" t="n"/>
      <c r="J1" s="1262" t="n"/>
      <c r="K1" s="1262" t="n"/>
      <c r="L1" s="1262" t="n"/>
      <c r="M1" s="1262" t="n"/>
      <c r="N1" s="1262" t="n"/>
      <c r="O1" s="1262" t="n"/>
    </row>
    <row r="2" ht="9" customHeight="1"/>
    <row r="3">
      <c r="A3" s="1263" t="inlineStr">
        <is>
          <t>To print all sheets, click printer icon on toolbar.</t>
        </is>
      </c>
      <c r="B3" s="1264" t="n"/>
      <c r="C3" s="1264" t="n"/>
      <c r="D3" s="1264" t="n"/>
      <c r="E3" s="1264" t="n"/>
      <c r="F3" s="1264" t="n"/>
      <c r="G3" s="1264" t="n"/>
      <c r="H3" s="1264" t="n"/>
      <c r="I3" s="1264" t="n"/>
      <c r="J3" s="1264" t="n"/>
      <c r="K3" s="1264" t="n"/>
      <c r="L3" s="1264" t="n"/>
      <c r="M3" s="1264" t="n"/>
      <c r="N3" s="1264" t="n"/>
      <c r="O3" s="1264" t="n"/>
    </row>
    <row r="4" ht="9.6" customHeight="1"/>
    <row r="5" ht="40.9" customHeight="1">
      <c r="A5" s="1263"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1265" t="n"/>
      <c r="E5" s="1265" t="n"/>
      <c r="F5" s="1265" t="n"/>
      <c r="G5" s="1265" t="n"/>
      <c r="H5" s="1265" t="n"/>
      <c r="I5" s="1265" t="n"/>
      <c r="J5" s="1265" t="n"/>
      <c r="K5" s="1265" t="n"/>
      <c r="L5" s="1265" t="n"/>
      <c r="M5" s="1265" t="n"/>
      <c r="N5" s="1265" t="n"/>
      <c r="O5" s="1265" t="n"/>
    </row>
    <row r="6">
      <c r="A6" s="231" t="n"/>
      <c r="B6" s="231" t="n"/>
      <c r="C6" s="231" t="n"/>
      <c r="D6" s="231" t="n"/>
      <c r="E6" s="231" t="n"/>
      <c r="F6" s="231" t="n"/>
      <c r="G6" s="231" t="n"/>
      <c r="H6" s="231" t="n"/>
      <c r="I6" s="231" t="n"/>
      <c r="J6" s="231" t="n"/>
      <c r="K6" s="231" t="n"/>
      <c r="L6" s="231" t="n"/>
      <c r="M6" s="231" t="n"/>
      <c r="N6" s="231" t="n"/>
      <c r="O6" s="231" t="n"/>
    </row>
    <row r="7">
      <c r="C7" s="1266" t="inlineStr">
        <is>
          <t>Click desired sheet to work.</t>
        </is>
      </c>
      <c r="D7" s="1264" t="n"/>
      <c r="E7" s="1264" t="n"/>
      <c r="F7" s="1264" t="n"/>
      <c r="G7" s="1264" t="n"/>
      <c r="H7" s="1264" t="n"/>
      <c r="I7" s="1264" t="n"/>
      <c r="J7" s="1264" t="n"/>
      <c r="K7" s="1264" t="n"/>
      <c r="L7" s="1264" t="n"/>
      <c r="M7" s="1264" t="n"/>
      <c r="N7" s="1264" t="n"/>
      <c r="O7" s="1264" t="n"/>
    </row>
    <row r="8">
      <c r="A8" s="1267" t="inlineStr">
        <is>
          <t>Appeal Year</t>
        </is>
      </c>
      <c r="B8" s="1268" t="n">
        <v>2025</v>
      </c>
    </row>
  </sheetData>
  <mergeCells count="1">
    <mergeCell ref="A5:C5"/>
  </mergeCells>
  <pageMargins left="0.75" right="0.75" top="1" bottom="1" header="0.5" footer="0.5"/>
  <pageSetup orientation="portrait" fitToHeight="0" fitToWidth="1"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1F4E78"/>
    <outlinePr summaryBelow="1" summaryRight="1"/>
    <pageSetUpPr fitToPage="1"/>
  </sheetPr>
  <dimension ref="A1:Z55"/>
  <sheetViews>
    <sheetView showGridLines="0" workbookViewId="0">
      <pane ySplit="4" topLeftCell="A5" activePane="bottomLeft" state="frozen"/>
      <selection pane="bottomLeft" activeCell="D13" sqref="D13"/>
    </sheetView>
  </sheetViews>
  <sheetFormatPr baseColWidth="8" defaultColWidth="9.6640625" defaultRowHeight="10.5"/>
  <cols>
    <col width="13.5" customWidth="1" min="1" max="1"/>
    <col width="27" customWidth="1" min="2" max="2"/>
    <col width="11" customWidth="1" min="3" max="3"/>
    <col width="13" customWidth="1" min="4" max="4"/>
    <col width="17" customWidth="1" min="5" max="5"/>
    <col width="13.5" customWidth="1" min="6" max="6"/>
    <col width="14" customWidth="1" min="7" max="7"/>
    <col width="16" customWidth="1" min="8" max="8"/>
    <col width="10" customWidth="1" min="9" max="9"/>
    <col hidden="1" width="6" customWidth="1" min="25" max="25"/>
    <col hidden="1" width="13" customWidth="1" min="26" max="26"/>
  </cols>
  <sheetData>
    <row r="1" ht="23.45" customHeight="1">
      <c r="A1" s="5" t="n"/>
      <c r="B1" t="n"/>
      <c r="E1" s="1" t="inlineStr">
        <is>
          <t>y</t>
        </is>
      </c>
    </row>
    <row r="2" ht="24" customHeight="1">
      <c r="A2" s="1261" t="inlineStr">
        <is>
          <t>MARKET SALES &amp; RENT COMPARABLES</t>
        </is>
      </c>
      <c r="B2" s="1261" t="n"/>
      <c r="C2" s="1261" t="n"/>
      <c r="D2" s="1261" t="n"/>
      <c r="E2" s="1261" t="n"/>
      <c r="F2" s="1261" t="n"/>
      <c r="G2" s="1261" t="n"/>
      <c r="H2" s="1261" t="n"/>
    </row>
    <row r="3" ht="16" customHeight="1">
      <c r="A3" s="1269">
        <f>TEXT([0]!Year,"0")&amp;" APPEALS"</f>
        <v/>
      </c>
      <c r="B3" s="1269" t="n"/>
      <c r="C3" s="1269" t="n"/>
      <c r="D3" s="1269" t="n"/>
      <c r="E3" s="1269" t="n"/>
      <c r="F3" s="1269" t="n"/>
      <c r="G3" s="1269" t="n"/>
      <c r="H3" s="1269" t="n"/>
    </row>
    <row r="4" ht="16" customHeight="1">
      <c r="A4" s="1270" t="inlineStr">
        <is>
          <t>PROTEST #</t>
        </is>
      </c>
      <c r="B4" s="1271" t="n"/>
      <c r="C4" s="1272" t="n"/>
      <c r="D4" s="1270" t="n"/>
      <c r="E4" s="1270" t="n"/>
      <c r="F4" s="1270" t="n"/>
      <c r="G4" s="1270" t="n"/>
      <c r="H4" s="1270" t="n"/>
    </row>
    <row r="5" ht="18" customHeight="1">
      <c r="A5" s="60" t="n"/>
      <c r="B5" s="7" t="n"/>
      <c r="C5" s="90" t="n"/>
    </row>
    <row r="6" ht="7.15" customHeight="1" thickBot="1"/>
    <row r="7" ht="17" customHeight="1" thickTop="1">
      <c r="A7" s="1273" t="inlineStr">
        <is>
          <t>SUBJECT  PROPERTY  INFORMATION</t>
        </is>
      </c>
      <c r="B7" s="1274" t="n"/>
      <c r="C7" s="1274" t="n"/>
      <c r="D7" s="1274" t="n"/>
      <c r="E7" s="1274" t="n"/>
      <c r="F7" s="1274" t="n"/>
      <c r="G7" s="1274" t="n"/>
      <c r="H7" s="1275" t="n"/>
      <c r="I7" s="1510" t="n"/>
    </row>
    <row r="8" ht="12" customHeight="1">
      <c r="A8" s="984" t="n"/>
      <c r="B8" s="1276" t="inlineStr">
        <is>
          <t>Account Number</t>
        </is>
      </c>
      <c r="C8" s="1276" t="inlineStr">
        <is>
          <t>Ngbh</t>
        </is>
      </c>
      <c r="D8" s="1276" t="inlineStr">
        <is>
          <t xml:space="preserve">Land Area </t>
        </is>
      </c>
      <c r="E8" s="1276" t="inlineStr">
        <is>
          <t>Quality</t>
        </is>
      </c>
      <c r="F8" s="1276" t="inlineStr">
        <is>
          <t>Rent / Sq Ft</t>
        </is>
      </c>
      <c r="G8" s="1276" t="inlineStr">
        <is>
          <t>Subject Sale Information</t>
        </is>
      </c>
      <c r="H8" s="1277" t="inlineStr">
        <is>
          <t>Parcel Number</t>
        </is>
      </c>
    </row>
    <row r="9" ht="12" customHeight="1">
      <c r="A9" s="12" t="n"/>
      <c r="B9" s="1276" t="inlineStr">
        <is>
          <t>Property Address</t>
        </is>
      </c>
      <c r="C9" s="1276" t="inlineStr">
        <is>
          <t>Zone</t>
        </is>
      </c>
      <c r="D9" s="1276" t="inlineStr">
        <is>
          <t xml:space="preserve">L : B  Ratio </t>
        </is>
      </c>
      <c r="E9" s="1276" t="inlineStr">
        <is>
          <t>Physical Condition</t>
        </is>
      </c>
      <c r="F9" s="1276" t="inlineStr">
        <is>
          <t>Vacancy</t>
        </is>
      </c>
      <c r="G9" s="1276" t="inlineStr">
        <is>
          <t>Last Sale Date</t>
        </is>
      </c>
      <c r="H9" s="1276" t="inlineStr">
        <is>
          <t>Assigned Value / Sq Ft</t>
        </is>
      </c>
    </row>
    <row r="10" ht="12" customHeight="1">
      <c r="A10" s="18" t="n"/>
      <c r="B10" s="1276" t="inlineStr">
        <is>
          <t>Property Type</t>
        </is>
      </c>
      <c r="C10" s="1276" t="inlineStr">
        <is>
          <t>YOC</t>
        </is>
      </c>
      <c r="D10" s="1276" t="inlineStr">
        <is>
          <t xml:space="preserve">Building Area </t>
        </is>
      </c>
      <c r="E10" s="1276" t="inlineStr">
        <is>
          <t>Functional Utility</t>
        </is>
      </c>
      <c r="F10" s="1276" t="inlineStr">
        <is>
          <t>Expense Ratio</t>
        </is>
      </c>
      <c r="G10" s="1276" t="inlineStr">
        <is>
          <t>Last Sale Price</t>
        </is>
      </c>
      <c r="H10" s="1276" t="inlineStr">
        <is>
          <t>Assigned Value</t>
        </is>
      </c>
    </row>
    <row r="11" ht="12" customHeight="1">
      <c r="A11" s="12" t="n"/>
      <c r="B11" s="1278" t="n"/>
      <c r="C11" s="1279" t="n"/>
      <c r="D11" s="1280">
        <f>Subj_SiteSF</f>
        <v/>
      </c>
      <c r="E11" s="1281">
        <f>Subj_Quality</f>
        <v/>
      </c>
      <c r="F11" s="1282" t="n"/>
      <c r="G11" s="1283" t="n"/>
      <c r="H11" s="1282" t="n"/>
    </row>
    <row r="12" ht="12" customHeight="1">
      <c r="A12" s="12" t="n"/>
      <c r="B12" s="1284">
        <f>Subj_Address</f>
        <v/>
      </c>
      <c r="C12" s="1285">
        <f>Subj_Zoning</f>
        <v/>
      </c>
      <c r="D12" s="1286">
        <f>IF(OR(D13="",D13=0),"",ROUND(D11/D13,1)&amp;":1")</f>
        <v/>
      </c>
      <c r="E12" s="1281">
        <f>Subj_Condition</f>
        <v/>
      </c>
      <c r="F12" s="1287" t="n"/>
      <c r="G12" s="1288" t="n"/>
      <c r="H12" s="1289">
        <f>IF(D13=0,0,ROUND(H13/D13,2))</f>
        <v/>
      </c>
    </row>
    <row r="13" ht="12" customHeight="1" thickBot="1">
      <c r="A13" s="23" t="n"/>
      <c r="B13" s="1290">
        <f>IFERROR(INDEX(OCC_TABLE_DESC,MATCH(Subj_OccCode,OCC_TABLE_CODE,0)),"")</f>
        <v/>
      </c>
      <c r="C13" s="1285">
        <f>Subj_YOC</f>
        <v/>
      </c>
      <c r="D13" s="1280">
        <f>Subj_BldgSF</f>
        <v/>
      </c>
      <c r="E13" s="1291" t="n"/>
      <c r="F13" s="1287" t="n"/>
      <c r="G13" s="1292" t="n"/>
      <c r="H13" s="1292" t="n"/>
    </row>
    <row r="14" ht="6" customHeight="1" thickTop="1">
      <c r="C14" s="487" t="n"/>
      <c r="D14" s="487" t="n"/>
      <c r="F14" s="487" t="n"/>
      <c r="G14" s="487" t="n"/>
      <c r="H14" s="487" t="n"/>
    </row>
    <row r="15" ht="6" customHeight="1" thickBot="1">
      <c r="C15" s="487" t="n"/>
      <c r="D15" s="487" t="n"/>
      <c r="F15" s="487" t="n"/>
      <c r="G15" s="487" t="n"/>
      <c r="H15" s="487" t="n"/>
    </row>
    <row r="16" ht="17" customHeight="1" thickTop="1">
      <c r="A16" s="1273" t="inlineStr">
        <is>
          <t>MARKET  SALE  COMPARABLES</t>
        </is>
      </c>
      <c r="B16" s="1274" t="n"/>
      <c r="C16" s="1274" t="n"/>
      <c r="D16" s="1274" t="n"/>
      <c r="E16" s="1274" t="n"/>
      <c r="F16" s="1274" t="n"/>
      <c r="G16" s="1274" t="n"/>
      <c r="H16" s="1275" t="n"/>
      <c r="I16" s="1510" t="n"/>
    </row>
    <row r="17" ht="12" customHeight="1">
      <c r="A17" s="1276" t="n"/>
      <c r="B17" s="1276" t="inlineStr">
        <is>
          <t>Account Number</t>
        </is>
      </c>
      <c r="C17" s="1276" t="inlineStr">
        <is>
          <t>Ngbh</t>
        </is>
      </c>
      <c r="D17" s="1276" t="inlineStr">
        <is>
          <t xml:space="preserve">Land Area </t>
        </is>
      </c>
      <c r="E17" s="1276" t="inlineStr">
        <is>
          <t>Quality</t>
        </is>
      </c>
      <c r="F17" s="1276" t="inlineStr">
        <is>
          <t xml:space="preserve">Sale Date </t>
        </is>
      </c>
      <c r="G17" s="1276" t="inlineStr">
        <is>
          <t>Adj Sale Price / Sq Ft</t>
        </is>
      </c>
      <c r="H17" s="1277" t="inlineStr">
        <is>
          <t>Parcel Number</t>
        </is>
      </c>
      <c r="I17" s="1276" t="inlineStr">
        <is>
          <t>OCC Code</t>
        </is>
      </c>
    </row>
    <row r="18" ht="12" customHeight="1">
      <c r="A18" s="1276" t="n"/>
      <c r="B18" s="1276" t="inlineStr">
        <is>
          <t>Property Address</t>
        </is>
      </c>
      <c r="C18" s="1276" t="inlineStr">
        <is>
          <t>Zone</t>
        </is>
      </c>
      <c r="D18" s="1276" t="inlineStr">
        <is>
          <t xml:space="preserve">L : B  Ratio </t>
        </is>
      </c>
      <c r="E18" s="1276" t="inlineStr">
        <is>
          <t>Physical Condition</t>
        </is>
      </c>
      <c r="F18" s="1276" t="inlineStr">
        <is>
          <t xml:space="preserve">Sale Price </t>
        </is>
      </c>
      <c r="G18" s="1276" t="inlineStr">
        <is>
          <t>Net Adjustments</t>
        </is>
      </c>
      <c r="H18" s="1276" t="inlineStr">
        <is>
          <t>Sale Remarks</t>
        </is>
      </c>
      <c r="I18" s="1276" t="n"/>
    </row>
    <row r="19" ht="12" customHeight="1">
      <c r="A19" s="1276" t="inlineStr">
        <is>
          <t>#</t>
        </is>
      </c>
      <c r="B19" s="1276" t="inlineStr">
        <is>
          <t>Property Type</t>
        </is>
      </c>
      <c r="C19" s="1276" t="inlineStr">
        <is>
          <t>YOC</t>
        </is>
      </c>
      <c r="D19" s="1276" t="inlineStr">
        <is>
          <t xml:space="preserve">Building Area </t>
        </is>
      </c>
      <c r="E19" s="1276" t="inlineStr">
        <is>
          <t>Functional Utility</t>
        </is>
      </c>
      <c r="F19" s="1276" t="inlineStr">
        <is>
          <t xml:space="preserve">Adjusted Sale Price </t>
        </is>
      </c>
      <c r="G19" s="1276" t="inlineStr">
        <is>
          <t>Adj Value of Comp / Sq Ft</t>
        </is>
      </c>
      <c r="H19" s="1276" t="inlineStr">
        <is>
          <t>Indicated Value of Subject</t>
        </is>
      </c>
      <c r="I19" s="1276" t="n"/>
    </row>
    <row r="20" ht="12" customHeight="1">
      <c r="A20" s="1271" t="n"/>
      <c r="B20" s="1293">
        <f>IF(IFERROR(INDEX(Sales!C:C,$Z$20),"")="","",+" "&amp;IFERROR(INDEX(Sales!C:C,$Z$20),""))</f>
        <v/>
      </c>
      <c r="C20" s="1294">
        <f>IF(IFERROR(INDEX(Sales!F:F,$Z$20),"")="","",IFERROR(INDEX(Sales!F:F,$Z$20),""))</f>
        <v/>
      </c>
      <c r="D20" s="1295">
        <f>IF(IFERROR(INDEX(Sales!S:S,$Z$20),"")="","",IFERROR(INDEX(Sales!S:S,$Z$20),""))</f>
        <v/>
      </c>
      <c r="E20" s="1296">
        <f>IF(IFERROR(INDEX(Sales!R:R,$Z$20),"")="","",IFERROR(VLOOKUP(IFERROR(INDEX(Sales!R:R,$Z$20),""),[0]!GRADE,2),IFERROR(INDEX(Sales!R:R,$Z$20),"")))</f>
        <v/>
      </c>
      <c r="F20" s="1297">
        <f>IF(IFERROR(INDEX(Sales!I:I,$Z$20),"")="","",IFERROR(INDEX(Sales!I:I,$Z$20),""))</f>
        <v/>
      </c>
      <c r="G20" s="1289">
        <f>IF(IFERROR(INDEX(Sales!H:H,$Z$20),"")="","",IFERROR(INDEX(Sales!H:H,$Z$20),""))</f>
        <v/>
      </c>
      <c r="H20" s="1289">
        <f>IF(IFERROR(INDEX(Sales!AC:AC,$Z$20),"")="","",+IFERROR(INDEX(Sales!AC:AC,$Z$20),""))</f>
        <v/>
      </c>
      <c r="I20" s="1296">
        <f>IF(IFERROR(INDEX(Sales!E:E,$Z$20),"")="","",IFERROR(INDEX(Sales!E:E,$Z$20),""))</f>
        <v/>
      </c>
      <c r="Y20" s="1031" t="n">
        <v>1</v>
      </c>
      <c r="Z20">
        <f>IFERROR(MATCH(_xlfn.AGGREGATE(15,6,Sales!$AJ$2:$AJ$941,$Y$20),Sales!$AJ$2:$AJ$941,0)+1,"")</f>
        <v/>
      </c>
    </row>
    <row r="21" ht="12" customHeight="1">
      <c r="A21" s="1298" t="inlineStr">
        <is>
          <t>Best Match #1</t>
        </is>
      </c>
      <c r="B21" s="1293">
        <f>IF(IFERROR(INDEX(Sales!D:D,$Z$20),"")="","",+" "&amp;IFERROR(INDEX(Sales!D:D,$Z$20),""))</f>
        <v/>
      </c>
      <c r="C21" s="1294">
        <f>IF(IFERROR(INDEX(Sales!P:P,$Z$20),"")="","",IFERROR(INDEX(Sales!P:P,$Z$20),""))</f>
        <v/>
      </c>
      <c r="D21" s="1295">
        <f>IF(IFERROR(INDEX(Sales!T:T,$Z$20),"")="","",IFERROR(INDEX(Sales!T:T,$Z$20),""))</f>
        <v/>
      </c>
      <c r="E21" s="1296">
        <f>IF(IFERROR(INDEX(Sales!U:U,$Z$20),"")="","",IFERROR(VLOOKUP(IFERROR(INDEX(Sales!U:U,$Z$20),""),Codes!$A$12:$B$16,2),IFERROR(INDEX(Sales!U:U,$Z$20),"")))</f>
        <v/>
      </c>
      <c r="F21" s="1299">
        <f>IF(IFERROR(INDEX(Sales!Y:Y,$Z$20),"")="","",IFERROR(INDEX(Sales!Y:Y,$Z$20),""))</f>
        <v/>
      </c>
      <c r="G21" s="1300" t="n"/>
      <c r="H21" s="1289">
        <f>IF(IFERROR(INDEX(Sales!AB:AB,$Z$20),"")="","",IFERROR(INDEX(Sales!AB:AB,$Z$20),""))</f>
        <v/>
      </c>
      <c r="I21" s="1296" t="n"/>
    </row>
    <row r="22" ht="12" customHeight="1">
      <c r="A22" s="1271" t="n"/>
      <c r="B22" s="1293">
        <f>IF(IFERROR(INDEX(Sales!E:E,$Z$20),"")="","",+" "&amp;IFERROR(VLOOKUP(IFERROR(INDEX(Sales!E:E,$Z$20),""),[0]!Class,2),IFERROR(INDEX(Sales!E:E,$Z$20),"")))</f>
        <v/>
      </c>
      <c r="C22" s="1294">
        <f>IF(IFERROR(INDEX(Sales!M:M,$Z$20),"")="","",IFERROR(INDEX(Sales!M:M,$Z$20),""))</f>
        <v/>
      </c>
      <c r="D22" s="1295">
        <f>IF(IFERROR(INDEX(Sales!L:L,$Z$20),"")="","",IFERROR(INDEX(Sales!L:L,$Z$20),""))</f>
        <v/>
      </c>
      <c r="E22" s="1296">
        <f>IF(IFERROR(INDEX(Sales!V:V,$Z$20),"")="","",IFERROR(VLOOKUP(IFERROR(INDEX(Sales!V:V,$Z$20),""),Codes!$A$1:$B$5,2),IFERROR(INDEX(Sales!V:V,$Z$20),"")))</f>
        <v/>
      </c>
      <c r="F22" s="1299">
        <f>IF(IFERROR(INDEX(Sales!AA:AA,$Z$20),"")="","",IFERROR(INDEX(Sales!AA:AA,$Z$20),""))</f>
        <v/>
      </c>
      <c r="G22" s="1301">
        <f>IF(G20="","",ROUND(G20*(1+G21),2))</f>
        <v/>
      </c>
      <c r="H22" s="1302">
        <f>IF(G22="","",ROUND(G22*$D$13,-2))</f>
        <v/>
      </c>
      <c r="I22" s="1296" t="n"/>
    </row>
    <row r="23" ht="12" customHeight="1">
      <c r="A23" s="1271" t="n"/>
      <c r="B23" s="1303">
        <f>IF(IFERROR(INDEX(Sales!C:C,$Z$23),"")="","",+" "&amp;IFERROR(INDEX(Sales!C:C,$Z$23),""))</f>
        <v/>
      </c>
      <c r="C23" s="1304">
        <f>IF(IFERROR(INDEX(Sales!F:F,$Z$23),"")="","",IFERROR(INDEX(Sales!F:F,$Z$23),""))</f>
        <v/>
      </c>
      <c r="D23" s="1305">
        <f>IF(IFERROR(INDEX(Sales!S:S,$Z$23),"")="","",IFERROR(INDEX(Sales!S:S,$Z$23),""))</f>
        <v/>
      </c>
      <c r="E23" s="1306">
        <f>IF(IFERROR(INDEX(Sales!R:R,$Z$23),"")="","",IFERROR(VLOOKUP(IFERROR(INDEX(Sales!R:R,$Z$23),""),[0]!GRADE,2),IFERROR(INDEX(Sales!R:R,$Z$23),"")))</f>
        <v/>
      </c>
      <c r="F23" s="1307">
        <f>IF(IFERROR(INDEX(Sales!I:I,$Z$23),"")="","",IFERROR(INDEX(Sales!I:I,$Z$23),""))</f>
        <v/>
      </c>
      <c r="G23" s="1308">
        <f>IF(IFERROR(INDEX(Sales!H:H,$Z$23),"")="","",IFERROR(INDEX(Sales!H:H,$Z$23),""))</f>
        <v/>
      </c>
      <c r="H23" s="1308">
        <f>IF(IFERROR(INDEX(Sales!AC:AC,$Z$23),"")="","",+IFERROR(INDEX(Sales!AC:AC,$Z$23),""))</f>
        <v/>
      </c>
      <c r="I23" s="1306">
        <f>IF(IFERROR(INDEX(Sales!E:E,$Z$23),"")="","",IFERROR(INDEX(Sales!E:E,$Z$23),""))</f>
        <v/>
      </c>
      <c r="Y23" s="1031" t="n">
        <v>2</v>
      </c>
      <c r="Z23">
        <f>IFERROR(MATCH(_xlfn.AGGREGATE(15,6,Sales!$AJ$2:$AJ$941,$Y$23),Sales!$AJ$2:$AJ$941,0)+1,"")</f>
        <v/>
      </c>
    </row>
    <row r="24" ht="12" customHeight="1">
      <c r="A24" s="1298" t="inlineStr">
        <is>
          <t>Best Match #2</t>
        </is>
      </c>
      <c r="B24" s="1303">
        <f>IF(IFERROR(INDEX(Sales!D:D,$Z$23),"")="","",+" "&amp;IFERROR(INDEX(Sales!D:D,$Z$23),""))</f>
        <v/>
      </c>
      <c r="C24" s="1304">
        <f>IF(IFERROR(INDEX(Sales!P:P,$Z$23),"")="","",IFERROR(INDEX(Sales!P:P,$Z$23),""))</f>
        <v/>
      </c>
      <c r="D24" s="1305">
        <f>IF(IFERROR(INDEX(Sales!T:T,$Z$23),"")="","",IFERROR(INDEX(Sales!T:T,$Z$23),""))</f>
        <v/>
      </c>
      <c r="E24" s="1306">
        <f>IF(IFERROR(INDEX(Sales!U:U,$Z$23),"")="","",IFERROR(VLOOKUP(IFERROR(INDEX(Sales!U:U,$Z$23),""),Codes!$A$12:$B$16,2),IFERROR(INDEX(Sales!U:U,$Z$23),"")))</f>
        <v/>
      </c>
      <c r="F24" s="1309">
        <f>IF(IFERROR(INDEX(Sales!Y:Y,$Z$23),"")="","",IFERROR(INDEX(Sales!Y:Y,$Z$23),""))</f>
        <v/>
      </c>
      <c r="G24" s="1300" t="n"/>
      <c r="H24" s="1308">
        <f>IF(IFERROR(INDEX(Sales!AB:AB,$Z$23),"")="","",IFERROR(INDEX(Sales!AB:AB,$Z$23),""))</f>
        <v/>
      </c>
      <c r="I24" s="1306" t="n"/>
    </row>
    <row r="25" ht="12" customHeight="1">
      <c r="A25" s="1271" t="n"/>
      <c r="B25" s="1303">
        <f>IF(IFERROR(INDEX(Sales!E:E,$Z$23),"")="","",+" "&amp;IFERROR(VLOOKUP(IFERROR(INDEX(Sales!E:E,$Z$23),""),[0]!Class,2),IFERROR(INDEX(Sales!E:E,$Z$23),"")))</f>
        <v/>
      </c>
      <c r="C25" s="1304">
        <f>IF(IFERROR(INDEX(Sales!M:M,$Z$23),"")="","",IFERROR(INDEX(Sales!M:M,$Z$23),""))</f>
        <v/>
      </c>
      <c r="D25" s="1305">
        <f>IF(IFERROR(INDEX(Sales!L:L,$Z$23),"")="","",IFERROR(INDEX(Sales!L:L,$Z$23),""))</f>
        <v/>
      </c>
      <c r="E25" s="1306">
        <f>IF(IFERROR(INDEX(Sales!V:V,$Z$23),"")="","",IFERROR(VLOOKUP(IFERROR(INDEX(Sales!V:V,$Z$23),""),Codes!$A$1:$B$5,2),IFERROR(INDEX(Sales!V:V,$Z$23),"")))</f>
        <v/>
      </c>
      <c r="F25" s="1309">
        <f>IF(IFERROR(INDEX(Sales!AA:AA,$Z$23),"")="","",IFERROR(INDEX(Sales!AA:AA,$Z$23),""))</f>
        <v/>
      </c>
      <c r="G25" s="1301">
        <f>IF(G23="","",ROUND(G23*(1+G24),2))</f>
        <v/>
      </c>
      <c r="H25" s="1302">
        <f>IF(G25="","",ROUND(G25*$D$13,-2))</f>
        <v/>
      </c>
      <c r="I25" s="1306" t="n"/>
    </row>
    <row r="26" ht="12" customHeight="1">
      <c r="A26" s="1271" t="n"/>
      <c r="B26" s="1293">
        <f>IF(IFERROR(INDEX(Sales!C:C,$Z$26),"")="","",+" "&amp;IFERROR(INDEX(Sales!C:C,$Z$26),""))</f>
        <v/>
      </c>
      <c r="C26" s="1294">
        <f>IF(IFERROR(INDEX(Sales!F:F,$Z$26),"")="","",IFERROR(INDEX(Sales!F:F,$Z$26),""))</f>
        <v/>
      </c>
      <c r="D26" s="1295">
        <f>IF(IFERROR(INDEX(Sales!S:S,$Z$26),"")="","",IFERROR(INDEX(Sales!S:S,$Z$26),""))</f>
        <v/>
      </c>
      <c r="E26" s="1296">
        <f>IF(IFERROR(INDEX(Sales!R:R,$Z$26),"")="","",IFERROR(VLOOKUP(IFERROR(INDEX(Sales!R:R,$Z$26),""),[0]!GRADE,2),IFERROR(INDEX(Sales!R:R,$Z$26),"")))</f>
        <v/>
      </c>
      <c r="F26" s="1297">
        <f>IF(IFERROR(INDEX(Sales!I:I,$Z$26),"")="","",IFERROR(INDEX(Sales!I:I,$Z$26),""))</f>
        <v/>
      </c>
      <c r="G26" s="1289">
        <f>IF(IFERROR(INDEX(Sales!H:H,$Z$26),"")="","",IFERROR(INDEX(Sales!H:H,$Z$26),""))</f>
        <v/>
      </c>
      <c r="H26" s="1289">
        <f>IF(IFERROR(INDEX(Sales!AC:AC,$Z$26),"")="","",+IFERROR(INDEX(Sales!AC:AC,$Z$26),""))</f>
        <v/>
      </c>
      <c r="I26" s="1296">
        <f>IF(IFERROR(INDEX(Sales!E:E,$Z$26),"")="","",IFERROR(INDEX(Sales!E:E,$Z$26),""))</f>
        <v/>
      </c>
      <c r="Y26" s="1031" t="n">
        <v>3</v>
      </c>
      <c r="Z26">
        <f>IFERROR(MATCH(_xlfn.AGGREGATE(15,6,Sales!$AJ$2:$AJ$941,$Y$26),Sales!$AJ$2:$AJ$941,0)+1,"")</f>
        <v/>
      </c>
    </row>
    <row r="27" ht="12" customHeight="1">
      <c r="A27" s="1298" t="inlineStr">
        <is>
          <t>Best Match #3</t>
        </is>
      </c>
      <c r="B27" s="1293">
        <f>IF(IFERROR(INDEX(Sales!D:D,$Z$26),"")="","",+" "&amp;IFERROR(INDEX(Sales!D:D,$Z$26),""))</f>
        <v/>
      </c>
      <c r="C27" s="1294">
        <f>IF(IFERROR(INDEX(Sales!P:P,$Z$26),"")="","",IFERROR(INDEX(Sales!P:P,$Z$26),""))</f>
        <v/>
      </c>
      <c r="D27" s="1295">
        <f>IF(IFERROR(INDEX(Sales!T:T,$Z$26),"")="","",IFERROR(INDEX(Sales!T:T,$Z$26),""))</f>
        <v/>
      </c>
      <c r="E27" s="1296">
        <f>IF(IFERROR(INDEX(Sales!U:U,$Z$26),"")="","",IFERROR(VLOOKUP(IFERROR(INDEX(Sales!U:U,$Z$26),""),Codes!$A$12:$B$16,2),IFERROR(INDEX(Sales!U:U,$Z$26),"")))</f>
        <v/>
      </c>
      <c r="F27" s="1299">
        <f>IF(IFERROR(INDEX(Sales!Y:Y,$Z$26),"")="","",IFERROR(INDEX(Sales!Y:Y,$Z$26),""))</f>
        <v/>
      </c>
      <c r="G27" s="1300" t="n"/>
      <c r="H27" s="1289">
        <f>IF(IFERROR(INDEX(Sales!AB:AB,$Z$26),"")="","",IFERROR(INDEX(Sales!AB:AB,$Z$26),""))</f>
        <v/>
      </c>
      <c r="I27" s="1296" t="n"/>
    </row>
    <row r="28" ht="12" customHeight="1" thickBot="1">
      <c r="A28" s="1271" t="n"/>
      <c r="B28" s="1293">
        <f>IF(IFERROR(INDEX(Sales!E:E,$Z$26),"")="","",+" "&amp;IFERROR(VLOOKUP(IFERROR(INDEX(Sales!E:E,$Z$26),""),[0]!Class,2),IFERROR(INDEX(Sales!E:E,$Z$26),"")))</f>
        <v/>
      </c>
      <c r="C28" s="1294">
        <f>IF(IFERROR(INDEX(Sales!M:M,$Z$26),"")="","",IFERROR(INDEX(Sales!M:M,$Z$26),""))</f>
        <v/>
      </c>
      <c r="D28" s="1295">
        <f>IF(IFERROR(INDEX(Sales!L:L,$Z$26),"")="","",IFERROR(INDEX(Sales!L:L,$Z$26),""))</f>
        <v/>
      </c>
      <c r="E28" s="1296">
        <f>IF(IFERROR(INDEX(Sales!V:V,$Z$26),"")="","",IFERROR(VLOOKUP(IFERROR(INDEX(Sales!V:V,$Z$26),""),Codes!$A$1:$B$5,2),IFERROR(INDEX(Sales!V:V,$Z$26),"")))</f>
        <v/>
      </c>
      <c r="F28" s="1299">
        <f>IF(IFERROR(INDEX(Sales!AA:AA,$Z$26),"")="","",IFERROR(INDEX(Sales!AA:AA,$Z$26),""))</f>
        <v/>
      </c>
      <c r="G28" s="1301">
        <f>IF(G26="","",ROUND(G26*(1+G27),2))</f>
        <v/>
      </c>
      <c r="H28" s="1302">
        <f>IF(G28="","",ROUND(G28*$D$13,-2))</f>
        <v/>
      </c>
      <c r="I28" s="1296" t="n"/>
    </row>
    <row r="29" ht="10.15" customHeight="1" thickBot="1" thickTop="1"/>
    <row r="30" ht="17" customHeight="1" thickTop="1">
      <c r="A30" s="1310" t="inlineStr">
        <is>
          <t>MARKET SALE REMARKS</t>
        </is>
      </c>
      <c r="B30" s="1311" t="n"/>
      <c r="C30" s="1311" t="n"/>
      <c r="D30" s="1311" t="n"/>
      <c r="E30" s="1311" t="n"/>
      <c r="F30" s="1311" t="n"/>
      <c r="G30" s="1311" t="n"/>
      <c r="H30" s="1312" t="n"/>
      <c r="I30" s="1510" t="n"/>
    </row>
    <row r="31" ht="12" customHeight="1">
      <c r="A31" s="1313" t="n"/>
      <c r="B31" s="1489" t="n"/>
      <c r="C31" s="1489" t="n"/>
      <c r="D31" s="1489" t="n"/>
      <c r="E31" s="1489" t="n"/>
      <c r="F31" s="1489" t="n"/>
      <c r="G31" s="1489" t="n"/>
      <c r="H31" s="1490" t="n"/>
    </row>
    <row r="32" ht="12" customHeight="1">
      <c r="A32" s="1491" t="n"/>
      <c r="B32" s="531" t="n"/>
      <c r="C32" s="531" t="n"/>
      <c r="D32" s="531" t="n"/>
      <c r="E32" s="531" t="n"/>
      <c r="F32" s="531" t="n"/>
      <c r="G32" s="531" t="n"/>
      <c r="H32" s="1492" t="n"/>
    </row>
    <row r="33" ht="12" customHeight="1">
      <c r="A33" s="1491" t="n"/>
      <c r="B33" s="531" t="n"/>
      <c r="C33" s="531" t="n"/>
      <c r="D33" s="531" t="n"/>
      <c r="E33" s="531" t="n"/>
      <c r="F33" s="531" t="n"/>
      <c r="G33" s="531" t="n"/>
      <c r="H33" s="1492" t="n"/>
    </row>
    <row r="34" ht="12" customHeight="1" thickBot="1">
      <c r="A34" s="1493" t="n"/>
      <c r="B34" s="1494" t="n"/>
      <c r="C34" s="1494" t="n"/>
      <c r="D34" s="1494" t="n"/>
      <c r="E34" s="1494" t="n"/>
      <c r="F34" s="1494" t="n"/>
      <c r="G34" s="1494" t="n"/>
      <c r="H34" s="1495" t="n"/>
    </row>
    <row r="35" ht="12" customHeight="1" thickBot="1" thickTop="1"/>
    <row r="36" ht="17" customHeight="1" thickTop="1">
      <c r="A36" s="1273" t="inlineStr">
        <is>
          <t>RENT  COMPARABLE  INFORMATION</t>
        </is>
      </c>
      <c r="B36" s="1274" t="n"/>
      <c r="C36" s="1274" t="n"/>
      <c r="D36" s="1274" t="n"/>
      <c r="E36" s="1274" t="n"/>
      <c r="F36" s="1274" t="n"/>
      <c r="G36" s="1312" t="n"/>
      <c r="H36" s="1322" t="n"/>
      <c r="I36" s="1510" t="n"/>
    </row>
    <row r="37" ht="12" customHeight="1">
      <c r="A37" s="1276" t="n"/>
      <c r="B37" s="1276" t="inlineStr">
        <is>
          <t xml:space="preserve"> Source of Information</t>
        </is>
      </c>
      <c r="C37" s="1276" t="inlineStr">
        <is>
          <t>Ngbh</t>
        </is>
      </c>
      <c r="D37" s="1276" t="inlineStr">
        <is>
          <t xml:space="preserve">Land Area </t>
        </is>
      </c>
      <c r="E37" s="1276" t="inlineStr">
        <is>
          <t>Quality</t>
        </is>
      </c>
      <c r="F37" s="1276" t="inlineStr">
        <is>
          <t>Rent / Sq Ft</t>
        </is>
      </c>
      <c r="G37" s="1276" t="n"/>
      <c r="H37" s="1276" t="n"/>
    </row>
    <row r="38" ht="12" customHeight="1">
      <c r="A38" s="1276" t="n"/>
      <c r="B38" s="1276" t="inlineStr">
        <is>
          <t xml:space="preserve">  Location</t>
        </is>
      </c>
      <c r="C38" s="1276" t="inlineStr">
        <is>
          <t>Zone</t>
        </is>
      </c>
      <c r="D38" s="1276" t="inlineStr">
        <is>
          <t xml:space="preserve">L : B  Ratio </t>
        </is>
      </c>
      <c r="E38" s="1276" t="n"/>
      <c r="F38" s="1276" t="inlineStr">
        <is>
          <t>Vacancy</t>
        </is>
      </c>
      <c r="G38" s="1276" t="inlineStr">
        <is>
          <t xml:space="preserve">Net Adjustments </t>
        </is>
      </c>
      <c r="H38" s="1276" t="n"/>
    </row>
    <row r="39" ht="12" customHeight="1">
      <c r="A39" s="1276" t="inlineStr">
        <is>
          <t>#</t>
        </is>
      </c>
      <c r="B39" s="1276" t="inlineStr">
        <is>
          <t xml:space="preserve"> Property Type</t>
        </is>
      </c>
      <c r="C39" s="1276" t="inlineStr">
        <is>
          <t>YOC</t>
        </is>
      </c>
      <c r="D39" s="1276" t="inlineStr">
        <is>
          <t xml:space="preserve">Building Area </t>
        </is>
      </c>
      <c r="E39" s="1276" t="n"/>
      <c r="F39" s="1276" t="inlineStr">
        <is>
          <t>Expense Ratio</t>
        </is>
      </c>
      <c r="G39" s="1276" t="inlineStr">
        <is>
          <t xml:space="preserve">Adjusted Rent </t>
        </is>
      </c>
      <c r="H39" s="1276" t="n"/>
    </row>
    <row r="40" ht="12" customHeight="1">
      <c r="A40" s="1271" t="n"/>
      <c r="B40" s="1293">
        <f>IF(Income!E2="","",+Income!E2)</f>
        <v/>
      </c>
      <c r="C40" s="1294">
        <f>IF(Income!H2="","",IF(Income!H2&gt;9100,+Income!H2,+"            "&amp;Income!H2))</f>
        <v/>
      </c>
      <c r="D40" s="1295">
        <f>IF(Income!W2="","",Income!W2)</f>
        <v/>
      </c>
      <c r="E40" s="1296">
        <f>IF(Income!Z2="","",VLOOKUP(LEFT(Income!Z2,1),[0]!GRADE,2))</f>
        <v/>
      </c>
      <c r="F40" s="1289">
        <f>IF(Income!K2="","",Income!K2)</f>
        <v/>
      </c>
      <c r="G40" s="1283" t="n"/>
      <c r="H40" s="1271" t="n"/>
    </row>
    <row r="41" ht="12" customHeight="1">
      <c r="A41" s="1298" t="inlineStr">
        <is>
          <t>1</t>
        </is>
      </c>
      <c r="B41" s="1293">
        <f>IF(Income!H2="","",+" "&amp;VLOOKUP(Income!H2,Codes!$G$1:$H$68,2))</f>
        <v/>
      </c>
      <c r="C41" s="1294">
        <f>IF(Income!T2="","",Income!T2)</f>
        <v/>
      </c>
      <c r="D41" s="1323">
        <f>IF(Income!X2="","",TEXT(Income!X2,"0.00"))</f>
        <v/>
      </c>
      <c r="E41" s="1324" t="n"/>
      <c r="F41" s="1325">
        <f>IF(Income!L2="","",Income!L2)</f>
        <v/>
      </c>
      <c r="G41" s="1300" t="n"/>
      <c r="H41" s="1271" t="n"/>
    </row>
    <row r="42" ht="12" customHeight="1">
      <c r="A42" s="1271" t="n"/>
      <c r="B42" s="1293">
        <f>IF(Income!G2="","",+" "&amp;VLOOKUP(Income!G2,[0]!Class,2))</f>
        <v/>
      </c>
      <c r="C42" s="1294">
        <f>IF(Income!N2="","",Income!N2)</f>
        <v/>
      </c>
      <c r="D42" s="1295">
        <f>IF(Income!Y2="","",Income!Y2)</f>
        <v/>
      </c>
      <c r="E42" s="1324" t="n"/>
      <c r="F42" s="1325">
        <f>IF(Income!M2="","",Income!M2)</f>
        <v/>
      </c>
      <c r="G42" s="1301">
        <f>IF(F40="","",ROUND(F40*(1+G41),2))</f>
        <v/>
      </c>
      <c r="H42" s="1271" t="n"/>
    </row>
    <row r="43" ht="12" customHeight="1">
      <c r="A43" s="1271" t="n"/>
      <c r="B43" s="1303">
        <f>IF(Income!E3="","",+Income!E3)</f>
        <v/>
      </c>
      <c r="C43" s="1304">
        <f>IF(Income!H3="","",IF(Income!H3&gt;9100,+Income!H3,+"            "&amp;Income!H3))</f>
        <v/>
      </c>
      <c r="D43" s="1305">
        <f>IF(Income!W3="","",Income!W3)</f>
        <v/>
      </c>
      <c r="E43" s="1306">
        <f>IF(Income!Z3="","",VLOOKUP(LEFT(Income!Z3,1),[0]!GRADE,2))</f>
        <v/>
      </c>
      <c r="F43" s="1308">
        <f>IF(Income!K3="","",Income!K3)</f>
        <v/>
      </c>
      <c r="G43" s="1283" t="n"/>
      <c r="H43" s="1271" t="n"/>
    </row>
    <row r="44" ht="12" customHeight="1">
      <c r="A44" s="1298" t="inlineStr">
        <is>
          <t>2</t>
        </is>
      </c>
      <c r="B44" s="1303">
        <f>IF(Income!H3="","",+" "&amp;VLOOKUP(Income!H3,Codes!$G$1:$H$68,2))</f>
        <v/>
      </c>
      <c r="C44" s="1304">
        <f>IF(Income!T3="","",Income!T3)</f>
        <v/>
      </c>
      <c r="D44" s="1326">
        <f>IF(Income!X3="","",TEXT(Income!X3,"0.00"))</f>
        <v/>
      </c>
      <c r="E44" s="1324" t="n"/>
      <c r="F44" s="1327">
        <f>IF(Income!L3="","",Income!L3)</f>
        <v/>
      </c>
      <c r="G44" s="1300" t="n"/>
      <c r="H44" s="1271" t="n"/>
    </row>
    <row r="45" ht="12" customHeight="1">
      <c r="A45" s="1271" t="n"/>
      <c r="B45" s="1303">
        <f>IF(Income!G3="","",+" "&amp;VLOOKUP(Income!G3,[0]!Class,2))</f>
        <v/>
      </c>
      <c r="C45" s="1304">
        <f>IF(Income!N3="","",Income!N3)</f>
        <v/>
      </c>
      <c r="D45" s="1305">
        <f>IF(Income!Y3="","",Income!Y3)</f>
        <v/>
      </c>
      <c r="E45" s="1324" t="n"/>
      <c r="F45" s="1327">
        <f>IF(Income!M3="","",Income!M3)</f>
        <v/>
      </c>
      <c r="G45" s="1301">
        <f>IF(F43="","",ROUND(F43*(1+G44),2))</f>
        <v/>
      </c>
      <c r="H45" s="1271" t="n"/>
    </row>
    <row r="46" ht="12" customHeight="1">
      <c r="A46" s="1271" t="n"/>
      <c r="B46" s="1293">
        <f>IF(Income!E4="","",+Income!E4)</f>
        <v/>
      </c>
      <c r="C46" s="1294">
        <f>IF(Income!H4="","",IF(Income!H4&gt;9100,+Income!H4,+"            "&amp;Income!H4))</f>
        <v/>
      </c>
      <c r="D46" s="1295">
        <f>IF(Income!W4="","",Income!W4)</f>
        <v/>
      </c>
      <c r="E46" s="1296">
        <f>IF(Income!Z4="","",VLOOKUP(LEFT(Income!Z4,1),[0]!GRADE,2))</f>
        <v/>
      </c>
      <c r="F46" s="1289">
        <f>IF(Income!K4="","",Income!K4)</f>
        <v/>
      </c>
      <c r="G46" s="1283" t="n"/>
      <c r="H46" s="1271" t="n"/>
    </row>
    <row r="47" ht="12" customHeight="1">
      <c r="A47" s="1298" t="inlineStr">
        <is>
          <t>3</t>
        </is>
      </c>
      <c r="B47" s="1293">
        <f>IF(Income!H4="","",+" "&amp;VLOOKUP(Income!H4,Codes!$G$1:$H$68,2))</f>
        <v/>
      </c>
      <c r="C47" s="1294">
        <f>IF(Income!T4="","",Income!T4)</f>
        <v/>
      </c>
      <c r="D47" s="1323">
        <f>IF(Income!X4="","",TEXT(Income!X4,"0.00"))</f>
        <v/>
      </c>
      <c r="E47" s="1324" t="n"/>
      <c r="F47" s="1325">
        <f>IF(Income!L4="","",Income!L4)</f>
        <v/>
      </c>
      <c r="G47" s="1300" t="n"/>
      <c r="H47" s="1271" t="n"/>
    </row>
    <row r="48" ht="12" customHeight="1" thickBot="1">
      <c r="A48" s="1271" t="n"/>
      <c r="B48" s="1293">
        <f>IF(Income!G4="","",+" "&amp;VLOOKUP(Income!G4,[0]!Class,2))</f>
        <v/>
      </c>
      <c r="C48" s="1294">
        <f>IF(Income!N4="","",Income!N4)</f>
        <v/>
      </c>
      <c r="D48" s="1295">
        <f>IF(Income!Y4="","",Income!Y4)</f>
        <v/>
      </c>
      <c r="E48" s="1324" t="n"/>
      <c r="F48" s="1325">
        <f>IF(Income!M4="","",Income!M4)</f>
        <v/>
      </c>
      <c r="G48" s="1301">
        <f>IF(F46="","",ROUND(F46*(1+G47),2))</f>
        <v/>
      </c>
      <c r="H48" s="1271" t="n"/>
    </row>
    <row r="49" ht="11.25" customHeight="1" thickTop="1"/>
    <row r="50" ht="11.25" customHeight="1" thickBot="1"/>
    <row r="51" ht="17" customHeight="1" thickTop="1">
      <c r="A51" s="1310" t="inlineStr">
        <is>
          <t>RENT COMPARABLE REMARKS</t>
        </is>
      </c>
      <c r="B51" s="1311" t="n"/>
      <c r="C51" s="1311" t="n"/>
      <c r="D51" s="1311" t="n"/>
      <c r="E51" s="1311" t="n"/>
      <c r="F51" s="1311" t="n"/>
      <c r="G51" s="1311" t="n"/>
      <c r="H51" s="1312" t="n"/>
      <c r="I51" s="1510" t="n"/>
    </row>
    <row r="52" ht="12" customHeight="1">
      <c r="A52" s="1313" t="n"/>
      <c r="B52" s="1489" t="n"/>
      <c r="C52" s="1489" t="n"/>
      <c r="D52" s="1489" t="n"/>
      <c r="E52" s="1489" t="n"/>
      <c r="F52" s="1489" t="n"/>
      <c r="G52" s="1489" t="n"/>
      <c r="H52" s="1490" t="n"/>
    </row>
    <row r="53" ht="12" customHeight="1">
      <c r="A53" s="1491" t="n"/>
      <c r="B53" s="531" t="n"/>
      <c r="C53" s="531" t="n"/>
      <c r="D53" s="531" t="n"/>
      <c r="E53" s="531" t="n"/>
      <c r="F53" s="531" t="n"/>
      <c r="G53" s="531" t="n"/>
      <c r="H53" s="1492" t="n"/>
    </row>
    <row r="54" ht="12" customHeight="1">
      <c r="A54" s="1491" t="n"/>
      <c r="B54" s="531" t="n"/>
      <c r="C54" s="531" t="n"/>
      <c r="D54" s="531" t="n"/>
      <c r="E54" s="531" t="n"/>
      <c r="F54" s="531" t="n"/>
      <c r="G54" s="531" t="n"/>
      <c r="H54" s="1492" t="n"/>
    </row>
    <row r="55" ht="12" customHeight="1" thickBot="1">
      <c r="A55" s="1493" t="n"/>
      <c r="B55" s="1494" t="n"/>
      <c r="C55" s="1494" t="n"/>
      <c r="D55" s="1494" t="n"/>
      <c r="E55" s="1494" t="n"/>
      <c r="F55" s="1494" t="n"/>
      <c r="G55" s="1494" t="n"/>
      <c r="H55" s="1495" t="n"/>
    </row>
    <row r="56" ht="4.9" customHeight="1" thickTop="1"/>
  </sheetData>
  <mergeCells count="2">
    <mergeCell ref="A52:H55"/>
    <mergeCell ref="A31:H34"/>
  </mergeCells>
  <printOptions horizontalCentered="1" verticalCentered="1"/>
  <pageMargins left="0.5" right="0.25" top="0.25" bottom="0.25" header="0.5" footer="0.5"/>
  <pageSetup orientation="landscape" scale="77" fitToHeight="0" fitToWidth="1"/>
  <legacyDrawing xmlns:r="http://schemas.openxmlformats.org/officeDocument/2006/relationships" r:id="anysvml"/>
</worksheet>
</file>

<file path=xl/worksheets/sheet5.xml><?xml version="1.0" encoding="utf-8"?>
<worksheet xmlns="http://schemas.openxmlformats.org/spreadsheetml/2006/main">
  <sheetPr codeName="Sheet5">
    <tabColor rgb="001F4E78"/>
    <outlinePr summaryBelow="1" summaryRight="1"/>
    <pageSetUpPr fitToPage="1"/>
  </sheetPr>
  <dimension ref="A1:Z39"/>
  <sheetViews>
    <sheetView showGridLines="0" tabSelected="1" zoomScale="93" zoomScaleNormal="100" workbookViewId="0">
      <pane ySplit="7" topLeftCell="A8" activePane="bottomLeft" state="frozen"/>
      <selection pane="bottomLeft" activeCell="H12" sqref="H12"/>
    </sheetView>
  </sheetViews>
  <sheetFormatPr baseColWidth="8" defaultColWidth="13.6640625" defaultRowHeight="12.75"/>
  <cols>
    <col width="12" customWidth="1" style="413" min="1" max="1"/>
    <col width="20" customWidth="1" style="413" min="2" max="2"/>
    <col width="20" customWidth="1" style="413" min="3" max="3"/>
    <col width="22" customWidth="1" style="413" min="4" max="4"/>
    <col width="20" customWidth="1" style="413" min="5" max="5"/>
    <col width="19" customWidth="1" style="413" min="6" max="6"/>
    <col width="10" customWidth="1" style="413" min="7" max="7"/>
    <col width="11" bestFit="1" customWidth="1" style="413" min="8" max="8"/>
    <col width="19" customWidth="1" style="413" min="9" max="9"/>
    <col width="10" customWidth="1" style="413" min="10" max="10"/>
    <col width="13.6640625" customWidth="1" style="413" min="11" max="16384"/>
    <col hidden="1" width="6" customWidth="1" min="25" max="25"/>
    <col hidden="1" width="13" customWidth="1" min="26" max="26"/>
  </cols>
  <sheetData>
    <row r="1" ht="24" customHeight="1">
      <c r="A1" s="1328" t="inlineStr">
        <is>
          <t>IMPROVED MARKET APPROACH</t>
        </is>
      </c>
      <c r="B1" s="1328" t="n"/>
      <c r="C1" s="1328" t="n"/>
      <c r="D1" s="1328" t="n"/>
      <c r="E1" s="1328" t="n"/>
      <c r="F1" s="1328" t="n"/>
      <c r="G1" s="1328" t="n"/>
      <c r="H1" s="1328" t="n"/>
      <c r="I1" s="1328" t="n"/>
      <c r="J1" s="977" t="n"/>
      <c r="K1" s="977" t="n"/>
    </row>
    <row r="3" ht="17" customHeight="1" thickBot="1">
      <c r="A3" s="1329" t="inlineStr">
        <is>
          <t>SUBJECT</t>
        </is>
      </c>
      <c r="B3" s="1329" t="n"/>
      <c r="C3" s="1329" t="n"/>
      <c r="D3" s="1329" t="n"/>
      <c r="E3" s="1329" t="n"/>
      <c r="F3" s="1329" t="n"/>
      <c r="G3" s="1329" t="n"/>
      <c r="H3" s="1329" t="n"/>
      <c r="I3" s="1329" t="n"/>
      <c r="J3" s="1510" t="n"/>
    </row>
    <row r="4" ht="13.5" customHeight="1" thickTop="1">
      <c r="B4" s="1330" t="inlineStr">
        <is>
          <t>Account Number</t>
        </is>
      </c>
      <c r="C4" s="1330" t="inlineStr">
        <is>
          <t>Grantor</t>
        </is>
      </c>
      <c r="D4" s="1330" t="inlineStr">
        <is>
          <t xml:space="preserve">Sale Price </t>
        </is>
      </c>
      <c r="E4" s="1330" t="inlineStr">
        <is>
          <t>Location</t>
        </is>
      </c>
      <c r="F4" s="1330" t="inlineStr">
        <is>
          <t>Age</t>
        </is>
      </c>
      <c r="G4" s="1330" t="n"/>
      <c r="H4" s="1330" t="n"/>
      <c r="I4" s="1331" t="inlineStr">
        <is>
          <t>Value of the</t>
        </is>
      </c>
    </row>
    <row r="5">
      <c r="B5" s="1330" t="inlineStr">
        <is>
          <t>Property Address</t>
        </is>
      </c>
      <c r="C5" s="1330" t="inlineStr">
        <is>
          <t>Grantee</t>
        </is>
      </c>
      <c r="D5" s="1330" t="inlineStr">
        <is>
          <t>Sale Price  / SF</t>
        </is>
      </c>
      <c r="E5" s="1330" t="inlineStr">
        <is>
          <t>Land Size</t>
        </is>
      </c>
      <c r="F5" s="1330" t="inlineStr">
        <is>
          <t>Quality</t>
        </is>
      </c>
      <c r="G5" s="1330" t="n"/>
      <c r="H5" s="1330" t="n"/>
      <c r="I5" s="1331" t="inlineStr">
        <is>
          <t xml:space="preserve"> Subject/SF</t>
        </is>
      </c>
    </row>
    <row r="6">
      <c r="B6" s="1330" t="inlineStr">
        <is>
          <t>Parcel Number</t>
        </is>
      </c>
      <c r="C6" s="1330" t="inlineStr">
        <is>
          <t>Reception Number</t>
        </is>
      </c>
      <c r="D6" s="1331" t="inlineStr">
        <is>
          <t>PP/Time/Mkt Cond</t>
        </is>
      </c>
      <c r="E6" s="1330" t="inlineStr">
        <is>
          <t>L : B  Ratio</t>
        </is>
      </c>
      <c r="F6" s="1331" t="inlineStr">
        <is>
          <t>Phy./Funct Rating</t>
        </is>
      </c>
      <c r="G6" s="1331" t="n"/>
      <c r="H6" s="1330" t="n"/>
      <c r="I6" s="1331" t="inlineStr">
        <is>
          <t>Value</t>
        </is>
      </c>
    </row>
    <row r="7" ht="13.5" customHeight="1" thickBot="1">
      <c r="B7" s="1331" t="inlineStr">
        <is>
          <t>Property Type</t>
        </is>
      </c>
      <c r="C7" s="1330" t="inlineStr">
        <is>
          <t>Sale Date</t>
        </is>
      </c>
      <c r="D7" s="1331" t="inlineStr">
        <is>
          <t>Adj S P  / SF</t>
        </is>
      </c>
      <c r="E7" s="1330" t="inlineStr">
        <is>
          <t>Building Size</t>
        </is>
      </c>
      <c r="F7" s="1330" t="inlineStr">
        <is>
          <t>Zoning</t>
        </is>
      </c>
      <c r="G7" s="1330" t="inlineStr">
        <is>
          <t>Comments</t>
        </is>
      </c>
      <c r="H7" s="1330" t="n"/>
      <c r="I7" s="1331" t="inlineStr">
        <is>
          <t>of the Subject</t>
        </is>
      </c>
    </row>
    <row r="8" ht="14.25" customHeight="1" thickBot="1" thickTop="1">
      <c r="B8" s="1271" t="n"/>
      <c r="C8" s="1271" t="n"/>
      <c r="D8" s="1271" t="n"/>
      <c r="E8" s="1271" t="n"/>
      <c r="F8" s="1271" t="n"/>
      <c r="G8" s="1271" t="n"/>
      <c r="H8" s="1271" t="n"/>
      <c r="I8" s="1271" t="n"/>
    </row>
    <row r="9" ht="13.5" customHeight="1" thickTop="1">
      <c r="B9" s="1332" t="n"/>
      <c r="C9" s="1332" t="n"/>
      <c r="D9" s="1333" t="n"/>
      <c r="E9" s="1334" t="n"/>
      <c r="F9" s="1334" t="n"/>
      <c r="G9" s="1335" t="n"/>
      <c r="H9" s="1335" t="n"/>
      <c r="I9" s="1334" t="n"/>
    </row>
    <row r="10">
      <c r="B10" s="1332" t="n"/>
      <c r="C10" s="1332" t="n"/>
      <c r="D10" s="1336">
        <f>D9/E12</f>
        <v/>
      </c>
      <c r="E10" s="1337" t="n"/>
      <c r="F10" s="1334" t="n"/>
      <c r="G10" s="1335" t="n"/>
      <c r="H10" s="1335" t="n"/>
      <c r="I10" s="1338">
        <f>IF(E12="","",ROUND(I12/E12,2))</f>
        <v/>
      </c>
    </row>
    <row r="11">
      <c r="B11" s="1339" t="n"/>
      <c r="C11" s="1339" t="n"/>
      <c r="D11" s="1333" t="n"/>
      <c r="E11" s="1340" t="n"/>
      <c r="F11" s="1334" t="n"/>
      <c r="G11" s="1335" t="n"/>
      <c r="H11" s="1335" t="n"/>
      <c r="I11" s="1334" t="n"/>
    </row>
    <row r="12" ht="13.5" customHeight="1" thickBot="1">
      <c r="B12" s="1332" t="n"/>
      <c r="C12" s="1341" t="n"/>
      <c r="D12" s="1342" t="n"/>
      <c r="E12" s="1337" t="n"/>
      <c r="F12" s="1334" t="n"/>
      <c r="G12" s="1335" t="n"/>
      <c r="H12" s="1335" t="n"/>
      <c r="I12" s="1343" t="n"/>
    </row>
    <row r="13" ht="13.5" customHeight="1" thickTop="1">
      <c r="B13" s="1271" t="n"/>
      <c r="C13" s="1271" t="n"/>
      <c r="D13" s="1271" t="n"/>
      <c r="E13" s="1271" t="n"/>
      <c r="F13" s="1271" t="n"/>
      <c r="G13" s="1271" t="n"/>
      <c r="H13" s="1271" t="n"/>
      <c r="I13" s="1344" t="n"/>
    </row>
    <row r="14">
      <c r="I14" s="546" t="n"/>
    </row>
    <row r="15" ht="17" customHeight="1" thickBot="1">
      <c r="A15" s="1329" t="inlineStr">
        <is>
          <t>COMPARABLE SALE PROPERTIES</t>
        </is>
      </c>
      <c r="B15" s="1329" t="n"/>
      <c r="C15" s="1329" t="n"/>
      <c r="D15" s="1329" t="n"/>
      <c r="E15" s="1329" t="n"/>
      <c r="F15" s="1329" t="n"/>
      <c r="G15" s="1329" t="n"/>
      <c r="H15" s="1329" t="n"/>
      <c r="I15" s="1329" t="n"/>
      <c r="J15" s="1510" t="n"/>
      <c r="K15" s="977" t="n"/>
    </row>
    <row r="16" ht="13.5" customHeight="1" thickTop="1">
      <c r="A16" s="1276" t="n"/>
      <c r="B16" s="1330" t="inlineStr">
        <is>
          <t>Account Number</t>
        </is>
      </c>
      <c r="C16" s="1330" t="inlineStr">
        <is>
          <t>Grantor</t>
        </is>
      </c>
      <c r="D16" s="1330" t="inlineStr">
        <is>
          <t xml:space="preserve">Sale Price </t>
        </is>
      </c>
      <c r="E16" s="1330" t="inlineStr">
        <is>
          <t>Location</t>
        </is>
      </c>
      <c r="F16" s="1330" t="inlineStr">
        <is>
          <t>Age</t>
        </is>
      </c>
      <c r="G16" s="1330" t="n"/>
      <c r="H16" s="1330" t="n"/>
      <c r="I16" s="1330" t="inlineStr">
        <is>
          <t>Indicated Value</t>
        </is>
      </c>
      <c r="J16" s="1276" t="inlineStr">
        <is>
          <t>OCC Code</t>
        </is>
      </c>
    </row>
    <row r="17">
      <c r="A17" s="1276" t="n"/>
      <c r="B17" s="1330" t="inlineStr">
        <is>
          <t>Property Address</t>
        </is>
      </c>
      <c r="C17" s="1330" t="inlineStr">
        <is>
          <t>Grantee</t>
        </is>
      </c>
      <c r="D17" s="1330" t="inlineStr">
        <is>
          <t>Sale Price  / SF</t>
        </is>
      </c>
      <c r="E17" s="1330" t="inlineStr">
        <is>
          <t>Land Size</t>
        </is>
      </c>
      <c r="F17" s="1330" t="inlineStr">
        <is>
          <t>Quality</t>
        </is>
      </c>
      <c r="G17" s="1330" t="n"/>
      <c r="H17" s="1330" t="inlineStr">
        <is>
          <t>Adjusted</t>
        </is>
      </c>
      <c r="I17" s="1331" t="inlineStr">
        <is>
          <t>of the Subject/SF</t>
        </is>
      </c>
      <c r="J17" s="1276" t="n"/>
    </row>
    <row r="18">
      <c r="A18" s="1276" t="n"/>
      <c r="B18" s="1330" t="inlineStr">
        <is>
          <t>Parcel Number</t>
        </is>
      </c>
      <c r="C18" s="1330" t="inlineStr">
        <is>
          <t>Reception Number</t>
        </is>
      </c>
      <c r="D18" s="1331" t="inlineStr">
        <is>
          <t>PP/Time/Mkt Cond Adj</t>
        </is>
      </c>
      <c r="E18" s="1330" t="inlineStr">
        <is>
          <t>L : B  Ratio</t>
        </is>
      </c>
      <c r="F18" s="1331" t="inlineStr">
        <is>
          <t>Phy/Funct Rating</t>
        </is>
      </c>
      <c r="G18" s="1331" t="inlineStr">
        <is>
          <t>Net</t>
        </is>
      </c>
      <c r="H18" s="1330" t="inlineStr">
        <is>
          <t>Sale</t>
        </is>
      </c>
      <c r="I18" s="1331" t="inlineStr">
        <is>
          <t>Indicated Value</t>
        </is>
      </c>
      <c r="J18" s="1276" t="n"/>
    </row>
    <row r="19" ht="13.5" customHeight="1" thickBot="1">
      <c r="A19" s="1276" t="n"/>
      <c r="B19" s="1331" t="inlineStr">
        <is>
          <t>Property Type</t>
        </is>
      </c>
      <c r="C19" s="1330" t="inlineStr">
        <is>
          <t>Sale Date</t>
        </is>
      </c>
      <c r="D19" s="1331" t="inlineStr">
        <is>
          <t>Adj S P  / SF</t>
        </is>
      </c>
      <c r="E19" s="1330" t="inlineStr">
        <is>
          <t>Building Size/Keys</t>
        </is>
      </c>
      <c r="F19" s="1330" t="inlineStr">
        <is>
          <t>Zoning</t>
        </is>
      </c>
      <c r="G19" s="1331" t="inlineStr">
        <is>
          <t>Adj.</t>
        </is>
      </c>
      <c r="H19" s="1330" t="inlineStr">
        <is>
          <t>Price/SF</t>
        </is>
      </c>
      <c r="I19" s="1331" t="inlineStr">
        <is>
          <t>of the Subject</t>
        </is>
      </c>
      <c r="J19" s="1276" t="n"/>
    </row>
    <row r="20" ht="14.25" customHeight="1" thickBot="1" thickTop="1"/>
    <row r="21" ht="13.5" customHeight="1" thickTop="1">
      <c r="A21" s="1345" t="inlineStr">
        <is>
          <t>Best Match #1</t>
        </is>
      </c>
      <c r="B21" s="1346">
        <f>IF(IFERROR(INDEX(Sales!C:C,$Z$21),"")="","",+" "&amp;IFERROR(INDEX(Sales!C:C,$Z$21),""))</f>
        <v/>
      </c>
      <c r="C21" s="1346">
        <f>IF(IFERROR(INDEX(Sales!AE:AE,$Z$21),"")="","",IFERROR(INDEX(Sales!AE:AE,$Z$21),""))</f>
        <v/>
      </c>
      <c r="D21" s="1347">
        <f>IF(IFERROR(INDEX(Sales!AA:AA,$Z$21),"")="","",IFERROR(INDEX(Sales!AA:AA,$Z$21),""))</f>
        <v/>
      </c>
      <c r="E21" s="1347">
        <f>IF(IFERROR(INDEX(Sales!F:F,$Z$21),"")="","",IFERROR(INDEX(Sales!F:F,$Z$21),""))</f>
        <v/>
      </c>
      <c r="F21" s="1348">
        <f>IF(IFERROR(INDEX(Sales!M:M,$Z$21),"")="","",IFERROR(INDEX(Sales!M:M,$Z$21),""))</f>
        <v/>
      </c>
      <c r="G21" s="1349" t="n"/>
      <c r="H21" s="1350" t="n"/>
      <c r="I21" s="1350" t="n"/>
      <c r="J21" s="1296">
        <f>IF(IFERROR(INDEX(Sales!E:E,$Z$21),"")="","",IFERROR(INDEX(Sales!E:E,$Z$21),""))</f>
        <v/>
      </c>
      <c r="Y21" s="1031" t="n">
        <v>1</v>
      </c>
      <c r="Z21">
        <f>IFERROR(MATCH(_xlfn.AGGREGATE(15,6,Sales!$AJ$2:$AJ$941,$Y$21),Sales!$AJ$2:$AJ$941,0)+1,"")</f>
        <v/>
      </c>
    </row>
    <row r="22">
      <c r="A22" s="1496" t="n"/>
      <c r="B22" s="1346">
        <f>IF(IFERROR(INDEX(Sales!D:D,$Z$21),"")="","",IFERROR(INDEX(Sales!D:D,$Z$21),""))</f>
        <v/>
      </c>
      <c r="C22" s="1346">
        <f>IF(IFERROR(INDEX(Sales!AF:AF,$Z$21),"")="","",IFERROR(INDEX(Sales!AF:AF,$Z$21),""))</f>
        <v/>
      </c>
      <c r="D22" s="1351">
        <f>IF(IFERROR(INDEX(Sales!H:H,$Z$21),"")="","",IFERROR(INDEX(Sales!H:H,$Z$21),""))</f>
        <v/>
      </c>
      <c r="E22" s="1352">
        <f>IF(IFERROR(INDEX(Sales!S:S,$Z$21),"")="","",IFERROR(INDEX(Sales!S:S,$Z$21),""))</f>
        <v/>
      </c>
      <c r="F22" s="1353">
        <f>IF(IFERROR(INDEX(Sales!R:R,$Z$21),"")="","",IFERROR(VLOOKUP(IFERROR(INDEX(Sales!R:R,$Z$21),""),[0]!GRADE,2),IFERROR(INDEX(Sales!R:R,$Z$21),"")))</f>
        <v/>
      </c>
      <c r="G22" s="1350" t="n"/>
      <c r="H22" s="1350" t="n"/>
      <c r="I22" s="1354">
        <f>IF(H24="","",H24)</f>
        <v/>
      </c>
      <c r="J22" s="1296" t="n"/>
    </row>
    <row r="23">
      <c r="A23" s="1496" t="n"/>
      <c r="B23" s="1346">
        <f>IF(IFERROR(INDEX(Sales!AC:AC,$Z$21),"")="","",+IFERROR(INDEX(Sales!AC:AC,$Z$21),""))</f>
        <v/>
      </c>
      <c r="C23" s="1346">
        <f>IF(IFERROR(INDEX(Sales!AD:AD,$Z$21),"")="","",IFERROR(INDEX(Sales!AD:AD,$Z$21),""))</f>
        <v/>
      </c>
      <c r="D23" s="1355" t="n"/>
      <c r="E23" s="1348">
        <f>IF(IFERROR(INDEX(Sales!T:T,$Z$21),"")="","",IFERROR(INDEX(Sales!T:T,$Z$21),""))</f>
        <v/>
      </c>
      <c r="F23" s="1294">
        <f>IF(IFERROR(INDEX(Sales!V:V,$Z$21),"")="","",IFERROR(VLOOKUP(IFERROR(INDEX(Sales!V:V,$Z$21),""),Codes!$A$12:$B$16,2),IFERROR(INDEX(Sales!V:V,$Z$21),"")))</f>
        <v/>
      </c>
      <c r="G23" s="1350" t="n"/>
      <c r="H23" s="1350" t="n"/>
      <c r="I23" s="1350" t="n"/>
      <c r="J23" s="1296" t="n"/>
    </row>
    <row r="24" ht="13.5" customHeight="1" thickBot="1">
      <c r="A24" s="1497" t="n"/>
      <c r="B24" s="1356">
        <f>IF(IFERROR(INDEX(Sales!E:E,$Z$21),"")="","",+" "&amp;IFERROR(VLOOKUP(IFERROR(INDEX(Sales!E:E,$Z$21),""),[0]!Class,2),IFERROR(INDEX(Sales!E:E,$Z$21),"")))</f>
        <v/>
      </c>
      <c r="C24" s="1357">
        <f>IF(IFERROR(INDEX(Sales!I:I,$Z$21),"")="","",IFERROR(INDEX(Sales!I:I,$Z$21),""))</f>
        <v/>
      </c>
      <c r="D24" s="1351">
        <f>IF(D21="","",ROUND((D21+D23)/E24,2))</f>
        <v/>
      </c>
      <c r="E24" s="1352">
        <f>IF(IFERROR(INDEX(Sales!L:L,$Z$21),"")="","",IFERROR(INDEX(Sales!L:L,$Z$21),""))</f>
        <v/>
      </c>
      <c r="F24" s="1348">
        <f>IF(IFERROR(INDEX(Sales!P:P,$Z$21),"")="","",IFERROR(INDEX(Sales!P:P,$Z$21),""))</f>
        <v/>
      </c>
      <c r="G24" s="1358" t="n"/>
      <c r="H24" s="1354">
        <f>IF(D24="","",ROUND(D24*(1+G24),2))</f>
        <v/>
      </c>
      <c r="I24" s="1359">
        <f>IF(E12="","",ROUND(E12*H24,-2))</f>
        <v/>
      </c>
      <c r="J24" s="1296" t="n"/>
    </row>
    <row r="25" ht="14.25" customHeight="1" thickBot="1" thickTop="1">
      <c r="A25" s="453" t="n"/>
      <c r="G25" s="454" t="n"/>
      <c r="I25" s="555" t="n"/>
    </row>
    <row r="26" ht="13.5" customHeight="1" thickTop="1">
      <c r="A26" s="1345" t="inlineStr">
        <is>
          <t>Best Match #2</t>
        </is>
      </c>
      <c r="B26" s="1360">
        <f>IF(IFERROR(INDEX(Sales!C:C,$Z$26),"")="","",+" "&amp;IFERROR(INDEX(Sales!C:C,$Z$26),""))</f>
        <v/>
      </c>
      <c r="C26" s="1360">
        <f>IF(IFERROR(INDEX(Sales!AE:AE,$Z$26),"")="","",IFERROR(INDEX(Sales!AE:AE,$Z$26),""))</f>
        <v/>
      </c>
      <c r="D26" s="1361">
        <f>IF(IFERROR(INDEX(Sales!AA:AA,$Z$26),"")="","",IFERROR(INDEX(Sales!AA:AA,$Z$26),""))</f>
        <v/>
      </c>
      <c r="E26" s="1361">
        <f>IF(IFERROR(INDEX(Sales!F:F,$Z$26),"")="","",IFERROR(INDEX(Sales!F:F,$Z$26),""))</f>
        <v/>
      </c>
      <c r="F26" s="1362">
        <f>IF(IFERROR(INDEX(Sales!M:M,$Z$26),"")="","",IFERROR(INDEX(Sales!M:M,$Z$26),""))</f>
        <v/>
      </c>
      <c r="G26" s="1363" t="n"/>
      <c r="H26" s="1350" t="n"/>
      <c r="I26" s="1350" t="n"/>
      <c r="J26" s="1306">
        <f>IF(IFERROR(INDEX(Sales!E:E,$Z$26),"")="","",IFERROR(INDEX(Sales!E:E,$Z$26),""))</f>
        <v/>
      </c>
      <c r="Y26" s="1031" t="n">
        <v>2</v>
      </c>
      <c r="Z26">
        <f>IFERROR(MATCH(_xlfn.AGGREGATE(15,6,Sales!$AJ$2:$AJ$941,$Y$26),Sales!$AJ$2:$AJ$941,0)+1,"")</f>
        <v/>
      </c>
    </row>
    <row r="27">
      <c r="A27" s="1496" t="n"/>
      <c r="B27" s="1360">
        <f>IF(IFERROR(INDEX(Sales!D:D,$Z$26),"")="","",IFERROR(INDEX(Sales!D:D,$Z$26),""))</f>
        <v/>
      </c>
      <c r="C27" s="1360">
        <f>IF(IFERROR(INDEX(Sales!AF:AF,$Z$26),"")="","",IFERROR(INDEX(Sales!AF:AF,$Z$26),""))</f>
        <v/>
      </c>
      <c r="D27" s="1364">
        <f>IF(IFERROR(INDEX(Sales!H:H,$Z$26),"")="","",IFERROR(INDEX(Sales!H:H,$Z$26),""))</f>
        <v/>
      </c>
      <c r="E27" s="1365">
        <f>IF(IFERROR(INDEX(Sales!S:S,$Z$26),"")="","",IFERROR(INDEX(Sales!S:S,$Z$26),""))</f>
        <v/>
      </c>
      <c r="F27" s="1362">
        <f>IF(IFERROR(INDEX(Sales!R:R,$Z$26),"")="","",IFERROR(VLOOKUP(IFERROR(INDEX(Sales!R:R,$Z$26),""),[0]!GRADE,2),IFERROR(INDEX(Sales!R:R,$Z$26),"")))</f>
        <v/>
      </c>
      <c r="G27" s="1350" t="n"/>
      <c r="H27" s="1350" t="n"/>
      <c r="I27" s="1354">
        <f>IF(H29="","",H29)</f>
        <v/>
      </c>
      <c r="J27" s="1306" t="n"/>
    </row>
    <row r="28">
      <c r="A28" s="1496" t="n"/>
      <c r="B28" s="1360">
        <f>IF(IFERROR(INDEX(Sales!AC:AC,$Z$26),"")="","",+IFERROR(INDEX(Sales!AC:AC,$Z$26),""))</f>
        <v/>
      </c>
      <c r="C28" s="1360">
        <f>IF(IFERROR(INDEX(Sales!AD:AD,$Z$26),"")="","",IFERROR(INDEX(Sales!AD:AD,$Z$26),""))</f>
        <v/>
      </c>
      <c r="D28" s="1355" t="n"/>
      <c r="E28" s="1362">
        <f>IF(IFERROR(INDEX(Sales!T:T,$Z$26),"")="","",IFERROR(INDEX(Sales!T:T,$Z$26),""))</f>
        <v/>
      </c>
      <c r="F28" s="1362">
        <f>IF(IFERROR(INDEX(Sales!V:V,$Z$26),"")="","",IFERROR(VLOOKUP(IFERROR(INDEX(Sales!V:V,$Z$26),""),Codes!$A$12:$B$16,2),IFERROR(INDEX(Sales!V:V,$Z$26),"")))</f>
        <v/>
      </c>
      <c r="G28" s="1350" t="n"/>
      <c r="H28" s="1350" t="n"/>
      <c r="I28" s="1350" t="n"/>
      <c r="J28" s="1306" t="n"/>
    </row>
    <row r="29" ht="13.5" customHeight="1" thickBot="1">
      <c r="A29" s="1497" t="n"/>
      <c r="B29" s="1366">
        <f>IF(IFERROR(INDEX(Sales!E:E,$Z$26),"")="","",+" "&amp;IFERROR(VLOOKUP(IFERROR(INDEX(Sales!E:E,$Z$26),""),[0]!Class,2),IFERROR(INDEX(Sales!E:E,$Z$26),"")))</f>
        <v/>
      </c>
      <c r="C29" s="1367">
        <f>IF(IFERROR(INDEX(Sales!I:I,$Z$26),"")="","",IFERROR(INDEX(Sales!I:I,$Z$26),""))</f>
        <v/>
      </c>
      <c r="D29" s="1364">
        <f>IF(D26="","",ROUND((D26+D28)/E29,2))</f>
        <v/>
      </c>
      <c r="E29" s="1365">
        <f>IF(IFERROR(INDEX(Sales!L:L,$Z$26),"")="","",IFERROR(INDEX(Sales!L:L,$Z$26),""))</f>
        <v/>
      </c>
      <c r="F29" s="1362">
        <f>IF(IFERROR(INDEX(Sales!P:P,$Z$26),"")="","",IFERROR(INDEX(Sales!P:P,$Z$26),""))</f>
        <v/>
      </c>
      <c r="G29" s="1358" t="n"/>
      <c r="H29" s="1354">
        <f>IF(D29="","",ROUND(D29*(1+G29),2))</f>
        <v/>
      </c>
      <c r="I29" s="1359">
        <f>IF(E12="","",ROUND(E12*H29,-2))</f>
        <v/>
      </c>
      <c r="J29" s="1306" t="n"/>
    </row>
    <row r="30" ht="14.25" customHeight="1" thickBot="1" thickTop="1">
      <c r="A30" s="453" t="n"/>
      <c r="G30" s="454" t="n"/>
      <c r="I30" s="555" t="n"/>
    </row>
    <row r="31" ht="13.5" customHeight="1" thickTop="1">
      <c r="A31" s="1345" t="inlineStr">
        <is>
          <t>Best Match #3</t>
        </is>
      </c>
      <c r="B31" s="1346">
        <f>IF(IFERROR(INDEX(Sales!C:C,$Z$31),"")="","",+" "&amp;IFERROR(INDEX(Sales!C:C,$Z$31),""))</f>
        <v/>
      </c>
      <c r="C31" s="1346">
        <f>IF(IFERROR(INDEX(Sales!AE:AE,$Z$31),"")="","",IFERROR(INDEX(Sales!AE:AE,$Z$31),""))</f>
        <v/>
      </c>
      <c r="D31" s="1347">
        <f>IF(IFERROR(INDEX(Sales!AA:AA,$Z$31),"")="","",IFERROR(INDEX(Sales!AA:AA,$Z$31),""))</f>
        <v/>
      </c>
      <c r="E31" s="1347">
        <f>IF(IFERROR(INDEX(Sales!F:F,$Z$31),"")="","",IFERROR(INDEX(Sales!F:F,$Z$31),""))</f>
        <v/>
      </c>
      <c r="F31" s="1348">
        <f>IF(IFERROR(INDEX(Sales!M:M,$Z$31),"")="","",IFERROR(INDEX(Sales!M:M,$Z$31),""))</f>
        <v/>
      </c>
      <c r="G31" s="1349" t="n"/>
      <c r="H31" s="1350" t="n"/>
      <c r="I31" s="1350" t="n"/>
      <c r="J31" s="1296">
        <f>IF(IFERROR(INDEX(Sales!E:E,$Z$31),"")="","",IFERROR(INDEX(Sales!E:E,$Z$31),""))</f>
        <v/>
      </c>
      <c r="Y31" s="1031" t="n">
        <v>3</v>
      </c>
      <c r="Z31">
        <f>IFERROR(MATCH(_xlfn.AGGREGATE(15,6,Sales!$AJ$2:$AJ$941,$Y$31),Sales!$AJ$2:$AJ$941,0)+1,"")</f>
        <v/>
      </c>
    </row>
    <row r="32">
      <c r="A32" s="1496" t="n"/>
      <c r="B32" s="1346">
        <f>IF(IFERROR(INDEX(Sales!D:D,$Z$31),"")="","",IFERROR(INDEX(Sales!D:D,$Z$31),""))</f>
        <v/>
      </c>
      <c r="C32" s="1346">
        <f>IF(IFERROR(INDEX(Sales!AF:AF,$Z$31),"")="","",IFERROR(INDEX(Sales!AF:AF,$Z$31),""))</f>
        <v/>
      </c>
      <c r="D32" s="1351">
        <f>IF(IFERROR(INDEX(Sales!H:H,$Z$31),"")="","",IFERROR(INDEX(Sales!H:H,$Z$31),""))</f>
        <v/>
      </c>
      <c r="E32" s="1352">
        <f>IF(IFERROR(INDEX(Sales!S:S,$Z$31),"")="","",IFERROR(INDEX(Sales!S:S,$Z$31),""))</f>
        <v/>
      </c>
      <c r="F32" s="1348">
        <f>IF(IFERROR(INDEX(Sales!R:R,$Z$31),"")="","",IFERROR(VLOOKUP(IFERROR(INDEX(Sales!R:R,$Z$31),""),[0]!GRADE,2),IFERROR(INDEX(Sales!R:R,$Z$31),"")))</f>
        <v/>
      </c>
      <c r="G32" s="1350" t="n"/>
      <c r="H32" s="1350" t="n"/>
      <c r="I32" s="1354">
        <f>IF(H34="","",H34)</f>
        <v/>
      </c>
      <c r="J32" s="1296" t="n"/>
    </row>
    <row r="33">
      <c r="A33" s="1496" t="n"/>
      <c r="B33" s="1346">
        <f>IF(IFERROR(INDEX(Sales!AC:AC,$Z$31),"")="","",+IFERROR(INDEX(Sales!AC:AC,$Z$31),""))</f>
        <v/>
      </c>
      <c r="C33" s="1346">
        <f>IF(IFERROR(INDEX(Sales!AD:AD,$Z$31),"")="","",IFERROR(INDEX(Sales!AD:AD,$Z$31),""))</f>
        <v/>
      </c>
      <c r="D33" s="1355" t="n"/>
      <c r="E33" s="1348">
        <f>IF(IFERROR(INDEX(Sales!T:T,$Z$31),"")="","",IFERROR(INDEX(Sales!T:T,$Z$31),""))</f>
        <v/>
      </c>
      <c r="F33" s="1348">
        <f>IF(IFERROR(INDEX(Sales!V:V,$Z$31),"")="","",IFERROR(VLOOKUP(IFERROR(INDEX(Sales!V:V,$Z$31),""),Codes!$A$12:$B$16,2),IFERROR(INDEX(Sales!V:V,$Z$31),"")))</f>
        <v/>
      </c>
      <c r="G33" s="1350" t="n"/>
      <c r="H33" s="1350" t="n"/>
      <c r="I33" s="1350" t="n"/>
      <c r="J33" s="1296" t="n"/>
      <c r="K33" s="555" t="n"/>
    </row>
    <row r="34" ht="13.5" customHeight="1" thickBot="1">
      <c r="A34" s="1497" t="n"/>
      <c r="B34" s="1356">
        <f>IF(IFERROR(INDEX(Sales!E:E,$Z$31),"")="","",+" "&amp;IFERROR(VLOOKUP(IFERROR(INDEX(Sales!E:E,$Z$31),""),[0]!Class,2),IFERROR(INDEX(Sales!E:E,$Z$31),"")))</f>
        <v/>
      </c>
      <c r="C34" s="1357">
        <f>IF(IFERROR(INDEX(Sales!I:I,$Z$31),"")="","",IFERROR(INDEX(Sales!I:I,$Z$31),""))</f>
        <v/>
      </c>
      <c r="D34" s="1351">
        <f>IF(D31="","",ROUND((D31+D33)/E34,2))</f>
        <v/>
      </c>
      <c r="E34" s="1352">
        <f>IF(IFERROR(INDEX(Sales!L:L,$Z$31),"")="","",IFERROR(INDEX(Sales!L:L,$Z$31),""))</f>
        <v/>
      </c>
      <c r="F34" s="1348">
        <f>IF(IFERROR(INDEX(Sales!P:P,$Z$31),"")="","",IFERROR(INDEX(Sales!P:P,$Z$31),""))</f>
        <v/>
      </c>
      <c r="G34" s="1358" t="n"/>
      <c r="H34" s="1354">
        <f>IF(D34="","",ROUND(D34*(1+G34),2))</f>
        <v/>
      </c>
      <c r="I34" s="1359">
        <f>IF(E12="","",ROUND(E12*H34,-2))</f>
        <v/>
      </c>
      <c r="J34" s="1296" t="n"/>
    </row>
    <row r="35" ht="14.25" customHeight="1" thickBot="1" thickTop="1">
      <c r="A35" s="453" t="n"/>
      <c r="G35" s="454" t="n"/>
      <c r="I35" s="555" t="n"/>
    </row>
    <row r="36" ht="13.5" customHeight="1" thickTop="1">
      <c r="A36" s="1345" t="inlineStr">
        <is>
          <t>Best Match #4</t>
        </is>
      </c>
      <c r="B36" s="1360">
        <f>IF(IFERROR(INDEX(Sales!C:C,$Z$36),"")="","",+" "&amp;IFERROR(INDEX(Sales!C:C,$Z$36),""))</f>
        <v/>
      </c>
      <c r="C36" s="1360">
        <f>IF(IFERROR(INDEX(Sales!AE:AE,$Z$36),"")="","",IFERROR(INDEX(Sales!AE:AE,$Z$36),""))</f>
        <v/>
      </c>
      <c r="D36" s="1361">
        <f>IF(IFERROR(INDEX(Sales!AA:AA,$Z$36),"")="","",IFERROR(INDEX(Sales!AA:AA,$Z$36),""))</f>
        <v/>
      </c>
      <c r="E36" s="1361">
        <f>IF(IFERROR(INDEX(Sales!F:F,$Z$36),"")="","",IFERROR(INDEX(Sales!F:F,$Z$36),""))</f>
        <v/>
      </c>
      <c r="F36" s="1362">
        <f>IF(IFERROR(INDEX(Sales!M:M,$Z$36),"")="","",IFERROR(INDEX(Sales!M:M,$Z$36),""))</f>
        <v/>
      </c>
      <c r="G36" s="1350" t="n"/>
      <c r="H36" s="1350" t="n"/>
      <c r="I36" s="1350" t="n"/>
      <c r="J36" s="1306">
        <f>IF(IFERROR(INDEX(Sales!E:E,$Z$36),"")="","",IFERROR(INDEX(Sales!E:E,$Z$36),""))</f>
        <v/>
      </c>
      <c r="Y36" s="1031" t="n">
        <v>4</v>
      </c>
      <c r="Z36">
        <f>IFERROR(MATCH(_xlfn.AGGREGATE(15,6,Sales!$AJ$2:$AJ$941,$Y$36),Sales!$AJ$2:$AJ$941,0)+1,"")</f>
        <v/>
      </c>
    </row>
    <row r="37">
      <c r="A37" s="1496" t="n"/>
      <c r="B37" s="1360">
        <f>IF(IFERROR(INDEX(Sales!D:D,$Z$36),"")="","",IFERROR(INDEX(Sales!D:D,$Z$36),""))</f>
        <v/>
      </c>
      <c r="C37" s="1360">
        <f>IF(IFERROR(INDEX(Sales!AF:AF,$Z$36),"")="","",IFERROR(INDEX(Sales!AF:AF,$Z$36),""))</f>
        <v/>
      </c>
      <c r="D37" s="1364">
        <f>IF(IFERROR(INDEX(Sales!H:H,$Z$36),"")="","",IFERROR(INDEX(Sales!H:H,$Z$36),""))</f>
        <v/>
      </c>
      <c r="E37" s="1365">
        <f>IF(IFERROR(INDEX(Sales!S:S,$Z$36),"")="","",IFERROR(INDEX(Sales!S:S,$Z$36),""))</f>
        <v/>
      </c>
      <c r="F37" s="1362">
        <f>IF(IFERROR(INDEX(Sales!R:R,$Z$36),"")="","",IFERROR(VLOOKUP(IFERROR(INDEX(Sales!R:R,$Z$36),""),[0]!GRADE,2),IFERROR(INDEX(Sales!R:R,$Z$36),"")))</f>
        <v/>
      </c>
      <c r="G37" s="1350" t="n"/>
      <c r="H37" s="1350" t="n"/>
      <c r="I37" s="1354">
        <f>IF(H39="","",H39)</f>
        <v/>
      </c>
      <c r="J37" s="1306" t="n"/>
    </row>
    <row r="38">
      <c r="A38" s="1497" t="n"/>
      <c r="B38" s="1360">
        <f>IF(IFERROR(INDEX(Sales!AC:AC,$Z$36),"")="","",+IFERROR(INDEX(Sales!AC:AC,$Z$36),""))</f>
        <v/>
      </c>
      <c r="C38" s="1360">
        <f>IF(IFERROR(INDEX(Sales!AD:AD,$Z$36),"")="","",IFERROR(INDEX(Sales!AD:AD,$Z$36),""))</f>
        <v/>
      </c>
      <c r="D38" s="1355" t="n"/>
      <c r="E38" s="1362">
        <f>IF(IFERROR(INDEX(Sales!T:T,$Z$36),"")="","",IFERROR(INDEX(Sales!T:T,$Z$36),""))</f>
        <v/>
      </c>
      <c r="F38" s="1362">
        <f>IF(IFERROR(INDEX(Sales!V:V,$Z$36),"")="","",IFERROR(VLOOKUP(IFERROR(INDEX(Sales!V:V,$Z$36),""),Codes!$A$12:$B$16,2),IFERROR(INDEX(Sales!V:V,$Z$36),"")))</f>
        <v/>
      </c>
      <c r="G38" s="1350" t="n"/>
      <c r="H38" s="1350" t="n"/>
      <c r="I38" s="1350" t="n"/>
      <c r="J38" s="1306" t="n"/>
    </row>
    <row r="39" ht="13.5" customHeight="1" thickBot="1">
      <c r="A39" s="1271" t="n"/>
      <c r="B39" s="1366">
        <f>IF(IFERROR(INDEX(Sales!E:E,$Z$36),"")="","",+" "&amp;IFERROR(VLOOKUP(IFERROR(INDEX(Sales!E:E,$Z$36),""),[0]!Class,2),IFERROR(INDEX(Sales!E:E,$Z$36),"")))</f>
        <v/>
      </c>
      <c r="C39" s="1367">
        <f>IF(IFERROR(INDEX(Sales!I:I,$Z$36),"")="","",IFERROR(INDEX(Sales!I:I,$Z$36),""))</f>
        <v/>
      </c>
      <c r="D39" s="1364">
        <f>IF(D36="","",ROUND((D36+D38)/E39,2))</f>
        <v/>
      </c>
      <c r="E39" s="1365">
        <f>IF(IFERROR(INDEX(Sales!L:L,$Z$36),"")="","",IFERROR(INDEX(Sales!L:L,$Z$36),""))</f>
        <v/>
      </c>
      <c r="F39" s="1362">
        <f>IF(IFERROR(INDEX(Sales!P:P,$Z$36),"")="","",IFERROR(INDEX(Sales!P:P,$Z$36),""))</f>
        <v/>
      </c>
      <c r="G39" s="1358" t="n"/>
      <c r="H39" s="1354">
        <f>IF(D39="","",ROUND(D39*(1+G39),2))</f>
        <v/>
      </c>
      <c r="I39" s="1359">
        <f>I37*E12</f>
        <v/>
      </c>
      <c r="J39" s="1306" t="n"/>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fitToHeight="0" fitToWidth="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E47" sqref="E47"/>
    </sheetView>
  </sheetViews>
  <sheetFormatPr baseColWidth="8" defaultColWidth="12.5" defaultRowHeight="12.75"/>
  <cols>
    <col width="6" customWidth="1" style="132" min="1" max="1"/>
    <col width="20" customWidth="1" style="132" min="2" max="2"/>
    <col width="19" customWidth="1" style="133" min="3" max="6"/>
    <col width="15" customWidth="1" min="4" max="4"/>
    <col width="18" customWidth="1" min="5" max="5"/>
    <col width="8" customWidth="1" min="6" max="6"/>
    <col width="13" customWidth="1" style="133" min="7" max="7"/>
    <col width="14" customWidth="1" style="132" min="8" max="8"/>
    <col width="12.5" customWidth="1" style="132" min="9" max="16384"/>
  </cols>
  <sheetData>
    <row r="1" ht="32.25" customHeight="1">
      <c r="B1" t="n"/>
    </row>
    <row r="2" ht="24" customHeight="1">
      <c r="A2" s="977" t="n"/>
      <c r="B2" s="1368" t="inlineStr">
        <is>
          <t>RENT COMPARABLES</t>
        </is>
      </c>
      <c r="C2" s="1368" t="n"/>
      <c r="D2" s="1368" t="n"/>
      <c r="E2" s="1368" t="n"/>
      <c r="F2" s="1368" t="n"/>
      <c r="G2" s="1368" t="n"/>
      <c r="H2" s="1368" t="n"/>
    </row>
    <row r="4" ht="17" customHeight="1" thickBot="1">
      <c r="B4" s="1369" t="inlineStr">
        <is>
          <t>SUBJECT</t>
        </is>
      </c>
      <c r="C4" s="1369" t="n"/>
      <c r="D4" s="1369" t="n"/>
      <c r="E4" s="1369" t="n"/>
      <c r="F4" s="1369" t="n"/>
      <c r="G4" s="1369" t="n"/>
      <c r="H4" s="1369" t="n"/>
    </row>
    <row r="5" ht="13.5" customHeight="1" thickTop="1">
      <c r="B5" s="1370" t="inlineStr">
        <is>
          <t>Schedule Number</t>
        </is>
      </c>
      <c r="C5" s="1371" t="inlineStr">
        <is>
          <t>Rent/Sq.Ft.</t>
        </is>
      </c>
      <c r="D5" s="1370" t="inlineStr">
        <is>
          <t>Location</t>
        </is>
      </c>
      <c r="E5" s="1370" t="inlineStr">
        <is>
          <t>Age</t>
        </is>
      </c>
      <c r="F5" s="1370" t="n"/>
      <c r="G5" s="1370" t="n"/>
      <c r="H5" s="1370" t="n"/>
    </row>
    <row r="6">
      <c r="B6" s="1370" t="inlineStr">
        <is>
          <t>Property Address</t>
        </is>
      </c>
      <c r="C6" s="1371" t="inlineStr">
        <is>
          <t>Vacancy</t>
        </is>
      </c>
      <c r="D6" s="1370" t="inlineStr">
        <is>
          <t>Land Size</t>
        </is>
      </c>
      <c r="E6" s="1370" t="inlineStr">
        <is>
          <t>Quality</t>
        </is>
      </c>
      <c r="F6" s="1370" t="n"/>
      <c r="G6" s="1370" t="n"/>
      <c r="H6" s="1370" t="n"/>
    </row>
    <row r="7">
      <c r="B7" s="1370" t="inlineStr">
        <is>
          <t>Property Name</t>
        </is>
      </c>
      <c r="C7" s="1370" t="inlineStr">
        <is>
          <t>Expense / Sq. Ft.</t>
        </is>
      </c>
      <c r="D7" s="1370" t="inlineStr">
        <is>
          <t>L:B Ratio</t>
        </is>
      </c>
      <c r="E7" s="1370" t="inlineStr">
        <is>
          <t>Phy/Funct Rating</t>
        </is>
      </c>
      <c r="F7" s="1370" t="n"/>
      <c r="G7" s="1370" t="n"/>
      <c r="H7" s="1370" t="n"/>
    </row>
    <row r="8" ht="13.5" customHeight="1" thickBot="1">
      <c r="B8" s="1370" t="inlineStr">
        <is>
          <t>Property Type</t>
        </is>
      </c>
      <c r="C8" s="1371" t="inlineStr">
        <is>
          <t>Expense Ratio</t>
        </is>
      </c>
      <c r="D8" s="1370" t="inlineStr">
        <is>
          <t>Building Size</t>
        </is>
      </c>
      <c r="E8" s="1370" t="inlineStr">
        <is>
          <t>Zoning</t>
        </is>
      </c>
      <c r="F8" s="1370" t="inlineStr">
        <is>
          <t>Other</t>
        </is>
      </c>
      <c r="G8" s="1370" t="inlineStr">
        <is>
          <t>Comments</t>
        </is>
      </c>
      <c r="H8" s="1371" t="n"/>
    </row>
    <row r="9" ht="14.25" customHeight="1" thickBot="1" thickTop="1"/>
    <row r="10" ht="13.5" customHeight="1" thickTop="1">
      <c r="B10" s="1372">
        <f>IF('BAA Market'!B9="","",'BAA Market'!B9)</f>
        <v/>
      </c>
      <c r="C10" s="1373" t="n"/>
      <c r="D10" s="1374">
        <f>IF('BAA Market'!E9="","",'BAA Market'!E9)</f>
        <v/>
      </c>
      <c r="E10" s="1374">
        <f>IF('BAA Market'!F9="","",'BAA Market'!F9)</f>
        <v/>
      </c>
      <c r="F10" s="1375" t="n"/>
      <c r="G10" s="1376" t="n"/>
      <c r="H10" s="1376" t="n"/>
    </row>
    <row r="11">
      <c r="B11" s="1377">
        <f>IF('BAA Market'!B10="","",'BAA Market'!B10)</f>
        <v/>
      </c>
      <c r="C11" s="1378" t="n"/>
      <c r="D11" s="1379">
        <f>IF('BAA Market'!E10="","",'BAA Market'!E10)</f>
        <v/>
      </c>
      <c r="E11" s="1374">
        <f>IF('BAA Market'!F10="","",'BAA Market'!F10)</f>
        <v/>
      </c>
      <c r="F11" s="1375" t="n"/>
      <c r="G11" s="1376" t="n"/>
      <c r="H11" s="1376" t="n"/>
    </row>
    <row r="12">
      <c r="B12" s="1377">
        <f>IF('BAA Market'!B11="","",'BAA Market'!B11)</f>
        <v/>
      </c>
      <c r="C12" s="1373" t="n"/>
      <c r="D12" s="1380">
        <f>IF('BAA Market'!E11="","",'BAA Market'!E11)</f>
        <v/>
      </c>
      <c r="E12" s="1374">
        <f>IF('BAA Market'!F11="","",'BAA Market'!F11)</f>
        <v/>
      </c>
      <c r="F12" s="1375" t="n"/>
      <c r="G12" s="1376" t="n"/>
      <c r="H12" s="1376" t="n"/>
    </row>
    <row r="13" ht="13.5" customHeight="1" thickBot="1">
      <c r="B13" s="1377">
        <f>IF('BAA Market'!B12="","",'BAA Market'!B12)</f>
        <v/>
      </c>
      <c r="C13" s="1378" t="n"/>
      <c r="D13" s="1379">
        <f>IF('BAA Market'!E12="","",'BAA Market'!E12)</f>
        <v/>
      </c>
      <c r="E13" s="1374">
        <f>IF('BAA Market'!F12="","",'BAA Market'!F12)</f>
        <v/>
      </c>
      <c r="F13" s="1375" t="n"/>
      <c r="G13" s="1376" t="n"/>
      <c r="H13" s="1376" t="n"/>
    </row>
    <row r="14" ht="13.5" customHeight="1" thickTop="1"/>
    <row r="17" ht="17" customHeight="1" thickBot="1">
      <c r="A17" s="977" t="n"/>
      <c r="B17" s="1369" t="inlineStr">
        <is>
          <t>COMPARABLE RENTAL PROPERTIES</t>
        </is>
      </c>
      <c r="C17" s="1369" t="n"/>
      <c r="D17" s="1369" t="n"/>
      <c r="E17" s="1369" t="n"/>
      <c r="F17" s="1369" t="n"/>
      <c r="G17" s="1369" t="n"/>
      <c r="H17" s="1369" t="n"/>
    </row>
    <row r="18" ht="13.5" customHeight="1" thickTop="1">
      <c r="A18" s="1037" t="n"/>
      <c r="B18" s="1370" t="n"/>
      <c r="C18" s="1371" t="inlineStr">
        <is>
          <t>Rent/Sq.Ft.</t>
        </is>
      </c>
      <c r="D18" s="1370" t="inlineStr">
        <is>
          <t>Location</t>
        </is>
      </c>
      <c r="E18" s="1370" t="inlineStr">
        <is>
          <t>Age</t>
        </is>
      </c>
      <c r="F18" s="1370" t="n"/>
      <c r="G18" s="1370" t="n"/>
      <c r="H18" s="1370" t="n"/>
    </row>
    <row r="19">
      <c r="A19" s="1037" t="n"/>
      <c r="B19" s="1370" t="inlineStr">
        <is>
          <t>OFFICE</t>
        </is>
      </c>
      <c r="C19" s="1371" t="inlineStr">
        <is>
          <t>Vacancy</t>
        </is>
      </c>
      <c r="D19" s="1370" t="inlineStr">
        <is>
          <t>Land Size</t>
        </is>
      </c>
      <c r="E19" s="1370" t="inlineStr">
        <is>
          <t>Quality</t>
        </is>
      </c>
      <c r="F19" s="1370" t="n"/>
      <c r="G19" s="1370" t="n"/>
      <c r="H19" s="1371" t="n"/>
    </row>
    <row r="20">
      <c r="A20" s="1037" t="n"/>
      <c r="B20" s="1370" t="inlineStr">
        <is>
          <t>Source</t>
        </is>
      </c>
      <c r="C20" s="1370" t="inlineStr">
        <is>
          <t>Expense / Sq. Ft.</t>
        </is>
      </c>
      <c r="D20" s="1370" t="inlineStr">
        <is>
          <t>L:B Ratio</t>
        </is>
      </c>
      <c r="E20" s="1370" t="inlineStr">
        <is>
          <t>Phy/Funct Rating</t>
        </is>
      </c>
      <c r="F20" s="1370" t="n"/>
      <c r="G20" s="1371" t="inlineStr">
        <is>
          <t>Net</t>
        </is>
      </c>
      <c r="H20" s="1371" t="inlineStr">
        <is>
          <t>Adjusted</t>
        </is>
      </c>
    </row>
    <row r="21" ht="13.5" customHeight="1" thickBot="1">
      <c r="A21" s="1037" t="n"/>
      <c r="B21" s="1370" t="inlineStr">
        <is>
          <t>Property Type</t>
        </is>
      </c>
      <c r="C21" s="1371" t="inlineStr">
        <is>
          <t>Expense Ratio</t>
        </is>
      </c>
      <c r="D21" s="1370" t="inlineStr">
        <is>
          <t>Building Size</t>
        </is>
      </c>
      <c r="E21" s="1370" t="inlineStr">
        <is>
          <t>Zoning</t>
        </is>
      </c>
      <c r="F21" s="1370" t="inlineStr">
        <is>
          <t>Other</t>
        </is>
      </c>
      <c r="G21" s="1371" t="inlineStr">
        <is>
          <t>Adjustments</t>
        </is>
      </c>
      <c r="H21" s="1371" t="inlineStr">
        <is>
          <t>Rent/Sq.Ft.</t>
        </is>
      </c>
    </row>
    <row r="22" ht="14.25" customHeight="1" thickBot="1" thickTop="1"/>
    <row r="23" ht="13.5" customHeight="1" thickTop="1">
      <c r="A23" s="1381" t="inlineStr">
        <is>
          <t>#1</t>
        </is>
      </c>
      <c r="B23" s="1382" t="n"/>
      <c r="C23" s="1383">
        <f>IF(Income!K2="","",Income!K$2)</f>
        <v/>
      </c>
      <c r="D23" s="1348">
        <f>IF(Income!H2="","",VLOOKUP(Income!H2,[0]!Location,2))</f>
        <v/>
      </c>
      <c r="E23" s="1348">
        <f>IF(Income!N2="","",Income!N2)</f>
        <v/>
      </c>
      <c r="F23" s="1384" t="n"/>
      <c r="G23" s="1384" t="n"/>
      <c r="H23" s="1382" t="n"/>
    </row>
    <row r="24">
      <c r="A24" s="1496" t="n"/>
      <c r="B24" s="1382" t="n"/>
      <c r="C24" s="1385">
        <f>IF(Income!L$2="","",Income!L$2)</f>
        <v/>
      </c>
      <c r="D24" s="1352">
        <f>IF(Income!W2="","",Income!W2)</f>
        <v/>
      </c>
      <c r="E24" s="1348">
        <f>IF(Income!Z2="","",VLOOKUP(Income!Z2,[0]!GRADE,2))</f>
        <v/>
      </c>
      <c r="F24" s="1384" t="n"/>
      <c r="G24" s="1384" t="n"/>
      <c r="H24" s="1382" t="n"/>
    </row>
    <row r="25">
      <c r="A25" s="1496" t="n"/>
      <c r="B25" s="1386">
        <f>IF(Income!E$2="","",Income!E$2)</f>
        <v/>
      </c>
      <c r="C25" s="1383">
        <f>C23*(1-C24)*C26</f>
        <v/>
      </c>
      <c r="D25" s="1348">
        <f>IF(Income!X2="","",Income!X2)</f>
        <v/>
      </c>
      <c r="E25" s="1348">
        <f>IF(Income!AC2="","",VLOOKUP(Income!AC2,[0]!P_f,2))</f>
        <v/>
      </c>
      <c r="F25" s="1384" t="n"/>
      <c r="G25" s="1384" t="n"/>
      <c r="H25" s="1382" t="n"/>
    </row>
    <row r="26" ht="13.5" customHeight="1" thickBot="1">
      <c r="A26" s="1497" t="n"/>
      <c r="B26" s="1356">
        <f>IF(Income!G$2="","",VLOOKUP(Income!G$2,[0]!Class,2))</f>
        <v/>
      </c>
      <c r="C26" s="1385">
        <f>IF(Income!M2="","",Income!M$2)</f>
        <v/>
      </c>
      <c r="D26" s="1352">
        <f>IF(Income!Y2="","",Income!Y2)</f>
        <v/>
      </c>
      <c r="E26" s="1348">
        <f>IF(Income!T2="","",Income!T2)</f>
        <v/>
      </c>
      <c r="F26" s="1378" t="n"/>
      <c r="G26" s="1387" t="n"/>
      <c r="H26" s="1388">
        <f>IF(C23="","",C23*(1+G26))</f>
        <v/>
      </c>
    </row>
    <row r="27" ht="14.25" customHeight="1" thickBot="1" thickTop="1">
      <c r="F27" s="563" t="n"/>
    </row>
    <row r="28" ht="13.5" customHeight="1" thickTop="1">
      <c r="A28" s="1381" t="inlineStr">
        <is>
          <t>#2</t>
        </is>
      </c>
      <c r="B28" s="1382" t="n"/>
      <c r="C28" s="1389">
        <f>IF(Income!K3="","",Income!K3)</f>
        <v/>
      </c>
      <c r="D28" s="1362">
        <f>IF(Income!H3="","",VLOOKUP(Income!H3,[0]!Location,2))</f>
        <v/>
      </c>
      <c r="E28" s="1362">
        <f>IF(Income!N3="","",Income!N3)</f>
        <v/>
      </c>
      <c r="F28" s="1384" t="n"/>
      <c r="G28" s="1384" t="n"/>
      <c r="H28" s="1382" t="n"/>
    </row>
    <row r="29">
      <c r="A29" s="1496" t="n"/>
      <c r="B29" s="1382" t="n"/>
      <c r="C29" s="1390">
        <f>IF(Income!L3="","",Income!L3)</f>
        <v/>
      </c>
      <c r="D29" s="1365">
        <f>IF(Income!W3="","",Income!W3)</f>
        <v/>
      </c>
      <c r="E29" s="1362">
        <f>IF(Income!Z3="","",VLOOKUP(Income!Z3,[0]!GRADE,2))</f>
        <v/>
      </c>
      <c r="F29" s="1384" t="n"/>
      <c r="G29" s="1384" t="n"/>
      <c r="H29" s="1382" t="n"/>
    </row>
    <row r="30">
      <c r="A30" s="1496" t="n"/>
      <c r="B30" s="1391">
        <f>IF(Income!E3="","",Income!E3)</f>
        <v/>
      </c>
      <c r="C30" s="1389">
        <f>C28*(1-C29)*C31</f>
        <v/>
      </c>
      <c r="D30" s="1362">
        <f>IF(Income!X3="","",Income!X3)</f>
        <v/>
      </c>
      <c r="E30" s="1362">
        <f>IF(Income!AC3="","",VLOOKUP(Income!AC3,[0]!P_f,2))</f>
        <v/>
      </c>
      <c r="F30" s="1384" t="n"/>
      <c r="G30" s="1384" t="n"/>
      <c r="H30" s="1382" t="n"/>
    </row>
    <row r="31" ht="13.5" customHeight="1" thickBot="1">
      <c r="A31" s="1497" t="n"/>
      <c r="B31" s="1366">
        <f>IF(Income!G3="","",VLOOKUP(Income!G3,[0]!Class,2))</f>
        <v/>
      </c>
      <c r="C31" s="1390">
        <f>IF(Income!M3="","",Income!M3)</f>
        <v/>
      </c>
      <c r="D31" s="1365">
        <f>IF(Income!Y3="","",Income!Y3)</f>
        <v/>
      </c>
      <c r="E31" s="1362">
        <f>IF(Income!T3="","",Income!T3)</f>
        <v/>
      </c>
      <c r="F31" s="1378" t="n"/>
      <c r="G31" s="1387" t="n"/>
      <c r="H31" s="1388">
        <f>IF(C28="","",C28*(1+G31))</f>
        <v/>
      </c>
    </row>
    <row r="32" ht="14.25" customHeight="1" thickBot="1" thickTop="1">
      <c r="F32" s="563" t="n"/>
    </row>
    <row r="33" ht="13.5" customHeight="1" thickTop="1">
      <c r="A33" s="1381" t="inlineStr">
        <is>
          <t>#3</t>
        </is>
      </c>
      <c r="B33" s="1382" t="n"/>
      <c r="C33" s="1383">
        <f>IF(Income!K4="","",Income!K4)</f>
        <v/>
      </c>
      <c r="D33" s="1348">
        <f>IF(Income!H4="","",VLOOKUP(Income!H4,[0]!Location,2))</f>
        <v/>
      </c>
      <c r="E33" s="1348">
        <f>IF(Income!N4="","",Income!N4)</f>
        <v/>
      </c>
      <c r="F33" s="1384" t="n"/>
      <c r="G33" s="1384" t="n"/>
      <c r="H33" s="1382" t="n"/>
    </row>
    <row r="34">
      <c r="A34" s="1496" t="n"/>
      <c r="B34" s="1382" t="n"/>
      <c r="C34" s="1385">
        <f>IF(Income!L4="","",Income!L4)</f>
        <v/>
      </c>
      <c r="D34" s="1352">
        <f>IF(Income!W4="","",Income!W4)</f>
        <v/>
      </c>
      <c r="E34" s="1348">
        <f>IF(Income!Z4="","",VLOOKUP(Income!Z4,[0]!GRADE,2))</f>
        <v/>
      </c>
      <c r="F34" s="1384" t="n"/>
      <c r="G34" s="1384" t="n"/>
      <c r="H34" s="1382" t="n"/>
    </row>
    <row r="35">
      <c r="A35" s="1496" t="n"/>
      <c r="B35" s="1386">
        <f>IF(Income!E4="","",Income!E4)</f>
        <v/>
      </c>
      <c r="C35" s="1383">
        <f>C33*(1-C34)*C36</f>
        <v/>
      </c>
      <c r="D35" s="1348">
        <f>IF(Income!X4="","",Income!X4)</f>
        <v/>
      </c>
      <c r="E35" s="1348">
        <f>IF(Income!AC4="","",VLOOKUP(Income!AC4,[0]!P_f,2))</f>
        <v/>
      </c>
      <c r="F35" s="1384" t="n"/>
      <c r="G35" s="1384" t="n"/>
      <c r="H35" s="1382" t="n"/>
    </row>
    <row r="36" ht="13.5" customHeight="1" thickBot="1">
      <c r="A36" s="1497" t="n"/>
      <c r="B36" s="1356">
        <f>IF(Income!G4="","",VLOOKUP(Income!G4,[0]!Class,2))</f>
        <v/>
      </c>
      <c r="C36" s="1385">
        <f>IF(Income!M4="","",Income!M4)</f>
        <v/>
      </c>
      <c r="D36" s="1352">
        <f>IF(Income!Y4="","",Income!Y4)</f>
        <v/>
      </c>
      <c r="E36" s="1348">
        <f>IF(Income!T4="","",Income!T4)</f>
        <v/>
      </c>
      <c r="F36" s="1378" t="n"/>
      <c r="G36" s="1387" t="n"/>
      <c r="H36" s="1388">
        <f>IF(C33="","",C33*(1+G36))</f>
        <v/>
      </c>
    </row>
    <row r="37" ht="14.25" customHeight="1" thickBot="1" thickTop="1">
      <c r="F37" s="563" t="n"/>
    </row>
    <row r="38" ht="13.5" customHeight="1" thickTop="1">
      <c r="A38" s="1381" t="inlineStr">
        <is>
          <t>#4</t>
        </is>
      </c>
      <c r="B38" s="1382" t="n"/>
      <c r="C38" s="1389">
        <f>IF(Income!K5="","",Income!K5)</f>
        <v/>
      </c>
      <c r="D38" s="1362">
        <f>IF(Income!H5="","",VLOOKUP(Income!H5,[0]!Location,2))</f>
        <v/>
      </c>
      <c r="E38" s="1362">
        <f>IF(Income!N5="","",Income!N5)</f>
        <v/>
      </c>
      <c r="F38" s="1384" t="n"/>
      <c r="G38" s="1384" t="n"/>
      <c r="H38" s="1382" t="n"/>
    </row>
    <row r="39">
      <c r="A39" s="1496" t="n"/>
      <c r="B39" s="1382" t="n"/>
      <c r="C39" s="1390">
        <f>IF(Income!L5="","",Income!L5)</f>
        <v/>
      </c>
      <c r="D39" s="1365">
        <f>IF(Income!W5="","",Income!W5)</f>
        <v/>
      </c>
      <c r="E39" s="1362">
        <f>IF(Income!Z5="","",VLOOKUP(Income!Z5,[0]!GRADE,2))</f>
        <v/>
      </c>
      <c r="F39" s="1384" t="n"/>
      <c r="G39" s="1384" t="n"/>
      <c r="H39" s="1382" t="n"/>
    </row>
    <row r="40">
      <c r="A40" s="1496" t="n"/>
      <c r="B40" s="1391">
        <f>IF(Income!E5="","",Income!E5)</f>
        <v/>
      </c>
      <c r="C40" s="1389">
        <f>C38*(1-C39)*C41</f>
        <v/>
      </c>
      <c r="D40" s="1362">
        <f>IF(Income!X5="","",Income!X5)</f>
        <v/>
      </c>
      <c r="E40" s="1362">
        <f>IF(Income!AC5="","",VLOOKUP(Income!AC5,[0]!P_f,2))</f>
        <v/>
      </c>
      <c r="F40" s="1384" t="n"/>
      <c r="G40" s="1384" t="n"/>
      <c r="H40" s="1382" t="n"/>
    </row>
    <row r="41" ht="13.5" customHeight="1" thickBot="1">
      <c r="A41" s="1497" t="n"/>
      <c r="B41" s="1366">
        <f>IF(Income!G5="","",VLOOKUP(Income!G5,[0]!Class,2))</f>
        <v/>
      </c>
      <c r="C41" s="1390">
        <f>IF(Income!M5="","",Income!M5)</f>
        <v/>
      </c>
      <c r="D41" s="1365">
        <f>IF(Income!Y5="","",Income!Y5)</f>
        <v/>
      </c>
      <c r="E41" s="1362">
        <f>IF(Income!T5="","",Income!T5)</f>
        <v/>
      </c>
      <c r="F41" s="1378" t="n"/>
      <c r="G41" s="1387" t="n"/>
      <c r="H41" s="1388">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fitToWidth="1"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1F4E78"/>
    <outlinePr summaryBelow="1" summaryRight="1"/>
    <pageSetUpPr autoPageBreaks="0" fitToPage="1"/>
  </sheetPr>
  <dimension ref="A1:Z74"/>
  <sheetViews>
    <sheetView showGridLines="0"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2" customWidth="1" style="162" min="5" max="5"/>
    <col width="6" customWidth="1" style="162" min="6" max="6"/>
    <col width="7" customWidth="1" style="162" min="7" max="7"/>
    <col width="10" customWidth="1" style="162" min="8" max="8"/>
    <col width="2.2" customWidth="1" style="162" min="9" max="9"/>
    <col width="8" customWidth="1" style="162" min="10" max="10"/>
    <col width="11" customWidth="1" style="162" min="11" max="11"/>
    <col width="8" customWidth="1" style="162" min="12" max="12"/>
    <col width="12.5" customWidth="1" style="162" min="13" max="16384"/>
    <col hidden="1" width="6" customWidth="1" min="25" max="25"/>
    <col hidden="1" width="13" customWidth="1" min="26" max="26"/>
  </cols>
  <sheetData>
    <row r="1" ht="24" customHeight="1">
      <c r="A1" s="1498" t="inlineStr">
        <is>
          <t>APPEAL WORKSHEET</t>
        </is>
      </c>
      <c r="B1" s="1498" t="n"/>
      <c r="C1" s="1498" t="n"/>
      <c r="D1" s="1498" t="n"/>
      <c r="E1" s="1498" t="n"/>
      <c r="F1" s="1498" t="n"/>
      <c r="G1" s="1498" t="n"/>
      <c r="H1" s="1498" t="n"/>
      <c r="I1" s="1498" t="n"/>
      <c r="J1" s="1498" t="n"/>
      <c r="K1" s="1498" t="n"/>
      <c r="L1" s="1498" t="n"/>
      <c r="M1" s="1498" t="n"/>
    </row>
    <row r="2">
      <c r="A2" s="1499" t="inlineStr">
        <is>
          <t>ACCOUNT / SCHEDULE NUMBER</t>
        </is>
      </c>
      <c r="D2" s="1485" t="n"/>
      <c r="E2" s="1512" t="n"/>
      <c r="F2" s="1512" t="n"/>
      <c r="G2" s="1512" t="n"/>
      <c r="H2" s="1511" t="n"/>
    </row>
    <row r="3">
      <c r="A3" s="1499" t="inlineStr">
        <is>
          <t>PROPERTY ADDRESS</t>
        </is>
      </c>
      <c r="D3" s="1501">
        <f>IF(Subj_Address="","",Subj_Address)</f>
        <v/>
      </c>
      <c r="E3" s="1512" t="n"/>
      <c r="F3" s="1512" t="n"/>
      <c r="G3" s="1512" t="n"/>
      <c r="H3" s="1511" t="n"/>
    </row>
    <row r="4">
      <c r="A4" s="1499" t="inlineStr">
        <is>
          <t>PROTEST NUMBER</t>
        </is>
      </c>
      <c r="D4" s="1485" t="n"/>
      <c r="E4" s="1512" t="n"/>
      <c r="F4" s="1512" t="n"/>
      <c r="G4" s="1512" t="n"/>
      <c r="H4" s="1511" t="n"/>
    </row>
    <row r="5">
      <c r="A5" s="1499" t="inlineStr">
        <is>
          <t>PETITIONER'S NAME</t>
        </is>
      </c>
      <c r="D5" s="1485" t="n"/>
      <c r="E5" s="1512" t="n"/>
      <c r="F5" s="1512" t="n"/>
      <c r="G5" s="1512" t="n"/>
      <c r="H5" s="1511" t="n"/>
    </row>
    <row r="7">
      <c r="A7" s="1499" t="inlineStr">
        <is>
          <t>ASSESSOR'S REMARKS:</t>
        </is>
      </c>
    </row>
    <row r="8">
      <c r="A8" s="1502" t="n"/>
      <c r="B8" s="1503" t="n"/>
      <c r="C8" s="1503" t="n"/>
      <c r="D8" s="1503" t="n"/>
      <c r="E8" s="1503" t="n"/>
      <c r="F8" s="1503" t="n"/>
      <c r="G8" s="1503" t="n"/>
      <c r="H8" s="1503" t="n"/>
      <c r="I8" s="1503" t="n"/>
      <c r="J8" s="1503" t="n"/>
      <c r="K8" s="1503" t="n"/>
      <c r="L8" s="1503" t="n"/>
      <c r="M8" s="1504" t="n"/>
    </row>
    <row r="9">
      <c r="A9" s="1505" t="n"/>
      <c r="M9" s="1506" t="n"/>
    </row>
    <row r="10">
      <c r="A10" s="1505" t="n"/>
      <c r="M10" s="1506" t="n"/>
    </row>
    <row r="11">
      <c r="A11" s="1505" t="n"/>
      <c r="M11" s="1506" t="n"/>
    </row>
    <row r="12">
      <c r="A12" s="1505" t="n"/>
      <c r="M12" s="1506" t="n"/>
    </row>
    <row r="13">
      <c r="A13" s="1505" t="n"/>
      <c r="M13" s="1506" t="n"/>
    </row>
    <row r="14">
      <c r="A14" s="1505" t="n"/>
      <c r="M14" s="1506" t="n"/>
    </row>
    <row r="15">
      <c r="A15" s="1505" t="n"/>
      <c r="M15" s="1506" t="n"/>
    </row>
    <row r="16">
      <c r="A16" s="1505" t="n"/>
      <c r="M16" s="1506" t="n"/>
    </row>
    <row r="17">
      <c r="A17" s="1505" t="n"/>
      <c r="M17" s="1506" t="n"/>
    </row>
    <row r="18">
      <c r="A18" s="1505" t="n"/>
      <c r="M18" s="1506" t="n"/>
    </row>
    <row r="19">
      <c r="A19" s="1505" t="n"/>
      <c r="M19" s="1506" t="n"/>
    </row>
    <row r="20">
      <c r="A20" s="1507" t="n"/>
      <c r="B20" s="1508" t="n"/>
      <c r="C20" s="1508" t="n"/>
      <c r="D20" s="1508" t="n"/>
      <c r="E20" s="1508" t="n"/>
      <c r="F20" s="1508" t="n"/>
      <c r="G20" s="1508" t="n"/>
      <c r="H20" s="1508" t="n"/>
      <c r="I20" s="1508" t="n"/>
      <c r="J20" s="1508" t="n"/>
      <c r="K20" s="1508" t="n"/>
      <c r="L20" s="1508" t="n"/>
      <c r="M20" s="1509" t="n"/>
    </row>
    <row r="22">
      <c r="A22" s="1499" t="inlineStr">
        <is>
          <t>VALUE CONCLUSIONS:</t>
        </is>
      </c>
    </row>
    <row r="23">
      <c r="A23" s="1502" t="n"/>
      <c r="B23" s="1503" t="n"/>
      <c r="C23" s="1503" t="n"/>
      <c r="D23" s="1503" t="n"/>
      <c r="E23" s="1503" t="n"/>
      <c r="F23" s="1503" t="n"/>
      <c r="G23" s="1503" t="n"/>
      <c r="H23" s="1503" t="n"/>
      <c r="I23" s="1503" t="n"/>
      <c r="J23" s="1503" t="n"/>
      <c r="K23" s="1503" t="n"/>
      <c r="L23" s="1503" t="n"/>
      <c r="M23" s="1504" t="n"/>
    </row>
    <row r="24">
      <c r="A24" s="1505" t="n"/>
      <c r="M24" s="1506" t="n"/>
    </row>
    <row r="25">
      <c r="A25" s="1505" t="n"/>
      <c r="M25" s="1506" t="n"/>
    </row>
    <row r="26">
      <c r="A26" s="1505" t="n"/>
      <c r="M26" s="1506" t="n"/>
    </row>
    <row r="27">
      <c r="A27" s="1505" t="n"/>
      <c r="M27" s="1506" t="n"/>
    </row>
    <row r="28">
      <c r="A28" s="1505" t="n"/>
      <c r="M28" s="1506" t="n"/>
    </row>
    <row r="29">
      <c r="A29" s="1505" t="n"/>
      <c r="M29" s="1506" t="n"/>
    </row>
    <row r="30">
      <c r="A30" s="1505" t="n"/>
      <c r="M30" s="1506" t="n"/>
    </row>
    <row r="31">
      <c r="A31" s="1505" t="n"/>
      <c r="M31" s="1506" t="n"/>
    </row>
    <row r="32">
      <c r="A32" s="1505" t="n"/>
      <c r="M32" s="1506" t="n"/>
    </row>
    <row r="33">
      <c r="A33" s="1507" t="n"/>
      <c r="B33" s="1508" t="n"/>
      <c r="C33" s="1508" t="n"/>
      <c r="D33" s="1508" t="n"/>
      <c r="E33" s="1508" t="n"/>
      <c r="F33" s="1508" t="n"/>
      <c r="G33" s="1508" t="n"/>
      <c r="H33" s="1508" t="n"/>
      <c r="I33" s="1508" t="n"/>
      <c r="J33" s="1508" t="n"/>
      <c r="K33" s="1508" t="n"/>
      <c r="L33" s="1508" t="n"/>
      <c r="M33" s="1509" t="n"/>
    </row>
    <row r="35">
      <c r="A35" s="1499" t="inlineStr">
        <is>
          <t>BASIS OF RECOMMENDATION / HEARING NOTES:</t>
        </is>
      </c>
    </row>
    <row r="36">
      <c r="A36" s="1502" t="n"/>
      <c r="B36" s="1503" t="n"/>
      <c r="C36" s="1503" t="n"/>
      <c r="D36" s="1503" t="n"/>
      <c r="E36" s="1503" t="n"/>
      <c r="F36" s="1503" t="n"/>
      <c r="G36" s="1503" t="n"/>
      <c r="H36" s="1503" t="n"/>
      <c r="I36" s="1503" t="n"/>
      <c r="J36" s="1503" t="n"/>
      <c r="K36" s="1503" t="n"/>
      <c r="L36" s="1503" t="n"/>
      <c r="M36" s="1504" t="n"/>
    </row>
    <row r="37">
      <c r="A37" s="1505" t="n"/>
      <c r="M37" s="1506" t="n"/>
    </row>
    <row r="38">
      <c r="A38" s="1505" t="n"/>
      <c r="M38" s="1506" t="n"/>
    </row>
    <row r="39">
      <c r="A39" s="1505" t="n"/>
      <c r="M39" s="1506" t="n"/>
    </row>
    <row r="40">
      <c r="A40" s="1505" t="n"/>
      <c r="M40" s="1506" t="n"/>
    </row>
    <row r="41">
      <c r="A41" s="1505" t="n"/>
      <c r="M41" s="1506" t="n"/>
    </row>
    <row r="42">
      <c r="A42" s="1505" t="n"/>
      <c r="M42" s="1506" t="n"/>
    </row>
    <row r="43">
      <c r="A43" s="1505" t="n"/>
      <c r="M43" s="1506" t="n"/>
    </row>
    <row r="44">
      <c r="A44" s="1505" t="n"/>
      <c r="M44" s="1506" t="n"/>
    </row>
    <row r="45">
      <c r="A45" s="1505" t="n"/>
      <c r="M45" s="1506" t="n"/>
    </row>
    <row r="46">
      <c r="A46" s="1507" t="n"/>
      <c r="B46" s="1508" t="n"/>
      <c r="C46" s="1508" t="n"/>
      <c r="D46" s="1508" t="n"/>
      <c r="E46" s="1508" t="n"/>
      <c r="F46" s="1508" t="n"/>
      <c r="G46" s="1508" t="n"/>
      <c r="H46" s="1508" t="n"/>
      <c r="I46" s="1508" t="n"/>
      <c r="J46" s="1508" t="n"/>
      <c r="K46" s="1508" t="n"/>
      <c r="L46" s="1508" t="n"/>
      <c r="M46" s="1509" t="n"/>
    </row>
    <row r="47">
      <c r="A47" s="1510" t="inlineStr">
        <is>
          <t>VALUE REVIEW</t>
        </is>
      </c>
      <c r="B47" s="1510" t="n"/>
      <c r="C47" s="1510" t="n"/>
      <c r="D47" s="1510" t="n"/>
      <c r="E47" s="1510" t="n"/>
      <c r="F47" s="1510" t="n"/>
      <c r="G47" s="1510" t="n"/>
      <c r="H47" s="1510" t="n"/>
      <c r="I47" s="1510" t="n"/>
      <c r="J47" s="1510" t="n"/>
      <c r="K47" s="1510" t="n"/>
      <c r="L47" s="1510" t="n"/>
      <c r="M47" s="1510" t="n"/>
    </row>
    <row r="48">
      <c r="C48" s="1392" t="inlineStr">
        <is>
          <t>Value Prior To Review</t>
        </is>
      </c>
      <c r="D48" s="1511" t="n"/>
      <c r="E48" s="1392" t="n"/>
      <c r="F48" s="1392" t="inlineStr">
        <is>
          <t>Recommended Value</t>
        </is>
      </c>
      <c r="G48" s="1512" t="n"/>
      <c r="H48" s="1511" t="n"/>
      <c r="I48" s="1276" t="n"/>
      <c r="J48" s="1392" t="inlineStr">
        <is>
          <t>Value Reduction</t>
        </is>
      </c>
      <c r="K48" s="1511" t="n"/>
    </row>
    <row r="49">
      <c r="A49" s="1393" t="inlineStr">
        <is>
          <t>Land</t>
        </is>
      </c>
      <c r="C49" s="1394" t="n"/>
      <c r="D49" s="1513" t="n"/>
      <c r="E49" s="1396" t="n"/>
      <c r="F49" s="1394" t="n"/>
      <c r="G49" s="1514" t="n"/>
      <c r="H49" s="1513" t="n"/>
      <c r="I49" s="1271" t="n"/>
      <c r="J49" s="1397">
        <f>F49-C49</f>
        <v/>
      </c>
      <c r="K49" s="1511" t="n"/>
    </row>
    <row r="50">
      <c r="A50" s="1399" t="inlineStr">
        <is>
          <t>Imp(s)</t>
        </is>
      </c>
      <c r="C50" s="1394" t="n"/>
      <c r="D50" s="1513" t="n"/>
      <c r="E50" s="1396" t="n"/>
      <c r="F50" s="1394" t="n"/>
      <c r="G50" s="1514" t="n"/>
      <c r="H50" s="1513" t="n"/>
      <c r="I50" s="1271" t="n"/>
      <c r="J50" s="1397">
        <f>F50-C50</f>
        <v/>
      </c>
      <c r="K50" s="1511" t="n"/>
    </row>
    <row r="51">
      <c r="A51" s="1393" t="inlineStr">
        <is>
          <t>Total</t>
        </is>
      </c>
      <c r="C51" s="1400">
        <f>C50+C49</f>
        <v/>
      </c>
      <c r="D51" s="1511" t="n"/>
      <c r="E51" s="1396" t="n"/>
      <c r="F51" s="1401">
        <f>F50+F49</f>
        <v/>
      </c>
      <c r="G51" s="1512" t="n"/>
      <c r="H51" s="1511" t="n"/>
      <c r="I51" s="1271" t="n"/>
      <c r="J51" s="1397">
        <f>F51-C51</f>
        <v/>
      </c>
      <c r="K51" s="1511" t="n"/>
    </row>
    <row r="54" ht="19.9" customHeight="1">
      <c r="A54" s="1393" t="inlineStr">
        <is>
          <t>Appraiser</t>
        </is>
      </c>
      <c r="B54" s="1402" t="n"/>
      <c r="C54" s="1403" t="n"/>
      <c r="D54" s="1404" t="n"/>
      <c r="F54" s="500" t="n"/>
    </row>
    <row r="55" ht="19.9" customHeight="1">
      <c r="A55" s="1405" t="inlineStr">
        <is>
          <t>Supervisor</t>
        </is>
      </c>
      <c r="B55" s="1402" t="n"/>
      <c r="C55" s="1402" t="n"/>
      <c r="D55" s="1402" t="n"/>
      <c r="E55" s="168" t="n"/>
      <c r="F55" s="168" t="n"/>
    </row>
    <row r="56" ht="19.9" customHeight="1">
      <c r="A56" s="1406" t="inlineStr">
        <is>
          <t>Deputy Assessor</t>
        </is>
      </c>
      <c r="B56" s="1402" t="n"/>
      <c r="C56" s="1402" t="n"/>
      <c r="D56" s="1402" t="n"/>
      <c r="E56" s="500" t="n"/>
      <c r="F56" s="500" t="n"/>
    </row>
    <row r="57" ht="19.9" customHeight="1"/>
    <row r="58" ht="19.9" customHeight="1"/>
    <row r="59" ht="19.9" customHeight="1"/>
    <row r="60" ht="17" customHeight="1">
      <c r="A60" s="1407" t="inlineStr">
        <is>
          <t>MARKET RENT COMPARABLES</t>
        </is>
      </c>
      <c r="B60" s="1408" t="n"/>
      <c r="C60" s="1408" t="n"/>
      <c r="D60" s="1408" t="n"/>
      <c r="E60" s="1408" t="n"/>
      <c r="F60" s="1408" t="n"/>
      <c r="G60" s="1408" t="n"/>
      <c r="H60" s="1409" t="inlineStr">
        <is>
          <t>BUILDING</t>
        </is>
      </c>
      <c r="I60" s="1409" t="n"/>
      <c r="J60" s="1409" t="n"/>
      <c r="K60" s="1409" t="n"/>
      <c r="L60" s="1410" t="inlineStr">
        <is>
          <t>EXP</t>
        </is>
      </c>
      <c r="M60" s="1322" t="n"/>
    </row>
    <row r="61">
      <c r="A61" s="1411" t="n"/>
      <c r="B61" s="1411" t="inlineStr">
        <is>
          <t>MAP</t>
        </is>
      </c>
      <c r="C61" s="1411" t="inlineStr">
        <is>
          <t>USE TYPE</t>
        </is>
      </c>
      <c r="D61" s="1411" t="n"/>
      <c r="E61" s="1411" t="n"/>
      <c r="F61" s="1411" t="inlineStr">
        <is>
          <t>ZONE</t>
        </is>
      </c>
      <c r="G61" s="1411" t="inlineStr">
        <is>
          <t>YOC</t>
        </is>
      </c>
      <c r="H61" s="1392" t="inlineStr">
        <is>
          <t>SQ FT</t>
        </is>
      </c>
      <c r="I61" s="1392" t="n"/>
      <c r="J61" s="1392" t="inlineStr">
        <is>
          <t>RENT</t>
        </is>
      </c>
      <c r="K61" s="1411" t="inlineStr">
        <is>
          <t>VACANCY</t>
        </is>
      </c>
      <c r="L61" s="1392" t="inlineStr">
        <is>
          <t>RATIO</t>
        </is>
      </c>
      <c r="M61" s="1276" t="n"/>
    </row>
    <row r="62">
      <c r="A62" s="169" t="n"/>
      <c r="B62" s="1412" t="inlineStr">
        <is>
          <t>SUBJECT PROPERTY</t>
        </is>
      </c>
      <c r="C62" s="1413" t="n"/>
      <c r="D62" s="1413" t="n"/>
      <c r="E62" s="1413" t="n"/>
      <c r="F62" s="1414" t="n"/>
      <c r="G62" s="1414" t="n"/>
      <c r="H62" s="1415" t="n"/>
      <c r="I62" s="1415" t="n"/>
      <c r="J62" s="1415" t="n"/>
      <c r="K62" s="1415" t="n"/>
      <c r="L62" s="1415" t="n"/>
      <c r="M62" s="1271" t="n"/>
    </row>
    <row r="63">
      <c r="A63" s="173" t="n"/>
      <c r="B63" s="1416">
        <f>IF(D2="","",LEFT(D2,5))</f>
        <v/>
      </c>
      <c r="C63" s="1416">
        <f>IFERROR(INDEX(OCC_TABLE_DESC,MATCH(Subj_OccCode,OCC_TABLE_CODE,0)),"")</f>
        <v/>
      </c>
      <c r="D63" s="1513" t="n"/>
      <c r="E63" s="1396" t="n"/>
      <c r="F63" s="1417">
        <f>IF(Subj_Zoning="","",Subj_Zoning)</f>
        <v/>
      </c>
      <c r="G63" s="1417">
        <f>IF(Subj_YOC="","",Subj_YOC)</f>
        <v/>
      </c>
      <c r="H63" s="1515">
        <f>IF(Subj_BldgSF="","",Subj_BldgSF)</f>
        <v/>
      </c>
      <c r="I63" s="1396" t="n"/>
      <c r="J63" s="1516">
        <f>IF(WO!F11="","",WO!F11)</f>
        <v/>
      </c>
      <c r="K63" s="1420">
        <f>IF(WO!F12="","",WO!F12)</f>
        <v/>
      </c>
      <c r="L63" s="1420">
        <f>IF(WO!F13="","",WO!F13)</f>
        <v/>
      </c>
      <c r="M63" s="1271" t="n"/>
    </row>
    <row r="64">
      <c r="A64" s="1412" t="inlineStr">
        <is>
          <t>1)</t>
        </is>
      </c>
      <c r="B64" s="1421">
        <f>IF(Income!D$2="","",MID(Income!D2,1,5))</f>
        <v/>
      </c>
      <c r="C64" s="1421">
        <f>IF(Income!G$2="","",VLOOKUP(Income!G$2,[0]!Class,2))</f>
        <v/>
      </c>
      <c r="D64" s="1413" t="n"/>
      <c r="E64" s="1413" t="n"/>
      <c r="F64" s="1422">
        <f>IF(Income!T$2="","",Income!T$2)</f>
        <v/>
      </c>
      <c r="G64" s="1422">
        <f>IF(Income!N$2="","",Income!N$2)</f>
        <v/>
      </c>
      <c r="H64" s="1423">
        <f>IF(Income!J$2="","",Income!J$2)</f>
        <v/>
      </c>
      <c r="I64" s="1424" t="n"/>
      <c r="J64" s="1425">
        <f>IF(Income!K$2="","",Income!K$2)</f>
        <v/>
      </c>
      <c r="K64" s="1426">
        <f>IF(Income!L$2="","",Income!L$2)</f>
        <v/>
      </c>
      <c r="L64" s="1426">
        <f>IF(Income!M$2="","",Income!M$2)</f>
        <v/>
      </c>
      <c r="M64" s="1271" t="n"/>
    </row>
    <row r="65">
      <c r="A65" s="1412" t="inlineStr">
        <is>
          <t>2)</t>
        </is>
      </c>
      <c r="B65" s="1427">
        <f>IF(Income!D$3="","",MID(Income!D$3,1,5))</f>
        <v/>
      </c>
      <c r="C65" s="1427">
        <f>IF(Income!G$3="","",VLOOKUP(Income!G$3,[0]!Class,2))</f>
        <v/>
      </c>
      <c r="D65" s="1413" t="n"/>
      <c r="E65" s="1413" t="n"/>
      <c r="F65" s="1428">
        <f>IF(Income!T$3="","",Income!T$3)</f>
        <v/>
      </c>
      <c r="G65" s="1428">
        <f>IF(Income!N$3="","",Income!N$3)</f>
        <v/>
      </c>
      <c r="H65" s="1429">
        <f>IF(Income!J$3="","",Income!J$3)</f>
        <v/>
      </c>
      <c r="I65" s="1424" t="n"/>
      <c r="J65" s="1430">
        <f>IF(Income!K$3="","",Income!K$3)</f>
        <v/>
      </c>
      <c r="K65" s="1431">
        <f>IF(Income!L$3="","",Income!L$3)</f>
        <v/>
      </c>
      <c r="L65" s="1431">
        <f>IF(Income!M$3="","",Income!M$3)</f>
        <v/>
      </c>
      <c r="M65" s="1271" t="n"/>
    </row>
    <row r="66">
      <c r="A66" s="1412" t="inlineStr">
        <is>
          <t>3)</t>
        </is>
      </c>
      <c r="B66" s="1421">
        <f>IF(Income!D$4="","",MID(Income!D$4,1,5))</f>
        <v/>
      </c>
      <c r="C66" s="1421">
        <f>IF(Income!G$4="","",VLOOKUP(Income!G$4,[0]!Class,2))</f>
        <v/>
      </c>
      <c r="D66" s="1413" t="n"/>
      <c r="E66" s="1413" t="n"/>
      <c r="F66" s="1422">
        <f>IF(Income!T$4="","",Income!T$4)</f>
        <v/>
      </c>
      <c r="G66" s="1422">
        <f>IF(Income!N$4="","",Income!N$4)</f>
        <v/>
      </c>
      <c r="H66" s="1423">
        <f>IF(Income!J$4="","",Income!J$4)</f>
        <v/>
      </c>
      <c r="I66" s="1424" t="n"/>
      <c r="J66" s="1425">
        <f>IF(Income!K$4="","",Income!K$4)</f>
        <v/>
      </c>
      <c r="K66" s="1426">
        <f>IF(Income!L$4="","",Income!L$4)</f>
        <v/>
      </c>
      <c r="L66" s="1426">
        <f>IF(Income!M$4="","",Income!M$4)</f>
        <v/>
      </c>
      <c r="M66" s="1271" t="n"/>
    </row>
    <row r="67">
      <c r="A67" s="187" t="n"/>
      <c r="B67" s="187" t="n"/>
      <c r="C67" s="187" t="n"/>
      <c r="D67" s="187" t="n"/>
      <c r="E67" s="187" t="n"/>
    </row>
    <row r="68" ht="17" customHeight="1">
      <c r="A68" s="1407" t="inlineStr">
        <is>
          <t>MARKET SALE COMPARABLES</t>
        </is>
      </c>
      <c r="B68" s="1408" t="n"/>
      <c r="C68" s="1408" t="n"/>
      <c r="D68" s="1408" t="n"/>
      <c r="E68" s="1408" t="n"/>
      <c r="F68" s="1408" t="n"/>
      <c r="G68" s="1408" t="n"/>
      <c r="H68" s="1408" t="inlineStr">
        <is>
          <t>BUILDING</t>
        </is>
      </c>
      <c r="I68" s="1408" t="n"/>
      <c r="J68" s="1408" t="inlineStr">
        <is>
          <t>SALE</t>
        </is>
      </c>
      <c r="K68" s="1408" t="inlineStr">
        <is>
          <t>SALE</t>
        </is>
      </c>
      <c r="L68" s="1432" t="inlineStr">
        <is>
          <t>S.P./</t>
        </is>
      </c>
      <c r="M68" s="1322" t="n"/>
    </row>
    <row r="69">
      <c r="A69" s="1411" t="inlineStr">
        <is>
          <t>PROPERTY ADDRESS</t>
        </is>
      </c>
      <c r="B69" s="1411" t="n"/>
      <c r="C69" s="1411" t="n"/>
      <c r="D69" s="1411" t="inlineStr">
        <is>
          <t>SCHEDULE NUMBER</t>
        </is>
      </c>
      <c r="E69" s="1411" t="n"/>
      <c r="F69" s="1411" t="n"/>
      <c r="G69" s="1411" t="inlineStr">
        <is>
          <t>YOC</t>
        </is>
      </c>
      <c r="H69" s="1411" t="inlineStr">
        <is>
          <t>SQ FT</t>
        </is>
      </c>
      <c r="I69" s="1411" t="n"/>
      <c r="J69" s="1411" t="inlineStr">
        <is>
          <t>DATE</t>
        </is>
      </c>
      <c r="K69" s="1411" t="inlineStr">
        <is>
          <t>PRICE</t>
        </is>
      </c>
      <c r="L69" s="1411" t="inlineStr">
        <is>
          <t>SQ FT</t>
        </is>
      </c>
      <c r="M69" s="1276" t="inlineStr">
        <is>
          <t>OCC</t>
        </is>
      </c>
    </row>
    <row r="70">
      <c r="A70" s="173" t="n"/>
      <c r="B70" s="1412" t="inlineStr">
        <is>
          <t>SUBJECT PROPERTY</t>
        </is>
      </c>
      <c r="C70" s="1271" t="n"/>
      <c r="D70" s="1271" t="n"/>
      <c r="E70" s="1271" t="n"/>
      <c r="F70" s="1271" t="n"/>
      <c r="G70" s="1414" t="n"/>
      <c r="H70" s="1271" t="n"/>
      <c r="I70" s="1271" t="n"/>
      <c r="J70" s="1271" t="n"/>
      <c r="K70" s="1271" t="n"/>
      <c r="L70" s="1413" t="n"/>
      <c r="M70" s="1324" t="n"/>
    </row>
    <row r="71">
      <c r="A71" s="173" t="n"/>
      <c r="B71" s="1416">
        <f>IF(Subj_Address="","",Subj_Address)</f>
        <v/>
      </c>
      <c r="C71" s="1416" t="n"/>
      <c r="D71" s="1413">
        <f>IF(D2="","",D2)</f>
        <v/>
      </c>
      <c r="E71" s="1413" t="n"/>
      <c r="F71" s="1413" t="n"/>
      <c r="G71" s="1422">
        <f>G63</f>
        <v/>
      </c>
      <c r="H71" s="1423">
        <f>H63</f>
        <v/>
      </c>
      <c r="I71" s="1424" t="n"/>
      <c r="J71" s="1419" t="n"/>
      <c r="K71" s="1419" t="n"/>
      <c r="L71" s="1433">
        <f>IF(N(H71)=0,"",ROUND(F51/H71,2))</f>
        <v/>
      </c>
      <c r="M71" s="1324">
        <f>IF(Subj_OccCode="","",Subj_OccCode)</f>
        <v/>
      </c>
    </row>
    <row r="72">
      <c r="A72" s="1412" t="inlineStr">
        <is>
          <t>Best Match 1)</t>
        </is>
      </c>
      <c r="B72" s="1421">
        <f>IF(IFERROR(INDEX(Sales!D:D,$Z$72),"")="","",IFERROR(INDEX(Sales!D:D,$Z$72),""))</f>
        <v/>
      </c>
      <c r="C72" s="1413" t="n"/>
      <c r="D72" s="1421">
        <f>IF(IFERROR(INDEX(Sales!C:C,$Z$72),"")="","",IFERROR(INDEX(Sales!C:C,$Z$72),""))</f>
        <v/>
      </c>
      <c r="E72" s="1413" t="n"/>
      <c r="F72" s="1413" t="n"/>
      <c r="G72" s="1422">
        <f>IF(IFERROR(INDEX(Sales!M:M,$Z$72),"")="","",IFERROR(INDEX(Sales!M:M,$Z$72),""))</f>
        <v/>
      </c>
      <c r="H72" s="1423">
        <f>IF(IFERROR(INDEX(Sales!L:L,$Z$72),"")="","",IFERROR(INDEX(Sales!L:L,$Z$72),""))</f>
        <v/>
      </c>
      <c r="I72" s="1424" t="n"/>
      <c r="J72" s="1434">
        <f>IF(IFERROR(INDEX(Sales!I:I,$Z$72),"")="","",IFERROR(INDEX(Sales!I:I,$Z$72),""))</f>
        <v/>
      </c>
      <c r="K72" s="1435">
        <f>IF(IFERROR(INDEX(Sales!AA:AA,$Z$72),"")="","",IFERROR(INDEX(Sales!AA:AA,$Z$72),""))</f>
        <v/>
      </c>
      <c r="L72" s="1425">
        <f>IF(IFERROR(INDEX(Sales!H:H,$Z$72),"")="","",IFERROR(INDEX(Sales!H:H,$Z$72),""))</f>
        <v/>
      </c>
      <c r="M72" s="1324">
        <f>IF(IFERROR(INDEX(Sales!E:E,$Z$72),"")="","",IFERROR(INDEX(Sales!E:E,$Z$72),""))</f>
        <v/>
      </c>
      <c r="Y72" s="1031" t="n">
        <v>1</v>
      </c>
      <c r="Z72">
        <f>IFERROR(MATCH(_xlfn.AGGREGATE(15,6,Sales!$AJ$2:$AJ$941,$Y$72),Sales!$AJ$2:$AJ$941,0)+1,"")</f>
        <v/>
      </c>
    </row>
    <row r="73">
      <c r="A73" s="1412" t="inlineStr">
        <is>
          <t>Best Match 2)</t>
        </is>
      </c>
      <c r="B73" s="1427">
        <f>IF(IFERROR(INDEX(Sales!D:D,$Z$73),"")="","",IFERROR(INDEX(Sales!D:D,$Z$73),""))</f>
        <v/>
      </c>
      <c r="C73" s="1413" t="n"/>
      <c r="D73" s="1427">
        <f>IF(IFERROR(INDEX(Sales!C:C,$Z$73),"")="","",IFERROR(INDEX(Sales!C:C,$Z$73),""))</f>
        <v/>
      </c>
      <c r="E73" s="1413" t="n"/>
      <c r="F73" s="1413" t="n"/>
      <c r="G73" s="1428">
        <f>IF(IFERROR(INDEX(Sales!M:M,$Z$73),"")="","",IFERROR(INDEX(Sales!M:M,$Z$73),""))</f>
        <v/>
      </c>
      <c r="H73" s="1429">
        <f>IF(IFERROR(INDEX(Sales!L:L,$Z$73),"")="","",IFERROR(INDEX(Sales!L:L,$Z$73),""))</f>
        <v/>
      </c>
      <c r="I73" s="1424" t="n"/>
      <c r="J73" s="1436">
        <f>IF(IFERROR(INDEX(Sales!I:I,$Z$73),"")="","",IFERROR(INDEX(Sales!I:I,$Z$73),""))</f>
        <v/>
      </c>
      <c r="K73" s="1437">
        <f>IF(IFERROR(INDEX(Sales!AA:AA,$Z$73),"")="","",IFERROR(INDEX(Sales!AA:AA,$Z$73),""))</f>
        <v/>
      </c>
      <c r="L73" s="1430">
        <f>IF(IFERROR(INDEX(Sales!H:H,$Z$73),"")="","",IFERROR(INDEX(Sales!H:H,$Z$73),""))</f>
        <v/>
      </c>
      <c r="M73" s="1306">
        <f>IF(IFERROR(INDEX(Sales!E:E,$Z$73),"")="","",IFERROR(INDEX(Sales!E:E,$Z$73),""))</f>
        <v/>
      </c>
      <c r="Y73" s="1031" t="n">
        <v>2</v>
      </c>
      <c r="Z73">
        <f>IFERROR(MATCH(_xlfn.AGGREGATE(15,6,Sales!$AJ$2:$AJ$941,$Y$73),Sales!$AJ$2:$AJ$941,0)+1,"")</f>
        <v/>
      </c>
    </row>
    <row r="74">
      <c r="A74" s="1412" t="inlineStr">
        <is>
          <t>Best Match 3)</t>
        </is>
      </c>
      <c r="B74" s="1421">
        <f>IF(IFERROR(INDEX(Sales!D:D,$Z$74),"")="","",IFERROR(INDEX(Sales!D:D,$Z$74),""))</f>
        <v/>
      </c>
      <c r="C74" s="1413" t="n"/>
      <c r="D74" s="1421">
        <f>IF(IFERROR(INDEX(Sales!C:C,$Z$74),"")="","",IFERROR(INDEX(Sales!C:C,$Z$74),""))</f>
        <v/>
      </c>
      <c r="E74" s="1413" t="n"/>
      <c r="F74" s="1413" t="n"/>
      <c r="G74" s="1422">
        <f>IF(IFERROR(INDEX(Sales!M:M,$Z$74),"")="","",IFERROR(INDEX(Sales!M:M,$Z$74),""))</f>
        <v/>
      </c>
      <c r="H74" s="1423">
        <f>IF(IFERROR(INDEX(Sales!L:L,$Z$74),"")="","",IFERROR(INDEX(Sales!L:L,$Z$74),""))</f>
        <v/>
      </c>
      <c r="I74" s="1424" t="n"/>
      <c r="J74" s="1434">
        <f>IF(IFERROR(INDEX(Sales!I:I,$Z$74),"")="","",IFERROR(INDEX(Sales!I:I,$Z$74),""))</f>
        <v/>
      </c>
      <c r="K74" s="1435">
        <f>IF(IFERROR(INDEX(Sales!AA:AA,$Z$74),"")="","",IFERROR(INDEX(Sales!AA:AA,$Z$74),""))</f>
        <v/>
      </c>
      <c r="L74" s="1425">
        <f>IF(IFERROR(INDEX(Sales!H:H,$Z$74),"")="","",IFERROR(INDEX(Sales!H:H,$Z$74),""))</f>
        <v/>
      </c>
      <c r="M74" s="1324">
        <f>IF(IFERROR(INDEX(Sales!E:E,$Z$74),"")="","",IFERROR(INDEX(Sales!E:E,$Z$74),""))</f>
        <v/>
      </c>
      <c r="Y74" s="1031"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fitToWidth="1"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1F4E78"/>
    <outlinePr summaryBelow="1" summaryRight="1"/>
    <pageSetUpPr fitToPage="1"/>
  </sheetPr>
  <dimension ref="A1:Z48"/>
  <sheetViews>
    <sheetView showGridLines="0" workbookViewId="0">
      <selection activeCell="P15" sqref="P15"/>
    </sheetView>
  </sheetViews>
  <sheetFormatPr baseColWidth="8" defaultColWidth="11.5" defaultRowHeight="12.75"/>
  <cols>
    <col width="30" customWidth="1" style="203" min="1" max="1"/>
    <col width="18" customWidth="1" style="203" min="2" max="2"/>
    <col width="10" customWidth="1" style="203" min="3" max="3"/>
    <col width="16" customWidth="1" style="203" min="4" max="4"/>
    <col width="7" customWidth="1" style="203" min="5" max="5"/>
    <col width="6" customWidth="1" style="203" min="6" max="6"/>
    <col width="11" customWidth="1" style="203" min="7" max="7"/>
    <col width="8" customWidth="1" style="203" min="8" max="8"/>
    <col width="11" customWidth="1" style="203" min="9" max="9"/>
    <col width="9" customWidth="1" style="203" min="10" max="10"/>
    <col width="8" customWidth="1" style="203" min="11" max="11"/>
    <col width="11" customWidth="1" style="203" min="12" max="16384"/>
    <col hidden="1" width="6" customWidth="1" min="25" max="25"/>
    <col hidden="1" width="13" customWidth="1" min="26" max="26"/>
  </cols>
  <sheetData>
    <row r="1" ht="24" customHeight="1">
      <c r="A1" s="1438" t="inlineStr">
        <is>
          <t>2025 APPEAL WORKSHEET</t>
        </is>
      </c>
      <c r="B1" s="1438" t="n"/>
      <c r="C1" s="1438" t="n"/>
      <c r="D1" s="1438" t="n"/>
      <c r="E1" s="1438" t="n"/>
      <c r="F1" s="1438" t="n"/>
      <c r="G1" s="1438" t="n"/>
      <c r="H1" s="1438" t="n"/>
      <c r="I1" s="1438" t="n"/>
      <c r="J1" s="1438" t="n"/>
      <c r="K1" s="1438" t="n"/>
    </row>
    <row r="2" ht="16.15" customHeight="1">
      <c r="A2" s="1439" t="inlineStr">
        <is>
          <t>ACCOUNT NUMBER</t>
        </is>
      </c>
      <c r="D2" s="1440" t="inlineStr">
        <is>
          <t> </t>
        </is>
      </c>
      <c r="E2" s="1441" t="n"/>
      <c r="F2" s="1441" t="n"/>
      <c r="G2" s="204" t="n"/>
      <c r="H2" s="204" t="n"/>
    </row>
    <row r="3" ht="16.15" customHeight="1">
      <c r="A3" s="1439" t="inlineStr">
        <is>
          <t>PROPERTY ADDRESS</t>
        </is>
      </c>
      <c r="D3" s="1440" t="inlineStr">
        <is>
          <t> </t>
        </is>
      </c>
      <c r="E3" s="1441" t="n"/>
      <c r="F3" s="1441" t="n"/>
      <c r="G3" s="205" t="n"/>
      <c r="H3" s="205" t="n"/>
    </row>
    <row r="4" ht="16.15" customHeight="1">
      <c r="A4" s="1439" t="inlineStr">
        <is>
          <t>PROTEST NUMBER</t>
        </is>
      </c>
      <c r="D4" s="1440" t="inlineStr">
        <is>
          <t> </t>
        </is>
      </c>
      <c r="E4" s="1441" t="n"/>
      <c r="F4" s="1441" t="n"/>
      <c r="G4" s="205" t="n"/>
      <c r="H4" s="205" t="n"/>
    </row>
    <row r="5" ht="16.15" customHeight="1">
      <c r="A5" s="1439" t="inlineStr">
        <is>
          <t>PETITIONER'S NAME</t>
        </is>
      </c>
      <c r="D5" s="1440" t="inlineStr">
        <is>
          <t> </t>
        </is>
      </c>
      <c r="E5" s="1441" t="n"/>
      <c r="F5" s="1441" t="n"/>
      <c r="G5" s="205" t="n"/>
      <c r="H5" s="205" t="n"/>
    </row>
    <row r="7" ht="15.75" customHeight="1">
      <c r="A7" s="1442" t="inlineStr">
        <is>
          <t>ASSESSOR'S REMARKS:</t>
        </is>
      </c>
    </row>
    <row r="8">
      <c r="A8" s="1443" t="inlineStr">
        <is>
          <t> </t>
        </is>
      </c>
      <c r="B8" s="1503" t="n"/>
      <c r="C8" s="1503" t="n"/>
      <c r="D8" s="1503" t="n"/>
      <c r="E8" s="1503" t="n"/>
      <c r="F8" s="1503" t="n"/>
      <c r="G8" s="1503" t="n"/>
      <c r="H8" s="1503" t="n"/>
      <c r="I8" s="1503" t="n"/>
      <c r="J8" s="1503" t="n"/>
      <c r="K8" s="1504" t="n"/>
    </row>
    <row r="9">
      <c r="A9" s="1505" t="n"/>
      <c r="K9" s="1506" t="n"/>
    </row>
    <row r="10">
      <c r="A10" s="1505" t="n"/>
      <c r="K10" s="1506" t="n"/>
    </row>
    <row r="11">
      <c r="A11" s="1505" t="n"/>
      <c r="K11" s="1506" t="n"/>
    </row>
    <row r="12">
      <c r="A12" s="1505" t="n"/>
      <c r="K12" s="1506" t="n"/>
    </row>
    <row r="13">
      <c r="A13" s="1505" t="n"/>
      <c r="K13" s="1506" t="n"/>
    </row>
    <row r="14">
      <c r="A14" s="1505" t="n"/>
      <c r="K14" s="1506" t="n"/>
    </row>
    <row r="15">
      <c r="A15" s="1507" t="n"/>
      <c r="B15" s="1508" t="n"/>
      <c r="C15" s="1508" t="n"/>
      <c r="D15" s="1508" t="n"/>
      <c r="E15" s="1508" t="n"/>
      <c r="F15" s="1508" t="n"/>
      <c r="G15" s="1508" t="n"/>
      <c r="H15" s="1508" t="n"/>
      <c r="I15" s="1508" t="n"/>
      <c r="J15" s="1508" t="n"/>
      <c r="K15" s="1509" t="n"/>
    </row>
    <row r="18" ht="17" customHeight="1">
      <c r="A18" s="1452" t="inlineStr">
        <is>
          <t>MARKET RENT COMPARABLES</t>
        </is>
      </c>
      <c r="B18" s="1453" t="n"/>
      <c r="C18" s="1453" t="n"/>
      <c r="D18" s="1453" t="n"/>
      <c r="E18" s="1453" t="n"/>
      <c r="F18" s="1453" t="n"/>
      <c r="G18" s="1453" t="n"/>
      <c r="H18" s="1454" t="inlineStr">
        <is>
          <t>BUILDING</t>
        </is>
      </c>
      <c r="I18" s="1454" t="n"/>
      <c r="J18" s="1454" t="n"/>
      <c r="K18" s="1455" t="inlineStr">
        <is>
          <t>EXP</t>
        </is>
      </c>
    </row>
    <row r="19" ht="15" customHeight="1">
      <c r="A19" s="1456" t="n"/>
      <c r="B19" s="1457" t="inlineStr">
        <is>
          <t>OFFICE</t>
        </is>
      </c>
      <c r="C19" s="1456" t="inlineStr">
        <is>
          <t>USE TYPE</t>
        </is>
      </c>
      <c r="D19" s="1456" t="n"/>
      <c r="E19" s="1456" t="n"/>
      <c r="F19" s="1456" t="inlineStr">
        <is>
          <t>ZONE</t>
        </is>
      </c>
      <c r="G19" s="1457" t="inlineStr">
        <is>
          <t>YOC</t>
        </is>
      </c>
      <c r="H19" s="1457" t="inlineStr">
        <is>
          <t>SQ FT</t>
        </is>
      </c>
      <c r="I19" s="1456" t="inlineStr">
        <is>
          <t>RENT</t>
        </is>
      </c>
      <c r="J19" s="1456" t="inlineStr">
        <is>
          <t>VACANCY</t>
        </is>
      </c>
      <c r="K19" s="1457" t="inlineStr">
        <is>
          <t>RATIO</t>
        </is>
      </c>
    </row>
    <row r="20" ht="16.5" customHeight="1">
      <c r="A20" s="207" t="n"/>
      <c r="B20" s="1458" t="inlineStr">
        <is>
          <t>SUBJECT PROPERTY</t>
        </is>
      </c>
      <c r="C20" s="1459" t="n"/>
      <c r="D20" s="1459" t="n"/>
      <c r="E20" s="1459" t="n"/>
      <c r="F20" s="1460" t="n"/>
      <c r="G20" s="1460" t="n"/>
      <c r="H20" s="1461" t="n"/>
      <c r="I20" s="1461" t="n"/>
      <c r="J20" s="1461" t="n"/>
      <c r="K20" s="1461" t="n"/>
    </row>
    <row r="21" ht="15.6" customHeight="1">
      <c r="A21" s="211" t="n"/>
      <c r="B21" s="1462">
        <f>LEFT(D2,5)</f>
        <v/>
      </c>
      <c r="C21" s="1463" t="inlineStr">
        <is>
          <t> </t>
        </is>
      </c>
      <c r="D21" s="1513" t="n"/>
      <c r="E21" s="1464" t="n"/>
      <c r="F21" s="1465" t="inlineStr">
        <is>
          <t> </t>
        </is>
      </c>
      <c r="G21" s="1465" t="inlineStr">
        <is>
          <t> </t>
        </is>
      </c>
      <c r="H21" s="1466" t="inlineStr">
        <is>
          <t> </t>
        </is>
      </c>
      <c r="I21" s="1419" t="inlineStr">
        <is>
          <t> </t>
        </is>
      </c>
      <c r="J21" s="1467" t="inlineStr">
        <is>
          <t> </t>
        </is>
      </c>
      <c r="K21" s="1467" t="inlineStr">
        <is>
          <t> </t>
        </is>
      </c>
    </row>
    <row r="22" ht="15" customHeight="1">
      <c r="A22" s="1458" t="inlineStr">
        <is>
          <t>1)</t>
        </is>
      </c>
      <c r="B22" s="1422">
        <f>IF(Income!D$2="","",MID(Income!D2,1,5))</f>
        <v/>
      </c>
      <c r="C22" s="1421">
        <f>IF(Income!G$2="","",VLOOKUP(Income!G$2,[0]!Class,2))</f>
        <v/>
      </c>
      <c r="D22" s="1511" t="n"/>
      <c r="E22" s="1413" t="n"/>
      <c r="F22" s="1422">
        <f>IF(Income!T$2="","",Income!T$2)</f>
        <v/>
      </c>
      <c r="G22" s="1422">
        <f>IF(Income!N$2="","",Income!N$2)</f>
        <v/>
      </c>
      <c r="H22" s="1423">
        <f>IF(Income!J$2="","",Income!J$2)</f>
        <v/>
      </c>
      <c r="I22" s="1425">
        <f>IF(Income!K$2="","",Income!K$2)</f>
        <v/>
      </c>
      <c r="J22" s="1426">
        <f>IF(Income!L$2="","",Income!L$2)</f>
        <v/>
      </c>
      <c r="K22" s="1426">
        <f>IF(Income!M$2="","",Income!M$2)</f>
        <v/>
      </c>
    </row>
    <row r="23" ht="15" customHeight="1">
      <c r="A23" s="1458" t="inlineStr">
        <is>
          <t>2)</t>
        </is>
      </c>
      <c r="B23" s="1428">
        <f>IF(Income!D$3="","",MID(Income!D$3,1,5))</f>
        <v/>
      </c>
      <c r="C23" s="1427">
        <f>IF(Income!G$3="","",VLOOKUP(Income!G$3,[0]!Class,2))</f>
        <v/>
      </c>
      <c r="D23" s="1511" t="n"/>
      <c r="E23" s="1413" t="n"/>
      <c r="F23" s="1428">
        <f>IF(Income!T$3="","",Income!T$3)</f>
        <v/>
      </c>
      <c r="G23" s="1428">
        <f>IF(Income!N$3="","",Income!N$3)</f>
        <v/>
      </c>
      <c r="H23" s="1429">
        <f>IF(Income!J$3="","",Income!J$3)</f>
        <v/>
      </c>
      <c r="I23" s="1430">
        <f>IF(Income!K$3="","",Income!K$3)</f>
        <v/>
      </c>
      <c r="J23" s="1431">
        <f>IF(Income!L$3="","",Income!L$3)</f>
        <v/>
      </c>
      <c r="K23" s="1431">
        <f>IF(Income!M$3="","",Income!M$3)</f>
        <v/>
      </c>
    </row>
    <row r="24" ht="15" customHeight="1">
      <c r="A24" s="1458" t="inlineStr">
        <is>
          <t>3)</t>
        </is>
      </c>
      <c r="B24" s="1422">
        <f>IF(Income!D$4="","",MID(Income!D$4,1,5))</f>
        <v/>
      </c>
      <c r="C24" s="1421">
        <f>IF(Income!G$4="","",VLOOKUP(Income!G$4,[0]!Class,2))</f>
        <v/>
      </c>
      <c r="D24" s="1511" t="n"/>
      <c r="E24" s="1413" t="n"/>
      <c r="F24" s="1422">
        <f>IF(Income!T$4="","",Income!T$4)</f>
        <v/>
      </c>
      <c r="G24" s="1422">
        <f>IF(Income!N$4="","",Income!N$4)</f>
        <v/>
      </c>
      <c r="H24" s="1423">
        <f>IF(Income!J$4="","",Income!J$4)</f>
        <v/>
      </c>
      <c r="I24" s="1425">
        <f>IF(Income!K$4="","",Income!K$4)</f>
        <v/>
      </c>
      <c r="J24" s="1426">
        <f>IF(Income!L$4="","",Income!L$4)</f>
        <v/>
      </c>
      <c r="K24" s="1426">
        <f>IF(Income!M$4="","",Income!M$4)</f>
        <v/>
      </c>
    </row>
    <row r="25" ht="15.75" customHeight="1">
      <c r="A25" s="217" t="n"/>
      <c r="B25" s="217" t="n"/>
      <c r="C25" s="217" t="n"/>
      <c r="D25" s="217" t="n"/>
      <c r="E25" s="217" t="n"/>
    </row>
    <row r="26" ht="17" customHeight="1">
      <c r="A26" s="1452" t="inlineStr">
        <is>
          <t>MARKET SALE COMPARABLES</t>
        </is>
      </c>
      <c r="B26" s="1453" t="n"/>
      <c r="C26" s="1453" t="n"/>
      <c r="D26" s="1453" t="n"/>
      <c r="E26" s="1453" t="n"/>
      <c r="F26" s="1453" t="n"/>
      <c r="G26" s="1453" t="n"/>
      <c r="H26" s="1453" t="inlineStr">
        <is>
          <t>BUILDING</t>
        </is>
      </c>
      <c r="I26" s="1453" t="inlineStr">
        <is>
          <t>SALE</t>
        </is>
      </c>
      <c r="J26" s="1453" t="inlineStr">
        <is>
          <t>SALE</t>
        </is>
      </c>
      <c r="K26" s="1468" t="inlineStr">
        <is>
          <t>S.P./</t>
        </is>
      </c>
      <c r="L26" s="1510" t="n"/>
    </row>
    <row r="27" ht="15" customHeight="1">
      <c r="A27" s="1456" t="n"/>
      <c r="B27" s="1456" t="inlineStr">
        <is>
          <t>PROPERTY ADDRESS</t>
        </is>
      </c>
      <c r="C27" s="1456" t="n"/>
      <c r="D27" s="1456" t="inlineStr">
        <is>
          <t>ACCOUNT NUMBER</t>
        </is>
      </c>
      <c r="E27" s="1456" t="n"/>
      <c r="F27" s="1456" t="n"/>
      <c r="G27" s="1456" t="inlineStr">
        <is>
          <t>YOC</t>
        </is>
      </c>
      <c r="H27" s="1456" t="inlineStr">
        <is>
          <t>SQ FT</t>
        </is>
      </c>
      <c r="I27" s="1456" t="inlineStr">
        <is>
          <t>DATE</t>
        </is>
      </c>
      <c r="J27" s="1456" t="inlineStr">
        <is>
          <t>PRICE</t>
        </is>
      </c>
      <c r="K27" s="1456" t="inlineStr">
        <is>
          <t>SQ FT</t>
        </is>
      </c>
      <c r="L27" s="1276" t="inlineStr">
        <is>
          <t>OCC</t>
        </is>
      </c>
    </row>
    <row r="28" ht="16.5" customHeight="1">
      <c r="A28" s="211" t="n"/>
      <c r="B28" s="1458" t="inlineStr">
        <is>
          <t>SUBJECT PROPERTY</t>
        </is>
      </c>
      <c r="C28" s="1271" t="n"/>
      <c r="D28" s="1271" t="n"/>
      <c r="E28" s="1271" t="n"/>
      <c r="F28" s="1271" t="n"/>
      <c r="G28" s="1460" t="n"/>
      <c r="H28" s="1271" t="n"/>
      <c r="I28" s="1271" t="n"/>
      <c r="J28" s="1271" t="n"/>
      <c r="K28" s="1459" t="n"/>
      <c r="L28" s="1296" t="n"/>
    </row>
    <row r="29" ht="15.6" customHeight="1">
      <c r="A29" s="211" t="n"/>
      <c r="B29" s="1469">
        <f>D3</f>
        <v/>
      </c>
      <c r="C29" s="1513" t="n"/>
      <c r="D29" s="1470">
        <f>D2</f>
        <v/>
      </c>
      <c r="E29" s="1512" t="n"/>
      <c r="F29" s="1511" t="n"/>
      <c r="G29" s="1471">
        <f>G21</f>
        <v/>
      </c>
      <c r="H29" s="1472">
        <f>H21</f>
        <v/>
      </c>
      <c r="I29" s="1473" t="n"/>
      <c r="J29" s="1473" t="n"/>
      <c r="K29" s="1474">
        <f>IF(OR(N(H29)=0,N(D48)=0),"",ROUND(D48/H29,2))</f>
        <v/>
      </c>
      <c r="L29" s="1296">
        <f>IF(Subj_OccCode="","",Subj_OccCode)</f>
        <v/>
      </c>
    </row>
    <row r="30" ht="15" customHeight="1">
      <c r="A30" s="1458" t="inlineStr">
        <is>
          <t>Best Match 1)</t>
        </is>
      </c>
      <c r="B30" s="1470">
        <f>IF(IFERROR(INDEX(Sales!D:D,$Z$30),"")="","",IFERROR(INDEX(Sales!D:D,$Z$30),""))</f>
        <v/>
      </c>
      <c r="C30" s="1511" t="n"/>
      <c r="D30" s="1470">
        <f>IF(IFERROR(INDEX(Sales!C:C,$Z$30),"")="","",IFERROR(INDEX(Sales!C:C,$Z$30),""))</f>
        <v/>
      </c>
      <c r="E30" s="1512" t="n"/>
      <c r="F30" s="1511" t="n"/>
      <c r="G30" s="1471">
        <f>IF(IFERROR(INDEX(Sales!M:M,$Z$30),"")="","",IFERROR(INDEX(Sales!M:M,$Z$30),""))</f>
        <v/>
      </c>
      <c r="H30" s="1472">
        <f>IF(IFERROR(INDEX(Sales!L:L,$Z$30),"")="","",IFERROR(INDEX(Sales!L:L,$Z$30),""))</f>
        <v/>
      </c>
      <c r="I30" s="1475">
        <f>IF(IFERROR(INDEX(Sales!I:I,$Z$30),"")="","",IFERROR(INDEX(Sales!I:I,$Z$30),""))</f>
        <v/>
      </c>
      <c r="J30" s="1476">
        <f>IF(IFERROR(INDEX(Sales!AA:AA,$Z$30),"")="","",IFERROR(INDEX(Sales!AA:AA,$Z$30),""))</f>
        <v/>
      </c>
      <c r="K30" s="1474">
        <f>IF(IFERROR(INDEX(Sales!H:H,$Z$30),"")="","",IFERROR(INDEX(Sales!H:H,$Z$30),""))</f>
        <v/>
      </c>
      <c r="L30" s="1296">
        <f>IF(IFERROR(INDEX(Sales!E:E,$Z$30),"")="","",IFERROR(INDEX(Sales!E:E,$Z$30),""))</f>
        <v/>
      </c>
      <c r="Y30" s="1031" t="n">
        <v>1</v>
      </c>
      <c r="Z30">
        <f>IFERROR(MATCH(_xlfn.AGGREGATE(15,6,Sales!$AJ$2:$AJ$941,$Y$30),Sales!$AJ$2:$AJ$941,0)+1,"")</f>
        <v/>
      </c>
    </row>
    <row r="31" ht="15" customHeight="1">
      <c r="A31" s="1458" t="inlineStr">
        <is>
          <t>Best Match 2)</t>
        </is>
      </c>
      <c r="B31" s="1477">
        <f>IF(IFERROR(INDEX(Sales!D:D,$Z$31),"")="","",IFERROR(INDEX(Sales!D:D,$Z$31),""))</f>
        <v/>
      </c>
      <c r="C31" s="1511" t="n"/>
      <c r="D31" s="1477">
        <f>IF(IFERROR(INDEX(Sales!C:C,$Z$31),"")="","",IFERROR(INDEX(Sales!C:C,$Z$31),""))</f>
        <v/>
      </c>
      <c r="E31" s="1512" t="n"/>
      <c r="F31" s="1511" t="n"/>
      <c r="G31" s="1478">
        <f>IF(IFERROR(INDEX(Sales!M:M,$Z$31),"")="","",IFERROR(INDEX(Sales!M:M,$Z$31),""))</f>
        <v/>
      </c>
      <c r="H31" s="1479">
        <f>IF(IFERROR(INDEX(Sales!L:L,$Z$31),"")="","",IFERROR(INDEX(Sales!L:L,$Z$31),""))</f>
        <v/>
      </c>
      <c r="I31" s="1480">
        <f>IF(IFERROR(INDEX(Sales!I:I,$Z$31),"")="","",IFERROR(INDEX(Sales!I:I,$Z$31),""))</f>
        <v/>
      </c>
      <c r="J31" s="1481">
        <f>IF(IFERROR(INDEX(Sales!AA:AA,$Z$31),"")="","",IFERROR(INDEX(Sales!AA:AA,$Z$31),""))</f>
        <v/>
      </c>
      <c r="K31" s="1482">
        <f>IF(IFERROR(INDEX(Sales!H:H,$Z$31),"")="","",IFERROR(INDEX(Sales!H:H,$Z$31),""))</f>
        <v/>
      </c>
      <c r="L31" s="1306">
        <f>IF(IFERROR(INDEX(Sales!E:E,$Z$31),"")="","",IFERROR(INDEX(Sales!E:E,$Z$31),""))</f>
        <v/>
      </c>
      <c r="Y31" s="1031" t="n">
        <v>2</v>
      </c>
      <c r="Z31">
        <f>IFERROR(MATCH(_xlfn.AGGREGATE(15,6,Sales!$AJ$2:$AJ$941,$Y$31),Sales!$AJ$2:$AJ$941,0)+1,"")</f>
        <v/>
      </c>
    </row>
    <row r="32" ht="15" customHeight="1">
      <c r="A32" s="1458" t="inlineStr">
        <is>
          <t>Best Match 3)</t>
        </is>
      </c>
      <c r="B32" s="1470">
        <f>IF(IFERROR(INDEX(Sales!D:D,$Z$32),"")="","",IFERROR(INDEX(Sales!D:D,$Z$32),""))</f>
        <v/>
      </c>
      <c r="C32" s="1511" t="n"/>
      <c r="D32" s="1470">
        <f>IF(IFERROR(INDEX(Sales!C:C,$Z$32),"")="","",IFERROR(INDEX(Sales!C:C,$Z$32),""))</f>
        <v/>
      </c>
      <c r="E32" s="1512" t="n"/>
      <c r="F32" s="1511" t="n"/>
      <c r="G32" s="1471">
        <f>IF(IFERROR(INDEX(Sales!M:M,$Z$32),"")="","",IFERROR(INDEX(Sales!M:M,$Z$32),""))</f>
        <v/>
      </c>
      <c r="H32" s="1472">
        <f>IF(IFERROR(INDEX(Sales!L:L,$Z$32),"")="","",IFERROR(INDEX(Sales!L:L,$Z$32),""))</f>
        <v/>
      </c>
      <c r="I32" s="1475">
        <f>IF(IFERROR(INDEX(Sales!I:I,$Z$32),"")="","",IFERROR(INDEX(Sales!I:I,$Z$32),""))</f>
        <v/>
      </c>
      <c r="J32" s="1476">
        <f>IF(IFERROR(INDEX(Sales!AA:AA,$Z$32),"")="","",IFERROR(INDEX(Sales!AA:AA,$Z$32),""))</f>
        <v/>
      </c>
      <c r="K32" s="1474">
        <f>IF(IFERROR(INDEX(Sales!H:H,$Z$32),"")="","",IFERROR(INDEX(Sales!H:H,$Z$32),""))</f>
        <v/>
      </c>
      <c r="L32" s="1296">
        <f>IF(IFERROR(INDEX(Sales!E:E,$Z$32),"")="","",IFERROR(INDEX(Sales!E:E,$Z$32),""))</f>
        <v/>
      </c>
      <c r="Y32" s="1031" t="n">
        <v>3</v>
      </c>
      <c r="Z32">
        <f>IFERROR(MATCH(_xlfn.AGGREGATE(15,6,Sales!$AJ$2:$AJ$941,$Y$32),Sales!$AJ$2:$AJ$941,0)+1,"")</f>
        <v/>
      </c>
    </row>
    <row r="34" ht="15.75" customHeight="1">
      <c r="A34" s="1439" t="inlineStr">
        <is>
          <t>VALUE CONCLUSIONS:</t>
        </is>
      </c>
    </row>
    <row r="35">
      <c r="A35" s="1443" t="inlineStr">
        <is>
          <t> </t>
        </is>
      </c>
      <c r="B35" s="1503" t="n"/>
      <c r="C35" s="1503" t="n"/>
      <c r="D35" s="1503" t="n"/>
      <c r="E35" s="1503" t="n"/>
      <c r="F35" s="1503" t="n"/>
      <c r="G35" s="1503" t="n"/>
      <c r="H35" s="1503" t="n"/>
      <c r="I35" s="1503" t="n"/>
      <c r="J35" s="1503" t="n"/>
      <c r="K35" s="1504" t="n"/>
    </row>
    <row r="36">
      <c r="A36" s="1505" t="n"/>
      <c r="K36" s="1506" t="n"/>
    </row>
    <row r="37">
      <c r="A37" s="1505" t="n"/>
      <c r="K37" s="1506" t="n"/>
    </row>
    <row r="38">
      <c r="A38" s="1505" t="n"/>
      <c r="K38" s="1506" t="n"/>
    </row>
    <row r="39">
      <c r="A39" s="1505" t="n"/>
      <c r="K39" s="1506" t="n"/>
    </row>
    <row r="40">
      <c r="A40" s="1505" t="n"/>
      <c r="K40" s="1506" t="n"/>
    </row>
    <row r="41">
      <c r="A41" s="1505" t="n"/>
      <c r="K41" s="1506" t="n"/>
    </row>
    <row r="42">
      <c r="A42" s="1507" t="n"/>
      <c r="B42" s="1508" t="n"/>
      <c r="C42" s="1508" t="n"/>
      <c r="D42" s="1508" t="n"/>
      <c r="E42" s="1508" t="n"/>
      <c r="F42" s="1508" t="n"/>
      <c r="G42" s="1508" t="n"/>
      <c r="H42" s="1508" t="n"/>
      <c r="I42" s="1508" t="n"/>
      <c r="J42" s="1508" t="n"/>
      <c r="K42" s="1509" t="n"/>
    </row>
    <row r="44" ht="17" customHeight="1">
      <c r="A44" s="1483" t="inlineStr">
        <is>
          <t>VALUE ALLOCATION OF SUBJECT PROPERTY:</t>
        </is>
      </c>
      <c r="B44" s="1322" t="n"/>
      <c r="C44" s="1322" t="n"/>
      <c r="D44" s="1322" t="n"/>
      <c r="E44" s="1322" t="n"/>
      <c r="F44" s="1322" t="n"/>
      <c r="G44" s="1322" t="n"/>
      <c r="H44" s="1322" t="n"/>
      <c r="I44" s="1322" t="n"/>
      <c r="J44" s="1322" t="n"/>
      <c r="K44" s="1322" t="n"/>
    </row>
    <row r="46" ht="13.9" customHeight="1">
      <c r="A46" s="1439" t="inlineStr">
        <is>
          <t>LAND VALUE:</t>
        </is>
      </c>
      <c r="D46" s="1484" t="inlineStr">
        <is>
          <t> </t>
        </is>
      </c>
      <c r="E46" s="1511" t="n"/>
      <c r="G46" s="1486" t="inlineStr">
        <is>
          <t>NO CHANGE</t>
        </is>
      </c>
      <c r="H46" t="n"/>
      <c r="I46" s="1486" t="inlineStr">
        <is>
          <t>REDUCTION</t>
        </is>
      </c>
    </row>
    <row r="47" ht="13.9" customHeight="1">
      <c r="A47" s="1439" t="inlineStr">
        <is>
          <t>IMPROVEMENT VALUE:</t>
        </is>
      </c>
      <c r="D47" s="1484" t="inlineStr">
        <is>
          <t> </t>
        </is>
      </c>
      <c r="E47" s="1511" t="n"/>
      <c r="G47" s="1486" t="inlineStr">
        <is>
          <t>NO CHANGE</t>
        </is>
      </c>
      <c r="I47" s="1486" t="inlineStr">
        <is>
          <t>REDUCTION</t>
        </is>
      </c>
    </row>
    <row r="48">
      <c r="A48" s="1439" t="inlineStr">
        <is>
          <t>TOTAL VALUE:</t>
        </is>
      </c>
      <c r="D48" s="1484" t="inlineStr">
        <is>
          <t> </t>
        </is>
      </c>
      <c r="E48" s="1511" t="n"/>
      <c r="G48" s="1487" t="n"/>
      <c r="I48" s="1487"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fitToWidth="1"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517">
        <f>HYPERLINK(INDEX(RES_MATRIX_C,MATCH($C$5,RES_MATRIX_JUR,0)),INDEX(RES_MATRIX_C,MATCH($C$5,RES_MATRIX_JUR,0)))</f>
        <v/>
      </c>
      <c r="D9" s="1488" t="n"/>
      <c r="E9" s="1488" t="n"/>
      <c r="F9" s="1488" t="n"/>
    </row>
    <row r="10">
      <c r="B10" s="1255" t="inlineStr">
        <is>
          <t>Property / GIS maps</t>
        </is>
      </c>
      <c r="C10" s="1517">
        <f>HYPERLINK(INDEX(RES_MATRIX_D,MATCH($C$5,RES_MATRIX_JUR,0)),INDEX(RES_MATRIX_D,MATCH($C$5,RES_MATRIX_JUR,0)))</f>
        <v/>
      </c>
      <c r="D10" s="1488" t="n"/>
      <c r="E10" s="1488" t="n"/>
      <c r="F10" s="1488" t="n"/>
    </row>
    <row r="11">
      <c r="B11" s="1255" t="inlineStr">
        <is>
          <t>Zoning / land-use code</t>
        </is>
      </c>
      <c r="C11" s="1517">
        <f>HYPERLINK(INDEX(RES_MATRIX_E,MATCH($C$5,RES_MATRIX_JUR,0)),INDEX(RES_MATRIX_E,MATCH($C$5,RES_MATRIX_JUR,0)))</f>
        <v/>
      </c>
      <c r="D11" s="1488" t="n"/>
      <c r="E11" s="1488" t="n"/>
      <c r="F11" s="1488" t="n"/>
    </row>
    <row r="12">
      <c r="B12" s="1255" t="inlineStr">
        <is>
          <t>Planning department</t>
        </is>
      </c>
      <c r="C12" s="1517">
        <f>HYPERLINK(INDEX(RES_MATRIX_F,MATCH($C$5,RES_MATRIX_JUR,0)),INDEX(RES_MATRIX_F,MATCH($C$5,RES_MATRIX_JUR,0)))</f>
        <v/>
      </c>
      <c r="D12" s="1488" t="n"/>
      <c r="E12" s="1488" t="n"/>
      <c r="F12" s="1488" t="n"/>
    </row>
    <row r="13">
      <c r="B13" s="1255" t="inlineStr">
        <is>
          <t>Active development / projects</t>
        </is>
      </c>
      <c r="C13" s="1517">
        <f>HYPERLINK(INDEX(RES_MATRIX_G,MATCH($C$5,RES_MATRIX_JUR,0)),INDEX(RES_MATRIX_G,MATCH($C$5,RES_MATRIX_JUR,0)))</f>
        <v/>
      </c>
      <c r="D13" s="1488" t="n"/>
      <c r="E13" s="1488" t="n"/>
      <c r="F13" s="1488" t="n"/>
    </row>
    <row r="14">
      <c r="B14" s="1255" t="inlineStr">
        <is>
          <t>Permits</t>
        </is>
      </c>
      <c r="C14" s="1517">
        <f>HYPERLINK(INDEX(RES_MATRIX_H,MATCH($C$5,RES_MATRIX_JUR,0)),INDEX(RES_MATRIX_H,MATCH($C$5,RES_MATRIX_JUR,0)))</f>
        <v/>
      </c>
      <c r="D14" s="1488" t="n"/>
      <c r="E14" s="1488" t="n"/>
      <c r="F14" s="1488" t="n"/>
    </row>
    <row r="15">
      <c r="B15" s="1255" t="inlineStr">
        <is>
          <t>Long-range / comprehensive plan</t>
        </is>
      </c>
      <c r="C15" s="1517">
        <f>HYPERLINK(INDEX(RES_MATRIX_I,MATCH($C$5,RES_MATRIX_JUR,0)),INDEX(RES_MATRIX_I,MATCH($C$5,RES_MATRIX_JUR,0)))</f>
        <v/>
      </c>
      <c r="D15" s="1488" t="n"/>
      <c r="E15" s="1488" t="n"/>
      <c r="F15" s="1488" t="n"/>
    </row>
    <row r="16">
      <c r="B16" s="1255" t="inlineStr">
        <is>
          <t>Agendas &amp; meetings</t>
        </is>
      </c>
      <c r="C16" s="1517">
        <f>HYPERLINK(INDEX(RES_MATRIX_J,MATCH($C$5,RES_MATRIX_JUR,0)),INDEX(RES_MATRIX_J,MATCH($C$5,RES_MATRIX_JUR,0)))</f>
        <v/>
      </c>
      <c r="D16" s="1488" t="n"/>
      <c r="E16" s="1488" t="n"/>
      <c r="F16" s="1488" t="n"/>
    </row>
    <row r="17">
      <c r="B17" s="1255" t="inlineStr">
        <is>
          <t>Public / legal notices</t>
        </is>
      </c>
      <c r="C17" s="1517">
        <f>HYPERLINK(INDEX(RES_MATRIX_K,MATCH($C$5,RES_MATRIX_JUR,0)),INDEX(RES_MATRIX_K,MATCH($C$5,RES_MATRIX_JUR,0)))</f>
        <v/>
      </c>
      <c r="D17" s="1488" t="n"/>
      <c r="E17" s="1488" t="n"/>
      <c r="F17" s="1488" t="n"/>
    </row>
    <row r="18">
      <c r="B18" s="1255" t="inlineStr">
        <is>
          <t>News</t>
        </is>
      </c>
      <c r="C18" s="1517">
        <f>HYPERLINK(INDEX(RES_MATRIX_L,MATCH($C$5,RES_MATRIX_JUR,0)),INDEX(RES_MATRIX_L,MATCH($C$5,RES_MATRIX_JUR,0)))</f>
        <v/>
      </c>
      <c r="D18" s="1488" t="n"/>
      <c r="E18" s="1488" t="n"/>
      <c r="F18" s="1488" t="n"/>
    </row>
    <row r="20">
      <c r="B20" s="1250" t="inlineStr">
        <is>
          <t>STEP 3 — County records (work for ANY Adams County property, regardless of city)</t>
        </is>
      </c>
      <c r="C20" s="1253" t="n"/>
      <c r="D20" s="1253" t="n"/>
      <c r="E20" s="1253" t="n"/>
      <c r="F20" s="1253" t="n"/>
    </row>
    <row r="21">
      <c r="B21" s="1255" t="inlineStr">
        <is>
          <t>Parcel / owner / value search</t>
        </is>
      </c>
      <c r="C21" s="1517" t="inlineStr">
        <is>
          <t>https://adamscountyco.gov/service/search-real-property/</t>
        </is>
      </c>
      <c r="D21" s="1488" t="n"/>
      <c r="E21" s="1488" t="n"/>
      <c r="F21" s="1488" t="n"/>
    </row>
    <row r="22">
      <c r="B22" s="1255" t="inlineStr">
        <is>
          <t>Fast parcel lookup (GIS)</t>
        </is>
      </c>
      <c r="C22" s="1517" t="inlineStr">
        <is>
          <t>https://gisapp.adcogov.org/quicksearch/</t>
        </is>
      </c>
      <c r="D22" s="1488" t="n"/>
      <c r="E22" s="1488" t="n"/>
      <c r="F22" s="1488" t="n"/>
    </row>
    <row r="23">
      <c r="B23" s="1255" t="inlineStr">
        <is>
          <t>Interactive county maps</t>
        </is>
      </c>
      <c r="C23" s="1517" t="inlineStr">
        <is>
          <t>https://adamscountyco.gov/service/gis-interactive-maps/</t>
        </is>
      </c>
      <c r="D23" s="1488" t="n"/>
      <c r="E23" s="1488" t="n"/>
      <c r="F23" s="1488" t="n"/>
    </row>
    <row r="24">
      <c r="B24" s="1255" t="inlineStr">
        <is>
          <t>Recorded deeds &amp; documents</t>
        </is>
      </c>
      <c r="C24" s="1517" t="inlineStr">
        <is>
          <t>https://recording.adamscountyco.gov/landmarkweb/</t>
        </is>
      </c>
      <c r="D24" s="1488" t="n"/>
      <c r="E24" s="1488" t="n"/>
      <c r="F24" s="1488" t="n"/>
    </row>
    <row r="25">
      <c r="B25" s="1255" t="inlineStr">
        <is>
          <t>Survey plats</t>
        </is>
      </c>
      <c r="C25" s="1517" t="inlineStr">
        <is>
          <t>https://adamscountyco.gov/our-county/elected-officials/clerk-recorder/recording/land-survey-plats/</t>
        </is>
      </c>
      <c r="D25" s="1488" t="n"/>
      <c r="E25" s="1488" t="n"/>
      <c r="F25" s="1488" t="n"/>
    </row>
    <row r="26">
      <c r="B26" s="1255" t="inlineStr">
        <is>
          <t>Property taxes / balances</t>
        </is>
      </c>
      <c r="C26" s="1517" t="inlineStr">
        <is>
          <t>https://adcotax.com/</t>
        </is>
      </c>
      <c r="D26" s="1488" t="n"/>
      <c r="E26" s="1488" t="n"/>
      <c r="F26" s="1488" t="n"/>
    </row>
    <row r="27">
      <c r="B27" s="1255" t="inlineStr">
        <is>
          <t>Foreclosure records</t>
        </is>
      </c>
      <c r="C27" s="1517" t="inlineStr">
        <is>
          <t>https://apps.adcogov.org/PTForeclosureSearch/?ds=1</t>
        </is>
      </c>
      <c r="D27" s="1488" t="n"/>
      <c r="E27" s="1488" t="n"/>
      <c r="F27" s="1488" t="n"/>
    </row>
    <row r="28">
      <c r="B28" s="1255" t="inlineStr">
        <is>
          <t>Unincorporated planning &amp; zoning</t>
        </is>
      </c>
      <c r="C28" s="1517" t="inlineStr">
        <is>
          <t>https://adamscountyco.gov/our-county/community-economic-development/planning-development/</t>
        </is>
      </c>
      <c r="D28" s="1488" t="n"/>
      <c r="E28" s="1488" t="n"/>
      <c r="F28" s="1488" t="n"/>
    </row>
    <row r="29">
      <c r="B29" s="1255" t="inlineStr">
        <is>
          <t>Pending land-use cases &amp; hearings</t>
        </is>
      </c>
      <c r="C29" s="1517" t="inlineStr">
        <is>
          <t>https://adamscountyco.gov/our-county/community-economic-development/planning-development/current-land-use-cases/</t>
        </is>
      </c>
      <c r="D29" s="1488" t="n"/>
      <c r="E29" s="1488" t="n"/>
      <c r="F29" s="1488" t="n"/>
    </row>
    <row r="30">
      <c r="B30" s="1255" t="inlineStr">
        <is>
          <t>Unincorporated building permits</t>
        </is>
      </c>
      <c r="C30" s="1517" t="inlineStr">
        <is>
          <t>https://adamscountyco.gov/our-county/community-economic-development/building-safety/building-permit/</t>
        </is>
      </c>
      <c r="D30" s="1488" t="n"/>
      <c r="E30" s="1488" t="n"/>
      <c r="F30" s="1488" t="n"/>
    </row>
    <row r="32">
      <c r="B32" s="1250" t="inlineStr">
        <is>
          <t>STEP 4 — State &amp; federal checks (apply everywhere)</t>
        </is>
      </c>
      <c r="C32" s="1253" t="n"/>
      <c r="D32" s="1253" t="n"/>
      <c r="E32" s="1253" t="n"/>
      <c r="F32" s="1253" t="n"/>
    </row>
    <row r="33">
      <c r="B33" s="1255" t="inlineStr">
        <is>
          <t>Who owns the LLC? (Secretary of State)</t>
        </is>
      </c>
      <c r="C33" s="1517" t="inlineStr">
        <is>
          <t>https://co.colorado.gov/search-business-records</t>
        </is>
      </c>
      <c r="D33" s="1488" t="n"/>
      <c r="E33" s="1488" t="n"/>
      <c r="F33" s="1488" t="n"/>
    </row>
    <row r="34">
      <c r="B34" s="1255" t="inlineStr">
        <is>
          <t>Municipal boundary map (DOLA)</t>
        </is>
      </c>
      <c r="C34" s="1517" t="inlineStr">
        <is>
          <t>https://gis.dola.colorado.gov/CO_SpecialDistrict/</t>
        </is>
      </c>
      <c r="D34" s="1488" t="n"/>
      <c r="E34" s="1488" t="n"/>
      <c r="F34" s="1488" t="n"/>
    </row>
    <row r="35">
      <c r="B35" s="1255" t="inlineStr">
        <is>
          <t>Special / metro districts (DOLA)</t>
        </is>
      </c>
      <c r="C35" s="1517" t="inlineStr">
        <is>
          <t>https://gis.dola.colorado.gov/CO_SpecialDistrict/</t>
        </is>
      </c>
      <c r="D35" s="1488" t="n"/>
      <c r="E35" s="1488" t="n"/>
      <c r="F35" s="1488" t="n"/>
    </row>
    <row r="36">
      <c r="B36" s="1255" t="inlineStr">
        <is>
          <t>Water rights, wells &amp; structures (DWR)</t>
        </is>
      </c>
      <c r="C36" s="1517" t="inlineStr">
        <is>
          <t>https://gis.dola.colorado.gov/CO_SpecialDistrict/</t>
        </is>
      </c>
      <c r="D36" s="1488" t="n"/>
      <c r="E36" s="1488" t="n"/>
      <c r="F36" s="1488" t="n"/>
    </row>
    <row r="37">
      <c r="B37" s="1255" t="inlineStr">
        <is>
          <t>Oil &amp; gas wells (ECMC)</t>
        </is>
      </c>
      <c r="C37" s="1517" t="inlineStr">
        <is>
          <t>https://ecmc.state.co.us/maps.html</t>
        </is>
      </c>
      <c r="D37" s="1488" t="n"/>
      <c r="E37" s="1488" t="n"/>
      <c r="F37" s="1488" t="n"/>
    </row>
    <row r="38">
      <c r="B38" s="1255" t="inlineStr">
        <is>
          <t>FEMA flood map</t>
        </is>
      </c>
      <c r="C38" s="1517" t="inlineStr">
        <is>
          <t>https://www.fema.gov/flood-maps</t>
        </is>
      </c>
      <c r="D38" s="1488" t="n"/>
      <c r="E38" s="1488" t="n"/>
      <c r="F38" s="1488" t="n"/>
    </row>
    <row r="39">
      <c r="B39" s="1255" t="inlineStr">
        <is>
          <t>Environmental records (CDPHE)</t>
        </is>
      </c>
      <c r="C39" s="1517" t="inlineStr">
        <is>
          <t>https://cdphe.colorado.gov/maps-and-gis-for-health-and-environment</t>
        </is>
      </c>
      <c r="D39" s="1488" t="n"/>
      <c r="E39" s="1488" t="n"/>
      <c r="F39" s="1488" t="n"/>
    </row>
    <row r="40">
      <c r="B40" s="1255" t="inlineStr">
        <is>
          <t>Soils survey (USDA NRCS)</t>
        </is>
      </c>
      <c r="C40" s="1517" t="inlineStr">
        <is>
          <t>https://websoilsurvey.nrcs.usda.gov/</t>
        </is>
      </c>
      <c r="D40" s="1488" t="n"/>
      <c r="E40" s="1488" t="n"/>
      <c r="F40" s="1488" t="n"/>
    </row>
    <row r="41">
      <c r="B41" s="1255" t="inlineStr">
        <is>
          <t>State highway access (CDOT)</t>
        </is>
      </c>
      <c r="C41" s="1517" t="inlineStr">
        <is>
          <t>https://dtdapps.codot.gov/otis</t>
        </is>
      </c>
      <c r="D41" s="1488" t="n"/>
      <c r="E41" s="1488" t="n"/>
      <c r="F41" s="1488" t="n"/>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2026-07-13T02:37:24Z</dcterms:modified>
  <cp:lastModifiedBy>Armon Goldanloo</cp:lastModifiedBy>
  <cp:lastPrinted>2021-04-29T19:41:45Z</cp:lastPrinted>
</cp:coreProperties>
</file>