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Resources" sheetId="16" state="visible" r:id="rId16"/>
    <sheet name="Quick Matrix" sheetId="17" state="visible" r:id="rId17"/>
    <sheet name="Countywide Core" sheetId="18" state="visible" r:id="rId18"/>
    <sheet name="Municipal Directory" sheetId="19" state="visible" r:id="rId19"/>
    <sheet name="Meetings &amp; News" sheetId="20" state="visible" r:id="rId20"/>
    <sheet name="State &amp; Regional" sheetId="21" state="visible" r:id="rId21"/>
    <sheet name="Due Diligence" sheetId="22" state="visible" r:id="rId22"/>
    <sheet name="Property Registry" sheetId="23" state="visible" r:id="rId23"/>
    <sheet name="Expense Database" sheetId="24" state="visible" r:id="rId24"/>
    <sheet name="PSF Summary" sheetId="25" state="visible" r:id="rId25"/>
  </sheets>
  <externalReferences>
    <externalReference r:id="rId26"/>
    <externalReference r:id="rId27"/>
    <externalReference r:id="rId28"/>
    <externalReference r:id="rId29"/>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BC_OCC">'M&amp;S Inputs'!$B$30:$B$3123</definedName>
    <definedName name="BC_KEY">'M&amp;S Inputs'!$I$30:$I$3123</definedName>
    <definedName name="BC_VALUE">'M&amp;S Inputs'!$H$30:$H$3123</definedName>
    <definedName name="BC_CITE">'M&amp;S Inputs'!$J$30:$J$3123</definedName>
    <definedName name="OCC_NAME">'M&amp;S Inputs'!$B$3128:$B$3410</definedName>
    <definedName name="OCC_CODE">'M&amp;S Inputs'!$C$3128:$C$3410</definedName>
    <definedName name="OCC_SECTION">'M&amp;S Inputs'!$D$3128:$D$3410</definedName>
    <definedName name="OCC_PAGE">'M&amp;S Inputs'!$E$3128:$E$3410</definedName>
    <definedName name="OCC_STORY">'M&amp;S Inputs'!$F$3128:$F$3410</definedName>
    <definedName name="OCC_SPR">'M&amp;S Inputs'!$G$3128:$G$3410</definedName>
    <definedName name="OCC_DEPR">'M&amp;S Inputs'!$H$3128:$H$3410</definedName>
    <definedName name="OCCMAP_CODE">'M&amp;S Inputs'!$B$3415:$B$3545</definedName>
    <definedName name="OCCMAP_DESC">'M&amp;S Inputs'!$C$3415:$C$3545</definedName>
    <definedName name="OCCMAP_NAME">'M&amp;S Inputs'!$D$3415:$D$3545</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CCM_SECTIONHDR">'M&amp;S Inputs'!$D$3899:$K$3899</definedName>
    <definedName name="CCM_CLASS">'M&amp;S Inputs'!$C$3910:$C$3914</definedName>
    <definedName name="CCM_VALUES">'M&amp;S Inputs'!$D$3910:$K$3914</definedName>
    <definedName name="LAM_CLASSHDR">'M&amp;S Inputs'!$C$3917:$G$3917</definedName>
    <definedName name="LAM_CITY">'M&amp;S Inputs'!$B$3918:$B$3939</definedName>
    <definedName name="LAM_VALUES">'M&amp;S Inputs'!$C$3918:$G$3939</definedName>
    <definedName name="DEN_CLASSHDR">'M&amp;S Inputs'!$C$3943:$G$3943</definedName>
    <definedName name="DEN_LABEL">'M&amp;S Inputs'!$B$3944:$B$3956</definedName>
    <definedName name="DEN_VALUES">'M&amp;S Inputs'!$C$3944:$G$3956</definedName>
    <definedName name="LIFE_CLASSHDR">'M&amp;S Inputs'!$D$3959:$H$3959</definedName>
    <definedName name="LIFE_KEY">'M&amp;S Inputs'!$I$3960:$I$4960</definedName>
    <definedName name="LIFE_VALUES">'M&amp;S Inputs'!$D$3960:$H$4960</definedName>
    <definedName name="DEPR_LIFEHDR">'M&amp;S Inputs'!$C$4965:$L$4965</definedName>
    <definedName name="DEPR_AGE">'M&amp;S Inputs'!$B$4966:$B$5011</definedName>
    <definedName name="DEPR_VALUES">'M&amp;S Inputs'!$C$4966:$L$5011</definedName>
    <definedName name="DEPRR_LIFEHDR">'M&amp;S Inputs'!$C$5015:$M$5015</definedName>
    <definedName name="DEPRR_AGE">'M&amp;S Inputs'!$B$5016:$B$5057</definedName>
    <definedName name="DEPRR_VALUES">'M&amp;S Inputs'!$C$5016:$M$5057</definedName>
    <definedName name="_xlnm.Print_Area" localSheetId="3">'WO'!$A$2:$H$56</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33">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
      <b val="1"/>
      <i val="1"/>
      <color rgb="00D97706"/>
    </font>
  </fonts>
  <fills count="46">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
      <patternFill patternType="solid">
        <fgColor rgb="001F4E78"/>
      </patternFill>
    </fill>
  </fills>
  <borders count="68">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252">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xf numFmtId="0" fontId="110" fillId="0" borderId="60" applyAlignment="1" pivotButton="0" quotePrefix="0" xfId="0">
      <alignment horizontal="left" vertical="center" indent="2"/>
    </xf>
    <xf numFmtId="0" fontId="109" fillId="39" borderId="60" pivotButton="0" quotePrefix="0" xfId="0"/>
    <xf numFmtId="0" fontId="132" fillId="0" borderId="60" applyAlignment="1" pivotButton="0" quotePrefix="0" xfId="0">
      <alignment horizontal="left" vertical="center" indent="1"/>
    </xf>
    <xf numFmtId="0" fontId="73" fillId="37" borderId="60" applyAlignment="1" pivotButton="0" quotePrefix="0" xfId="0">
      <alignment horizontal="left" vertical="center" indent="2"/>
    </xf>
    <xf numFmtId="0" fontId="80" fillId="37" borderId="60" applyAlignment="1" pivotButton="0" quotePrefix="0" xfId="0">
      <alignment vertical="center"/>
    </xf>
    <xf numFmtId="0" fontId="80" fillId="37" borderId="60" pivotButton="0" quotePrefix="0" xfId="0"/>
    <xf numFmtId="0" fontId="89" fillId="0" borderId="60" applyAlignment="1" pivotButton="0" quotePrefix="0" xfId="0">
      <alignment vertical="top" wrapText="1"/>
    </xf>
    <xf numFmtId="182" fontId="80" fillId="38" borderId="60" applyAlignment="1" pivotButton="0" quotePrefix="0" xfId="0">
      <alignment vertical="center"/>
    </xf>
    <xf numFmtId="1" fontId="80" fillId="38" borderId="60" applyAlignment="1" pivotButton="0" quotePrefix="0" xfId="0">
      <alignment vertical="center"/>
    </xf>
    <xf numFmtId="0" fontId="80" fillId="38" borderId="60" applyAlignment="1" pivotButton="0" quotePrefix="0" xfId="0">
      <alignment vertical="center"/>
    </xf>
    <xf numFmtId="0" fontId="89" fillId="0" borderId="60" applyAlignment="1" pivotButton="0" quotePrefix="0" xfId="0">
      <alignment vertical="center"/>
    </xf>
    <xf numFmtId="0" fontId="90" fillId="45" borderId="0" pivotButton="0" quotePrefix="0" xfId="0"/>
    <xf numFmtId="0" fontId="82" fillId="10" borderId="0" pivotButton="0" quotePrefix="0" xfId="0"/>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externalLink" Target="/xl/externalLinks/externalLink1.xml" Id="rId26" /><Relationship Type="http://schemas.openxmlformats.org/officeDocument/2006/relationships/externalLink" Target="/xl/externalLinks/externalLink2.xml" Id="rId27" /><Relationship Type="http://schemas.openxmlformats.org/officeDocument/2006/relationships/externalLink" Target="/xl/externalLinks/externalLink3.xml" Id="rId28" /><Relationship Type="http://schemas.openxmlformats.org/officeDocument/2006/relationships/externalLink" Target="/xl/externalLinks/externalLink4.xml" Id="rId29" /><Relationship Type="http://schemas.openxmlformats.org/officeDocument/2006/relationships/styles" Target="styles.xml" Id="rId30" /><Relationship Type="http://schemas.openxmlformats.org/officeDocument/2006/relationships/theme" Target="theme/theme1.xml" Id="rId31" /><Relationship Type="http://schemas.microsoft.com/office/2006/relationships/vbaProject" Target="vbaProject.bin" Id="rId32"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7.xml.rels><Relationships xmlns="http://schemas.openxmlformats.org/package/2006/relationships"><Relationship Type="http://schemas.openxmlformats.org/officeDocument/2006/relationships/hyperlink" Target="https://adamscountyco.gov/" TargetMode="External" Id="rId1" /><Relationship Type="http://schemas.openxmlformats.org/officeDocument/2006/relationships/hyperlink" Target="https://adamscountyco.gov/service/gis-interactive-maps/" TargetMode="External" Id="rId2" /><Relationship Type="http://schemas.openxmlformats.org/officeDocument/2006/relationships/hyperlink" Target="https://adamscountyco.gov/our-county/community-economic-development/planning-development/development-standards-regulations/" TargetMode="External" Id="rId3" /><Relationship Type="http://schemas.openxmlformats.org/officeDocument/2006/relationships/hyperlink" Target="https://adamscountyco.gov/our-county/community-economic-development/planning-development/" TargetMode="External" Id="rId4" /><Relationship Type="http://schemas.openxmlformats.org/officeDocument/2006/relationships/hyperlink" Target="https://adamscountyco.gov/our-county/community-economic-development/planning-development/current-land-use-cases/" TargetMode="External" Id="rId5" /><Relationship Type="http://schemas.openxmlformats.org/officeDocument/2006/relationships/hyperlink" Target="https://adamscountyco.gov/our-county/community-economic-development/building-safety/building-permit/" TargetMode="External" Id="rId6" /><Relationship Type="http://schemas.openxmlformats.org/officeDocument/2006/relationships/hyperlink" Target="https://adamscountyco.gov/our-county/community-economic-development/advancing-adams/comprehensive-plan/" TargetMode="External" Id="rId7" /><Relationship Type="http://schemas.openxmlformats.org/officeDocument/2006/relationships/hyperlink" Target="https://adamscountyco.gov/about-adams-county/public-meetings/" TargetMode="External" Id="rId8" /><Relationship Type="http://schemas.openxmlformats.org/officeDocument/2006/relationships/hyperlink" Target="https://www.arvadaco.gov/" TargetMode="External" Id="rId9" /><Relationship Type="http://schemas.openxmlformats.org/officeDocument/2006/relationships/hyperlink" Target="https://www.arvadaco.gov/702/Maps-and-Property-Search" TargetMode="External" Id="rId10" /><Relationship Type="http://schemas.openxmlformats.org/officeDocument/2006/relationships/hyperlink" Target="https://www.arvadaco.gov/168/Zoning" TargetMode="External" Id="rId11" /><Relationship Type="http://schemas.openxmlformats.org/officeDocument/2006/relationships/hyperlink" Target="https://www.arvadaco.gov/1369/Planning-and-Development" TargetMode="External" Id="rId12" /><Relationship Type="http://schemas.openxmlformats.org/officeDocument/2006/relationships/hyperlink" Target="https://www.arvadaco.gov/1394/Active-Development-Projects" TargetMode="External" Id="rId13" /><Relationship Type="http://schemas.openxmlformats.org/officeDocument/2006/relationships/hyperlink" Target="https://www.arvadaco.gov/330/Permits" TargetMode="External" Id="rId14" /><Relationship Type="http://schemas.openxmlformats.org/officeDocument/2006/relationships/hyperlink" Target="https://www.arvadaco.gov/1374/2026-27-Comprehensive-Plan" TargetMode="External" Id="rId15" /><Relationship Type="http://schemas.openxmlformats.org/officeDocument/2006/relationships/hyperlink" Target="https://www.arvadaco.gov/AgendaCenter" TargetMode="External" Id="rId16" /><Relationship Type="http://schemas.openxmlformats.org/officeDocument/2006/relationships/hyperlink" Target="https://www.auroragov.org/" TargetMode="External" Id="rId17" /><Relationship Type="http://schemas.openxmlformats.org/officeDocument/2006/relationships/hyperlink" Target="https://www.auroragov.org/city_hall/maps/planning_and_zoning_maps" TargetMode="External" Id="rId18" /><Relationship Type="http://schemas.openxmlformats.org/officeDocument/2006/relationships/hyperlink" Target="https://zoning.auroragov.org/" TargetMode="External" Id="rId19" /><Relationship Type="http://schemas.openxmlformats.org/officeDocument/2006/relationships/hyperlink" Target="https://www.auroragov.org/business_services/planning" TargetMode="External" Id="rId20" /><Relationship Type="http://schemas.openxmlformats.org/officeDocument/2006/relationships/hyperlink" Target="https://coaapps.auroragov.org/ProjectStatus/search.aspx" TargetMode="External" Id="rId21" /><Relationship Type="http://schemas.openxmlformats.org/officeDocument/2006/relationships/hyperlink" Target="https://www.auroragov.org/business_services/building_division/permits" TargetMode="External" Id="rId22" /><Relationship Type="http://schemas.openxmlformats.org/officeDocument/2006/relationships/hyperlink" Target="https://www.auroragov.org/business_services/planning/projects__plans___studies/comprehensive_plan" TargetMode="External" Id="rId23" /><Relationship Type="http://schemas.openxmlformats.org/officeDocument/2006/relationships/hyperlink" Target="https://www.auroragov.org/city_hall/mayor___city_council/council_meetings" TargetMode="External" Id="rId24" /><Relationship Type="http://schemas.openxmlformats.org/officeDocument/2006/relationships/hyperlink" Target="https://www.bennettco.gov/" TargetMode="External" Id="rId25" /><Relationship Type="http://schemas.openxmlformats.org/officeDocument/2006/relationships/hyperlink" Target="https://www.bennettco.gov/business/page/bennett-zoning-map" TargetMode="External" Id="rId26" /><Relationship Type="http://schemas.openxmlformats.org/officeDocument/2006/relationships/hyperlink" Target="https://www.bennettco.gov/planning-economic-development/page/zoning-and-subdivision-regulations" TargetMode="External" Id="rId27" /><Relationship Type="http://schemas.openxmlformats.org/officeDocument/2006/relationships/hyperlink" Target="https://www.bennettco.gov/planning-economic-development/page/planning-and-zoning" TargetMode="External" Id="rId28" /><Relationship Type="http://schemas.openxmlformats.org/officeDocument/2006/relationships/hyperlink" Target="https://www.bennettco.gov/projects" TargetMode="External" Id="rId29" /><Relationship Type="http://schemas.openxmlformats.org/officeDocument/2006/relationships/hyperlink" Target="https://www.bennettco.gov/community-development/page/building-department" TargetMode="External" Id="rId30" /><Relationship Type="http://schemas.openxmlformats.org/officeDocument/2006/relationships/hyperlink" Target="https://www.bennettco.gov/planning-economic-development/page/master-plans-and-guiding-documents" TargetMode="External" Id="rId31" /><Relationship Type="http://schemas.openxmlformats.org/officeDocument/2006/relationships/hyperlink" Target="https://www.bennettco.gov/meetings/recent" TargetMode="External" Id="rId32" /><Relationship Type="http://schemas.openxmlformats.org/officeDocument/2006/relationships/hyperlink" Target="https://www.brightonco.gov/" TargetMode="External" Id="rId33" /><Relationship Type="http://schemas.openxmlformats.org/officeDocument/2006/relationships/hyperlink" Target="https://www.brightonco.gov/248/Geographic-Information-Systems" TargetMode="External" Id="rId34" /><Relationship Type="http://schemas.openxmlformats.org/officeDocument/2006/relationships/hyperlink" Target="https://www.brightonco.gov/363/Land-Use-Development-Code" TargetMode="External" Id="rId35" /><Relationship Type="http://schemas.openxmlformats.org/officeDocument/2006/relationships/hyperlink" Target="https://www.brightonco.gov/224/Planning-Zoning" TargetMode="External" Id="rId36" /><Relationship Type="http://schemas.openxmlformats.org/officeDocument/2006/relationships/hyperlink" Target="https://www.brightonco.gov/1596/Interactive-Development-Map" TargetMode="External" Id="rId37" /><Relationship Type="http://schemas.openxmlformats.org/officeDocument/2006/relationships/hyperlink" Target="https://www.brightonco.gov/222/Permitting" TargetMode="External" Id="rId38" /><Relationship Type="http://schemas.openxmlformats.org/officeDocument/2006/relationships/hyperlink" Target="https://www.brightonco.gov/553/Long-Range-Planning" TargetMode="External" Id="rId39" /><Relationship Type="http://schemas.openxmlformats.org/officeDocument/2006/relationships/hyperlink" Target="https://www.brightonco.gov/agendacenter" TargetMode="External" Id="rId40" /><Relationship Type="http://schemas.openxmlformats.org/officeDocument/2006/relationships/hyperlink" Target="https://www.c3gov.com/Home" TargetMode="External" Id="rId41" /><Relationship Type="http://schemas.openxmlformats.org/officeDocument/2006/relationships/hyperlink" Target="https://www.c3gov.com/Residents/Maps-Data-GIS" TargetMode="External" Id="rId42" /><Relationship Type="http://schemas.openxmlformats.org/officeDocument/2006/relationships/hyperlink" Target="https://www.c3gov.com/Government/City-Codes/Land-Development-Code" TargetMode="External" Id="rId43" /><Relationship Type="http://schemas.openxmlformats.org/officeDocument/2006/relationships/hyperlink" Target="https://www.c3gov.com/Government/Departments-Divisions/Community-Development" TargetMode="External" Id="rId44" /><Relationship Type="http://schemas.openxmlformats.org/officeDocument/2006/relationships/hyperlink" Target="https://www.c3gov.com/Business-Development/Development-Projects-Map" TargetMode="External" Id="rId45" /><Relationship Type="http://schemas.openxmlformats.org/officeDocument/2006/relationships/hyperlink" Target="https://www.c3gov.com/Business-Development/Building-Permits-Inspections" TargetMode="External" Id="rId46" /><Relationship Type="http://schemas.openxmlformats.org/officeDocument/2006/relationships/hyperlink" Target="https://www.c3gov.com/Government/City-Charter-Master-Plans/Comprehensive-Plan" TargetMode="External" Id="rId47" /><Relationship Type="http://schemas.openxmlformats.org/officeDocument/2006/relationships/hyperlink" Target="https://www.c3gov.com/Site-Footer/Footer-Widgets/Quick-Links/Meeting-Agendas-and-Schedules" TargetMode="External" Id="rId48" /><Relationship Type="http://schemas.openxmlformats.org/officeDocument/2006/relationships/hyperlink" Target="https://www.fedheights.org/" TargetMode="External" Id="rId49" /><Relationship Type="http://schemas.openxmlformats.org/officeDocument/2006/relationships/hyperlink" Target="https://www.fedheights.org/index.asp?SEC=D1A883BE-0C29-4602-8CC9-5D6A08DA5503" TargetMode="External" Id="rId50" /><Relationship Type="http://schemas.openxmlformats.org/officeDocument/2006/relationships/hyperlink" Target="https://www.fedheights.org/index.asp?SEC=D7AA9940-8607-468A-8215-7308DD3BF799" TargetMode="External" Id="rId51" /><Relationship Type="http://schemas.openxmlformats.org/officeDocument/2006/relationships/hyperlink" Target="https://www.fedheights.org/planning" TargetMode="External" Id="rId52" /><Relationship Type="http://schemas.openxmlformats.org/officeDocument/2006/relationships/hyperlink" Target="https://www.fedheights.org/index.asp?SEC=%7B76F23E1D-0819-4BAB-BD73-23D6092E8A3B%7D&amp;persistdesign=none" TargetMode="External" Id="rId53" /><Relationship Type="http://schemas.openxmlformats.org/officeDocument/2006/relationships/hyperlink" Target="https://www.fedheights.org/index.asp?SEC=D1CB6EB6-9C4B-4FA8-B119-EF1785E54CB6" TargetMode="External" Id="rId54" /><Relationship Type="http://schemas.openxmlformats.org/officeDocument/2006/relationships/hyperlink" Target="https://www.fedheights.org/index.asp?SEC=%7B5CF1D2C4-3E29-4A1A-BBFA-2BE19B3ABFD0%7D" TargetMode="External" Id="rId55" /><Relationship Type="http://schemas.openxmlformats.org/officeDocument/2006/relationships/hyperlink" Target="https://www.fedheights.org/index.asp?SEC=%7BE66D34DF-8290-4807-83DA-3AF56D110C00%7D" TargetMode="External" Id="rId56" /><Relationship Type="http://schemas.openxmlformats.org/officeDocument/2006/relationships/hyperlink" Target="https://www.lochbuie.org/" TargetMode="External" Id="rId57" /><Relationship Type="http://schemas.openxmlformats.org/officeDocument/2006/relationships/hyperlink" Target="https://www.lochbuie.org/community-dev/page/interactive-land-use-map" TargetMode="External" Id="rId58" /><Relationship Type="http://schemas.openxmlformats.org/officeDocument/2006/relationships/hyperlink" Target="https://www.lochbuie.org/administration/page/zoning-map" TargetMode="External" Id="rId59" /><Relationship Type="http://schemas.openxmlformats.org/officeDocument/2006/relationships/hyperlink" Target="https://www.lochbuie.org/community-dev/page/current-planning" TargetMode="External" Id="rId60" /><Relationship Type="http://schemas.openxmlformats.org/officeDocument/2006/relationships/hyperlink" Target="https://www.lochbuie.org/projects" TargetMode="External" Id="rId61" /><Relationship Type="http://schemas.openxmlformats.org/officeDocument/2006/relationships/hyperlink" Target="https://www.lochbuie.org/community-dev/page/building-permits-and-inspections" TargetMode="External" Id="rId62" /><Relationship Type="http://schemas.openxmlformats.org/officeDocument/2006/relationships/hyperlink" Target="https://www.lochbuie.org/community-dev/page/documents" TargetMode="External" Id="rId63" /><Relationship Type="http://schemas.openxmlformats.org/officeDocument/2006/relationships/hyperlink" Target="https://www.lochbuie.org/meetings" TargetMode="External" Id="rId64" /><Relationship Type="http://schemas.openxmlformats.org/officeDocument/2006/relationships/hyperlink" Target="https://www.northglenn.org/" TargetMode="External" Id="rId65" /><Relationship Type="http://schemas.openxmlformats.org/officeDocument/2006/relationships/hyperlink" Target="https://biz.northglenn.org/quickzone" TargetMode="External" Id="rId66" /><Relationship Type="http://schemas.openxmlformats.org/officeDocument/2006/relationships/hyperlink" Target="https://www.northglenn.org/government/land_use_zoning/new_code_northglenn.php" TargetMode="External" Id="rId67" /><Relationship Type="http://schemas.openxmlformats.org/officeDocument/2006/relationships/hyperlink" Target="https://www.northglenn.org/government/departments/planning_development/index.php" TargetMode="External" Id="rId68" /><Relationship Type="http://schemas.openxmlformats.org/officeDocument/2006/relationships/hyperlink" Target="https://www.northglenn.org/government/project_updates/" TargetMode="External" Id="rId69" /><Relationship Type="http://schemas.openxmlformats.org/officeDocument/2006/relationships/hyperlink" Target="https://www.northglenn.org/government/departments/building/pull_a_permit.php" TargetMode="External" Id="rId70" /><Relationship Type="http://schemas.openxmlformats.org/officeDocument/2006/relationships/hyperlink" Target="https://www.northglenn.org/government/land_use_zoning/comprehensive_plan.php" TargetMode="External" Id="rId71" /><Relationship Type="http://schemas.openxmlformats.org/officeDocument/2006/relationships/hyperlink" Target="https://webdocs.northglenn.org/" TargetMode="External" Id="rId72" /><Relationship Type="http://schemas.openxmlformats.org/officeDocument/2006/relationships/hyperlink" Target="https://www.thorntonco.gov/" TargetMode="External" Id="rId73" /><Relationship Type="http://schemas.openxmlformats.org/officeDocument/2006/relationships/hyperlink" Target="https://cityofthornton.maps.arcgis.com/apps/webappviewer/index.html?id=643abe02e8b8446586b6eb6d8ed43f84" TargetMode="External" Id="rId74" /><Relationship Type="http://schemas.openxmlformats.org/officeDocument/2006/relationships/hyperlink" Target="https://www.thorntonco.gov/business-development/city-development/current-planning-zoning/zoning-districts-uses-and-regulations" TargetMode="External" Id="rId75" /><Relationship Type="http://schemas.openxmlformats.org/officeDocument/2006/relationships/hyperlink" Target="https://www.thorntonco.gov/business-development/city-development" TargetMode="External" Id="rId76" /><Relationship Type="http://schemas.openxmlformats.org/officeDocument/2006/relationships/hyperlink" Target="https://www.thorntonco.gov/business-development/active-development" TargetMode="External" Id="rId77" /><Relationship Type="http://schemas.openxmlformats.org/officeDocument/2006/relationships/hyperlink" Target="https://www.thorntonco.gov/business-development/city-development/building-permits-inspections" TargetMode="External" Id="rId78" /><Relationship Type="http://schemas.openxmlformats.org/officeDocument/2006/relationships/hyperlink" Target="https://www.thorntonco.gov/business-development/city-development/long-range-planning/plans/thornton-comprehensive-plan" TargetMode="External" Id="rId79" /><Relationship Type="http://schemas.openxmlformats.org/officeDocument/2006/relationships/hyperlink" Target="https://www.thorntonco.gov/government/mayor-council/upcoming-meetings" TargetMode="External" Id="rId80" /><Relationship Type="http://schemas.openxmlformats.org/officeDocument/2006/relationships/hyperlink" Target="https://www.westminsterco.gov/" TargetMode="External" Id="rId81" /><Relationship Type="http://schemas.openxmlformats.org/officeDocument/2006/relationships/hyperlink" Target="https://www.westminsterco.gov/471/Maps" TargetMode="External" Id="rId82" /><Relationship Type="http://schemas.openxmlformats.org/officeDocument/2006/relationships/hyperlink" Target="https://www.westminsterco.gov/727/Zoning" TargetMode="External" Id="rId83" /><Relationship Type="http://schemas.openxmlformats.org/officeDocument/2006/relationships/hyperlink" Target="https://www.westminsterco.gov/707/Planning" TargetMode="External" Id="rId84" /><Relationship Type="http://schemas.openxmlformats.org/officeDocument/2006/relationships/hyperlink" Target="https://www.westminsterco.gov/855/Current-Development-Project-Map" TargetMode="External" Id="rId85" /><Relationship Type="http://schemas.openxmlformats.org/officeDocument/2006/relationships/hyperlink" Target="https://www.westminsterco.gov/617/Apply-for-a-Permit-Project" TargetMode="External" Id="rId86" /><Relationship Type="http://schemas.openxmlformats.org/officeDocument/2006/relationships/hyperlink" Target="https://www.westminsterco.gov/DocumentCenter/View/5605/Comprehensive-Plan_November2025-LR" TargetMode="External" Id="rId87" /><Relationship Type="http://schemas.openxmlformats.org/officeDocument/2006/relationships/hyperlink" Target="https://www.westminsterco.gov/AgendaCenter" TargetMode="External" Id="rId88" /></Relationships>
</file>

<file path=xl/worksheets/_rels/sheet18.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s>
</file>

<file path=xl/worksheets/_rels/sheet19.xml.rels><Relationships xmlns="http://schemas.openxmlformats.org/package/2006/relationships"><Relationship Type="http://schemas.openxmlformats.org/officeDocument/2006/relationships/hyperlink" Target="https://www.arvadaco.gov/" TargetMode="External" Id="rId1" /><Relationship Type="http://schemas.openxmlformats.org/officeDocument/2006/relationships/hyperlink" Target="https://www.arvadaco.gov/702/Maps-and-Property-Search" TargetMode="External" Id="rId2" /><Relationship Type="http://schemas.openxmlformats.org/officeDocument/2006/relationships/hyperlink" Target="https://www.arvadaco.gov/168/Zoning" TargetMode="External" Id="rId3" /><Relationship Type="http://schemas.openxmlformats.org/officeDocument/2006/relationships/hyperlink" Target="https://www.arvadaco.gov/1369/Planning-and-Development" TargetMode="External" Id="rId4" /><Relationship Type="http://schemas.openxmlformats.org/officeDocument/2006/relationships/hyperlink" Target="https://www.arvadaco.gov/1397/Land-Development-Code" TargetMode="External" Id="rId5" /><Relationship Type="http://schemas.openxmlformats.org/officeDocument/2006/relationships/hyperlink" Target="https://www.arvadaco.gov/1394/Active-Development-Projects" TargetMode="External" Id="rId6" /><Relationship Type="http://schemas.openxmlformats.org/officeDocument/2006/relationships/hyperlink" Target="https://www.arvadaco.gov/1393/Development-Review-Process" TargetMode="External" Id="rId7" /><Relationship Type="http://schemas.openxmlformats.org/officeDocument/2006/relationships/hyperlink" Target="https://www.arvadaco.gov/363/Documents-and-Downloads" TargetMode="External" Id="rId8" /><Relationship Type="http://schemas.openxmlformats.org/officeDocument/2006/relationships/hyperlink" Target="https://www.arvadaco.gov/330/Permits" TargetMode="External" Id="rId9" /><Relationship Type="http://schemas.openxmlformats.org/officeDocument/2006/relationships/hyperlink" Target="https://www.arvadaco.gov/332/Building-Permits" TargetMode="External" Id="rId10" /><Relationship Type="http://schemas.openxmlformats.org/officeDocument/2006/relationships/hyperlink" Target="https://www.arvadaco.gov/593/eTRAKiT-Help/permithelp" TargetMode="External" Id="rId11" /><Relationship Type="http://schemas.openxmlformats.org/officeDocument/2006/relationships/hyperlink" Target="https://www.arvadaco.gov/627/Researching-Permits" TargetMode="External" Id="rId12" /><Relationship Type="http://schemas.openxmlformats.org/officeDocument/2006/relationships/hyperlink" Target="https://www.arvadaco.gov/1374/2026-27-Comprehensive-Plan" TargetMode="External" Id="rId13" /><Relationship Type="http://schemas.openxmlformats.org/officeDocument/2006/relationships/hyperlink" Target="https://www.arvadaco.gov/304/City-Plans" TargetMode="External" Id="rId14" /><Relationship Type="http://schemas.openxmlformats.org/officeDocument/2006/relationships/hyperlink" Target="https://www.arvadaco.gov/276/Planning-Commission" TargetMode="External" Id="rId15" /><Relationship Type="http://schemas.openxmlformats.org/officeDocument/2006/relationships/hyperlink" Target="https://www.arvadaco.gov/AgendaCenter" TargetMode="External" Id="rId16" /><Relationship Type="http://schemas.openxmlformats.org/officeDocument/2006/relationships/hyperlink" Target="https://www.arvadaco.gov/245/Meetings-and-Other-Legal-Notices" TargetMode="External" Id="rId17" /><Relationship Type="http://schemas.openxmlformats.org/officeDocument/2006/relationships/hyperlink" Target="https://www.arvadaco.gov/908/News-Releases" TargetMode="External" Id="rId18" /><Relationship Type="http://schemas.openxmlformats.org/officeDocument/2006/relationships/hyperlink" Target="https://www.arvadaco.gov/247/Records-and-Requests" TargetMode="External" Id="rId19" /><Relationship Type="http://schemas.openxmlformats.org/officeDocument/2006/relationships/hyperlink" Target="https://www.auroragov.org/" TargetMode="External" Id="rId20" /><Relationship Type="http://schemas.openxmlformats.org/officeDocument/2006/relationships/hyperlink" Target="https://www.auroragov.org/city_hall/maps/planning_and_zoning_maps" TargetMode="External" Id="rId21" /><Relationship Type="http://schemas.openxmlformats.org/officeDocument/2006/relationships/hyperlink" Target="https://ags.auroragov.org/aurora/rest/services/OpenData/MapServer" TargetMode="External" Id="rId22" /><Relationship Type="http://schemas.openxmlformats.org/officeDocument/2006/relationships/hyperlink" Target="https://zoning.auroragov.org/" TargetMode="External" Id="rId23" /><Relationship Type="http://schemas.openxmlformats.org/officeDocument/2006/relationships/hyperlink" Target="https://www.auroragov.org/business_services/planning" TargetMode="External" Id="rId24" /><Relationship Type="http://schemas.openxmlformats.org/officeDocument/2006/relationships/hyperlink" Target="https://www.auroragov.org/city_hall/departments/planning___development_services" TargetMode="External" Id="rId25" /><Relationship Type="http://schemas.openxmlformats.org/officeDocument/2006/relationships/hyperlink" Target="https://www.auroragov.org/business_services/development_center/codes_rules/building___zoning_code/unified_development_ordinance" TargetMode="External" Id="rId26" /><Relationship Type="http://schemas.openxmlformats.org/officeDocument/2006/relationships/hyperlink" Target="https://www.auroragov.org/business_services/development_center/codes_rules/building___zoning_code" TargetMode="External" Id="rId27" /><Relationship Type="http://schemas.openxmlformats.org/officeDocument/2006/relationships/hyperlink" Target="https://coaapps.auroragov.org/ProjectStatus/search.aspx" TargetMode="External" Id="rId28" /><Relationship Type="http://schemas.openxmlformats.org/officeDocument/2006/relationships/hyperlink" Target="https://www.auroragov.org/business_services/development_center/development_process/forms_and_applications" TargetMode="External" Id="rId29" /><Relationship Type="http://schemas.openxmlformats.org/officeDocument/2006/relationships/hyperlink" Target="https://www.auroragov.org/business_services/planning/projects__plans___studies" TargetMode="External" Id="rId30" /><Relationship Type="http://schemas.openxmlformats.org/officeDocument/2006/relationships/hyperlink" Target="https://www.auroragov.org/business_services/planning/projects__plans___studies/comprehensive_plan" TargetMode="External" Id="rId31" /><Relationship Type="http://schemas.openxmlformats.org/officeDocument/2006/relationships/hyperlink" Target="https://www.auroragov.org/residents/neighborhood_planning" TargetMode="External" Id="rId32" /><Relationship Type="http://schemas.openxmlformats.org/officeDocument/2006/relationships/hyperlink" Target="https://www.auroragov.org/business_services/building_division/permits" TargetMode="External" Id="rId33" /><Relationship Type="http://schemas.openxmlformats.org/officeDocument/2006/relationships/hyperlink" Target="https://www.auroragov.org/business_services/development_center/permitting" TargetMode="External" Id="rId34" /><Relationship Type="http://schemas.openxmlformats.org/officeDocument/2006/relationships/hyperlink" Target="https://www.auroragov.org/business_services/aurora4biz" TargetMode="External" Id="rId35" /><Relationship Type="http://schemas.openxmlformats.org/officeDocument/2006/relationships/hyperlink" Target="https://www.auroragov.org/city_hall/boards___commissions/planning___zoning_commission" TargetMode="External" Id="rId36" /><Relationship Type="http://schemas.openxmlformats.org/officeDocument/2006/relationships/hyperlink" Target="https://www.auroragov.org/city_hall/mayor___city_council/council_meetings" TargetMode="External" Id="rId37" /><Relationship Type="http://schemas.openxmlformats.org/officeDocument/2006/relationships/hyperlink" Target="https://www.auroragov.org/city_hall/public_records/legal_notices/public_hearings" TargetMode="External" Id="rId38" /><Relationship Type="http://schemas.openxmlformats.org/officeDocument/2006/relationships/hyperlink" Target="https://www.auroragov.org/city_hall/public_records" TargetMode="External" Id="rId39" /><Relationship Type="http://schemas.openxmlformats.org/officeDocument/2006/relationships/hyperlink" Target="https://www.auroragov.org/news/whats_new" TargetMode="External" Id="rId40" /><Relationship Type="http://schemas.openxmlformats.org/officeDocument/2006/relationships/hyperlink" Target="https://www.bennettco.gov/" TargetMode="External" Id="rId41" /><Relationship Type="http://schemas.openxmlformats.org/officeDocument/2006/relationships/hyperlink" Target="https://www.bennettco.gov/business/page/bennett-zoning-map" TargetMode="External" Id="rId42" /><Relationship Type="http://schemas.openxmlformats.org/officeDocument/2006/relationships/hyperlink" Target="https://www.bennettco.gov/planning-economic-development/page/planning-and-zoning" TargetMode="External" Id="rId43" /><Relationship Type="http://schemas.openxmlformats.org/officeDocument/2006/relationships/hyperlink" Target="https://www.bennettco.gov/planning-economic-development" TargetMode="External" Id="rId44" /><Relationship Type="http://schemas.openxmlformats.org/officeDocument/2006/relationships/hyperlink" Target="https://www.bennettco.gov/planning-economic-development/page/zoning-and-subdivision-regulations" TargetMode="External" Id="rId45" /><Relationship Type="http://schemas.openxmlformats.org/officeDocument/2006/relationships/hyperlink" Target="https://www.bennettco.gov/development" TargetMode="External" Id="rId46" /><Relationship Type="http://schemas.openxmlformats.org/officeDocument/2006/relationships/hyperlink" Target="https://www.bennettco.gov/projects" TargetMode="External" Id="rId47" /><Relationship Type="http://schemas.openxmlformats.org/officeDocument/2006/relationships/hyperlink" Target="https://www.bennettco.gov/planning-economic-development/page/applicant-guides" TargetMode="External" Id="rId48" /><Relationship Type="http://schemas.openxmlformats.org/officeDocument/2006/relationships/hyperlink" Target="https://www.bennettco.gov/community-development/page/self-service-guide-permits-and-zoning" TargetMode="External" Id="rId49" /><Relationship Type="http://schemas.openxmlformats.org/officeDocument/2006/relationships/hyperlink" Target="https://www.bennettco.gov/community-development/page/building-department" TargetMode="External" Id="rId50" /><Relationship Type="http://schemas.openxmlformats.org/officeDocument/2006/relationships/hyperlink" Target="https://www.bennettco.gov/community-development/page/how-obtain-permit" TargetMode="External" Id="rId51" /><Relationship Type="http://schemas.openxmlformats.org/officeDocument/2006/relationships/hyperlink" Target="https://www.bennettco.gov/planning-economic-development/page/master-plans-and-guiding-documents" TargetMode="External" Id="rId52" /><Relationship Type="http://schemas.openxmlformats.org/officeDocument/2006/relationships/hyperlink" Target="https://www.bennettco.gov/planning-and-zoning-commission" TargetMode="External" Id="rId53" /><Relationship Type="http://schemas.openxmlformats.org/officeDocument/2006/relationships/hyperlink" Target="https://www.bennettco.gov/meetings/recent" TargetMode="External" Id="rId54" /><Relationship Type="http://schemas.openxmlformats.org/officeDocument/2006/relationships/hyperlink" Target="https://www.bennettco.gov/town-clerk/page/public-records" TargetMode="External" Id="rId55" /><Relationship Type="http://schemas.openxmlformats.org/officeDocument/2006/relationships/hyperlink" Target="https://www.bennettco.gov/news" TargetMode="External" Id="rId56" /><Relationship Type="http://schemas.openxmlformats.org/officeDocument/2006/relationships/hyperlink" Target="https://www.brightonco.gov/" TargetMode="External" Id="rId57" /><Relationship Type="http://schemas.openxmlformats.org/officeDocument/2006/relationships/hyperlink" Target="https://www.brightonco.gov/248/Geographic-Information-Systems" TargetMode="External" Id="rId58" /><Relationship Type="http://schemas.openxmlformats.org/officeDocument/2006/relationships/hyperlink" Target="https://www.brightonco.gov/224/Planning-Zoning" TargetMode="External" Id="rId59" /><Relationship Type="http://schemas.openxmlformats.org/officeDocument/2006/relationships/hyperlink" Target="https://www.brightonco.gov/363/Land-Use-Development-Code" TargetMode="External" Id="rId60" /><Relationship Type="http://schemas.openxmlformats.org/officeDocument/2006/relationships/hyperlink" Target="https://www.brightonco.gov/1142/Land-Use-Development-Applications" TargetMode="External" Id="rId61" /><Relationship Type="http://schemas.openxmlformats.org/officeDocument/2006/relationships/hyperlink" Target="https://www.brightonco.gov/1596/Interactive-Development-Map" TargetMode="External" Id="rId62" /><Relationship Type="http://schemas.openxmlformats.org/officeDocument/2006/relationships/hyperlink" Target="https://www.brightonco.gov/1146/Development-Resources" TargetMode="External" Id="rId63" /><Relationship Type="http://schemas.openxmlformats.org/officeDocument/2006/relationships/hyperlink" Target="https://www.brightonco.gov/222/Permitting" TargetMode="External" Id="rId64" /><Relationship Type="http://schemas.openxmlformats.org/officeDocument/2006/relationships/hyperlink" Target="https://www.brightonco.gov/1194/Codes"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197/Planning-Commission" TargetMode="External" Id="rId67" /><Relationship Type="http://schemas.openxmlformats.org/officeDocument/2006/relationships/hyperlink" Target="https://www.brightonco.gov/agendacenter" TargetMode="External" Id="rId68" /><Relationship Type="http://schemas.openxmlformats.org/officeDocument/2006/relationships/hyperlink" Target="https://www.brightonco.gov/453/Legal-Notices" TargetMode="External" Id="rId69" /><Relationship Type="http://schemas.openxmlformats.org/officeDocument/2006/relationships/hyperlink" Target="https://www.brightonco.gov/175/News" TargetMode="External" Id="rId70" /><Relationship Type="http://schemas.openxmlformats.org/officeDocument/2006/relationships/hyperlink" Target="https://www.brightonco.gov/notifyme" TargetMode="External" Id="rId71" /><Relationship Type="http://schemas.openxmlformats.org/officeDocument/2006/relationships/hyperlink" Target="https://www.c3gov.com/Home" TargetMode="External" Id="rId72" /><Relationship Type="http://schemas.openxmlformats.org/officeDocument/2006/relationships/hyperlink" Target="https://www.c3gov.com/Residents/Maps-Data-GIS" TargetMode="External" Id="rId73" /><Relationship Type="http://schemas.openxmlformats.org/officeDocument/2006/relationships/hyperlink" Target="https://www.c3gov.com/Government/City-Codes/Land-Development-Code" TargetMode="External" Id="rId74" /><Relationship Type="http://schemas.openxmlformats.org/officeDocument/2006/relationships/hyperlink" Target="https://www.c3gov.com/Government/City-Codes/Land-Development-Code/Land-Development-Code-Transition" TargetMode="External" Id="rId75" /><Relationship Type="http://schemas.openxmlformats.org/officeDocument/2006/relationships/hyperlink" Target="https://www.c3gov.com/Business-Development/Developing-in-Commerce-City/Land-Use-Standards" TargetMode="External" Id="rId76" /><Relationship Type="http://schemas.openxmlformats.org/officeDocument/2006/relationships/hyperlink" Target="https://www.c3gov.com/Government/Departments-Divisions/Community-Development" TargetMode="External" Id="rId77" /><Relationship Type="http://schemas.openxmlformats.org/officeDocument/2006/relationships/hyperlink" Target="https://www.c3gov.com/Business-Development/Developing-in-Commerce-City" TargetMode="External" Id="rId78" /><Relationship Type="http://schemas.openxmlformats.org/officeDocument/2006/relationships/hyperlink" Target="https://www.c3gov.com/Business-Development/Developing-in-Commerce-City/Land-Use-Approvals" TargetMode="External" Id="rId79" /><Relationship Type="http://schemas.openxmlformats.org/officeDocument/2006/relationships/hyperlink" Target="https://www.c3gov.com/Business-Development/Development-Projects-Map" TargetMode="External" Id="rId80" /><Relationship Type="http://schemas.openxmlformats.org/officeDocument/2006/relationships/hyperlink" Target="https://www.c3gov.com/Business-Development/Building-Permits-Inspections" TargetMode="External" Id="rId81" /><Relationship Type="http://schemas.openxmlformats.org/officeDocument/2006/relationships/hyperlink" Target="https://www.c3gov.com/Business-Development/eTRAKiT-Portal" TargetMode="External" Id="rId82" /><Relationship Type="http://schemas.openxmlformats.org/officeDocument/2006/relationships/hyperlink" Target="https://www.c3gov.com/Government/City-Charter-Master-Plans/Comprehensive-Plan" TargetMode="External" Id="rId83" /><Relationship Type="http://schemas.openxmlformats.org/officeDocument/2006/relationships/hyperlink" Target="https://www.c3gov.com/Government/Boards-Commissions/Planning-Commission" TargetMode="External" Id="rId84" /><Relationship Type="http://schemas.openxmlformats.org/officeDocument/2006/relationships/hyperlink" Target="https://www.c3gov.com/Site-Footer/Footer-Widgets/Quick-Links/Meeting-Agendas-and-Schedules" TargetMode="External" Id="rId85" /><Relationship Type="http://schemas.openxmlformats.org/officeDocument/2006/relationships/hyperlink" Target="https://www.c3gov.com/Government/Departments-Divisions/City-Clerks-Office/Legal-Notices-Ordinances" TargetMode="External" Id="rId86" /><Relationship Type="http://schemas.openxmlformats.org/officeDocument/2006/relationships/hyperlink" Target="https://www.c3gov.com/Government/Media-News/News-Announcements" TargetMode="External" Id="rId87" /><Relationship Type="http://schemas.openxmlformats.org/officeDocument/2006/relationships/hyperlink" Target="https://www.fedheights.org/" TargetMode="External" Id="rId88" /><Relationship Type="http://schemas.openxmlformats.org/officeDocument/2006/relationships/hyperlink" Target="https://www.fedheights.org/index.asp?SEC=D1A883BE-0C29-4602-8CC9-5D6A08DA5503" TargetMode="External" Id="rId89" /><Relationship Type="http://schemas.openxmlformats.org/officeDocument/2006/relationships/hyperlink" Target="https://www.fedheights.org/index.asp?SEC=D7AA9940-8607-468A-8215-7308DD3BF799" TargetMode="External" Id="rId90" /><Relationship Type="http://schemas.openxmlformats.org/officeDocument/2006/relationships/hyperlink" Target="https://www.fedheights.org/planning" TargetMode="External" Id="rId91" /><Relationship Type="http://schemas.openxmlformats.org/officeDocument/2006/relationships/hyperlink" Target="https://www.fedheights.org/index.asp?SEC=E0D5E6BC-02A8-4AEF-88A1-9093297C3662" TargetMode="External" Id="rId92" /><Relationship Type="http://schemas.openxmlformats.org/officeDocument/2006/relationships/hyperlink" Target="https://www.fedheights.org/index.asp?SEC=D1CB6EB6-9C4B-4FA8-B119-EF1785E54CB6" TargetMode="External" Id="rId93" /><Relationship Type="http://schemas.openxmlformats.org/officeDocument/2006/relationships/hyperlink" Target="https://www.fedheights.org/index.asp?SEC=%7BCB7135BC-846F-468B-B85D-0ECE8B03FFCD%7D&amp;persistdesign=none" TargetMode="External" Id="rId94" /><Relationship Type="http://schemas.openxmlformats.org/officeDocument/2006/relationships/hyperlink" Target="https://www.fedheights.org/index.asp?SEC=%7B76F23E1D-0819-4BAB-BD73-23D6092E8A3B%7D&amp;persistdesign=none" TargetMode="External" Id="rId95" /><Relationship Type="http://schemas.openxmlformats.org/officeDocument/2006/relationships/hyperlink" Target="https://www.fedheights.org/index.asp?SEC=%7B5CF1D2C4-3E29-4A1A-BBFA-2BE19B3ABFD0%7D" TargetMode="External" Id="rId96" /><Relationship Type="http://schemas.openxmlformats.org/officeDocument/2006/relationships/hyperlink" Target="https://www.fedheights.org/index.asp?SEC=%7BE66D34DF-8290-4807-83DA-3AF56D110C00%7D" TargetMode="External" Id="rId97" /><Relationship Type="http://schemas.openxmlformats.org/officeDocument/2006/relationships/hyperlink" Target="https://www.fedheights.org/index.asp?SEC=%7B13723B89-BA4A-47C1-9634-50363F8CD1D2%7D&amp;persistdesign=none" TargetMode="External" Id="rId98" /><Relationship Type="http://schemas.openxmlformats.org/officeDocument/2006/relationships/hyperlink" Target="https://www.fedheights.org/index.asp?SEC=407F7286-34E9-495F-B5F7-88E905D7C9A5" TargetMode="External" Id="rId99" /><Relationship Type="http://schemas.openxmlformats.org/officeDocument/2006/relationships/hyperlink" Target="https://www.fedheights.org/index.asp?SEC=%7B2E7DCCA1-1FEF-4EA7-8AE7-6C3F92D19EF3%7D&amp;persistdesign=none" TargetMode="External" Id="rId100" /><Relationship Type="http://schemas.openxmlformats.org/officeDocument/2006/relationships/hyperlink" Target="https://www.lochbuie.org/" TargetMode="External" Id="rId101" /><Relationship Type="http://schemas.openxmlformats.org/officeDocument/2006/relationships/hyperlink" Target="https://www.lochbuie.org/community-dev/page/interactive-land-use-map" TargetMode="External" Id="rId102" /><Relationship Type="http://schemas.openxmlformats.org/officeDocument/2006/relationships/hyperlink" Target="https://www.lochbuie.org/community-dev/page/maps" TargetMode="External" Id="rId103" /><Relationship Type="http://schemas.openxmlformats.org/officeDocument/2006/relationships/hyperlink" Target="https://www.lochbuie.org/administration/page/zoning-map" TargetMode="External" Id="rId104" /><Relationship Type="http://schemas.openxmlformats.org/officeDocument/2006/relationships/hyperlink" Target="https://www.lochbuie.org/community-dev/page/current-planning" TargetMode="External" Id="rId105" /><Relationship Type="http://schemas.openxmlformats.org/officeDocument/2006/relationships/hyperlink" Target="https://www.lochbuie.org/community-dev" TargetMode="External" Id="rId106" /><Relationship Type="http://schemas.openxmlformats.org/officeDocument/2006/relationships/hyperlink" Target="https://www.lochbuie.org/community-dev/page/land-use-applications" TargetMode="External" Id="rId107" /><Relationship Type="http://schemas.openxmlformats.org/officeDocument/2006/relationships/hyperlink" Target="https://www.lochbuie.org/community-dev/page/development-resources" TargetMode="External" Id="rId108" /><Relationship Type="http://schemas.openxmlformats.org/officeDocument/2006/relationships/hyperlink" Target="https://www.lochbuie.org/projects" TargetMode="External" Id="rId109" /><Relationship Type="http://schemas.openxmlformats.org/officeDocument/2006/relationships/hyperlink" Target="https://www.lochbuie.org/community-dev/page/building-permits-and-inspections" TargetMode="External" Id="rId110" /><Relationship Type="http://schemas.openxmlformats.org/officeDocument/2006/relationships/hyperlink" Target="https://www.lochbuie.org/community-dev/page/documents" TargetMode="External" Id="rId111" /><Relationship Type="http://schemas.openxmlformats.org/officeDocument/2006/relationships/hyperlink" Target="https://www.lochbuie.org/community-dev/page/long-range-planning" TargetMode="External" Id="rId112" /><Relationship Type="http://schemas.openxmlformats.org/officeDocument/2006/relationships/hyperlink" Target="https://www.lochbuie.org/publicnotice/page/ordinances" TargetMode="External" Id="rId113" /><Relationship Type="http://schemas.openxmlformats.org/officeDocument/2006/relationships/hyperlink" Target="https://www.lochbuie.org/meetings" TargetMode="External" Id="rId114" /><Relationship Type="http://schemas.openxmlformats.org/officeDocument/2006/relationships/hyperlink" Target="https://www.lochbuie.org/publicnotice" TargetMode="External" Id="rId115" /><Relationship Type="http://schemas.openxmlformats.org/officeDocument/2006/relationships/hyperlink" Target="https://www.lochbuie.org/news" TargetMode="External" Id="rId116" /><Relationship Type="http://schemas.openxmlformats.org/officeDocument/2006/relationships/hyperlink" Target="https://www.lochbuie.org/portal" TargetMode="External" Id="rId117" /><Relationship Type="http://schemas.openxmlformats.org/officeDocument/2006/relationships/hyperlink" Target="https://www.northglenn.org/" TargetMode="External" Id="rId118" /><Relationship Type="http://schemas.openxmlformats.org/officeDocument/2006/relationships/hyperlink" Target="https://www.northglenn.org/government/departments/planning_development/index.php" TargetMode="External" Id="rId119" /><Relationship Type="http://schemas.openxmlformats.org/officeDocument/2006/relationships/hyperlink" Target="https://www.northglenn.org/government/land_use_zoning/index.php" TargetMode="External" Id="rId120" /><Relationship Type="http://schemas.openxmlformats.org/officeDocument/2006/relationships/hyperlink" Target="https://www.northglenn.org/government/land_use_zoning/zoning_map.php" TargetMode="External" Id="rId121" /><Relationship Type="http://schemas.openxmlformats.org/officeDocument/2006/relationships/hyperlink" Target="https://biz.northglenn.org/quickzone" TargetMode="External" Id="rId122" /><Relationship Type="http://schemas.openxmlformats.org/officeDocument/2006/relationships/hyperlink" Target="https://www.northglenn.org/government/land_use_zoning/new_code_northglenn.php" TargetMode="External" Id="rId123" /><Relationship Type="http://schemas.openxmlformats.org/officeDocument/2006/relationships/hyperlink" Target="https://www.northglenn.org/government/land_use_zoning/land_use_applications.php" TargetMode="External" Id="rId124" /><Relationship Type="http://schemas.openxmlformats.org/officeDocument/2006/relationships/hyperlink" Target="https://www.northglenn.org/government/departments/planning_development/development_review_process.php" TargetMode="External" Id="rId125" /><Relationship Type="http://schemas.openxmlformats.org/officeDocument/2006/relationships/hyperlink" Target="https://www.northglenn.org/government/project_updates/" TargetMode="External" Id="rId126" /><Relationship Type="http://schemas.openxmlformats.org/officeDocument/2006/relationships/hyperlink" Target="https://www.northglenn.org/services/licenses_and_permits/index.php" TargetMode="External" Id="rId127" /><Relationship Type="http://schemas.openxmlformats.org/officeDocument/2006/relationships/hyperlink" Target="https://www.northglenn.org/government/departments/building/pull_a_permit.php" TargetMode="External" Id="rId128" /><Relationship Type="http://schemas.openxmlformats.org/officeDocument/2006/relationships/hyperlink" Target="https://www.northglenn.org/government/land_use_zoning/comprehensive_plan.php" TargetMode="External" Id="rId129" /><Relationship Type="http://schemas.openxmlformats.org/officeDocument/2006/relationships/hyperlink" Target="https://www.northglenn.org/government/land_use_zoning/area_plans/index.php" TargetMode="External" Id="rId130" /><Relationship Type="http://schemas.openxmlformats.org/officeDocument/2006/relationships/hyperlink" Target="https://www.northglenn.org/government/boards_commissions/planning_commission.php" TargetMode="External" Id="rId131" /><Relationship Type="http://schemas.openxmlformats.org/officeDocument/2006/relationships/hyperlink" Target="https://webdocs.northglenn.org/" TargetMode="External" Id="rId132" /><Relationship Type="http://schemas.openxmlformats.org/officeDocument/2006/relationships/hyperlink" Target="https://www.northglenn.org/newslist.php" TargetMode="External" Id="rId133" /><Relationship Type="http://schemas.openxmlformats.org/officeDocument/2006/relationships/hyperlink" Target="https://www.northglenn.org/community/communications/textmygov.php" TargetMode="External" Id="rId134" /><Relationship Type="http://schemas.openxmlformats.org/officeDocument/2006/relationships/hyperlink" Target="https://www.thorntonco.gov/" TargetMode="External" Id="rId135" /><Relationship Type="http://schemas.openxmlformats.org/officeDocument/2006/relationships/hyperlink" Target="https://www.thorntonco.gov/business-development/city-development" TargetMode="External" Id="rId136" /><Relationship Type="http://schemas.openxmlformats.org/officeDocument/2006/relationships/hyperlink" Target="https://www.thorntonco.gov/business-development/city-development/current-planning-zoning" TargetMode="External" Id="rId137" /><Relationship Type="http://schemas.openxmlformats.org/officeDocument/2006/relationships/hyperlink" Target="https://www.thorntonco.gov/business-development/city-development/current-planning-zoning/zoning-districts-uses-and-regulations" TargetMode="External" Id="rId138" /><Relationship Type="http://schemas.openxmlformats.org/officeDocument/2006/relationships/hyperlink" Target="https://cityofthornton.maps.arcgis.com/apps/webappviewer/index.html?id=643abe02e8b8446586b6eb6d8ed43f84" TargetMode="External" Id="rId139" /><Relationship Type="http://schemas.openxmlformats.org/officeDocument/2006/relationships/hyperlink" Target="https://data-cityofthornton.opendata.arcgis.com/" TargetMode="External" Id="rId140" /><Relationship Type="http://schemas.openxmlformats.org/officeDocument/2006/relationships/hyperlink" Target="https://cityviewportal.thorntonco.gov/Planning/Locator" TargetMode="External" Id="rId141" /><Relationship Type="http://schemas.openxmlformats.org/officeDocument/2006/relationships/hyperlink" Target="https://www.thorntonco.gov/business-development/active-development" TargetMode="External" Id="rId142" /><Relationship Type="http://schemas.openxmlformats.org/officeDocument/2006/relationships/hyperlink" Target="https://www.thorntonco.gov/business-development/city-development/current-planning-zoning/development-applications" TargetMode="External" Id="rId143" /><Relationship Type="http://schemas.openxmlformats.org/officeDocument/2006/relationships/hyperlink" Target="https://www.thorntonco.gov/business-development/city-development/development-engineering-construction" TargetMode="External" Id="rId144" /><Relationship Type="http://schemas.openxmlformats.org/officeDocument/2006/relationships/hyperlink" Target="https://www.thorntonco.gov/business-development/city-development/building-permits-inspections" TargetMode="External" Id="rId145" /><Relationship Type="http://schemas.openxmlformats.org/officeDocument/2006/relationships/hyperlink" Target="https://cityviewportal.thorntonco.gov/Permit/LocatorSubmittals" TargetMode="External" Id="rId146" /><Relationship Type="http://schemas.openxmlformats.org/officeDocument/2006/relationships/hyperlink" Target="https://permits.thorntonco.gov/" TargetMode="External" Id="rId147" /><Relationship Type="http://schemas.openxmlformats.org/officeDocument/2006/relationships/hyperlink" Target="https://www.thorntonco.gov/business-development/city-development/long-range-planning" TargetMode="External" Id="rId148" /><Relationship Type="http://schemas.openxmlformats.org/officeDocument/2006/relationships/hyperlink" Target="https://www.thorntonco.gov/business-development/city-development/long-range-planning/plans/thornton-comprehensive-plan" TargetMode="External" Id="rId149" /><Relationship Type="http://schemas.openxmlformats.org/officeDocument/2006/relationships/hyperlink" Target="https://www.thorntonco.gov/business-development/city-development/long-range-planning/current-projects" TargetMode="External" Id="rId150" /><Relationship Type="http://schemas.openxmlformats.org/officeDocument/2006/relationships/hyperlink" Target="https://www.thorntonco.gov/government/boards-commissions/planning-commission-board-adjustment" TargetMode="External" Id="rId151" /><Relationship Type="http://schemas.openxmlformats.org/officeDocument/2006/relationships/hyperlink" Target="https://www.thorntonco.gov/government/mayor-council/upcoming-meetings" TargetMode="External" Id="rId152" /><Relationship Type="http://schemas.openxmlformats.org/officeDocument/2006/relationships/hyperlink" Target="https://www.thorntonco.gov/government/public-notices" TargetMode="External" Id="rId153" /><Relationship Type="http://schemas.openxmlformats.org/officeDocument/2006/relationships/hyperlink" Target="https://www.thorntonco.gov/news" TargetMode="External" Id="rId154" /><Relationship Type="http://schemas.openxmlformats.org/officeDocument/2006/relationships/hyperlink" Target="https://talerts.thorntonco.gov/" TargetMode="External" Id="rId155" /><Relationship Type="http://schemas.openxmlformats.org/officeDocument/2006/relationships/hyperlink" Target="https://www.westminsterco.gov/" TargetMode="External" Id="rId156" /><Relationship Type="http://schemas.openxmlformats.org/officeDocument/2006/relationships/hyperlink" Target="https://www.westminsterco.gov/471/Maps" TargetMode="External" Id="rId157" /><Relationship Type="http://schemas.openxmlformats.org/officeDocument/2006/relationships/hyperlink" Target="https://www.westminsterco.gov/727/Zoning" TargetMode="External" Id="rId158" /><Relationship Type="http://schemas.openxmlformats.org/officeDocument/2006/relationships/hyperlink" Target="https://www.westminsterco.gov/707/Planning" TargetMode="External" Id="rId159" /><Relationship Type="http://schemas.openxmlformats.org/officeDocument/2006/relationships/hyperlink" Target="https://www.westminsterco.gov/703/Develop-in-Westminster" TargetMode="External" Id="rId160" /><Relationship Type="http://schemas.openxmlformats.org/officeDocument/2006/relationships/hyperlink" Target="https://www.westminsterco.gov/855/Current-Development-Project-Map" TargetMode="External" Id="rId161" /><Relationship Type="http://schemas.openxmlformats.org/officeDocument/2006/relationships/hyperlink" Target="https://www.westminsterco.gov/1060/Redevelopment" TargetMode="External" Id="rId162" /><Relationship Type="http://schemas.openxmlformats.org/officeDocument/2006/relationships/hyperlink" Target="https://www.westminsterco.gov/833/Permits-Licenses" TargetMode="External" Id="rId163" /><Relationship Type="http://schemas.openxmlformats.org/officeDocument/2006/relationships/hyperlink" Target="https://www.westminsterco.gov/617/Apply-for-a-Permit-Project" TargetMode="External" Id="rId164" /><Relationship Type="http://schemas.openxmlformats.org/officeDocument/2006/relationships/hyperlink" Target="https://www.westminsterco.gov/DocumentCenter/View/5605/Comprehensive-Plan_November2025-LR" TargetMode="External" Id="rId165" /><Relationship Type="http://schemas.openxmlformats.org/officeDocument/2006/relationships/hyperlink" Target="https://www.westminsterco.gov/747/City-Standards-Specifications" TargetMode="External" Id="rId166" /><Relationship Type="http://schemas.openxmlformats.org/officeDocument/2006/relationships/hyperlink" Target="https://www.westminsterco.gov/639/Code-Enforcement" TargetMode="External" Id="rId167" /><Relationship Type="http://schemas.openxmlformats.org/officeDocument/2006/relationships/hyperlink" Target="https://www.westminsterco.gov/614/Planning-Commission" TargetMode="External" Id="rId168" /><Relationship Type="http://schemas.openxmlformats.org/officeDocument/2006/relationships/hyperlink" Target="https://www.westminsterco.gov/AgendaCenter" TargetMode="External" Id="rId169" /><Relationship Type="http://schemas.openxmlformats.org/officeDocument/2006/relationships/hyperlink" Target="https://www.westminsterco.gov/1098/Public-Notices" TargetMode="External" Id="rId170" /><Relationship Type="http://schemas.openxmlformats.org/officeDocument/2006/relationships/hyperlink" Target="https://www.westminsterco.gov/m/NewsFlash" TargetMode="External" Id="rId171" /><Relationship Type="http://schemas.openxmlformats.org/officeDocument/2006/relationships/hyperlink" Target="https://www.westminsterco.gov/565/Public-Records-Request" TargetMode="External" Id="rId172" /></Relationships>
</file>

<file path=xl/worksheets/_rels/sheet20.xml.rels><Relationships xmlns="http://schemas.openxmlformats.org/package/2006/relationships"><Relationship Type="http://schemas.openxmlformats.org/officeDocument/2006/relationships/hyperlink" Target="https://adamscountyco.gov/about-adams-county/public-meetings/" TargetMode="External" Id="rId1" /><Relationship Type="http://schemas.openxmlformats.org/officeDocument/2006/relationships/hyperlink" Target="https://adamscountyco.gov/our-county/community-economic-development/planning-development/current-land-use-cases/" TargetMode="External" Id="rId2" /><Relationship Type="http://schemas.openxmlformats.org/officeDocument/2006/relationships/hyperlink" Target="https://adamscountyco.gov/our-county/elected-officials/board-of-county-commissioners/current-meeting-agendas-archives/" TargetMode="External" Id="rId3" /><Relationship Type="http://schemas.openxmlformats.org/officeDocument/2006/relationships/hyperlink" Target="https://adamscountyco.gov/about-adams-county/public-meetings/archived-hearing-agendas-audio/" TargetMode="External" Id="rId4" /><Relationship Type="http://schemas.openxmlformats.org/officeDocument/2006/relationships/hyperlink" Target="https://adamscountyco.gov/about-adams-county/news/" TargetMode="External" Id="rId5" /><Relationship Type="http://schemas.openxmlformats.org/officeDocument/2006/relationships/hyperlink" Target="https://adamscountyco.gov/our-county/community-economic-development/planning-development/news-updates/" TargetMode="External" Id="rId6" /><Relationship Type="http://schemas.openxmlformats.org/officeDocument/2006/relationships/hyperlink" Target="https://adamscountyco.gov/our-county/elected-officials/clerk-recorder/recording/public-document-postings/" TargetMode="External" Id="rId7" /><Relationship Type="http://schemas.openxmlformats.org/officeDocument/2006/relationships/hyperlink" Target="https://www.arvadaco.gov/AgendaCenter" TargetMode="External" Id="rId8" /><Relationship Type="http://schemas.openxmlformats.org/officeDocument/2006/relationships/hyperlink" Target="https://www.arvadaco.gov/245/Meetings-and-Other-Legal-Notices" TargetMode="External" Id="rId9" /><Relationship Type="http://schemas.openxmlformats.org/officeDocument/2006/relationships/hyperlink" Target="https://www.arvadaco.gov/908/News-Releases" TargetMode="External" Id="rId10" /><Relationship Type="http://schemas.openxmlformats.org/officeDocument/2006/relationships/hyperlink" Target="https://www.auroragov.org/city_hall/boards___commissions/planning___zoning_commission" TargetMode="External" Id="rId11" /><Relationship Type="http://schemas.openxmlformats.org/officeDocument/2006/relationships/hyperlink" Target="https://www.auroragov.org/city_hall/mayor___city_council/council_meetings" TargetMode="External" Id="rId12" /><Relationship Type="http://schemas.openxmlformats.org/officeDocument/2006/relationships/hyperlink" Target="https://www.auroragov.org/city_hall/public_records/legal_notices/public_hearings" TargetMode="External" Id="rId13" /><Relationship Type="http://schemas.openxmlformats.org/officeDocument/2006/relationships/hyperlink" Target="https://www.auroragov.org/news/whats_new" TargetMode="External" Id="rId14" /><Relationship Type="http://schemas.openxmlformats.org/officeDocument/2006/relationships/hyperlink" Target="https://www.bennettco.gov/meetings/recent" TargetMode="External" Id="rId15" /><Relationship Type="http://schemas.openxmlformats.org/officeDocument/2006/relationships/hyperlink" Target="https://www.bennettco.gov/planning-and-zoning-commission" TargetMode="External" Id="rId16" /><Relationship Type="http://schemas.openxmlformats.org/officeDocument/2006/relationships/hyperlink" Target="https://www.bennettco.gov/news" TargetMode="External" Id="rId17" /><Relationship Type="http://schemas.openxmlformats.org/officeDocument/2006/relationships/hyperlink" Target="https://www.brightonco.gov/agendacenter" TargetMode="External" Id="rId18" /><Relationship Type="http://schemas.openxmlformats.org/officeDocument/2006/relationships/hyperlink" Target="https://www.brightonco.gov/453/Legal-Notices" TargetMode="External" Id="rId19" /><Relationship Type="http://schemas.openxmlformats.org/officeDocument/2006/relationships/hyperlink" Target="https://www.brightonco.gov/175/News" TargetMode="External" Id="rId20" /><Relationship Type="http://schemas.openxmlformats.org/officeDocument/2006/relationships/hyperlink" Target="https://www.brightonco.gov/notifyme" TargetMode="External" Id="rId21" /><Relationship Type="http://schemas.openxmlformats.org/officeDocument/2006/relationships/hyperlink" Target="https://www.c3gov.com/Site-Footer/Footer-Widgets/Quick-Links/Meeting-Agendas-and-Schedules" TargetMode="External" Id="rId22" /><Relationship Type="http://schemas.openxmlformats.org/officeDocument/2006/relationships/hyperlink" Target="https://www.c3gov.com/Government/Departments-Divisions/City-Clerks-Office/Legal-Notices-Ordinances" TargetMode="External" Id="rId23" /><Relationship Type="http://schemas.openxmlformats.org/officeDocument/2006/relationships/hyperlink" Target="https://www.c3gov.com/Government/Media-News/News-Announcements" TargetMode="External" Id="rId24" /><Relationship Type="http://schemas.openxmlformats.org/officeDocument/2006/relationships/hyperlink" Target="https://www.fedheights.org/index.asp?SEC=%7BE66D34DF-8290-4807-83DA-3AF56D110C00%7D" TargetMode="External" Id="rId25" /><Relationship Type="http://schemas.openxmlformats.org/officeDocument/2006/relationships/hyperlink" Target="https://www.fedheights.org/index.asp?SEC=407F7286-34E9-495F-B5F7-88E905D7C9A5" TargetMode="External" Id="rId26" /><Relationship Type="http://schemas.openxmlformats.org/officeDocument/2006/relationships/hyperlink" Target="https://www.fedheights.org/index.asp?SEC=%7B2E7DCCA1-1FEF-4EA7-8AE7-6C3F92D19EF3%7D&amp;persistdesign=none" TargetMode="External" Id="rId27" /><Relationship Type="http://schemas.openxmlformats.org/officeDocument/2006/relationships/hyperlink" Target="https://www.lochbuie.org/meetings" TargetMode="External" Id="rId28" /><Relationship Type="http://schemas.openxmlformats.org/officeDocument/2006/relationships/hyperlink" Target="https://www.lochbuie.org/publicnotice" TargetMode="External" Id="rId29" /><Relationship Type="http://schemas.openxmlformats.org/officeDocument/2006/relationships/hyperlink" Target="https://www.lochbuie.org/news" TargetMode="External" Id="rId30" /><Relationship Type="http://schemas.openxmlformats.org/officeDocument/2006/relationships/hyperlink" Target="https://webdocs.northglenn.org/" TargetMode="External" Id="rId31" /><Relationship Type="http://schemas.openxmlformats.org/officeDocument/2006/relationships/hyperlink" Target="https://www.northglenn.org/newslist.php" TargetMode="External" Id="rId32" /><Relationship Type="http://schemas.openxmlformats.org/officeDocument/2006/relationships/hyperlink" Target="https://www.northglenn.org/community/communications/textmygov.php" TargetMode="External" Id="rId33" /><Relationship Type="http://schemas.openxmlformats.org/officeDocument/2006/relationships/hyperlink" Target="https://www.thorntonco.gov/government/mayor-council/upcoming-meetings" TargetMode="External" Id="rId34" /><Relationship Type="http://schemas.openxmlformats.org/officeDocument/2006/relationships/hyperlink" Target="https://www.thorntonco.gov/government/public-notices" TargetMode="External" Id="rId35" /><Relationship Type="http://schemas.openxmlformats.org/officeDocument/2006/relationships/hyperlink" Target="https://www.thorntonco.gov/news" TargetMode="External" Id="rId36" /><Relationship Type="http://schemas.openxmlformats.org/officeDocument/2006/relationships/hyperlink" Target="https://talerts.thorntonco.gov/" TargetMode="External" Id="rId37" /><Relationship Type="http://schemas.openxmlformats.org/officeDocument/2006/relationships/hyperlink" Target="https://www.westminsterco.gov/AgendaCenter" TargetMode="External" Id="rId38" /><Relationship Type="http://schemas.openxmlformats.org/officeDocument/2006/relationships/hyperlink" Target="https://www.westminsterco.gov/1098/Public-Notices" TargetMode="External" Id="rId39" /><Relationship Type="http://schemas.openxmlformats.org/officeDocument/2006/relationships/hyperlink" Target="https://www.westminsterco.gov/m/NewsFlash" TargetMode="External" Id="rId40" /><Relationship Type="http://schemas.openxmlformats.org/officeDocument/2006/relationships/hyperlink" Target="https://sentinelcolorado.com/" TargetMode="External" Id="rId41" /><Relationship Type="http://schemas.openxmlformats.org/officeDocument/2006/relationships/hyperlink" Target="https://i-70scout.com/blog/" TargetMode="External" Id="rId42" /><Relationship Type="http://schemas.openxmlformats.org/officeDocument/2006/relationships/hyperlink" Target="https://arvadapress.presspatron.com/" TargetMode="External" Id="rId43" /><Relationship Type="http://schemas.openxmlformats.org/officeDocument/2006/relationships/hyperlink" Target="https://local.coloradocommunitymedia.com/" TargetMode="External" Id="rId44" /><Relationship Type="http://schemas.openxmlformats.org/officeDocument/2006/relationships/hyperlink" Target="https://westminster-window-colorado-trust.beehiiv.com/" TargetMode="External" Id="rId45" /></Relationships>
</file>

<file path=xl/worksheets/_rels/sheet21.xml.rels><Relationships xmlns="http://schemas.openxmlformats.org/package/2006/relationships"><Relationship Type="http://schemas.openxmlformats.org/officeDocument/2006/relationships/hyperlink" Target="https://co.colorado.gov/search-business-records" TargetMode="External" Id="rId1" /><Relationship Type="http://schemas.openxmlformats.org/officeDocument/2006/relationships/hyperlink" Target="https://www.sos.state.co.us/ucc/pages/home.xhtml" TargetMode="External" Id="rId2" /><Relationship Type="http://schemas.openxmlformats.org/officeDocument/2006/relationships/hyperlink" Target="https://gis.dola.colorado.gov/CO_SpecialDistrict/" TargetMode="External" Id="rId3" /><Relationship Type="http://schemas.openxmlformats.org/officeDocument/2006/relationships/hyperlink" Target="https://dola.colorado.gov/dlg_lgis_ui_pu/" TargetMode="External" Id="rId4" /><Relationship Type="http://schemas.openxmlformats.org/officeDocument/2006/relationships/hyperlink" Target="https://dola.colorado.gov/dlg_lgis_ui_pu/publicLGTaxEntities.jsf" TargetMode="External" Id="rId5" /><Relationship Type="http://schemas.openxmlformats.org/officeDocument/2006/relationships/hyperlink" Target="https://gis.dola.colorado.gov/CO_Muni/" TargetMode="External" Id="rId6" /><Relationship Type="http://schemas.openxmlformats.org/officeDocument/2006/relationships/hyperlink" Target="https://demography.dola.colorado.gov/assets/html/gis_data.html" TargetMode="External" Id="rId7" /><Relationship Type="http://schemas.openxmlformats.org/officeDocument/2006/relationships/hyperlink" Target="https://demography.dola.colorado.gov/assets/lookups/dashboard_lookup.html" TargetMode="External" Id="rId8" /><Relationship Type="http://schemas.openxmlformats.org/officeDocument/2006/relationships/hyperlink" Target="https://geodata.colorado.gov/" TargetMode="External" Id="rId9" /><Relationship Type="http://schemas.openxmlformats.org/officeDocument/2006/relationships/hyperlink" Target="https://gis.colorado.gov/viewer/?page=Home" TargetMode="External" Id="rId10" /><Relationship Type="http://schemas.openxmlformats.org/officeDocument/2006/relationships/hyperlink" Target="https://drcog.org/data-maps-modeling" TargetMode="External" Id="rId11" /><Relationship Type="http://schemas.openxmlformats.org/officeDocument/2006/relationships/hyperlink" Target="https://dwr.state.co.us/Tools" TargetMode="External" Id="rId12" /><Relationship Type="http://schemas.openxmlformats.org/officeDocument/2006/relationships/hyperlink" Target="https://dwr.state.co.us/Tools/WellPermits" TargetMode="External" Id="rId13" /><Relationship Type="http://schemas.openxmlformats.org/officeDocument/2006/relationships/hyperlink" Target="https://ecmc.state.co.us/maps.html" TargetMode="External" Id="rId14" /><Relationship Type="http://schemas.openxmlformats.org/officeDocument/2006/relationships/hyperlink" Target="https://ecmc.state.co.us/data.html" TargetMode="External" Id="rId15" /><Relationship Type="http://schemas.openxmlformats.org/officeDocument/2006/relationships/hyperlink" Target="https://cdphe.colorado.gov/maps-and-gis-for-health-and-environment" TargetMode="External" Id="rId16" /><Relationship Type="http://schemas.openxmlformats.org/officeDocument/2006/relationships/hyperlink" Target="https://cdphe.colorado.gov/hm/gis-data" TargetMode="External" Id="rId17" /><Relationship Type="http://schemas.openxmlformats.org/officeDocument/2006/relationships/hyperlink" Target="https://cdphe.colorado.gov/hm/if-site-contaminated" TargetMode="External" Id="rId18" /><Relationship Type="http://schemas.openxmlformats.org/officeDocument/2006/relationships/hyperlink" Target="https://cdphe.colorado.gov/clean-water-gis-maps" TargetMode="External" Id="rId19" /><Relationship Type="http://schemas.openxmlformats.org/officeDocument/2006/relationships/hyperlink" Target="https://cdphe.colorado.gov/pfas/mapping" TargetMode="External" Id="rId20" /><Relationship Type="http://schemas.openxmlformats.org/officeDocument/2006/relationships/hyperlink" Target="https://www.fema.gov/flood-maps" TargetMode="External" Id="rId21" /><Relationship Type="http://schemas.openxmlformats.org/officeDocument/2006/relationships/hyperlink" Target="https://msc.fema.gov/portal/search" TargetMode="External" Id="rId22" /><Relationship Type="http://schemas.openxmlformats.org/officeDocument/2006/relationships/hyperlink" Target="https://www.fema.gov/flood-maps/national-flood-hazard-layer" TargetMode="External" Id="rId23" /><Relationship Type="http://schemas.openxmlformats.org/officeDocument/2006/relationships/hyperlink" Target="https://www.epa.gov/cleanups/cleanups-my-community" TargetMode="External" Id="rId24" /><Relationship Type="http://schemas.openxmlformats.org/officeDocument/2006/relationships/hyperlink" Target="https://map22.epa.gov/cimc/" TargetMode="External" Id="rId25" /><Relationship Type="http://schemas.openxmlformats.org/officeDocument/2006/relationships/hyperlink" Target="https://www.epa.gov/superfund/search-superfund-sites-where-you-live" TargetMode="External" Id="rId26" /><Relationship Type="http://schemas.openxmlformats.org/officeDocument/2006/relationships/hyperlink" Target="https://websoilsurvey.nrcs.usda.gov/" TargetMode="External" Id="rId27" /><Relationship Type="http://schemas.openxmlformats.org/officeDocument/2006/relationships/hyperlink" Target="https://www.fws.gov/program/national-wetlands-inventory/wetlands-mapper" TargetMode="External" Id="rId28" /><Relationship Type="http://schemas.openxmlformats.org/officeDocument/2006/relationships/hyperlink" Target="https://dtdapps.codot.gov/otis" TargetMode="External" Id="rId29" /><Relationship Type="http://schemas.openxmlformats.org/officeDocument/2006/relationships/hyperlink" Target="https://dtdapps.codot.gov/otis/HighwayData" TargetMode="External" Id="rId30" /><Relationship Type="http://schemas.openxmlformats.org/officeDocument/2006/relationships/hyperlink" Target="https://dtdapps.codot.gov/otis/TrafficData" TargetMode="External" Id="rId31" /><Relationship Type="http://schemas.openxmlformats.org/officeDocument/2006/relationships/hyperlink" Target="https://www.historycolorado.org/compass-information" TargetMode="External" Id="rId32" /><Relationship Type="http://schemas.openxmlformats.org/officeDocument/2006/relationships/hyperlink" Target="https://www.historycolorado.org/national-state-register-listed-properties" TargetMode="External" Id="rId33" /><Relationship Type="http://schemas.openxmlformats.org/officeDocument/2006/relationships/hyperlink" Target="https://dre.colorado.gov/hoa-center" TargetMode="External" Id="rId34" /><Relationship Type="http://schemas.openxmlformats.org/officeDocument/2006/relationships/hyperlink" Target="https://dre.colorado.gov/hoa-registration-services" TargetMode="External" Id="rId35" /><Relationship Type="http://schemas.openxmlformats.org/officeDocument/2006/relationships/hyperlink" Target="https://co.colorado.gov/verify-status-professionals-license" TargetMode="External" Id="rId36" /><Relationship Type="http://schemas.openxmlformats.org/officeDocument/2006/relationships/hyperlink" Target="https://secure.slb.colorado.gov/" TargetMode="External" Id="rId37" /><Relationship Type="http://schemas.openxmlformats.org/officeDocument/2006/relationships/hyperlink" Target="https://www.blm.gov/maps/frequently-requested/colorado/gis-datasets" TargetMode="External" Id="rId38" /></Relationships>
</file>

<file path=xl/worksheets/_rels/sheet22.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dola.colorado.gov/CO_Muni/" TargetMode="External" Id="rId2" /><Relationship Type="http://schemas.openxmlformats.org/officeDocument/2006/relationships/hyperlink" Target="https://gisapp.adcogov.org/quicksearch/"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recording.adamscountyco.gov/landmarkweb/" TargetMode="External" Id="rId5" /><Relationship Type="http://schemas.openxmlformats.org/officeDocument/2006/relationships/hyperlink" Target="https://adamscountyco.gov/service/find-public-records-recorded-documents/" TargetMode="External" Id="rId6" /><Relationship Type="http://schemas.openxmlformats.org/officeDocument/2006/relationships/hyperlink" Target="https://adcotax.com/" TargetMode="External" Id="rId7" /><Relationship Type="http://schemas.openxmlformats.org/officeDocument/2006/relationships/hyperlink" Target="https://adamscountyco.gov/our-county/elected-officials/treasurer-public-trustee/treasurer-division/tax-lien-sale/" TargetMode="External" Id="rId8" /><Relationship Type="http://schemas.openxmlformats.org/officeDocument/2006/relationships/hyperlink" Target="https://apps.adcogov.org/PTForeclosureSearch/?ds=1" TargetMode="External" Id="rId9" /><Relationship Type="http://schemas.openxmlformats.org/officeDocument/2006/relationships/hyperlink" Target="https://adamscountyco.gov/our-county/elected-officials/clerk-recorder/recording/land-survey-plats/" TargetMode="External" Id="rId10" /><Relationship Type="http://schemas.openxmlformats.org/officeDocument/2006/relationships/hyperlink" Target="https://gis.dola.colorado.gov/CO_SpecialDistrict/" TargetMode="External" Id="rId11" /><Relationship Type="http://schemas.openxmlformats.org/officeDocument/2006/relationships/hyperlink" Target="https://dwr.state.co.us/Tools" TargetMode="External" Id="rId12" /><Relationship Type="http://schemas.openxmlformats.org/officeDocument/2006/relationships/hyperlink" Target="https://msc.fema.gov/portal/search" TargetMode="External" Id="rId13" /><Relationship Type="http://schemas.openxmlformats.org/officeDocument/2006/relationships/hyperlink" Target="https://websoilsurvey.nrcs.usda.gov/" TargetMode="External" Id="rId14" /><Relationship Type="http://schemas.openxmlformats.org/officeDocument/2006/relationships/hyperlink" Target="https://www.fws.gov/program/national-wetlands-inventory/wetlands-mapper" TargetMode="External" Id="rId15" /><Relationship Type="http://schemas.openxmlformats.org/officeDocument/2006/relationships/hyperlink" Target="https://cdphe.colorado.gov/hm/gis-data" TargetMode="External" Id="rId16" /><Relationship Type="http://schemas.openxmlformats.org/officeDocument/2006/relationships/hyperlink" Target="https://ecmc.state.co.us/maps.html" TargetMode="External" Id="rId17" /><Relationship Type="http://schemas.openxmlformats.org/officeDocument/2006/relationships/hyperlink" Target="https://dtdapps.codot.gov/otis" TargetMode="External" Id="rId18" /><Relationship Type="http://schemas.openxmlformats.org/officeDocument/2006/relationships/hyperlink" Target="https://www.historycolorado.org/national-state-register-listed-properties" TargetMode="External" Id="rId19" /><Relationship Type="http://schemas.openxmlformats.org/officeDocument/2006/relationships/hyperlink" Target="https://dre.colorado.gov/hoa-center" TargetMode="External" Id="rId20" /><Relationship Type="http://schemas.openxmlformats.org/officeDocument/2006/relationships/hyperlink" Target="https://co.colorado.gov/search-business-records" TargetMode="External" Id="rId21" /></Relationships>
</file>

<file path=xl/worksheets/sheet1.xml><?xml version="1.0" encoding="utf-8"?>
<worksheet xmlns="http://schemas.openxmlformats.org/spreadsheetml/2006/main">
  <sheetPr>
    <tabColor rgb="0017324D"/>
    <outlinePr summaryBelow="1" summaryRight="1"/>
    <pageSetUpPr/>
  </sheetPr>
  <dimension ref="B1:H35"/>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hidden="1" width="13" customWidth="1" min="8" max="8"/>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Size (SF)</t>
        </is>
      </c>
      <c r="C6" s="968"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3">
      <c r="B13" s="874" t="inlineStr">
        <is>
          <t>Size Match Tolerance (+/-)</t>
        </is>
      </c>
      <c r="C13" s="971" t="n">
        <v>0.25</v>
      </c>
    </row>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B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IF(COUNT(D6:D20)&lt;2,"",STDEV(D6:D20))</f>
        <v/>
      </c>
      <c r="E29" s="976">
        <f>IF(COUNT(E6:E20)&lt;2,"",STDEV(E6:E20))</f>
        <v/>
      </c>
    </row>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0E7490"/>
    <outlinePr summaryBelow="1" summaryRight="1"/>
    <pageSetUpPr/>
  </sheetPr>
  <dimension ref="A1:O8"/>
  <sheetViews>
    <sheetView showGridLines="0" workbookViewId="0">
      <selection activeCell="C21" sqref="C21"/>
    </sheetView>
  </sheetViews>
  <sheetFormatPr baseColWidth="8" defaultColWidth="9.1640625" defaultRowHeight="14.25"/>
  <cols>
    <col width="52" customWidth="1" style="229" min="1" max="1"/>
    <col width="7" customWidth="1" style="229" min="2" max="2"/>
    <col width="30" customWidth="1" style="229" min="3" max="3"/>
    <col width="9.1640625" customWidth="1" style="229" min="4" max="16384"/>
  </cols>
  <sheetData>
    <row r="1">
      <c r="A1" s="1147" t="inlineStr">
        <is>
          <t>Click on the tab at the bottom to switch between worksheets</t>
        </is>
      </c>
      <c r="B1" s="977" t="n"/>
      <c r="C1" s="977" t="n"/>
      <c r="D1" s="977" t="n"/>
      <c r="E1" s="977" t="n"/>
      <c r="F1" s="977" t="n"/>
      <c r="G1" s="977" t="n"/>
      <c r="H1" s="977" t="n"/>
    </row>
    <row r="2" ht="9" customHeight="1"/>
    <row r="3">
      <c r="A3" s="1148" t="inlineStr">
        <is>
          <t>To print all sheets, click printer icon on toolbar.</t>
        </is>
      </c>
    </row>
    <row r="4" ht="9.6" customHeight="1"/>
    <row r="5" ht="40.9" customHeight="1">
      <c r="A5" s="1148"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1149" t="inlineStr">
        <is>
          <t>Appeal Year</t>
        </is>
      </c>
      <c r="B8" s="979"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0E7490"/>
    <outlinePr summaryBelow="1" summaryRight="1"/>
    <pageSetUpPr fitToPage="1"/>
  </sheetPr>
  <dimension ref="A1:Z55"/>
  <sheetViews>
    <sheetView showGridLines="0" workbookViewId="0">
      <selection activeCell="D13" sqref="D13"/>
    </sheetView>
  </sheetViews>
  <sheetFormatPr baseColWidth="8" defaultColWidth="9.6640625" defaultRowHeight="10.5"/>
  <cols>
    <col width="25" customWidth="1" min="1" max="1"/>
    <col width="24" customWidth="1" min="2" max="2"/>
    <col width="6" customWidth="1" min="3" max="3"/>
    <col width="16" customWidth="1" min="4" max="4"/>
    <col width="20" customWidth="1" min="5" max="5"/>
    <col width="22" customWidth="1" min="6" max="6"/>
    <col width="27" customWidth="1" min="7" max="7"/>
    <col width="28" customWidth="1" min="8" max="8"/>
    <col width="6" customWidth="1" min="25" max="25"/>
    <col hidden="1" width="13" customWidth="1" min="26" max="26"/>
  </cols>
  <sheetData>
    <row r="1" ht="23.45" customHeight="1">
      <c r="A1" s="5" t="n"/>
      <c r="B1" t="n"/>
      <c r="E1" s="1" t="inlineStr">
        <is>
          <t>y</t>
        </is>
      </c>
    </row>
    <row r="2" ht="25.5" customHeight="1">
      <c r="A2" s="980" t="inlineStr">
        <is>
          <t>MARKET SALES &amp; RENT COMPARABLES</t>
        </is>
      </c>
      <c r="B2" s="980" t="n"/>
      <c r="C2" s="980" t="n"/>
      <c r="D2" s="980" t="n"/>
      <c r="E2" s="980" t="n"/>
      <c r="F2" s="980" t="n"/>
      <c r="G2" s="980" t="n"/>
      <c r="H2" s="980"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981" t="inlineStr">
        <is>
          <t>SUBJECT  PROPERTY  INFORMATION</t>
        </is>
      </c>
      <c r="B7" s="982" t="n"/>
      <c r="C7" s="982" t="n"/>
      <c r="D7" s="982" t="n"/>
      <c r="E7" s="982" t="n"/>
      <c r="F7" s="982" t="n"/>
      <c r="G7" s="982" t="n"/>
      <c r="H7" s="983" t="n"/>
    </row>
    <row r="8" ht="12" customHeight="1">
      <c r="A8" s="984" t="n"/>
      <c r="B8" s="985" t="inlineStr">
        <is>
          <t>Account Number</t>
        </is>
      </c>
      <c r="C8" s="986" t="inlineStr">
        <is>
          <t>Ngbh</t>
        </is>
      </c>
      <c r="D8" s="986" t="inlineStr">
        <is>
          <t xml:space="preserve">Land Area </t>
        </is>
      </c>
      <c r="E8" s="987" t="inlineStr">
        <is>
          <t>Quality</t>
        </is>
      </c>
      <c r="F8" s="986" t="inlineStr">
        <is>
          <t>Rent / Sq Ft</t>
        </is>
      </c>
      <c r="G8" s="986" t="inlineStr">
        <is>
          <t>Subject Sale Information</t>
        </is>
      </c>
      <c r="H8" s="988" t="inlineStr">
        <is>
          <t>Parcel Number</t>
        </is>
      </c>
    </row>
    <row r="9" ht="12" customHeight="1">
      <c r="A9" s="12" t="n"/>
      <c r="B9" s="985" t="inlineStr">
        <is>
          <t>Property Address</t>
        </is>
      </c>
      <c r="C9" s="986" t="inlineStr">
        <is>
          <t>Zone</t>
        </is>
      </c>
      <c r="D9" s="986" t="inlineStr">
        <is>
          <t xml:space="preserve">L : B  Ratio </t>
        </is>
      </c>
      <c r="E9" s="987" t="inlineStr">
        <is>
          <t>Physical Condition</t>
        </is>
      </c>
      <c r="F9" s="986" t="inlineStr">
        <is>
          <t>Vacancy</t>
        </is>
      </c>
      <c r="G9" s="986" t="inlineStr">
        <is>
          <t>Last Sale Date</t>
        </is>
      </c>
      <c r="H9" s="989" t="inlineStr">
        <is>
          <t>Assigned Value / Sq Ft</t>
        </is>
      </c>
    </row>
    <row r="10" ht="12" customHeight="1">
      <c r="A10" s="18" t="n"/>
      <c r="B10" s="990" t="inlineStr">
        <is>
          <t>Property Type</t>
        </is>
      </c>
      <c r="C10" s="991" t="inlineStr">
        <is>
          <t>YOC</t>
        </is>
      </c>
      <c r="D10" s="991" t="inlineStr">
        <is>
          <t xml:space="preserve">Building Area </t>
        </is>
      </c>
      <c r="E10" s="992" t="inlineStr">
        <is>
          <t>Functional Utility</t>
        </is>
      </c>
      <c r="F10" s="991" t="inlineStr">
        <is>
          <t>Expense Ratio</t>
        </is>
      </c>
      <c r="G10" s="991" t="inlineStr">
        <is>
          <t>Last Sale Price</t>
        </is>
      </c>
      <c r="H10" s="993" t="inlineStr">
        <is>
          <t>Assigned Value</t>
        </is>
      </c>
    </row>
    <row r="11" ht="12" customHeight="1">
      <c r="A11" s="12" t="n"/>
      <c r="B11" s="994" t="n"/>
      <c r="C11" s="995" t="n"/>
      <c r="D11" s="996">
        <f>Subj_SiteSF</f>
        <v/>
      </c>
      <c r="E11" s="997">
        <f>Subj_Quality</f>
        <v/>
      </c>
      <c r="F11" s="998" t="n"/>
      <c r="G11" s="999" t="n"/>
      <c r="H11" s="1000" t="n"/>
    </row>
    <row r="12" ht="12" customHeight="1">
      <c r="A12" s="12" t="n"/>
      <c r="B12" s="1001">
        <f>Subj_Address</f>
        <v/>
      </c>
      <c r="C12" s="1002">
        <f>Subj_Zoning</f>
        <v/>
      </c>
      <c r="D12" s="1003">
        <f>IF(OR(D13="",D13=0),"",ROUND(D11/D13,1)&amp;":1")</f>
        <v/>
      </c>
      <c r="E12" s="997">
        <f>Subj_Condition</f>
        <v/>
      </c>
      <c r="F12" s="1004" t="n"/>
      <c r="G12" s="1005" t="n"/>
      <c r="H12" s="518">
        <f>IF(D13=0,0,ROUND(H13/D13,2))</f>
        <v/>
      </c>
    </row>
    <row r="13" ht="12" customHeight="1" thickBot="1">
      <c r="A13" s="23" t="n"/>
      <c r="B13" s="1006">
        <f>IFERROR(INDEX(OCC_TABLE_DESC,MATCH(Subj_OccCode,OCC_TABLE_CODE,0)),"")</f>
        <v/>
      </c>
      <c r="C13" s="1007">
        <f>Subj_YOC</f>
        <v/>
      </c>
      <c r="D13" s="1008">
        <f>Subj_BldgSF</f>
        <v/>
      </c>
      <c r="E13" s="1009" t="n"/>
      <c r="F13" s="1010" t="n"/>
      <c r="G13" s="1011" t="n"/>
      <c r="H13" s="1012"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981" t="inlineStr">
        <is>
          <t>MARKET  SALE  COMPARABLES</t>
        </is>
      </c>
      <c r="B16" s="982" t="n"/>
      <c r="C16" s="1013" t="n"/>
      <c r="D16" s="1013" t="n"/>
      <c r="E16" s="982" t="n"/>
      <c r="F16" s="1013" t="n"/>
      <c r="G16" s="1013" t="n"/>
      <c r="H16" s="1014" t="n"/>
    </row>
    <row r="17" ht="12" customHeight="1">
      <c r="A17" s="1015" t="n"/>
      <c r="B17" s="1016" t="inlineStr">
        <is>
          <t>Account Number</t>
        </is>
      </c>
      <c r="C17" s="1017" t="inlineStr">
        <is>
          <t>Ngbh</t>
        </is>
      </c>
      <c r="D17" s="1018" t="inlineStr">
        <is>
          <t xml:space="preserve">Land Area </t>
        </is>
      </c>
      <c r="E17" s="1019" t="inlineStr">
        <is>
          <t>Quality</t>
        </is>
      </c>
      <c r="F17" s="1018" t="inlineStr">
        <is>
          <t xml:space="preserve">Sale Date </t>
        </is>
      </c>
      <c r="G17" s="1020" t="inlineStr">
        <is>
          <t>Adj Sale Price / Sq Ft</t>
        </is>
      </c>
      <c r="H17" s="988" t="inlineStr">
        <is>
          <t>Parcel Number</t>
        </is>
      </c>
    </row>
    <row r="18" ht="12" customHeight="1">
      <c r="A18" s="1021" t="n"/>
      <c r="B18" s="1022" t="inlineStr">
        <is>
          <t>Property Address</t>
        </is>
      </c>
      <c r="C18" s="1023" t="inlineStr">
        <is>
          <t>Zone</t>
        </is>
      </c>
      <c r="D18" s="1024" t="inlineStr">
        <is>
          <t xml:space="preserve">L : B  Ratio </t>
        </is>
      </c>
      <c r="E18" s="1025" t="inlineStr">
        <is>
          <t>Physical Condition</t>
        </is>
      </c>
      <c r="F18" s="1024" t="inlineStr">
        <is>
          <t xml:space="preserve">Sale Price </t>
        </is>
      </c>
      <c r="G18" s="986" t="inlineStr">
        <is>
          <t>Net Adjustments</t>
        </is>
      </c>
      <c r="H18" s="989" t="inlineStr">
        <is>
          <t>Sale Remarks</t>
        </is>
      </c>
    </row>
    <row r="19" ht="12" customHeight="1">
      <c r="A19" s="1026" t="inlineStr">
        <is>
          <t>#</t>
        </is>
      </c>
      <c r="B19" s="1027" t="inlineStr">
        <is>
          <t>Property Type</t>
        </is>
      </c>
      <c r="C19" s="1028" t="inlineStr">
        <is>
          <t>YOC</t>
        </is>
      </c>
      <c r="D19" s="1029" t="inlineStr">
        <is>
          <t xml:space="preserve">Building Area </t>
        </is>
      </c>
      <c r="E19" s="1030" t="inlineStr">
        <is>
          <t>Functional Utility</t>
        </is>
      </c>
      <c r="F19" s="1029" t="inlineStr">
        <is>
          <t xml:space="preserve">Adjusted Sale Price </t>
        </is>
      </c>
      <c r="G19" s="991" t="inlineStr">
        <is>
          <t>Adj Value of Comp / Sq Ft</t>
        </is>
      </c>
      <c r="H19" s="993" t="inlineStr">
        <is>
          <t>Indicated Value of Subject</t>
        </is>
      </c>
    </row>
    <row r="20" ht="12" customHeight="1">
      <c r="A20" s="40" t="n"/>
      <c r="B20" s="41">
        <f>IF(IFERROR(INDEX(Sales!C:C,$Z$20),"")="","",+" "&amp;IFERROR(INDEX(Sales!C:C,$Z$20),""))</f>
        <v/>
      </c>
      <c r="C20" s="62">
        <f>IF(IFERROR(INDEX(Sales!F:F,$Z$20),"")="","",IFERROR(INDEX(Sales!F:F,$Z$20),""))</f>
        <v/>
      </c>
      <c r="D20" s="65">
        <f>IF(IFERROR(INDEX(Sales!S:S,$Z$20),"")="","",IFERROR(INDEX(Sales!S:S,$Z$20),""))</f>
        <v/>
      </c>
      <c r="E20" s="68">
        <f>IF(IFERROR(INDEX(Sales!R:R,$Z$20),"")="","",IFERROR(VLOOKUP(IFERROR(INDEX(Sales!R:R,$Z$20),""),[0]!GRADE,2),IFERROR(INDEX(Sales!R:R,$Z$20),"")))</f>
        <v/>
      </c>
      <c r="F20" s="521">
        <f>IF(IFERROR(INDEX(Sales!I:I,$Z$20),"")="","",IFERROR(INDEX(Sales!I:I,$Z$20),""))</f>
        <v/>
      </c>
      <c r="G20" s="522">
        <f>IF(IFERROR(INDEX(Sales!H:H,$Z$20),"")="","",IFERROR(INDEX(Sales!H:H,$Z$20),""))</f>
        <v/>
      </c>
      <c r="H20" s="518">
        <f>IF(IFERROR(INDEX(Sales!AC:AC,$Z$20),"")="","",+IFERROR(INDEX(Sales!AC:AC,$Z$20),""))</f>
        <v/>
      </c>
      <c r="Y20" s="1031" t="n">
        <v>1</v>
      </c>
      <c r="Z20">
        <f>IFERROR(MATCH(_xlfn.AGGREGATE(15,6,Sales!$AJ$2:$AJ$941,$Y$20),Sales!$AJ$2:$AJ$941,0)+1,"")</f>
        <v/>
      </c>
    </row>
    <row r="21" ht="12" customHeight="1">
      <c r="A21" s="42" t="inlineStr">
        <is>
          <t>Best Match #1</t>
        </is>
      </c>
      <c r="B21" s="41">
        <f>IF(IFERROR(INDEX(Sales!D:D,$Z$20),"")="","",+" "&amp;IFERROR(INDEX(Sales!D:D,$Z$20),""))</f>
        <v/>
      </c>
      <c r="C21" s="62">
        <f>IF(IFERROR(INDEX(Sales!P:P,$Z$20),"")="","",IFERROR(INDEX(Sales!P:P,$Z$20),""))</f>
        <v/>
      </c>
      <c r="D21" s="65">
        <f>IF(IFERROR(INDEX(Sales!T:T,$Z$20),"")="","",IFERROR(INDEX(Sales!T:T,$Z$20),""))</f>
        <v/>
      </c>
      <c r="E21" s="68">
        <f>IF(IFERROR(INDEX(Sales!U:U,$Z$20),"")="","",IFERROR(VLOOKUP(IFERROR(INDEX(Sales!U:U,$Z$20),""),Codes!$A$12:$B$16,2),IFERROR(INDEX(Sales!U:U,$Z$20),"")))</f>
        <v/>
      </c>
      <c r="F21" s="523">
        <f>IF(IFERROR(INDEX(Sales!Y:Y,$Z$20),"")="","",IFERROR(INDEX(Sales!Y:Y,$Z$20),""))</f>
        <v/>
      </c>
      <c r="G21" s="75" t="n"/>
      <c r="H21" s="518">
        <f>IF(IFERROR(INDEX(Sales!AB:AB,$Z$20),"")="","",IFERROR(INDEX(Sales!AB:AB,$Z$20),""))</f>
        <v/>
      </c>
    </row>
    <row r="22" ht="12" customHeight="1">
      <c r="A22" s="43" t="n"/>
      <c r="B22" s="44">
        <f>IF(IFERROR(INDEX(Sales!E:E,$Z$20),"")="","",+" "&amp;IFERROR(VLOOKUP(IFERROR(INDEX(Sales!E:E,$Z$20),""),[0]!Class,2),IFERROR(INDEX(Sales!E:E,$Z$20),"")))</f>
        <v/>
      </c>
      <c r="C22" s="63">
        <f>IF(IFERROR(INDEX(Sales!M:M,$Z$20),"")="","",IFERROR(INDEX(Sales!M:M,$Z$20),""))</f>
        <v/>
      </c>
      <c r="D22" s="66">
        <f>IF(IFERROR(INDEX(Sales!L:L,$Z$20),"")="","",IFERROR(INDEX(Sales!L:L,$Z$20),""))</f>
        <v/>
      </c>
      <c r="E22" s="69">
        <f>IF(IFERROR(INDEX(Sales!V:V,$Z$20),"")="","",IFERROR(VLOOKUP(IFERROR(INDEX(Sales!V:V,$Z$20),""),Codes!$A$1:$B$5,2),IFERROR(INDEX(Sales!V:V,$Z$20),"")))</f>
        <v/>
      </c>
      <c r="F22" s="524">
        <f>IF(IFERROR(INDEX(Sales!AA:AA,$Z$20),"")="","",IFERROR(INDEX(Sales!AA:AA,$Z$20),""))</f>
        <v/>
      </c>
      <c r="G22" s="525">
        <f>IF(G20="","",ROUND(G20*(1+G21),2))</f>
        <v/>
      </c>
      <c r="H22" s="526">
        <f>IF(G22="","",ROUND(G22*$D$13,-2))</f>
        <v/>
      </c>
    </row>
    <row r="23" ht="12" customHeight="1">
      <c r="A23" s="40" t="n"/>
      <c r="B23" s="41">
        <f>IF(IFERROR(INDEX(Sales!C:C,$Z$23),"")="","",+" "&amp;IFERROR(INDEX(Sales!C:C,$Z$23),""))</f>
        <v/>
      </c>
      <c r="C23" s="62">
        <f>IF(IFERROR(INDEX(Sales!F:F,$Z$23),"")="","",IFERROR(INDEX(Sales!F:F,$Z$23),""))</f>
        <v/>
      </c>
      <c r="D23" s="65">
        <f>IF(IFERROR(INDEX(Sales!S:S,$Z$23),"")="","",IFERROR(INDEX(Sales!S:S,$Z$23),""))</f>
        <v/>
      </c>
      <c r="E23" s="68">
        <f>IF(IFERROR(INDEX(Sales!R:R,$Z$23),"")="","",IFERROR(VLOOKUP(IFERROR(INDEX(Sales!R:R,$Z$23),""),[0]!GRADE,2),IFERROR(INDEX(Sales!R:R,$Z$23),"")))</f>
        <v/>
      </c>
      <c r="F23" s="521">
        <f>IF(IFERROR(INDEX(Sales!I:I,$Z$23),"")="","",IFERROR(INDEX(Sales!I:I,$Z$23),""))</f>
        <v/>
      </c>
      <c r="G23" s="522">
        <f>IF(IFERROR(INDEX(Sales!H:H,$Z$23),"")="","",IFERROR(INDEX(Sales!H:H,$Z$23),""))</f>
        <v/>
      </c>
      <c r="H23" s="518">
        <f>IF(IFERROR(INDEX(Sales!AC:AC,$Z$23),"")="","",+IFERROR(INDEX(Sales!AC:AC,$Z$23),""))</f>
        <v/>
      </c>
      <c r="Y23" s="1031" t="n">
        <v>2</v>
      </c>
      <c r="Z23">
        <f>IFERROR(MATCH(_xlfn.AGGREGATE(15,6,Sales!$AJ$2:$AJ$941,$Y$23),Sales!$AJ$2:$AJ$941,0)+1,"")</f>
        <v/>
      </c>
    </row>
    <row r="24" ht="12" customHeight="1">
      <c r="A24" s="42" t="inlineStr">
        <is>
          <t>Best Match #2</t>
        </is>
      </c>
      <c r="B24" s="41">
        <f>IF(IFERROR(INDEX(Sales!D:D,$Z$23),"")="","",+" "&amp;IFERROR(INDEX(Sales!D:D,$Z$23),""))</f>
        <v/>
      </c>
      <c r="C24" s="62">
        <f>IF(IFERROR(INDEX(Sales!P:P,$Z$23),"")="","",IFERROR(INDEX(Sales!P:P,$Z$23),""))</f>
        <v/>
      </c>
      <c r="D24" s="65">
        <f>IF(IFERROR(INDEX(Sales!T:T,$Z$23),"")="","",IFERROR(INDEX(Sales!T:T,$Z$23),""))</f>
        <v/>
      </c>
      <c r="E24" s="68">
        <f>IF(IFERROR(INDEX(Sales!U:U,$Z$23),"")="","",IFERROR(VLOOKUP(IFERROR(INDEX(Sales!U:U,$Z$23),""),Codes!$A$12:$B$16,2),IFERROR(INDEX(Sales!U:U,$Z$23),"")))</f>
        <v/>
      </c>
      <c r="F24" s="523">
        <f>IF(IFERROR(INDEX(Sales!Y:Y,$Z$23),"")="","",IFERROR(INDEX(Sales!Y:Y,$Z$23),""))</f>
        <v/>
      </c>
      <c r="G24" s="75" t="n"/>
      <c r="H24" s="518">
        <f>IF(IFERROR(INDEX(Sales!AB:AB,$Z$23),"")="","",IFERROR(INDEX(Sales!AB:AB,$Z$23),""))</f>
        <v/>
      </c>
    </row>
    <row r="25" ht="12" customHeight="1">
      <c r="A25" s="43" t="n"/>
      <c r="B25" s="44">
        <f>IF(IFERROR(INDEX(Sales!E:E,$Z$23),"")="","",+" "&amp;IFERROR(VLOOKUP(IFERROR(INDEX(Sales!E:E,$Z$23),""),[0]!Class,2),IFERROR(INDEX(Sales!E:E,$Z$23),"")))</f>
        <v/>
      </c>
      <c r="C25" s="63">
        <f>IF(IFERROR(INDEX(Sales!M:M,$Z$23),"")="","",IFERROR(INDEX(Sales!M:M,$Z$23),""))</f>
        <v/>
      </c>
      <c r="D25" s="66">
        <f>IF(IFERROR(INDEX(Sales!L:L,$Z$23),"")="","",IFERROR(INDEX(Sales!L:L,$Z$23),""))</f>
        <v/>
      </c>
      <c r="E25" s="69">
        <f>IF(IFERROR(INDEX(Sales!V:V,$Z$23),"")="","",IFERROR(VLOOKUP(IFERROR(INDEX(Sales!V:V,$Z$23),""),Codes!$A$1:$B$5,2),IFERROR(INDEX(Sales!V:V,$Z$23),"")))</f>
        <v/>
      </c>
      <c r="F25" s="524">
        <f>IF(IFERROR(INDEX(Sales!AA:AA,$Z$23),"")="","",IFERROR(INDEX(Sales!AA:AA,$Z$23),""))</f>
        <v/>
      </c>
      <c r="G25" s="525">
        <f>IF(G23="","",ROUND(G23*(1+G24),2))</f>
        <v/>
      </c>
      <c r="H25" s="526">
        <f>IF(G25="","",ROUND(G25*$D$13,-2))</f>
        <v/>
      </c>
    </row>
    <row r="26" ht="12" customHeight="1">
      <c r="A26" s="40" t="n"/>
      <c r="B26" s="41">
        <f>IF(IFERROR(INDEX(Sales!C:C,$Z$26),"")="","",+" "&amp;IFERROR(INDEX(Sales!C:C,$Z$26),""))</f>
        <v/>
      </c>
      <c r="C26" s="62">
        <f>IF(IFERROR(INDEX(Sales!F:F,$Z$26),"")="","",IFERROR(INDEX(Sales!F:F,$Z$26),""))</f>
        <v/>
      </c>
      <c r="D26" s="65">
        <f>IF(IFERROR(INDEX(Sales!S:S,$Z$26),"")="","",IFERROR(INDEX(Sales!S:S,$Z$26),""))</f>
        <v/>
      </c>
      <c r="E26" s="68">
        <f>IF(IFERROR(INDEX(Sales!R:R,$Z$26),"")="","",IFERROR(VLOOKUP(IFERROR(INDEX(Sales!R:R,$Z$26),""),[0]!GRADE,2),IFERROR(INDEX(Sales!R:R,$Z$26),"")))</f>
        <v/>
      </c>
      <c r="F26" s="521">
        <f>IF(IFERROR(INDEX(Sales!I:I,$Z$26),"")="","",IFERROR(INDEX(Sales!I:I,$Z$26),""))</f>
        <v/>
      </c>
      <c r="G26" s="522">
        <f>IF(IFERROR(INDEX(Sales!H:H,$Z$26),"")="","",IFERROR(INDEX(Sales!H:H,$Z$26),""))</f>
        <v/>
      </c>
      <c r="H26" s="518">
        <f>IF(IFERROR(INDEX(Sales!AC:AC,$Z$26),"")="","",+IFERROR(INDEX(Sales!AC:AC,$Z$26),""))</f>
        <v/>
      </c>
      <c r="Y26" s="1031" t="n">
        <v>3</v>
      </c>
      <c r="Z26">
        <f>IFERROR(MATCH(_xlfn.AGGREGATE(15,6,Sales!$AJ$2:$AJ$941,$Y$26),Sales!$AJ$2:$AJ$941,0)+1,"")</f>
        <v/>
      </c>
    </row>
    <row r="27" ht="12" customHeight="1">
      <c r="A27" s="42" t="inlineStr">
        <is>
          <t>Best Match #3</t>
        </is>
      </c>
      <c r="B27" s="41">
        <f>IF(IFERROR(INDEX(Sales!D:D,$Z$26),"")="","",+" "&amp;IFERROR(INDEX(Sales!D:D,$Z$26),""))</f>
        <v/>
      </c>
      <c r="C27" s="62">
        <f>IF(IFERROR(INDEX(Sales!P:P,$Z$26),"")="","",IFERROR(INDEX(Sales!P:P,$Z$26),""))</f>
        <v/>
      </c>
      <c r="D27" s="65">
        <f>IF(IFERROR(INDEX(Sales!T:T,$Z$26),"")="","",IFERROR(INDEX(Sales!T:T,$Z$26),""))</f>
        <v/>
      </c>
      <c r="E27" s="68">
        <f>IF(IFERROR(INDEX(Sales!U:U,$Z$26),"")="","",IFERROR(VLOOKUP(IFERROR(INDEX(Sales!U:U,$Z$26),""),Codes!$A$12:$B$16,2),IFERROR(INDEX(Sales!U:U,$Z$26),"")))</f>
        <v/>
      </c>
      <c r="F27" s="523">
        <f>IF(IFERROR(INDEX(Sales!Y:Y,$Z$26),"")="","",IFERROR(INDEX(Sales!Y:Y,$Z$26),""))</f>
        <v/>
      </c>
      <c r="G27" s="115" t="n"/>
      <c r="H27" s="518">
        <f>IF(IFERROR(INDEX(Sales!AB:AB,$Z$26),"")="","",IFERROR(INDEX(Sales!AB:AB,$Z$26),""))</f>
        <v/>
      </c>
    </row>
    <row r="28" ht="12" customHeight="1" thickBot="1">
      <c r="A28" s="45" t="n"/>
      <c r="B28" s="46">
        <f>IF(IFERROR(INDEX(Sales!E:E,$Z$26),"")="","",+" "&amp;IFERROR(VLOOKUP(IFERROR(INDEX(Sales!E:E,$Z$26),""),[0]!Class,2),IFERROR(INDEX(Sales!E:E,$Z$26),"")))</f>
        <v/>
      </c>
      <c r="C28" s="110">
        <f>IF(IFERROR(INDEX(Sales!M:M,$Z$26),"")="","",IFERROR(INDEX(Sales!M:M,$Z$26),""))</f>
        <v/>
      </c>
      <c r="D28" s="67">
        <f>IF(IFERROR(INDEX(Sales!L:L,$Z$26),"")="","",IFERROR(INDEX(Sales!L:L,$Z$26),""))</f>
        <v/>
      </c>
      <c r="E28" s="70">
        <f>IF(IFERROR(INDEX(Sales!V:V,$Z$26),"")="","",IFERROR(VLOOKUP(IFERROR(INDEX(Sales!V:V,$Z$26),""),Codes!$A$1:$B$5,2),IFERROR(INDEX(Sales!V:V,$Z$26),"")))</f>
        <v/>
      </c>
      <c r="F28" s="527">
        <f>IF(IFERROR(INDEX(Sales!AA:AA,$Z$26),"")="","",IFERROR(INDEX(Sales!AA:AA,$Z$26),""))</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981" t="inlineStr">
        <is>
          <t>RENT  COMPARABLE  INFORMATION</t>
        </is>
      </c>
      <c r="B36" s="982" t="n"/>
      <c r="C36" s="982" t="n"/>
      <c r="D36" s="982" t="n"/>
      <c r="E36" s="982" t="n"/>
      <c r="F36" s="982" t="n"/>
      <c r="G36" s="1032" t="n"/>
      <c r="H36" s="977" t="n"/>
    </row>
    <row r="37" ht="12" customHeight="1">
      <c r="A37" s="1033" t="n"/>
      <c r="B37" s="1034" t="inlineStr">
        <is>
          <t xml:space="preserve"> Source of Information</t>
        </is>
      </c>
      <c r="C37" s="1020" t="inlineStr">
        <is>
          <t>Ngbh</t>
        </is>
      </c>
      <c r="D37" s="1020" t="inlineStr">
        <is>
          <t xml:space="preserve">Land Area </t>
        </is>
      </c>
      <c r="E37" s="1035" t="inlineStr">
        <is>
          <t>Quality</t>
        </is>
      </c>
      <c r="F37" s="1020" t="inlineStr">
        <is>
          <t>Rent / Sq Ft</t>
        </is>
      </c>
      <c r="G37" s="1036" t="n"/>
      <c r="H37" s="1037" t="n"/>
    </row>
    <row r="38" ht="12" customHeight="1">
      <c r="A38" s="1038" t="n"/>
      <c r="B38" s="985" t="inlineStr">
        <is>
          <t xml:space="preserve">  Location</t>
        </is>
      </c>
      <c r="C38" s="986" t="inlineStr">
        <is>
          <t>Zone</t>
        </is>
      </c>
      <c r="D38" s="986" t="inlineStr">
        <is>
          <t xml:space="preserve">L : B  Ratio </t>
        </is>
      </c>
      <c r="E38" s="987" t="n"/>
      <c r="F38" s="986" t="inlineStr">
        <is>
          <t>Vacancy</t>
        </is>
      </c>
      <c r="G38" s="1039" t="inlineStr">
        <is>
          <t xml:space="preserve">Net Adjustments </t>
        </is>
      </c>
      <c r="H38" s="1037" t="n"/>
    </row>
    <row r="39" ht="12" customHeight="1">
      <c r="A39" s="1040" t="inlineStr">
        <is>
          <t>#</t>
        </is>
      </c>
      <c r="B39" s="990" t="inlineStr">
        <is>
          <t xml:space="preserve"> Property Type</t>
        </is>
      </c>
      <c r="C39" s="991" t="inlineStr">
        <is>
          <t>YOC</t>
        </is>
      </c>
      <c r="D39" s="991" t="inlineStr">
        <is>
          <t xml:space="preserve">Building Area </t>
        </is>
      </c>
      <c r="E39" s="992" t="n"/>
      <c r="F39" s="991" t="inlineStr">
        <is>
          <t>Expense Ratio</t>
        </is>
      </c>
      <c r="G39" s="1041" t="inlineStr">
        <is>
          <t xml:space="preserve">Adjusted Rent </t>
        </is>
      </c>
      <c r="H39" s="1037"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5.xml><?xml version="1.0" encoding="utf-8"?>
<worksheet xmlns="http://schemas.openxmlformats.org/spreadsheetml/2006/main">
  <sheetPr codeName="Sheet5">
    <tabColor rgb="000E7490"/>
    <outlinePr summaryBelow="1" summaryRight="1"/>
    <pageSetUpPr fitToPage="1"/>
  </sheetPr>
  <dimension ref="A1:Z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9" customWidth="1" style="413" min="1" max="1"/>
    <col width="18" customWidth="1" style="413" min="2" max="2"/>
    <col width="18" customWidth="1" style="413" min="3" max="3"/>
    <col width="22" customWidth="1" style="413" min="4" max="4"/>
    <col width="20" customWidth="1" style="413" min="5" max="5"/>
    <col width="19" customWidth="1" style="413" min="6" max="6"/>
    <col width="10" customWidth="1" style="413" min="7" max="7"/>
    <col width="10" bestFit="1" customWidth="1" style="413" min="8" max="8"/>
    <col width="19" customWidth="1" style="413" min="9" max="9"/>
    <col width="18.1640625" customWidth="1" style="413" min="10" max="10"/>
    <col width="13.6640625" customWidth="1" style="413" min="11" max="16384"/>
    <col width="6" customWidth="1" min="25" max="25"/>
    <col hidden="1" width="13" customWidth="1" min="26" max="26"/>
  </cols>
  <sheetData>
    <row r="1" ht="26.25" customHeight="1">
      <c r="A1" s="1042" t="inlineStr">
        <is>
          <t>IMPROVED MARKET APPROACH</t>
        </is>
      </c>
      <c r="B1" s="1042" t="n"/>
      <c r="C1" s="1042" t="n"/>
      <c r="D1" s="1042" t="n"/>
      <c r="E1" s="1042" t="n"/>
      <c r="F1" s="1042" t="n"/>
      <c r="G1" s="1042" t="n"/>
      <c r="H1" s="1042" t="n"/>
      <c r="I1" s="1042" t="n"/>
      <c r="J1" s="977" t="n"/>
      <c r="K1" s="977" t="n"/>
    </row>
    <row r="3" ht="21" customHeight="1" thickBot="1">
      <c r="A3" s="131" t="inlineStr">
        <is>
          <t>SUBJECT</t>
        </is>
      </c>
      <c r="B3" s="131" t="n"/>
      <c r="C3" s="131" t="n"/>
      <c r="D3" s="131" t="n"/>
      <c r="E3" s="131" t="n"/>
      <c r="F3" s="131" t="n"/>
      <c r="G3" s="131" t="n"/>
      <c r="H3" s="131" t="n"/>
      <c r="I3" s="131" t="n"/>
    </row>
    <row r="4" ht="13.5" customHeight="1" thickTop="1">
      <c r="B4" s="1043" t="inlineStr">
        <is>
          <t>Account Number</t>
        </is>
      </c>
      <c r="C4" s="1043" t="inlineStr">
        <is>
          <t>Grantor</t>
        </is>
      </c>
      <c r="D4" s="1044" t="inlineStr">
        <is>
          <t xml:space="preserve">Sale Price </t>
        </is>
      </c>
      <c r="E4" s="1044" t="inlineStr">
        <is>
          <t>Location</t>
        </is>
      </c>
      <c r="F4" s="1044" t="inlineStr">
        <is>
          <t>Age</t>
        </is>
      </c>
      <c r="G4" s="1045" t="n"/>
      <c r="H4" s="1046" t="n"/>
      <c r="I4" s="1047" t="inlineStr">
        <is>
          <t>Value of the</t>
        </is>
      </c>
    </row>
    <row r="5">
      <c r="B5" s="1048" t="inlineStr">
        <is>
          <t>Property Address</t>
        </is>
      </c>
      <c r="C5" s="1048" t="inlineStr">
        <is>
          <t>Grantee</t>
        </is>
      </c>
      <c r="D5" s="1049" t="inlineStr">
        <is>
          <t>Sale Price  / SF</t>
        </is>
      </c>
      <c r="E5" s="1049" t="inlineStr">
        <is>
          <t>Land Size</t>
        </is>
      </c>
      <c r="F5" s="1049" t="inlineStr">
        <is>
          <t>Quality</t>
        </is>
      </c>
      <c r="G5" s="1050" t="n"/>
      <c r="H5" s="1051" t="n"/>
      <c r="I5" s="1052" t="inlineStr">
        <is>
          <t xml:space="preserve"> Subject/SF</t>
        </is>
      </c>
    </row>
    <row r="6">
      <c r="B6" s="1048" t="inlineStr">
        <is>
          <t>Parcel Number</t>
        </is>
      </c>
      <c r="C6" s="1048" t="inlineStr">
        <is>
          <t>Reception Number</t>
        </is>
      </c>
      <c r="D6" s="1053" t="inlineStr">
        <is>
          <t>PP/Time/Mkt Cond</t>
        </is>
      </c>
      <c r="E6" s="1049" t="inlineStr">
        <is>
          <t>L : B  Ratio</t>
        </is>
      </c>
      <c r="F6" s="1053" t="inlineStr">
        <is>
          <t>Phy./Funct Rating</t>
        </is>
      </c>
      <c r="G6" s="1054" t="n"/>
      <c r="H6" s="1051" t="n"/>
      <c r="I6" s="1053" t="inlineStr">
        <is>
          <t>Value</t>
        </is>
      </c>
    </row>
    <row r="7" ht="13.5" customHeight="1" thickBot="1">
      <c r="B7" s="1055" t="inlineStr">
        <is>
          <t>Property Type</t>
        </is>
      </c>
      <c r="C7" s="1056" t="inlineStr">
        <is>
          <t>Sale Date</t>
        </is>
      </c>
      <c r="D7" s="1057" t="inlineStr">
        <is>
          <t>Adj S P  / SF</t>
        </is>
      </c>
      <c r="E7" s="1058" t="inlineStr">
        <is>
          <t>Building Size</t>
        </is>
      </c>
      <c r="F7" s="1058" t="inlineStr">
        <is>
          <t>Zoning</t>
        </is>
      </c>
      <c r="G7" s="1059" t="inlineStr">
        <is>
          <t>Comments</t>
        </is>
      </c>
      <c r="H7" s="1060" t="n"/>
      <c r="I7" s="1057"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1042" t="inlineStr">
        <is>
          <t>COMPARABLE SALE PROPERTIES</t>
        </is>
      </c>
      <c r="B15" s="1042" t="n"/>
      <c r="C15" s="1042" t="n"/>
      <c r="D15" s="1042" t="n"/>
      <c r="E15" s="1042" t="n"/>
      <c r="F15" s="1042" t="n"/>
      <c r="G15" s="1042" t="n"/>
      <c r="H15" s="1042" t="n"/>
      <c r="I15" s="1042" t="n"/>
      <c r="J15" s="977" t="n"/>
      <c r="K15" s="977" t="n"/>
    </row>
    <row r="16" ht="13.5" customHeight="1" thickTop="1">
      <c r="A16" s="1037" t="n"/>
      <c r="B16" s="1043" t="inlineStr">
        <is>
          <t>Account Number</t>
        </is>
      </c>
      <c r="C16" s="1043" t="inlineStr">
        <is>
          <t>Grantor</t>
        </is>
      </c>
      <c r="D16" s="1044" t="inlineStr">
        <is>
          <t xml:space="preserve">Sale Price </t>
        </is>
      </c>
      <c r="E16" s="1044" t="inlineStr">
        <is>
          <t>Location</t>
        </is>
      </c>
      <c r="F16" s="1044" t="inlineStr">
        <is>
          <t>Age</t>
        </is>
      </c>
      <c r="G16" s="1044" t="n"/>
      <c r="H16" s="1044" t="n"/>
      <c r="I16" s="1044" t="inlineStr">
        <is>
          <t>Indicated Value</t>
        </is>
      </c>
    </row>
    <row r="17">
      <c r="A17" s="1037" t="n"/>
      <c r="B17" s="1048" t="inlineStr">
        <is>
          <t>Property Address</t>
        </is>
      </c>
      <c r="C17" s="1048" t="inlineStr">
        <is>
          <t>Grantee</t>
        </is>
      </c>
      <c r="D17" s="1049" t="inlineStr">
        <is>
          <t>Sale Price  / SF</t>
        </is>
      </c>
      <c r="E17" s="1049" t="inlineStr">
        <is>
          <t>Land Size</t>
        </is>
      </c>
      <c r="F17" s="1049" t="inlineStr">
        <is>
          <t>Quality</t>
        </is>
      </c>
      <c r="G17" s="1049" t="n"/>
      <c r="H17" s="1049" t="inlineStr">
        <is>
          <t>Adjusted</t>
        </is>
      </c>
      <c r="I17" s="1052" t="inlineStr">
        <is>
          <t>of the Subject/SF</t>
        </is>
      </c>
    </row>
    <row r="18">
      <c r="A18" s="1037" t="n"/>
      <c r="B18" s="1048" t="inlineStr">
        <is>
          <t>Parcel Number</t>
        </is>
      </c>
      <c r="C18" s="1048" t="inlineStr">
        <is>
          <t>Reception Number</t>
        </is>
      </c>
      <c r="D18" s="1053" t="inlineStr">
        <is>
          <t>PP/Time/Mkt Cond Adj</t>
        </is>
      </c>
      <c r="E18" s="1049" t="inlineStr">
        <is>
          <t>L : B  Ratio</t>
        </is>
      </c>
      <c r="F18" s="1053" t="inlineStr">
        <is>
          <t>Phy/Funct Rating</t>
        </is>
      </c>
      <c r="G18" s="1053" t="inlineStr">
        <is>
          <t>Net</t>
        </is>
      </c>
      <c r="H18" s="1049" t="inlineStr">
        <is>
          <t>Sale</t>
        </is>
      </c>
      <c r="I18" s="1053" t="inlineStr">
        <is>
          <t>Indicated Value</t>
        </is>
      </c>
    </row>
    <row r="19" ht="13.5" customHeight="1" thickBot="1">
      <c r="A19" s="1037" t="n"/>
      <c r="B19" s="1055" t="inlineStr">
        <is>
          <t>Property Type</t>
        </is>
      </c>
      <c r="C19" s="1056" t="inlineStr">
        <is>
          <t>Sale Date</t>
        </is>
      </c>
      <c r="D19" s="1057" t="inlineStr">
        <is>
          <t>Adj S P  / SF</t>
        </is>
      </c>
      <c r="E19" s="1058" t="inlineStr">
        <is>
          <t>Building Size/Keys</t>
        </is>
      </c>
      <c r="F19" s="1058" t="inlineStr">
        <is>
          <t>Zoning</t>
        </is>
      </c>
      <c r="G19" s="1057" t="inlineStr">
        <is>
          <t>Adj.</t>
        </is>
      </c>
      <c r="H19" s="1058" t="inlineStr">
        <is>
          <t>Price/SF</t>
        </is>
      </c>
      <c r="I19" s="1057" t="inlineStr">
        <is>
          <t>of the Subject</t>
        </is>
      </c>
    </row>
    <row r="20" ht="14.25" customHeight="1" thickBot="1" thickTop="1"/>
    <row r="21" ht="13.5" customHeight="1" thickTop="1">
      <c r="A21" s="482" t="inlineStr">
        <is>
          <t>Best Match #1</t>
        </is>
      </c>
      <c r="B21" s="394">
        <f>IF(IFERROR(INDEX(Sales!C:C,$Z$21),"")="","",+" "&amp;IFERROR(INDEX(Sales!C:C,$Z$21),""))</f>
        <v/>
      </c>
      <c r="C21" s="394">
        <f>IF(IFERROR(INDEX(Sales!AE:AE,$Z$21),"")="","",IFERROR(INDEX(Sales!AE:AE,$Z$21),""))</f>
        <v/>
      </c>
      <c r="D21" s="547">
        <f>IF(IFERROR(INDEX(Sales!AA:AA,$Z$21),"")="","",IFERROR(INDEX(Sales!AA:AA,$Z$21),""))</f>
        <v/>
      </c>
      <c r="E21" s="547">
        <f>IF(IFERROR(INDEX(Sales!F:F,$Z$21),"")="","",IFERROR(INDEX(Sales!F:F,$Z$21),""))</f>
        <v/>
      </c>
      <c r="F21" s="396">
        <f>IF(IFERROR(INDEX(Sales!M:M,$Z$21),"")="","",IFERROR(INDEX(Sales!M:M,$Z$21),""))</f>
        <v/>
      </c>
      <c r="G21" s="462" t="n"/>
      <c r="H21" s="396" t="n"/>
      <c r="I21" s="396" t="n"/>
      <c r="Y21" s="1031" t="n">
        <v>1</v>
      </c>
      <c r="Z21">
        <f>IFERROR(MATCH(_xlfn.AGGREGATE(15,6,Sales!$AJ$2:$AJ$941,$Y$21),Sales!$AJ$2:$AJ$941,0)+1,"")</f>
        <v/>
      </c>
    </row>
    <row r="22">
      <c r="B22" s="397">
        <f>IF(IFERROR(INDEX(Sales!D:D,$Z$21),"")="","",IFERROR(INDEX(Sales!D:D,$Z$21),""))</f>
        <v/>
      </c>
      <c r="C22" s="397">
        <f>IF(IFERROR(INDEX(Sales!AF:AF,$Z$21),"")="","",IFERROR(INDEX(Sales!AF:AF,$Z$21),""))</f>
        <v/>
      </c>
      <c r="D22" s="548">
        <f>IF(IFERROR(INDEX(Sales!H:H,$Z$21),"")="","",IFERROR(INDEX(Sales!H:H,$Z$21),""))</f>
        <v/>
      </c>
      <c r="E22" s="399">
        <f>IF(IFERROR(INDEX(Sales!S:S,$Z$21),"")="","",IFERROR(INDEX(Sales!S:S,$Z$21),""))</f>
        <v/>
      </c>
      <c r="F22" s="456">
        <f>IF(IFERROR(INDEX(Sales!R:R,$Z$21),"")="","",IFERROR(VLOOKUP(IFERROR(INDEX(Sales!R:R,$Z$21),""),[0]!GRADE,2),IFERROR(INDEX(Sales!R:R,$Z$21),"")))</f>
        <v/>
      </c>
      <c r="G22" s="400" t="n"/>
      <c r="H22" s="400" t="n"/>
      <c r="I22" s="549">
        <f>IF(H24="","",H24)</f>
        <v/>
      </c>
    </row>
    <row r="23">
      <c r="B23" s="397">
        <f>IF(IFERROR(INDEX(Sales!AC:AC,$Z$21),"")="","",+IFERROR(INDEX(Sales!AC:AC,$Z$21),""))</f>
        <v/>
      </c>
      <c r="C23" s="402">
        <f>IF(IFERROR(INDEX(Sales!AD:AD,$Z$21),"")="","",IFERROR(INDEX(Sales!AD:AD,$Z$21),""))</f>
        <v/>
      </c>
      <c r="D23" s="550" t="n"/>
      <c r="E23" s="400">
        <f>IF(IFERROR(INDEX(Sales!T:T,$Z$21),"")="","",IFERROR(INDEX(Sales!T:T,$Z$21),""))</f>
        <v/>
      </c>
      <c r="F23" s="457">
        <f>IF(IFERROR(INDEX(Sales!V:V,$Z$21),"")="","",IFERROR(VLOOKUP(IFERROR(INDEX(Sales!V:V,$Z$21),""),Codes!$A$12:$B$16,2),IFERROR(INDEX(Sales!V:V,$Z$21),"")))</f>
        <v/>
      </c>
      <c r="G23" s="400" t="n"/>
      <c r="H23" s="400" t="n"/>
      <c r="I23" s="400" t="n"/>
    </row>
    <row r="24" ht="13.5" customHeight="1" thickBot="1">
      <c r="B24" s="404">
        <f>IF(IFERROR(INDEX(Sales!E:E,$Z$21),"")="","",+" "&amp;IFERROR(VLOOKUP(IFERROR(INDEX(Sales!E:E,$Z$21),""),[0]!Class,2),IFERROR(INDEX(Sales!E:E,$Z$21),"")))</f>
        <v/>
      </c>
      <c r="C24" s="551">
        <f>IF(IFERROR(INDEX(Sales!I:I,$Z$21),"")="","",IFERROR(INDEX(Sales!I:I,$Z$21),""))</f>
        <v/>
      </c>
      <c r="D24" s="552">
        <f>IF(D21="","",ROUND((D21+D23)/E24,2))</f>
        <v/>
      </c>
      <c r="E24" s="407">
        <f>IF(IFERROR(INDEX(Sales!L:L,$Z$21),"")="","",IFERROR(INDEX(Sales!L:L,$Z$21),""))</f>
        <v/>
      </c>
      <c r="F24" s="408">
        <f>IF(IFERROR(INDEX(Sales!P:P,$Z$21),"")="","",IFERROR(INDEX(Sales!P:P,$Z$21),""))</f>
        <v/>
      </c>
      <c r="G24" s="409" t="n"/>
      <c r="H24" s="553">
        <f>IF(D24="","",ROUND(D24*(1+G24),2))</f>
        <v/>
      </c>
      <c r="I24" s="554">
        <f>IF(E12="","",ROUND(E12*H24,-2))</f>
        <v/>
      </c>
    </row>
    <row r="25" ht="14.25" customHeight="1" thickBot="1" thickTop="1">
      <c r="A25" s="453" t="n"/>
      <c r="G25" s="454" t="n"/>
      <c r="I25" s="555" t="n"/>
    </row>
    <row r="26" ht="13.5" customHeight="1" thickTop="1">
      <c r="A26" s="482" t="inlineStr">
        <is>
          <t>Best Match #2</t>
        </is>
      </c>
      <c r="B26" s="394">
        <f>IF(IFERROR(INDEX(Sales!C:C,$Z$26),"")="","",+" "&amp;IFERROR(INDEX(Sales!C:C,$Z$26),""))</f>
        <v/>
      </c>
      <c r="C26" s="394">
        <f>IF(IFERROR(INDEX(Sales!AE:AE,$Z$26),"")="","",IFERROR(INDEX(Sales!AE:AE,$Z$26),""))</f>
        <v/>
      </c>
      <c r="D26" s="547">
        <f>IF(IFERROR(INDEX(Sales!AA:AA,$Z$26),"")="","",IFERROR(INDEX(Sales!AA:AA,$Z$26),""))</f>
        <v/>
      </c>
      <c r="E26" s="547">
        <f>IF(IFERROR(INDEX(Sales!F:F,$Z$26),"")="","",IFERROR(INDEX(Sales!F:F,$Z$26),""))</f>
        <v/>
      </c>
      <c r="F26" s="396">
        <f>IF(IFERROR(INDEX(Sales!M:M,$Z$26),"")="","",IFERROR(INDEX(Sales!M:M,$Z$26),""))</f>
        <v/>
      </c>
      <c r="G26" s="463" t="n"/>
      <c r="H26" s="396" t="n"/>
      <c r="I26" s="396" t="n"/>
      <c r="Y26" s="1031" t="n">
        <v>2</v>
      </c>
      <c r="Z26">
        <f>IFERROR(MATCH(_xlfn.AGGREGATE(15,6,Sales!$AJ$2:$AJ$941,$Y$26),Sales!$AJ$2:$AJ$941,0)+1,"")</f>
        <v/>
      </c>
    </row>
    <row r="27">
      <c r="B27" s="397">
        <f>IF(IFERROR(INDEX(Sales!D:D,$Z$26),"")="","",IFERROR(INDEX(Sales!D:D,$Z$26),""))</f>
        <v/>
      </c>
      <c r="C27" s="397">
        <f>IF(IFERROR(INDEX(Sales!AF:AF,$Z$26),"")="","",IFERROR(INDEX(Sales!AF:AF,$Z$26),""))</f>
        <v/>
      </c>
      <c r="D27" s="548">
        <f>IF(IFERROR(INDEX(Sales!H:H,$Z$26),"")="","",IFERROR(INDEX(Sales!H:H,$Z$26),""))</f>
        <v/>
      </c>
      <c r="E27" s="399">
        <f>IF(IFERROR(INDEX(Sales!S:S,$Z$26),"")="","",IFERROR(INDEX(Sales!S:S,$Z$26),""))</f>
        <v/>
      </c>
      <c r="F27" s="400">
        <f>IF(IFERROR(INDEX(Sales!R:R,$Z$26),"")="","",IFERROR(VLOOKUP(IFERROR(INDEX(Sales!R:R,$Z$26),""),[0]!GRADE,2),IFERROR(INDEX(Sales!R:R,$Z$26),"")))</f>
        <v/>
      </c>
      <c r="G27" s="400" t="n"/>
      <c r="H27" s="400" t="n"/>
      <c r="I27" s="549">
        <f>IF(H29="","",H29)</f>
        <v/>
      </c>
    </row>
    <row r="28">
      <c r="B28" s="397">
        <f>IF(IFERROR(INDEX(Sales!AC:AC,$Z$26),"")="","",+IFERROR(INDEX(Sales!AC:AC,$Z$26),""))</f>
        <v/>
      </c>
      <c r="C28" s="402">
        <f>IF(IFERROR(INDEX(Sales!AD:AD,$Z$26),"")="","",IFERROR(INDEX(Sales!AD:AD,$Z$26),""))</f>
        <v/>
      </c>
      <c r="D28" s="550" t="n"/>
      <c r="E28" s="400">
        <f>IF(IFERROR(INDEX(Sales!T:T,$Z$26),"")="","",IFERROR(INDEX(Sales!T:T,$Z$26),""))</f>
        <v/>
      </c>
      <c r="F28" s="400">
        <f>IF(IFERROR(INDEX(Sales!V:V,$Z$26),"")="","",IFERROR(VLOOKUP(IFERROR(INDEX(Sales!V:V,$Z$26),""),Codes!$A$12:$B$16,2),IFERROR(INDEX(Sales!V:V,$Z$26),"")))</f>
        <v/>
      </c>
      <c r="G28" s="400" t="n"/>
      <c r="H28" s="400" t="n"/>
      <c r="I28" s="400" t="n"/>
    </row>
    <row r="29" ht="13.5" customHeight="1" thickBot="1">
      <c r="B29" s="404">
        <f>IF(IFERROR(INDEX(Sales!E:E,$Z$26),"")="","",+" "&amp;IFERROR(VLOOKUP(IFERROR(INDEX(Sales!E:E,$Z$26),""),[0]!Class,2),IFERROR(INDEX(Sales!E:E,$Z$26),"")))</f>
        <v/>
      </c>
      <c r="C29" s="551">
        <f>IF(IFERROR(INDEX(Sales!I:I,$Z$26),"")="","",IFERROR(INDEX(Sales!I:I,$Z$26),""))</f>
        <v/>
      </c>
      <c r="D29" s="552">
        <f>IF(D26="","",ROUND((D26+D28)/E29,2))</f>
        <v/>
      </c>
      <c r="E29" s="407">
        <f>IF(IFERROR(INDEX(Sales!L:L,$Z$26),"")="","",IFERROR(INDEX(Sales!L:L,$Z$26),""))</f>
        <v/>
      </c>
      <c r="F29" s="408">
        <f>IF(IFERROR(INDEX(Sales!P:P,$Z$26),"")="","",IFERROR(INDEX(Sales!P:P,$Z$26),""))</f>
        <v/>
      </c>
      <c r="G29" s="409" t="n"/>
      <c r="H29" s="553">
        <f>IF(D29="","",ROUND(D29*(1+G29),2))</f>
        <v/>
      </c>
      <c r="I29" s="554">
        <f>IF(E12="","",ROUND(E12*H29,-2))</f>
        <v/>
      </c>
    </row>
    <row r="30" ht="14.25" customHeight="1" thickBot="1" thickTop="1">
      <c r="A30" s="453" t="n"/>
      <c r="G30" s="454" t="n"/>
      <c r="I30" s="555" t="n"/>
    </row>
    <row r="31" ht="13.5" customHeight="1" thickTop="1">
      <c r="A31" s="482" t="inlineStr">
        <is>
          <t>Best Match #3</t>
        </is>
      </c>
      <c r="B31" s="394">
        <f>IF(IFERROR(INDEX(Sales!C:C,$Z$31),"")="","",+" "&amp;IFERROR(INDEX(Sales!C:C,$Z$31),""))</f>
        <v/>
      </c>
      <c r="C31" s="394">
        <f>IF(IFERROR(INDEX(Sales!AE:AE,$Z$31),"")="","",IFERROR(INDEX(Sales!AE:AE,$Z$31),""))</f>
        <v/>
      </c>
      <c r="D31" s="547">
        <f>IF(IFERROR(INDEX(Sales!AA:AA,$Z$31),"")="","",IFERROR(INDEX(Sales!AA:AA,$Z$31),""))</f>
        <v/>
      </c>
      <c r="E31" s="547">
        <f>IF(IFERROR(INDEX(Sales!F:F,$Z$31),"")="","",IFERROR(INDEX(Sales!F:F,$Z$31),""))</f>
        <v/>
      </c>
      <c r="F31" s="396">
        <f>IF(IFERROR(INDEX(Sales!M:M,$Z$31),"")="","",IFERROR(INDEX(Sales!M:M,$Z$31),""))</f>
        <v/>
      </c>
      <c r="G31" s="462" t="n"/>
      <c r="H31" s="396" t="n"/>
      <c r="I31" s="396" t="n"/>
      <c r="Y31" s="1031" t="n">
        <v>3</v>
      </c>
      <c r="Z31">
        <f>IFERROR(MATCH(_xlfn.AGGREGATE(15,6,Sales!$AJ$2:$AJ$941,$Y$31),Sales!$AJ$2:$AJ$941,0)+1,"")</f>
        <v/>
      </c>
    </row>
    <row r="32">
      <c r="B32" s="397">
        <f>IF(IFERROR(INDEX(Sales!D:D,$Z$31),"")="","",IFERROR(INDEX(Sales!D:D,$Z$31),""))</f>
        <v/>
      </c>
      <c r="C32" s="397">
        <f>IF(IFERROR(INDEX(Sales!AF:AF,$Z$31),"")="","",IFERROR(INDEX(Sales!AF:AF,$Z$31),""))</f>
        <v/>
      </c>
      <c r="D32" s="548">
        <f>IF(IFERROR(INDEX(Sales!H:H,$Z$31),"")="","",IFERROR(INDEX(Sales!H:H,$Z$31),""))</f>
        <v/>
      </c>
      <c r="E32" s="399">
        <f>IF(IFERROR(INDEX(Sales!S:S,$Z$31),"")="","",IFERROR(INDEX(Sales!S:S,$Z$31),""))</f>
        <v/>
      </c>
      <c r="F32" s="400">
        <f>IF(IFERROR(INDEX(Sales!R:R,$Z$31),"")="","",IFERROR(VLOOKUP(IFERROR(INDEX(Sales!R:R,$Z$31),""),[0]!GRADE,2),IFERROR(INDEX(Sales!R:R,$Z$31),"")))</f>
        <v/>
      </c>
      <c r="G32" s="400" t="n"/>
      <c r="H32" s="400" t="n"/>
      <c r="I32" s="549">
        <f>IF(H34="","",H34)</f>
        <v/>
      </c>
    </row>
    <row r="33">
      <c r="B33" s="397">
        <f>IF(IFERROR(INDEX(Sales!AC:AC,$Z$31),"")="","",+IFERROR(INDEX(Sales!AC:AC,$Z$31),""))</f>
        <v/>
      </c>
      <c r="C33" s="402">
        <f>IF(IFERROR(INDEX(Sales!AD:AD,$Z$31),"")="","",IFERROR(INDEX(Sales!AD:AD,$Z$31),""))</f>
        <v/>
      </c>
      <c r="D33" s="550" t="n"/>
      <c r="E33" s="400">
        <f>IF(IFERROR(INDEX(Sales!T:T,$Z$31),"")="","",IFERROR(INDEX(Sales!T:T,$Z$31),""))</f>
        <v/>
      </c>
      <c r="F33" s="400">
        <f>IF(IFERROR(INDEX(Sales!V:V,$Z$31),"")="","",IFERROR(VLOOKUP(IFERROR(INDEX(Sales!V:V,$Z$31),""),Codes!$A$12:$B$16,2),IFERROR(INDEX(Sales!V:V,$Z$31),"")))</f>
        <v/>
      </c>
      <c r="G33" s="400" t="n"/>
      <c r="H33" s="400" t="n"/>
      <c r="I33" s="400" t="n"/>
      <c r="K33" s="555" t="n"/>
    </row>
    <row r="34" ht="13.5" customHeight="1" thickBot="1">
      <c r="B34" s="404">
        <f>IF(IFERROR(INDEX(Sales!E:E,$Z$31),"")="","",+" "&amp;IFERROR(VLOOKUP(IFERROR(INDEX(Sales!E:E,$Z$31),""),[0]!Class,2),IFERROR(INDEX(Sales!E:E,$Z$31),"")))</f>
        <v/>
      </c>
      <c r="C34" s="551">
        <f>IF(IFERROR(INDEX(Sales!I:I,$Z$31),"")="","",IFERROR(INDEX(Sales!I:I,$Z$31),""))</f>
        <v/>
      </c>
      <c r="D34" s="552">
        <f>IF(D31="","",ROUND((D31+D33)/E34,2))</f>
        <v/>
      </c>
      <c r="E34" s="407">
        <f>IF(IFERROR(INDEX(Sales!L:L,$Z$31),"")="","",IFERROR(INDEX(Sales!L:L,$Z$31),""))</f>
        <v/>
      </c>
      <c r="F34" s="408">
        <f>IF(IFERROR(INDEX(Sales!P:P,$Z$31),"")="","",IFERROR(INDEX(Sales!P:P,$Z$31),""))</f>
        <v/>
      </c>
      <c r="G34" s="409" t="n"/>
      <c r="H34" s="553">
        <f>IF(D34="","",ROUND(D34*(1+G34),2))</f>
        <v/>
      </c>
      <c r="I34" s="554">
        <f>IF(E12="","",ROUND(E12*H34,-2))</f>
        <v/>
      </c>
    </row>
    <row r="35" ht="14.25" customHeight="1" thickBot="1" thickTop="1">
      <c r="A35" s="453" t="n"/>
      <c r="G35" s="454" t="n"/>
      <c r="I35" s="555" t="n"/>
    </row>
    <row r="36" ht="13.5" customHeight="1" thickTop="1">
      <c r="A36" s="482" t="inlineStr">
        <is>
          <t>Best Match #4</t>
        </is>
      </c>
      <c r="B36" s="394">
        <f>IF(IFERROR(INDEX(Sales!C:C,$Z$36),"")="","",+" "&amp;IFERROR(INDEX(Sales!C:C,$Z$36),""))</f>
        <v/>
      </c>
      <c r="C36" s="394">
        <f>IF(IFERROR(INDEX(Sales!AE:AE,$Z$36),"")="","",IFERROR(INDEX(Sales!AE:AE,$Z$36),""))</f>
        <v/>
      </c>
      <c r="D36" s="547">
        <f>IF(IFERROR(INDEX(Sales!AA:AA,$Z$36),"")="","",IFERROR(INDEX(Sales!AA:AA,$Z$36),""))</f>
        <v/>
      </c>
      <c r="E36" s="547">
        <f>IF(IFERROR(INDEX(Sales!F:F,$Z$36),"")="","",IFERROR(INDEX(Sales!F:F,$Z$36),""))</f>
        <v/>
      </c>
      <c r="F36" s="396">
        <f>IF(IFERROR(INDEX(Sales!M:M,$Z$36),"")="","",IFERROR(INDEX(Sales!M:M,$Z$36),""))</f>
        <v/>
      </c>
      <c r="G36" s="396" t="n"/>
      <c r="H36" s="396" t="n"/>
      <c r="I36" s="396" t="n"/>
      <c r="Y36" s="1031" t="n">
        <v>4</v>
      </c>
      <c r="Z36">
        <f>IFERROR(MATCH(_xlfn.AGGREGATE(15,6,Sales!$AJ$2:$AJ$941,$Y$36),Sales!$AJ$2:$AJ$941,0)+1,"")</f>
        <v/>
      </c>
    </row>
    <row r="37">
      <c r="B37" s="397">
        <f>IF(IFERROR(INDEX(Sales!D:D,$Z$36),"")="","",IFERROR(INDEX(Sales!D:D,$Z$36),""))</f>
        <v/>
      </c>
      <c r="C37" s="397">
        <f>IF(IFERROR(INDEX(Sales!AF:AF,$Z$36),"")="","",IFERROR(INDEX(Sales!AF:AF,$Z$36),""))</f>
        <v/>
      </c>
      <c r="D37" s="548">
        <f>IF(IFERROR(INDEX(Sales!H:H,$Z$36),"")="","",IFERROR(INDEX(Sales!H:H,$Z$36),""))</f>
        <v/>
      </c>
      <c r="E37" s="399">
        <f>IF(IFERROR(INDEX(Sales!S:S,$Z$36),"")="","",IFERROR(INDEX(Sales!S:S,$Z$36),""))</f>
        <v/>
      </c>
      <c r="F37" s="400">
        <f>IF(IFERROR(INDEX(Sales!R:R,$Z$36),"")="","",IFERROR(VLOOKUP(IFERROR(INDEX(Sales!R:R,$Z$36),""),[0]!GRADE,2),IFERROR(INDEX(Sales!R:R,$Z$36),"")))</f>
        <v/>
      </c>
      <c r="G37" s="400" t="n"/>
      <c r="H37" s="400" t="n"/>
      <c r="I37" s="549">
        <f>IF(H39="","",H39)</f>
        <v/>
      </c>
    </row>
    <row r="38">
      <c r="B38" s="397">
        <f>IF(IFERROR(INDEX(Sales!AC:AC,$Z$36),"")="","",+IFERROR(INDEX(Sales!AC:AC,$Z$36),""))</f>
        <v/>
      </c>
      <c r="C38" s="402">
        <f>IF(IFERROR(INDEX(Sales!AD:AD,$Z$36),"")="","",IFERROR(INDEX(Sales!AD:AD,$Z$36),""))</f>
        <v/>
      </c>
      <c r="D38" s="550" t="n"/>
      <c r="E38" s="400">
        <f>IF(IFERROR(INDEX(Sales!T:T,$Z$36),"")="","",IFERROR(INDEX(Sales!T:T,$Z$36),""))</f>
        <v/>
      </c>
      <c r="F38" s="400">
        <f>IF(IFERROR(INDEX(Sales!V:V,$Z$36),"")="","",IFERROR(VLOOKUP(IFERROR(INDEX(Sales!V:V,$Z$36),""),Codes!$A$12:$B$16,2),IFERROR(INDEX(Sales!V:V,$Z$36),"")))</f>
        <v/>
      </c>
      <c r="G38" s="400" t="n"/>
      <c r="H38" s="400" t="n"/>
      <c r="I38" s="400" t="n"/>
    </row>
    <row r="39" ht="13.5" customHeight="1" thickBot="1">
      <c r="B39" s="404">
        <f>IF(IFERROR(INDEX(Sales!E:E,$Z$36),"")="","",+" "&amp;IFERROR(VLOOKUP(IFERROR(INDEX(Sales!E:E,$Z$36),""),[0]!Class,2),IFERROR(INDEX(Sales!E:E,$Z$36),"")))</f>
        <v/>
      </c>
      <c r="C39" s="551">
        <f>IF(IFERROR(INDEX(Sales!I:I,$Z$36),"")="","",IFERROR(INDEX(Sales!I:I,$Z$36),""))</f>
        <v/>
      </c>
      <c r="D39" s="552">
        <f>IF(D36="","",ROUND((D36+D38)/E39,2))</f>
        <v/>
      </c>
      <c r="E39" s="407">
        <f>IF(IFERROR(INDEX(Sales!L:L,$Z$36),"")="","",IFERROR(INDEX(Sales!L:L,$Z$36),""))</f>
        <v/>
      </c>
      <c r="F39" s="408">
        <f>IF(IFERROR(INDEX(Sales!P:P,$Z$36),"")="","",IFERROR(INDEX(Sales!P:P,$Z$36),""))</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0E7490"/>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18" customWidth="1" style="132" min="2" max="2"/>
    <col width="19" customWidth="1" style="133" min="3" max="6"/>
    <col width="15" customWidth="1" min="4" max="4"/>
    <col width="18" customWidth="1" min="5" max="5"/>
    <col width="7" customWidth="1" min="6" max="6"/>
    <col width="13" customWidth="1" style="133" min="7" max="7"/>
    <col width="13" customWidth="1" style="132" min="8" max="8"/>
    <col width="12.5" customWidth="1" style="132" min="9" max="16384"/>
  </cols>
  <sheetData>
    <row r="1" ht="32.25" customHeight="1">
      <c r="B1" t="n"/>
    </row>
    <row r="2" ht="26.25" customHeight="1">
      <c r="A2" s="977" t="n"/>
      <c r="B2" s="1061" t="inlineStr">
        <is>
          <t>RENT COMPARABLES</t>
        </is>
      </c>
      <c r="C2" s="1061" t="n"/>
      <c r="D2" s="1061" t="n"/>
      <c r="E2" s="1061" t="n"/>
      <c r="F2" s="1061" t="n"/>
      <c r="G2" s="1061" t="n"/>
      <c r="H2" s="1061" t="n"/>
    </row>
    <row r="4" ht="25.15" customHeight="1" thickBot="1">
      <c r="B4" s="1062" t="inlineStr">
        <is>
          <t>SUBJECT</t>
        </is>
      </c>
      <c r="C4" s="1063" t="n"/>
      <c r="D4" s="1063" t="n"/>
      <c r="E4" s="1063" t="n"/>
      <c r="F4" s="1063" t="n"/>
      <c r="G4" s="1063" t="n"/>
      <c r="H4" s="1063" t="n"/>
    </row>
    <row r="5" ht="13.5" customHeight="1" thickTop="1">
      <c r="B5" s="1064" t="inlineStr">
        <is>
          <t>Schedule Number</t>
        </is>
      </c>
      <c r="C5" s="1065" t="inlineStr">
        <is>
          <t>Rent/Sq.Ft.</t>
        </is>
      </c>
      <c r="D5" s="1066" t="inlineStr">
        <is>
          <t>Location</t>
        </is>
      </c>
      <c r="E5" s="1066" t="inlineStr">
        <is>
          <t>Age</t>
        </is>
      </c>
      <c r="F5" s="1066" t="n"/>
      <c r="G5" s="1067" t="n"/>
      <c r="H5" s="1068" t="n"/>
    </row>
    <row r="6">
      <c r="B6" s="1069" t="inlineStr">
        <is>
          <t>Property Address</t>
        </is>
      </c>
      <c r="C6" s="1070" t="inlineStr">
        <is>
          <t>Vacancy</t>
        </is>
      </c>
      <c r="D6" s="1071" t="inlineStr">
        <is>
          <t>Land Size</t>
        </is>
      </c>
      <c r="E6" s="1071" t="inlineStr">
        <is>
          <t>Quality</t>
        </is>
      </c>
      <c r="F6" s="1071" t="n"/>
      <c r="G6" s="1072" t="n"/>
      <c r="H6" s="1073" t="n"/>
    </row>
    <row r="7">
      <c r="B7" s="1069" t="inlineStr">
        <is>
          <t>Property Name</t>
        </is>
      </c>
      <c r="C7" s="1071" t="inlineStr">
        <is>
          <t>Expense / Sq. Ft.</t>
        </is>
      </c>
      <c r="D7" s="1071" t="inlineStr">
        <is>
          <t>L:B Ratio</t>
        </is>
      </c>
      <c r="E7" s="1071" t="inlineStr">
        <is>
          <t>Phy/Funct Rating</t>
        </is>
      </c>
      <c r="F7" s="1071" t="n"/>
      <c r="G7" s="1072" t="n"/>
      <c r="H7" s="1073" t="n"/>
    </row>
    <row r="8" ht="13.5" customHeight="1" thickBot="1">
      <c r="B8" s="1074" t="inlineStr">
        <is>
          <t>Property Type</t>
        </is>
      </c>
      <c r="C8" s="1075" t="inlineStr">
        <is>
          <t>Expense Ratio</t>
        </is>
      </c>
      <c r="D8" s="1076" t="inlineStr">
        <is>
          <t>Building Size</t>
        </is>
      </c>
      <c r="E8" s="1076" t="inlineStr">
        <is>
          <t>Zoning</t>
        </is>
      </c>
      <c r="F8" s="1076" t="inlineStr">
        <is>
          <t>Other</t>
        </is>
      </c>
      <c r="G8" s="1077" t="inlineStr">
        <is>
          <t>Comments</t>
        </is>
      </c>
      <c r="H8" s="1078"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977" t="n"/>
      <c r="B17" s="1079" t="inlineStr">
        <is>
          <t>COMPARABLE RENTAL PROPERTIES</t>
        </is>
      </c>
      <c r="C17" s="1079" t="n"/>
      <c r="D17" s="1079" t="n"/>
      <c r="E17" s="1079" t="n"/>
      <c r="F17" s="1079" t="n"/>
      <c r="G17" s="1079" t="n"/>
      <c r="H17" s="1079" t="n"/>
    </row>
    <row r="18" ht="13.5" customHeight="1" thickTop="1">
      <c r="A18" s="1037" t="n"/>
      <c r="B18" s="1064" t="n"/>
      <c r="C18" s="1065" t="inlineStr">
        <is>
          <t>Rent/Sq.Ft.</t>
        </is>
      </c>
      <c r="D18" s="1066" t="inlineStr">
        <is>
          <t>Location</t>
        </is>
      </c>
      <c r="E18" s="1066" t="inlineStr">
        <is>
          <t>Age</t>
        </is>
      </c>
      <c r="F18" s="1066" t="n"/>
      <c r="G18" s="1066" t="n"/>
      <c r="H18" s="1064" t="n"/>
    </row>
    <row r="19">
      <c r="A19" s="1037" t="n"/>
      <c r="B19" s="1069" t="inlineStr">
        <is>
          <t>OFFICE</t>
        </is>
      </c>
      <c r="C19" s="1070" t="inlineStr">
        <is>
          <t>Vacancy</t>
        </is>
      </c>
      <c r="D19" s="1071" t="inlineStr">
        <is>
          <t>Land Size</t>
        </is>
      </c>
      <c r="E19" s="1071" t="inlineStr">
        <is>
          <t>Quality</t>
        </is>
      </c>
      <c r="F19" s="1071" t="n"/>
      <c r="G19" s="1071" t="n"/>
      <c r="H19" s="1070" t="n"/>
    </row>
    <row r="20">
      <c r="A20" s="1037" t="n"/>
      <c r="B20" s="1069" t="inlineStr">
        <is>
          <t>Source</t>
        </is>
      </c>
      <c r="C20" s="1071" t="inlineStr">
        <is>
          <t>Expense / Sq. Ft.</t>
        </is>
      </c>
      <c r="D20" s="1071" t="inlineStr">
        <is>
          <t>L:B Ratio</t>
        </is>
      </c>
      <c r="E20" s="1071" t="inlineStr">
        <is>
          <t>Phy/Funct Rating</t>
        </is>
      </c>
      <c r="F20" s="1071" t="n"/>
      <c r="G20" s="1070" t="inlineStr">
        <is>
          <t>Net</t>
        </is>
      </c>
      <c r="H20" s="1070" t="inlineStr">
        <is>
          <t>Adjusted</t>
        </is>
      </c>
    </row>
    <row r="21" ht="13.5" customHeight="1" thickBot="1">
      <c r="A21" s="1037" t="n"/>
      <c r="B21" s="1074" t="inlineStr">
        <is>
          <t>Property Type</t>
        </is>
      </c>
      <c r="C21" s="1075" t="inlineStr">
        <is>
          <t>Expense Ratio</t>
        </is>
      </c>
      <c r="D21" s="1076" t="inlineStr">
        <is>
          <t>Building Size</t>
        </is>
      </c>
      <c r="E21" s="1076" t="inlineStr">
        <is>
          <t>Zoning</t>
        </is>
      </c>
      <c r="F21" s="1076" t="inlineStr">
        <is>
          <t>Other</t>
        </is>
      </c>
      <c r="G21" s="1075" t="inlineStr">
        <is>
          <t>Adjustments</t>
        </is>
      </c>
      <c r="H21" s="1075"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0E7490"/>
    <outlinePr summaryBelow="1" summaryRight="1"/>
    <pageSetUpPr autoPageBreaks="0"/>
  </sheetPr>
  <dimension ref="A1:Z74"/>
  <sheetViews>
    <sheetView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1640625" customWidth="1" style="162" min="5" max="5"/>
    <col width="6" customWidth="1" style="162" min="6" max="6"/>
    <col width="6.6640625" customWidth="1" style="162" min="7" max="7"/>
    <col width="10" customWidth="1" style="162" min="8" max="8"/>
    <col width="2.1640625" customWidth="1" style="162" min="9" max="9"/>
    <col width="6" customWidth="1" style="162" min="10" max="10"/>
    <col width="9" customWidth="1" style="162" min="11" max="11"/>
    <col width="7" customWidth="1" style="162" min="12" max="12"/>
    <col width="12.5" customWidth="1" style="162" min="13" max="16384"/>
    <col width="6" customWidth="1" min="25" max="25"/>
    <col hidden="1" width="13" customWidth="1" min="26" max="26"/>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Best Match 1)</t>
        </is>
      </c>
      <c r="B72" s="515">
        <f>IF(IFERROR(INDEX(Sales!D:D,$Z$72),"")="","",IFERROR(INDEX(Sales!D:D,$Z$72),""))</f>
        <v/>
      </c>
      <c r="C72" s="515" t="n"/>
      <c r="D72" s="515">
        <f>IF(IFERROR(INDEX(Sales!C:C,$Z$72),"")="","",IFERROR(INDEX(Sales!C:C,$Z$72),""))</f>
        <v/>
      </c>
      <c r="E72" s="515" t="n"/>
      <c r="F72" s="515" t="n"/>
      <c r="G72" s="199">
        <f>IF(IFERROR(INDEX(Sales!M:M,$Z$72),"")="","",IFERROR(INDEX(Sales!M:M,$Z$72),""))</f>
        <v/>
      </c>
      <c r="H72" s="179">
        <f>IF(IFERROR(INDEX(Sales!L:L,$Z$72),"")="","",IFERROR(INDEX(Sales!L:L,$Z$72),""))</f>
        <v/>
      </c>
      <c r="I72" s="179" t="n"/>
      <c r="J72" s="574">
        <f>IF(IFERROR(INDEX(Sales!I:I,$Z$72),"")="","",IFERROR(INDEX(Sales!I:I,$Z$72),""))</f>
        <v/>
      </c>
      <c r="K72" s="575">
        <f>IF(IFERROR(INDEX(Sales!AA:AA,$Z$72),"")="","",IFERROR(INDEX(Sales!AA:AA,$Z$72),""))</f>
        <v/>
      </c>
      <c r="L72" s="576">
        <f>IF(IFERROR(INDEX(Sales!H:H,$Z$72),"")="","",IFERROR(INDEX(Sales!H:H,$Z$72),""))</f>
        <v/>
      </c>
      <c r="Y72" s="1031" t="n">
        <v>1</v>
      </c>
      <c r="Z72">
        <f>IFERROR(MATCH(_xlfn.AGGREGATE(15,6,Sales!$AJ$2:$AJ$941,$Y$72),Sales!$AJ$2:$AJ$941,0)+1,"")</f>
        <v/>
      </c>
    </row>
    <row r="73">
      <c r="A73" s="177" t="inlineStr">
        <is>
          <t>Best Match 2)</t>
        </is>
      </c>
      <c r="B73" s="515">
        <f>IF(IFERROR(INDEX(Sales!D:D,$Z$73),"")="","",IFERROR(INDEX(Sales!D:D,$Z$73),""))</f>
        <v/>
      </c>
      <c r="C73" s="515" t="n"/>
      <c r="D73" s="515">
        <f>IF(IFERROR(INDEX(Sales!C:C,$Z$73),"")="","",IFERROR(INDEX(Sales!C:C,$Z$73),""))</f>
        <v/>
      </c>
      <c r="E73" s="515" t="n"/>
      <c r="F73" s="515" t="n"/>
      <c r="G73" s="199">
        <f>IF(IFERROR(INDEX(Sales!M:M,$Z$73),"")="","",IFERROR(INDEX(Sales!M:M,$Z$73),""))</f>
        <v/>
      </c>
      <c r="H73" s="179">
        <f>IF(IFERROR(INDEX(Sales!L:L,$Z$73),"")="","",IFERROR(INDEX(Sales!L:L,$Z$73),""))</f>
        <v/>
      </c>
      <c r="I73" s="179" t="n"/>
      <c r="J73" s="574">
        <f>IF(IFERROR(INDEX(Sales!I:I,$Z$73),"")="","",IFERROR(INDEX(Sales!I:I,$Z$73),""))</f>
        <v/>
      </c>
      <c r="K73" s="575">
        <f>IF(IFERROR(INDEX(Sales!AA:AA,$Z$73),"")="","",IFERROR(INDEX(Sales!AA:AA,$Z$73),""))</f>
        <v/>
      </c>
      <c r="L73" s="576">
        <f>IF(IFERROR(INDEX(Sales!H:H,$Z$73),"")="","",IFERROR(INDEX(Sales!H:H,$Z$73),""))</f>
        <v/>
      </c>
      <c r="Y73" s="1031" t="n">
        <v>2</v>
      </c>
      <c r="Z73">
        <f>IFERROR(MATCH(_xlfn.AGGREGATE(15,6,Sales!$AJ$2:$AJ$941,$Y$73),Sales!$AJ$2:$AJ$941,0)+1,"")</f>
        <v/>
      </c>
    </row>
    <row r="74">
      <c r="A74" s="182" t="inlineStr">
        <is>
          <t>Best Match 3)</t>
        </is>
      </c>
      <c r="B74" s="183">
        <f>IF(IFERROR(INDEX(Sales!D:D,$Z$74),"")="","",IFERROR(INDEX(Sales!D:D,$Z$74),""))</f>
        <v/>
      </c>
      <c r="C74" s="183" t="n"/>
      <c r="D74" s="183">
        <f>IF(IFERROR(INDEX(Sales!C:C,$Z$74),"")="","",IFERROR(INDEX(Sales!C:C,$Z$74),""))</f>
        <v/>
      </c>
      <c r="E74" s="183" t="n"/>
      <c r="F74" s="183" t="n"/>
      <c r="G74" s="200">
        <f>IF(IFERROR(INDEX(Sales!M:M,$Z$74),"")="","",IFERROR(INDEX(Sales!M:M,$Z$74),""))</f>
        <v/>
      </c>
      <c r="H74" s="184">
        <f>IF(IFERROR(INDEX(Sales!L:L,$Z$74),"")="","",IFERROR(INDEX(Sales!L:L,$Z$74),""))</f>
        <v/>
      </c>
      <c r="I74" s="184" t="n"/>
      <c r="J74" s="577">
        <f>IF(IFERROR(INDEX(Sales!I:I,$Z$74),"")="","",IFERROR(INDEX(Sales!I:I,$Z$74),""))</f>
        <v/>
      </c>
      <c r="K74" s="578">
        <f>IF(IFERROR(INDEX(Sales!AA:AA,$Z$74),"")="","",IFERROR(INDEX(Sales!AA:AA,$Z$74),""))</f>
        <v/>
      </c>
      <c r="L74" s="579">
        <f>IF(IFERROR(INDEX(Sales!H:H,$Z$74),"")="","",IFERROR(INDEX(Sales!H:H,$Z$74),""))</f>
        <v/>
      </c>
      <c r="Y74" s="1031" t="n">
        <v>3</v>
      </c>
      <c r="Z74">
        <f>IFERROR(MATCH(_xlfn.AGGREGATE(15,6,Sales!$AJ$2:$AJ$941,$Y$74),Sales!$AJ$2:$AJ$941,0)+1,"")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0E7490"/>
    <outlinePr summaryBelow="1" summaryRight="1"/>
    <pageSetUpPr fitToPage="1"/>
  </sheetPr>
  <dimension ref="A1:Z48"/>
  <sheetViews>
    <sheetView workbookViewId="0">
      <selection activeCell="P15" sqref="P15"/>
    </sheetView>
  </sheetViews>
  <sheetFormatPr baseColWidth="8" defaultColWidth="11.5" defaultRowHeight="12.75"/>
  <cols>
    <col width="32" customWidth="1" style="203" min="1" max="1"/>
    <col width="18" customWidth="1" style="203" min="2" max="2"/>
    <col width="10" customWidth="1" style="203" min="3" max="3"/>
    <col width="16" customWidth="1" style="203" min="4" max="4"/>
    <col width="6.83203125" customWidth="1" style="203" min="5" max="5"/>
    <col width="6" customWidth="1" style="203" min="6" max="6"/>
    <col width="11" customWidth="1" style="203" min="7" max="7"/>
    <col width="7" customWidth="1" style="203" min="8" max="8"/>
    <col width="10.6640625" customWidth="1" style="203" min="9" max="9"/>
    <col width="9" customWidth="1" style="203" min="10" max="10"/>
    <col width="7" customWidth="1" style="203" min="11" max="11"/>
    <col width="11.5" customWidth="1" style="203" min="12" max="16384"/>
    <col width="6" customWidth="1" min="25" max="25"/>
    <col hidden="1" width="13" customWidth="1" min="26" max="26"/>
  </cols>
  <sheetData>
    <row r="1" ht="34.9" customHeight="1">
      <c r="A1" s="1080" t="inlineStr">
        <is>
          <t>2025 APPEAL WORKSHEET</t>
        </is>
      </c>
      <c r="B1" s="1081" t="n"/>
      <c r="C1" s="1081" t="n"/>
      <c r="D1" s="1081" t="n"/>
      <c r="E1" s="1081" t="n"/>
      <c r="F1" s="1081" t="n"/>
      <c r="G1" s="1081" t="n"/>
      <c r="H1" s="1081" t="n"/>
      <c r="I1" s="1081" t="n"/>
      <c r="J1" s="1081" t="n"/>
      <c r="K1" s="1081" t="n"/>
    </row>
    <row r="2" ht="16.15" customHeight="1">
      <c r="A2" s="845" t="inlineStr">
        <is>
          <t>ACCOUNT NUMBER</t>
        </is>
      </c>
      <c r="D2" s="1082" t="inlineStr">
        <is>
          <t> </t>
        </is>
      </c>
      <c r="E2" s="204" t="n"/>
      <c r="F2" s="204" t="n"/>
      <c r="G2" s="204" t="n"/>
      <c r="H2" s="204" t="n"/>
    </row>
    <row r="3" ht="16.15" customHeight="1">
      <c r="A3" s="845" t="inlineStr">
        <is>
          <t>PROPERTY ADDRESS</t>
        </is>
      </c>
      <c r="D3" s="1083" t="inlineStr">
        <is>
          <t> </t>
        </is>
      </c>
      <c r="E3" s="205" t="n"/>
      <c r="F3" s="205" t="n"/>
      <c r="G3" s="205" t="n"/>
      <c r="H3" s="205" t="n"/>
    </row>
    <row r="4" ht="16.15" customHeight="1">
      <c r="A4" s="845" t="inlineStr">
        <is>
          <t>PROTEST NUMBER</t>
        </is>
      </c>
      <c r="D4" s="1083" t="inlineStr">
        <is>
          <t> </t>
        </is>
      </c>
      <c r="E4" s="205" t="n"/>
      <c r="F4" s="205" t="n"/>
      <c r="G4" s="205" t="n"/>
      <c r="H4" s="205" t="n"/>
    </row>
    <row r="5" ht="16.15" customHeight="1">
      <c r="A5" s="845" t="inlineStr">
        <is>
          <t>PETITIONER'S NAME</t>
        </is>
      </c>
      <c r="D5" s="1083" t="inlineStr">
        <is>
          <t> </t>
        </is>
      </c>
      <c r="E5" s="205" t="n"/>
      <c r="F5" s="205" t="n"/>
      <c r="G5" s="205" t="n"/>
      <c r="H5" s="205" t="n"/>
    </row>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1084" t="inlineStr">
        <is>
          <t>MARKET RENT COMPARABLES</t>
        </is>
      </c>
      <c r="B18" s="1085" t="n"/>
      <c r="C18" s="1085" t="n"/>
      <c r="D18" s="1085" t="n"/>
      <c r="E18" s="1085" t="n"/>
      <c r="F18" s="1085" t="n"/>
      <c r="G18" s="1085" t="n"/>
      <c r="H18" s="1086" t="inlineStr">
        <is>
          <t>BUILDING</t>
        </is>
      </c>
      <c r="I18" s="1086" t="n"/>
      <c r="J18" s="1086" t="n"/>
      <c r="K18" s="1087" t="inlineStr">
        <is>
          <t>EXP</t>
        </is>
      </c>
    </row>
    <row r="19" ht="15" customHeight="1">
      <c r="A19" s="324" t="n"/>
      <c r="B19" s="1088" t="inlineStr">
        <is>
          <t>OFFICE</t>
        </is>
      </c>
      <c r="C19" s="1089" t="inlineStr">
        <is>
          <t>USE TYPE</t>
        </is>
      </c>
      <c r="D19" s="1089" t="n"/>
      <c r="E19" s="1089" t="n"/>
      <c r="F19" s="1090" t="inlineStr">
        <is>
          <t>ZONE</t>
        </is>
      </c>
      <c r="G19" s="1088" t="inlineStr">
        <is>
          <t>YOC</t>
        </is>
      </c>
      <c r="H19" s="1091" t="inlineStr">
        <is>
          <t>SQ FT</t>
        </is>
      </c>
      <c r="I19" s="1092" t="inlineStr">
        <is>
          <t>RENT</t>
        </is>
      </c>
      <c r="J19" s="1092" t="inlineStr">
        <is>
          <t>VACANCY</t>
        </is>
      </c>
      <c r="K19" s="1093"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1084" t="inlineStr">
        <is>
          <t>MARKET SALE COMPARABLES</t>
        </is>
      </c>
      <c r="B26" s="1085" t="n"/>
      <c r="C26" s="1085" t="n"/>
      <c r="D26" s="1085" t="n"/>
      <c r="E26" s="1085" t="n"/>
      <c r="F26" s="1085" t="n"/>
      <c r="G26" s="1085" t="n"/>
      <c r="H26" s="1094" t="inlineStr">
        <is>
          <t>BUILDING</t>
        </is>
      </c>
      <c r="I26" s="1094" t="inlineStr">
        <is>
          <t>SALE</t>
        </is>
      </c>
      <c r="J26" s="1094" t="inlineStr">
        <is>
          <t>SALE</t>
        </is>
      </c>
      <c r="K26" s="1095" t="inlineStr">
        <is>
          <t>S.P./</t>
        </is>
      </c>
    </row>
    <row r="27" ht="15" customHeight="1">
      <c r="A27" s="333" t="n"/>
      <c r="B27" s="1089" t="inlineStr">
        <is>
          <t>PROPERTY ADDRESS</t>
        </is>
      </c>
      <c r="C27" s="1089" t="n"/>
      <c r="D27" s="1089" t="inlineStr">
        <is>
          <t>ACCOUNT NUMBER</t>
        </is>
      </c>
      <c r="E27" s="1089" t="n"/>
      <c r="F27" s="1089" t="n"/>
      <c r="G27" s="1090" t="inlineStr">
        <is>
          <t>YOC</t>
        </is>
      </c>
      <c r="H27" s="1092" t="inlineStr">
        <is>
          <t>SQ FT</t>
        </is>
      </c>
      <c r="I27" s="1092" t="inlineStr">
        <is>
          <t>DATE</t>
        </is>
      </c>
      <c r="J27" s="1092" t="inlineStr">
        <is>
          <t>PRICE</t>
        </is>
      </c>
      <c r="K27" s="1096"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Best Match 1)</t>
        </is>
      </c>
      <c r="B30" s="513">
        <f>IF(IFERROR(INDEX(Sales!D:D,$Z$30),"")="","",IFERROR(INDEX(Sales!D:D,$Z$30),""))</f>
        <v/>
      </c>
      <c r="D30" s="513">
        <f>IF(IFERROR(INDEX(Sales!C:C,$Z$30),"")="","",IFERROR(INDEX(Sales!C:C,$Z$30),""))</f>
        <v/>
      </c>
      <c r="G30" s="341">
        <f>IF(IFERROR(INDEX(Sales!M:M,$Z$30),"")="","",IFERROR(INDEX(Sales!M:M,$Z$30),""))</f>
        <v/>
      </c>
      <c r="H30" s="215">
        <f>IF(IFERROR(INDEX(Sales!L:L,$Z$30),"")="","",IFERROR(INDEX(Sales!L:L,$Z$30),""))</f>
        <v/>
      </c>
      <c r="I30" s="590">
        <f>IF(IFERROR(INDEX(Sales!I:I,$Z$30),"")="","",IFERROR(INDEX(Sales!I:I,$Z$30),""))</f>
        <v/>
      </c>
      <c r="J30" s="591">
        <f>IF(IFERROR(INDEX(Sales!AA:AA,$Z$30),"")="","",IFERROR(INDEX(Sales!AA:AA,$Z$30),""))</f>
        <v/>
      </c>
      <c r="K30" s="589">
        <f>IF(IFERROR(INDEX(Sales!H:H,$Z$30),"")="","",IFERROR(INDEX(Sales!H:H,$Z$30),""))</f>
        <v/>
      </c>
      <c r="Y30" s="1031" t="n">
        <v>1</v>
      </c>
      <c r="Z30">
        <f>IFERROR(MATCH(_xlfn.AGGREGATE(15,6,Sales!$AJ$2:$AJ$941,$Y$30),Sales!$AJ$2:$AJ$941,0)+1,"")</f>
        <v/>
      </c>
    </row>
    <row r="31" ht="15" customHeight="1">
      <c r="A31" s="317" t="inlineStr">
        <is>
          <t>Best Match 2)</t>
        </is>
      </c>
      <c r="B31" s="513">
        <f>IF(IFERROR(INDEX(Sales!D:D,$Z$31),"")="","",IFERROR(INDEX(Sales!D:D,$Z$31),""))</f>
        <v/>
      </c>
      <c r="D31" s="513">
        <f>IF(IFERROR(INDEX(Sales!C:C,$Z$31),"")="","",IFERROR(INDEX(Sales!C:C,$Z$31),""))</f>
        <v/>
      </c>
      <c r="G31" s="341">
        <f>IF(IFERROR(INDEX(Sales!M:M,$Z$31),"")="","",IFERROR(INDEX(Sales!M:M,$Z$31),""))</f>
        <v/>
      </c>
      <c r="H31" s="215">
        <f>IF(IFERROR(INDEX(Sales!L:L,$Z$31),"")="","",IFERROR(INDEX(Sales!L:L,$Z$31),""))</f>
        <v/>
      </c>
      <c r="I31" s="590">
        <f>IF(IFERROR(INDEX(Sales!I:I,$Z$31),"")="","",IFERROR(INDEX(Sales!I:I,$Z$31),""))</f>
        <v/>
      </c>
      <c r="J31" s="591">
        <f>IF(IFERROR(INDEX(Sales!AA:AA,$Z$31),"")="","",IFERROR(INDEX(Sales!AA:AA,$Z$31),""))</f>
        <v/>
      </c>
      <c r="K31" s="589">
        <f>IF(IFERROR(INDEX(Sales!H:H,$Z$31),"")="","",IFERROR(INDEX(Sales!H:H,$Z$31),""))</f>
        <v/>
      </c>
      <c r="Y31" s="1031" t="n">
        <v>2</v>
      </c>
      <c r="Z31">
        <f>IFERROR(MATCH(_xlfn.AGGREGATE(15,6,Sales!$AJ$2:$AJ$941,$Y$31),Sales!$AJ$2:$AJ$941,0)+1,"")</f>
        <v/>
      </c>
    </row>
    <row r="32" ht="15" customHeight="1">
      <c r="A32" s="318" t="inlineStr">
        <is>
          <t>Best Match 3)</t>
        </is>
      </c>
      <c r="B32" s="514">
        <f>IF(IFERROR(INDEX(Sales!D:D,$Z$32),"")="","",IFERROR(INDEX(Sales!D:D,$Z$32),""))</f>
        <v/>
      </c>
      <c r="C32" s="592" t="n"/>
      <c r="D32" s="514">
        <f>IF(IFERROR(INDEX(Sales!C:C,$Z$32),"")="","",IFERROR(INDEX(Sales!C:C,$Z$32),""))</f>
        <v/>
      </c>
      <c r="E32" s="592" t="n"/>
      <c r="F32" s="592" t="n"/>
      <c r="G32" s="342">
        <f>IF(IFERROR(INDEX(Sales!M:M,$Z$32),"")="","",IFERROR(INDEX(Sales!M:M,$Z$32),""))</f>
        <v/>
      </c>
      <c r="H32" s="216">
        <f>IF(IFERROR(INDEX(Sales!L:L,$Z$32),"")="","",IFERROR(INDEX(Sales!L:L,$Z$32),""))</f>
        <v/>
      </c>
      <c r="I32" s="593">
        <f>IF(IFERROR(INDEX(Sales!I:I,$Z$32),"")="","",IFERROR(INDEX(Sales!I:I,$Z$32),""))</f>
        <v/>
      </c>
      <c r="J32" s="594">
        <f>IF(IFERROR(INDEX(Sales!AA:AA,$Z$32),"")="","",IFERROR(INDEX(Sales!AA:AA,$Z$32),""))</f>
        <v/>
      </c>
      <c r="K32" s="595">
        <f>IF(IFERROR(INDEX(Sales!H:H,$Z$32),"")="","",IFERROR(INDEX(Sales!H:H,$Z$32),""))</f>
        <v/>
      </c>
      <c r="Y32" s="1031" t="n">
        <v>3</v>
      </c>
      <c r="Z32">
        <f>IFERROR(MATCH(_xlfn.AGGREGATE(15,6,Sales!$AJ$2:$AJ$941,$Y$32),Sales!$AJ$2:$AJ$941,0)+1,"")</f>
        <v/>
      </c>
    </row>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863"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workbookViewId="0">
      <selection activeCell="A1" sqref="A1"/>
    </sheetView>
  </sheetViews>
  <sheetFormatPr baseColWidth="8" defaultRowHeight="15"/>
  <cols>
    <col width="52" customWidth="1" min="2" max="2"/>
    <col width="30" customWidth="1" min="3" max="3"/>
    <col width="44" customWidth="1" min="4" max="4"/>
    <col width="8" customWidth="1" min="5" max="5"/>
    <col width="10" customWidth="1" min="6" max="6"/>
    <col width="11" customWidth="1" min="7" max="7"/>
    <col width="10" customWidth="1" min="8" max="8"/>
    <col width="14" customWidth="1" min="9" max="9"/>
    <col width="26" customWidth="1" min="10" max="10"/>
    <col width="10" customWidth="1" min="11" max="11"/>
    <col width="10" customWidth="1" min="12" max="12"/>
    <col width="10" customWidth="1" min="13" max="13"/>
  </cols>
  <sheetData>
    <row r="1">
      <c r="B1" s="899"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899" t="inlineStr">
        <is>
          <t>MVS QUICK-REFERENCE TABLES -- DO NOT EDIT  (sourced &amp;amp; verified from the licensed MVS June 2024 edition; Sec.99/98 multiplier inserts dated Jan 2025)</t>
        </is>
      </c>
    </row>
    <row r="13">
      <c r="B13" s="899"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899"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1250" t="inlineStr">
        <is>
          <t>REFERENCE 3 -- Occupancy Base Cost Tables (Calculator Method, $/SF) -- every Class/Quality occupancy cost table in MVS calculator Sections 11-18</t>
        </is>
      </c>
    </row>
    <row r="29">
      <c r="B29" s="1251" t="inlineStr">
        <is>
          <t>Occupancy Name</t>
        </is>
      </c>
      <c r="C29" s="1251" t="inlineStr">
        <is>
          <t>MVS Code</t>
        </is>
      </c>
      <c r="D29" s="1251" t="inlineStr">
        <is>
          <t>Section</t>
        </is>
      </c>
      <c r="E29" s="1251" t="inlineStr">
        <is>
          <t>Page</t>
        </is>
      </c>
      <c r="F29" s="1251" t="inlineStr">
        <is>
          <t>Class</t>
        </is>
      </c>
      <c r="G29" s="1251" t="inlineStr">
        <is>
          <t>Quality</t>
        </is>
      </c>
      <c r="H29" s="1251" t="inlineStr">
        <is>
          <t>$/SF</t>
        </is>
      </c>
      <c r="I29" s="1251" t="inlineStr">
        <is>
          <t>Lookup Key</t>
        </is>
      </c>
      <c r="J29" s="1251"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C541" t="inlineStr"/>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C542" t="inlineStr"/>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C543" t="inlineStr"/>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C544" t="inlineStr"/>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C545" t="inlineStr"/>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C546" t="inlineStr"/>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C547" t="inlineStr"/>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C548" t="inlineStr"/>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C549" t="inlineStr"/>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C550" t="inlineStr"/>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C551" t="inlineStr"/>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1250" t="inlineStr">
        <is>
          <t>REFERENCE 4 -- Occupancy Master List (dropdown source / lookup attributes)</t>
        </is>
      </c>
    </row>
    <row r="3127">
      <c r="B3127" s="1251" t="inlineStr">
        <is>
          <t>Occupancy Name</t>
        </is>
      </c>
      <c r="C3127" s="1251" t="inlineStr">
        <is>
          <t>MVS Code</t>
        </is>
      </c>
      <c r="D3127" s="1251" t="inlineStr">
        <is>
          <t>Section</t>
        </is>
      </c>
      <c r="E3127" s="1251" t="inlineStr">
        <is>
          <t>Page</t>
        </is>
      </c>
      <c r="F3127" s="1251" t="inlineStr">
        <is>
          <t>Story-Height Tbl (Sec.)</t>
        </is>
      </c>
      <c r="G3127" s="1251" t="inlineStr">
        <is>
          <t>Sprinkler Tbl (Sec.)</t>
        </is>
      </c>
      <c r="H3127" s="1251"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C3168" t="inlineStr"/>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125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1251" t="inlineStr">
        <is>
          <t>County OCC Code</t>
        </is>
      </c>
      <c r="C3414" s="1251" t="inlineStr">
        <is>
          <t>County Description</t>
        </is>
      </c>
      <c r="D3414" s="1251"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899"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1250" t="inlineStr">
        <is>
          <t>REFERENCE 5 -- Story Height Multiplier Tables (per MVS section). Sections 12 and 17 publish no story-height multiplier table -- multiplier 1.000 is used automatically.</t>
        </is>
      </c>
    </row>
    <row r="3573">
      <c r="B3573" s="899" t="inlineStr">
        <is>
          <t>Section 11 (base = 10 ft) -- MVS 11-36</t>
        </is>
      </c>
      <c r="C3573" s="1251" t="inlineStr">
        <is>
          <t>Height (ft)</t>
        </is>
      </c>
      <c r="D3573" s="1251"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899" t="inlineStr">
        <is>
          <t>Section 13 (base = 12 ft) -- MVS 13-41</t>
        </is>
      </c>
      <c r="C3591" s="1251" t="inlineStr">
        <is>
          <t>Height (ft)</t>
        </is>
      </c>
      <c r="D3591" s="1251"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899" t="inlineStr">
        <is>
          <t>Section 14 (base = 14 ft) -- MVS 14-38</t>
        </is>
      </c>
      <c r="C3611" s="1251" t="inlineStr">
        <is>
          <t>Height (ft)</t>
        </is>
      </c>
      <c r="D3611" s="1251"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899" t="inlineStr">
        <is>
          <t>Section 15 (base = 12 ft) -- MVS 15-38</t>
        </is>
      </c>
      <c r="C3637" s="1251" t="inlineStr">
        <is>
          <t>Height (ft)</t>
        </is>
      </c>
      <c r="D3637" s="1251"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899" t="inlineStr">
        <is>
          <t>Section 16 (base = 16 ft) -- MVS 16-26</t>
        </is>
      </c>
      <c r="C3654" s="1251" t="inlineStr">
        <is>
          <t>Height (ft)</t>
        </is>
      </c>
      <c r="D3654" s="1251"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899" t="inlineStr">
        <is>
          <t>Section 18 (base = 10 ft) -- MVS 18-37</t>
        </is>
      </c>
      <c r="C3686" s="1251" t="inlineStr">
        <is>
          <t>Height (ft)</t>
        </is>
      </c>
      <c r="D3686" s="1251"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1250"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1251" t="inlineStr">
        <is>
          <t>Low Cost</t>
        </is>
      </c>
      <c r="D3705" s="1251" t="inlineStr">
        <is>
          <t>Average</t>
        </is>
      </c>
      <c r="E3705" s="1251" t="inlineStr">
        <is>
          <t>Good</t>
        </is>
      </c>
      <c r="F3705" s="1251" t="inlineStr">
        <is>
          <t>Excellent</t>
        </is>
      </c>
    </row>
    <row r="3706">
      <c r="B3706" s="899" t="inlineStr">
        <is>
          <t>Section 11 -- MVS 11-35</t>
        </is>
      </c>
      <c r="C3706" s="1251" t="inlineStr">
        <is>
          <t>Coverage (SF)</t>
        </is>
      </c>
      <c r="D3706" s="1251" t="inlineStr">
        <is>
          <t>Wet-Low</t>
        </is>
      </c>
      <c r="E3706" s="1251" t="inlineStr">
        <is>
          <t>Wet-Avg</t>
        </is>
      </c>
      <c r="F3706" s="1251" t="inlineStr">
        <is>
          <t>Wet-Good</t>
        </is>
      </c>
      <c r="G3706" s="1251" t="inlineStr">
        <is>
          <t>Wet-Excl</t>
        </is>
      </c>
      <c r="H3706" s="1251" t="inlineStr">
        <is>
          <t>Dry-Low</t>
        </is>
      </c>
      <c r="I3706" s="1251" t="inlineStr">
        <is>
          <t>Dry-Avg</t>
        </is>
      </c>
      <c r="J3706" s="1251" t="inlineStr">
        <is>
          <t>Dry-Good</t>
        </is>
      </c>
      <c r="K3706" s="1251"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899" t="inlineStr">
        <is>
          <t>Section 12 -- MVS 12-39 (simple residential installs run 4.04-6.22/SF flat)</t>
        </is>
      </c>
      <c r="C3725" s="1251" t="inlineStr">
        <is>
          <t>Coverage (SF)</t>
        </is>
      </c>
      <c r="D3725" s="1251" t="inlineStr">
        <is>
          <t>Wet-Low</t>
        </is>
      </c>
      <c r="E3725" s="1251" t="inlineStr">
        <is>
          <t>Wet-Avg</t>
        </is>
      </c>
      <c r="F3725" s="1251" t="inlineStr">
        <is>
          <t>Wet-Good</t>
        </is>
      </c>
      <c r="G3725" s="1251" t="inlineStr">
        <is>
          <t>Wet-Excl</t>
        </is>
      </c>
      <c r="H3725" s="1251" t="inlineStr">
        <is>
          <t>Dry-Low</t>
        </is>
      </c>
      <c r="I3725" s="1251" t="inlineStr">
        <is>
          <t>Dry-Avg</t>
        </is>
      </c>
      <c r="J3725" s="1251" t="inlineStr">
        <is>
          <t>Dry-Good</t>
        </is>
      </c>
      <c r="K3725" s="1251"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899" t="inlineStr">
        <is>
          <t>Section 13 -- MVS 13-40</t>
        </is>
      </c>
      <c r="C3738" s="1251" t="inlineStr">
        <is>
          <t>Coverage (SF)</t>
        </is>
      </c>
      <c r="D3738" s="1251" t="inlineStr">
        <is>
          <t>Wet-Low</t>
        </is>
      </c>
      <c r="E3738" s="1251" t="inlineStr">
        <is>
          <t>Wet-Avg</t>
        </is>
      </c>
      <c r="F3738" s="1251" t="inlineStr">
        <is>
          <t>Wet-Good</t>
        </is>
      </c>
      <c r="G3738" s="1251" t="inlineStr">
        <is>
          <t>Wet-Excl</t>
        </is>
      </c>
      <c r="H3738" s="1251" t="inlineStr">
        <is>
          <t>Dry-Low</t>
        </is>
      </c>
      <c r="I3738" s="1251" t="inlineStr">
        <is>
          <t>Dry-Avg</t>
        </is>
      </c>
      <c r="J3738" s="1251" t="inlineStr">
        <is>
          <t>Dry-Good</t>
        </is>
      </c>
      <c r="K3738" s="1251"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899" t="inlineStr">
        <is>
          <t>Section 14 -- MVS 14-37</t>
        </is>
      </c>
      <c r="C3758" s="1251" t="inlineStr">
        <is>
          <t>Coverage (SF)</t>
        </is>
      </c>
      <c r="D3758" s="1251" t="inlineStr">
        <is>
          <t>Wet-Low</t>
        </is>
      </c>
      <c r="E3758" s="1251" t="inlineStr">
        <is>
          <t>Wet-Avg</t>
        </is>
      </c>
      <c r="F3758" s="1251" t="inlineStr">
        <is>
          <t>Wet-Good</t>
        </is>
      </c>
      <c r="G3758" s="1251" t="inlineStr">
        <is>
          <t>Wet-Excl</t>
        </is>
      </c>
      <c r="H3758" s="1251" t="inlineStr">
        <is>
          <t>Dry-Low</t>
        </is>
      </c>
      <c r="I3758" s="1251" t="inlineStr">
        <is>
          <t>Dry-Avg</t>
        </is>
      </c>
      <c r="J3758" s="1251" t="inlineStr">
        <is>
          <t>Dry-Good</t>
        </is>
      </c>
      <c r="K3758" s="1251"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899" t="inlineStr">
        <is>
          <t>Section 15 -- MVS 15-37</t>
        </is>
      </c>
      <c r="C3780" s="1251" t="inlineStr">
        <is>
          <t>Coverage (SF)</t>
        </is>
      </c>
      <c r="D3780" s="1251" t="inlineStr">
        <is>
          <t>Wet-Low</t>
        </is>
      </c>
      <c r="E3780" s="1251" t="inlineStr">
        <is>
          <t>Wet-Avg</t>
        </is>
      </c>
      <c r="F3780" s="1251" t="inlineStr">
        <is>
          <t>Wet-Good</t>
        </is>
      </c>
      <c r="G3780" s="1251" t="inlineStr">
        <is>
          <t>Wet-Excl</t>
        </is>
      </c>
      <c r="H3780" s="1251" t="inlineStr">
        <is>
          <t>Dry-Low</t>
        </is>
      </c>
      <c r="I3780" s="1251" t="inlineStr">
        <is>
          <t>Dry-Avg</t>
        </is>
      </c>
      <c r="J3780" s="1251" t="inlineStr">
        <is>
          <t>Dry-Good</t>
        </is>
      </c>
      <c r="K3780" s="1251"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899" t="inlineStr">
        <is>
          <t>Section 16 -- MVS 16-25</t>
        </is>
      </c>
      <c r="C3790" s="1251" t="inlineStr">
        <is>
          <t>Coverage (SF)</t>
        </is>
      </c>
      <c r="D3790" s="1251" t="inlineStr">
        <is>
          <t>Wet-Low</t>
        </is>
      </c>
      <c r="E3790" s="1251" t="inlineStr">
        <is>
          <t>Wet-Avg</t>
        </is>
      </c>
      <c r="F3790" s="1251" t="inlineStr">
        <is>
          <t>Wet-Good</t>
        </is>
      </c>
      <c r="G3790" s="1251" t="inlineStr">
        <is>
          <t>Wet-Excl</t>
        </is>
      </c>
      <c r="H3790" s="1251" t="inlineStr">
        <is>
          <t>Dry-Low</t>
        </is>
      </c>
      <c r="I3790" s="1251" t="inlineStr">
        <is>
          <t>Dry-Avg</t>
        </is>
      </c>
      <c r="J3790" s="1251" t="inlineStr">
        <is>
          <t>Dry-Good</t>
        </is>
      </c>
      <c r="K3790" s="1251"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899" t="inlineStr">
        <is>
          <t>Section 18 -- MVS 18-36</t>
        </is>
      </c>
      <c r="C3809" s="1251" t="inlineStr">
        <is>
          <t>Coverage (SF)</t>
        </is>
      </c>
      <c r="D3809" s="1251" t="inlineStr">
        <is>
          <t>Wet-Low</t>
        </is>
      </c>
      <c r="E3809" s="1251" t="inlineStr">
        <is>
          <t>Wet-Avg</t>
        </is>
      </c>
      <c r="F3809" s="1251" t="inlineStr">
        <is>
          <t>Wet-Good</t>
        </is>
      </c>
      <c r="G3809" s="1251" t="inlineStr">
        <is>
          <t>Wet-Excl</t>
        </is>
      </c>
      <c r="H3809" s="1251" t="inlineStr">
        <is>
          <t>Dry-Low</t>
        </is>
      </c>
      <c r="I3809" s="1251" t="inlineStr">
        <is>
          <t>Dry-Avg</t>
        </is>
      </c>
      <c r="J3809" s="1251" t="inlineStr">
        <is>
          <t>Dry-Good</t>
        </is>
      </c>
      <c r="K3809" s="1251"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1250" t="inlineStr">
        <is>
          <t>REFERENCE 7 -- Elevator Lump-Sum + Per-Stop Cost Tables (per MVS section) -- for manual add/deduct</t>
        </is>
      </c>
    </row>
    <row r="3829">
      <c r="B3829" s="899" t="inlineStr">
        <is>
          <t>Section 11 -- MVS 11-35</t>
        </is>
      </c>
      <c r="C3829" s="1251" t="inlineStr">
        <is>
          <t>Type</t>
        </is>
      </c>
      <c r="D3829" s="1251" t="inlineStr">
        <is>
          <t>Low</t>
        </is>
      </c>
      <c r="E3829" s="1251" t="inlineStr">
        <is>
          <t>Average</t>
        </is>
      </c>
      <c r="F3829" s="1251" t="inlineStr">
        <is>
          <t>Good</t>
        </is>
      </c>
      <c r="G3829" s="1251"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899" t="inlineStr">
        <is>
          <t>Section 12 -- MVS 12-38</t>
        </is>
      </c>
      <c r="C3841" s="1251" t="inlineStr">
        <is>
          <t>Type</t>
        </is>
      </c>
      <c r="D3841" s="1251" t="inlineStr">
        <is>
          <t>Low</t>
        </is>
      </c>
      <c r="E3841" s="1251" t="inlineStr">
        <is>
          <t>Average</t>
        </is>
      </c>
      <c r="F3841" s="1251" t="inlineStr">
        <is>
          <t>Good</t>
        </is>
      </c>
      <c r="G3841" s="1251"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899" t="inlineStr">
        <is>
          <t>Section 13 [Sec.14 schedule applies] -- MVS 13-39</t>
        </is>
      </c>
      <c r="C3846" s="1251" t="inlineStr">
        <is>
          <t>Type</t>
        </is>
      </c>
      <c r="D3846" s="1251" t="inlineStr">
        <is>
          <t>Low</t>
        </is>
      </c>
      <c r="E3846" s="1251" t="inlineStr">
        <is>
          <t>Average</t>
        </is>
      </c>
      <c r="F3846" s="1251" t="inlineStr">
        <is>
          <t>Good</t>
        </is>
      </c>
      <c r="G3846" s="1251"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899" t="inlineStr">
        <is>
          <t>Section 14 -- MVS 14-36</t>
        </is>
      </c>
      <c r="C3850" s="1251" t="inlineStr">
        <is>
          <t>Type</t>
        </is>
      </c>
      <c r="D3850" s="1251" t="inlineStr">
        <is>
          <t>Low</t>
        </is>
      </c>
      <c r="E3850" s="1251" t="inlineStr">
        <is>
          <t>Average</t>
        </is>
      </c>
      <c r="F3850" s="1251" t="inlineStr">
        <is>
          <t>Good</t>
        </is>
      </c>
      <c r="G3850" s="1251"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899" t="inlineStr">
        <is>
          <t>Section 15 -- MVS 15-36</t>
        </is>
      </c>
      <c r="C3861" s="1251" t="inlineStr">
        <is>
          <t>Type</t>
        </is>
      </c>
      <c r="D3861" s="1251" t="inlineStr">
        <is>
          <t>Low</t>
        </is>
      </c>
      <c r="E3861" s="1251" t="inlineStr">
        <is>
          <t>Average</t>
        </is>
      </c>
      <c r="F3861" s="1251" t="inlineStr">
        <is>
          <t>Good</t>
        </is>
      </c>
      <c r="G3861" s="1251"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899" t="inlineStr">
        <is>
          <t>Section 16 -- MVS 16-24</t>
        </is>
      </c>
      <c r="C3873" s="1251" t="inlineStr">
        <is>
          <t>Type</t>
        </is>
      </c>
      <c r="D3873" s="1251" t="inlineStr">
        <is>
          <t>Low</t>
        </is>
      </c>
      <c r="E3873" s="1251" t="inlineStr">
        <is>
          <t>Average</t>
        </is>
      </c>
      <c r="F3873" s="1251" t="inlineStr">
        <is>
          <t>Good</t>
        </is>
      </c>
      <c r="G3873" s="1251"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899" t="inlineStr">
        <is>
          <t>Section 18 -- MVS 18-35</t>
        </is>
      </c>
      <c r="C3885" s="1251" t="inlineStr">
        <is>
          <t>Type</t>
        </is>
      </c>
      <c r="D3885" s="1251" t="inlineStr">
        <is>
          <t>Low</t>
        </is>
      </c>
      <c r="E3885" s="1251" t="inlineStr">
        <is>
          <t>Average</t>
        </is>
      </c>
      <c r="F3885" s="1251" t="inlineStr">
        <is>
          <t>Good</t>
        </is>
      </c>
      <c r="G3885" s="1251"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1250"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1250"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1250"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125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1251" t="inlineStr">
        <is>
          <t>Occupancy Name</t>
        </is>
      </c>
      <c r="C3959" s="1251" t="inlineStr">
        <is>
          <t>Quality</t>
        </is>
      </c>
      <c r="D3959" s="1251" t="inlineStr">
        <is>
          <t>Class A</t>
        </is>
      </c>
      <c r="E3959" s="1251" t="inlineStr">
        <is>
          <t>Class B</t>
        </is>
      </c>
      <c r="F3959" s="1251" t="inlineStr">
        <is>
          <t>Class C</t>
        </is>
      </c>
      <c r="G3959" s="1251" t="inlineStr">
        <is>
          <t>Class D</t>
        </is>
      </c>
      <c r="H3959" s="1251" t="inlineStr">
        <is>
          <t>Class S</t>
        </is>
      </c>
      <c r="I3959" s="1251" t="inlineStr">
        <is>
          <t>Key</t>
        </is>
      </c>
      <c r="J3959" s="1251"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1250"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125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1251" t="inlineStr">
        <is>
          <t>Effective Age (yrs) \ Typical Life (yrs) -&gt;</t>
        </is>
      </c>
      <c r="C5015" s="1251" t="n">
        <v>70</v>
      </c>
      <c r="D5015" s="1251" t="n">
        <v>65</v>
      </c>
      <c r="E5015" s="1251" t="n">
        <v>60</v>
      </c>
      <c r="F5015" s="1251" t="n">
        <v>55</v>
      </c>
      <c r="G5015" s="1251" t="n">
        <v>50</v>
      </c>
      <c r="H5015" s="1251" t="n">
        <v>45</v>
      </c>
      <c r="I5015" s="1251" t="n">
        <v>40</v>
      </c>
      <c r="J5015" s="1251" t="n">
        <v>35</v>
      </c>
      <c r="K5015" s="1251" t="n">
        <v>30</v>
      </c>
      <c r="L5015" s="1251" t="n">
        <v>25</v>
      </c>
      <c r="M5015" s="1251"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1250" t="inlineStr">
        <is>
          <t>REFERENCE 14 -- MVS tables NOT in the lookup engine (nonstandard format or building components priced separately). Value these directly from the manual page cited.</t>
        </is>
      </c>
    </row>
    <row r="5061">
      <c r="B5061" s="1251" t="inlineStr">
        <is>
          <t>Item</t>
        </is>
      </c>
      <c r="C5061" s="1251" t="inlineStr">
        <is>
          <t>Section</t>
        </is>
      </c>
      <c r="D5061" s="1251" t="inlineStr">
        <is>
          <t>Page</t>
        </is>
      </c>
      <c r="E5061" s="1251"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1250"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Warehouses",IFERROR(INDEX(OCCMAP_NAME,MATCH(Subj_OccCode,OCCMAP_CODE,0)),"No MVS cost table for OCC "&amp;Subj_OccCode&amp;" -- select manually or use the Manual Override below"))</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Fair | Average | Good | Very Good | Excellent (some occupancies also use Cheap). Auto-fed from Subject Property Quality; pick a tier that exists for the chosen occupancy/class.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1239" t="inlineStr">
        <is>
          <t>Resolved MVS Section (auto or manual override)</t>
        </is>
      </c>
      <c r="C9" s="1240">
        <f>IF($C$83&lt;&gt;"",$C$83,IFERROR(INDEX(OCC_SECTION,MATCH($C$4,OCC_NAME,0)),""))</f>
        <v/>
      </c>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Wet-system cost auto-looked-up for Sections 11-16 &amp; 18; Section 17 (sheds/farm) has no MVS sprinkler table -- 0 is used.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WO!D13</f>
        <v/>
      </c>
      <c r="D24" s="906">
        <f>IF($C$81&gt;0,$C$81,IFERROR(INDEX(BC_VALUE,MATCH($C$4&amp;"|"&amp;$C$6&amp;"|"&amp;$C$7,BC_KEY,0)),0))</f>
        <v/>
      </c>
      <c r="E24" s="615" t="n"/>
      <c r="F24" s="907">
        <f>C24*D24</f>
        <v/>
      </c>
      <c r="G24" s="615" t="n"/>
      <c r="H24" s="612" t="n"/>
      <c r="I24" s="1165">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IFERROR(INDEX(INDIRECT("SPR"&amp;$C$9&amp;"_VALS"),MATCH($C$24,INDIRECT("SPR"&amp;$C$9&amp;"_SF"),1),MATCH($C$14,SPR_HDR,0)),0)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IFERROR(INDEX(INDIRECT("SH"&amp;$C$9&amp;"_M"),MATCH($C$11,INDIRECT("SH"&amp;$C$9&amp;"_H"),1)),1)</f>
        <v/>
      </c>
      <c r="E36" s="615" t="n"/>
      <c r="F36" s="615" t="n"/>
      <c r="G36" s="615" t="n"/>
      <c r="H36" s="612" t="n"/>
      <c r="I36" s="612" t="inlineStr">
        <is>
          <t>Story-height multiplier auto-selected from the resolved MVS section (C9). Sections 12 &amp; 17 publish no table -- 1.000 used.</t>
        </is>
      </c>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t>
        </is>
      </c>
      <c r="C52" s="648" t="n"/>
      <c r="D52" s="615" t="n"/>
      <c r="E52" s="615" t="n"/>
      <c r="F52" s="615" t="n"/>
      <c r="G52" s="915">
        <f>IFERROR(caRCN/C24,"")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IF($C$82&gt;0,$C$82,IFERROR(INDEX(LIFE_VALUES,MATCH($C$4&amp;"|"&amp;$C$7,LIFE_KEY,0),MATCH("Class "&amp;IF($C$6="CMILL","C",IF(OR($C$6="DPOLE",$C$6="DMASVEN",$C$6="CDS"),"D",IF($C$6="A-B","B",IF($C$6="SSLANT","S",$C$6)))),LIFE_CLASSHDR,0)),0))</f>
        <v/>
      </c>
      <c r="D59" s="612" t="n"/>
      <c r="E59" s="612" t="n"/>
      <c r="F59" s="612" t="n"/>
      <c r="G59" s="612" t="n"/>
      <c r="H59" s="612" t="n"/>
      <c r="I59" s="1165" t="inlineStr">
        <is>
          <t>MVS Sec.97 pp.10-16, by occupancy/quality/class (full table on M&amp;S Inputs). Override in C82 if needed.</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IF($C$59=0,0,IFERROR(IF(IFERROR(INDEX(OCC_DEPR,MATCH($C$4,OCC_NAME,0)),"C")="R",INDEX(DEPRR_VALUES,MATCH($C$58,DEPRR_AGE,1),MATCH($C$59,DEPRR_LIFEHDR,0)),INDEX(DEPR_VALUES,MATCH($C$58,DEPR_AGE,1),MATCH($C$59,DEPR_LIFEHDR,0)))/100,"n/a -- age exceeds tabulated range; treat as fully depreciated per Sec.97 salvage guidance"))</f>
        <v/>
      </c>
      <c r="D60" s="612" t="n"/>
      <c r="E60" s="612" t="n"/>
      <c r="F60" s="918">
        <f>G51*C60</f>
        <v/>
      </c>
      <c r="G60" s="612" t="n"/>
      <c r="H60" s="612" t="n"/>
      <c r="I60" s="1165" t="inlineStr">
        <is>
          <t>MVS Sec.97 percent-good: Commercial (p.24) or Residential (p.25) table auto-selected per MVS's Properties Included key (Reference 4 on M&amp;S Inputs).</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IFERROR(G63/caRCN,"")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t>
        </is>
      </c>
      <c r="C65" s="612" t="n"/>
      <c r="D65" s="612" t="n"/>
      <c r="E65" s="612" t="n"/>
      <c r="F65" s="612" t="n"/>
      <c r="G65" s="915">
        <f>IFERROR(caRCNDeprec/C24,"")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t>
        </is>
      </c>
      <c r="C71" s="612" t="n"/>
      <c r="D71" s="615" t="n"/>
      <c r="E71" s="615" t="n"/>
      <c r="F71" s="615" t="n"/>
      <c r="G71" s="906">
        <f>IFERROR(G70/C24,"")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1241">
        <f>IF(OR($D$24=0,$C$59=0),"⚠ INCOMPLETE -- Base Cost and/or Life Expectancy could not be determined. Fill in the Manual MVS Override section below.",IF(OR($C$81&gt;0,$C$82&gt;0,$C$83&lt;&gt;""),"ℹ Using Manual MVS Override values below -- confirm these before relying on this indicated value.",""))</f>
        <v/>
      </c>
      <c r="J77" s="612" t="n"/>
      <c r="K77" s="612" t="n"/>
      <c r="L77" s="612" t="n"/>
      <c r="M77" s="612" t="n"/>
      <c r="N77" s="612" t="n"/>
      <c r="O77" s="612" t="n"/>
      <c r="P77" s="612" t="n"/>
      <c r="Q77" s="612" t="n"/>
      <c r="R77" s="612" t="n"/>
      <c r="S77" s="612" t="n"/>
      <c r="T77" s="612" t="n"/>
      <c r="U77" s="612" t="n"/>
    </row>
    <row r="78" hidden="1">
      <c r="A78" s="612" t="n"/>
      <c r="B78" s="1242" t="inlineStr">
        <is>
          <t>MANUAL MVS OVERRIDE -- only needed if your Occupancy Type isn't in the dropdown above</t>
        </is>
      </c>
      <c r="C78" s="1243" t="n"/>
      <c r="D78" s="1243" t="n"/>
      <c r="E78" s="1243" t="n"/>
      <c r="F78" s="1243" t="n"/>
      <c r="G78" s="1243" t="n"/>
      <c r="H78" s="1244" t="n"/>
      <c r="I78" s="1244" t="n"/>
      <c r="J78" s="612" t="n"/>
      <c r="K78" s="612" t="n"/>
      <c r="L78" s="612" t="n"/>
      <c r="M78" s="612" t="n"/>
      <c r="N78" s="612" t="n"/>
      <c r="O78" s="612" t="n"/>
      <c r="P78" s="612" t="n"/>
      <c r="Q78" s="612" t="n"/>
      <c r="R78" s="612" t="n"/>
      <c r="S78" s="612" t="n"/>
      <c r="T78" s="612" t="n"/>
      <c r="U78" s="612" t="n"/>
    </row>
    <row r="79" hidden="1" ht="55" customHeight="1">
      <c r="A79" s="612" t="n"/>
      <c r="B79" s="1245"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inlineStr">
        <is>
          <t>Manual Base Cost ($/SF)</t>
        </is>
      </c>
      <c r="C81" s="1246" t="n">
        <v>0</v>
      </c>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inlineStr">
        <is>
          <t>Manual Life Expectancy (Years)</t>
        </is>
      </c>
      <c r="C82" s="1247" t="n">
        <v>0</v>
      </c>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inlineStr">
        <is>
          <t>Manual MVS Section (drives cost multiplier / story-height / sprinkler tables)</t>
        </is>
      </c>
      <c r="C83" s="1248" t="inlineStr"/>
      <c r="D83" s="1249">
        <f>IF($C$83="","",IF($C$83="11","Apartments/Hotels/Clubs",IF($C$83="12","Residences/Multiples/Motels",IF($C$83="13","Retail/Stores/Shopping Centers",IF($C$83="14","Industrial/Warehouse",IF($C$83="15","Office/Medical/Public",IF($C$83="16","Churches/Theaters/Auditoriums",IF($C$83="17","Sheds/Farm",IF($C$83="18","Schools",)))))))))</f>
        <v/>
      </c>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3">
    <mergeCell ref="B77:I77"/>
    <mergeCell ref="B2:G2"/>
    <mergeCell ref="B79:I79"/>
  </mergeCells>
  <dataValidations count="10">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showDropDown="0" showInputMessage="0" showErrorMessage="0" allowBlank="1" type="list">
      <formula1>"Low Cost,Fair,Average,Good,Very Good,Excellent,Cheap"</formula1>
    </dataValidation>
    <dataValidation sqref="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D97706"/>
    <outlinePr summaryBelow="1" summaryRight="1"/>
    <pageSetUpPr/>
  </sheetPr>
  <dimension ref="A1:Q40"/>
  <sheetViews>
    <sheetView workbookViewId="0">
      <selection activeCell="A1" sqref="A1"/>
    </sheetView>
  </sheetViews>
  <sheetFormatPr baseColWidth="8" defaultRowHeight="15"/>
  <cols>
    <col width="29" customWidth="1" min="1" max="1"/>
    <col width="16" customWidth="1" min="2" max="2"/>
    <col width="16" customWidth="1" min="3" max="3"/>
    <col width="14" customWidth="1" min="4" max="4"/>
    <col width="16" customWidth="1" min="5" max="5"/>
    <col width="16" customWidth="1" min="6" max="6"/>
    <col width="16" customWidth="1" min="7" max="7"/>
    <col width="16" customWidth="1" min="8" max="8"/>
    <col width="3" customWidth="1" min="9" max="9"/>
    <col width="17" customWidth="1" min="10" max="10"/>
    <col width="32" customWidth="1" min="11" max="11"/>
    <col width="14" customWidth="1" min="12" max="12"/>
    <col width="14" customWidth="1" min="13" max="13"/>
    <col width="14" customWidth="1" min="14" max="14"/>
    <col width="14" customWidth="1" min="15" max="15"/>
    <col width="14" customWidth="1" min="16" max="16"/>
    <col width="14" customWidth="1" min="17" max="17"/>
  </cols>
  <sheetData>
    <row r="1" ht="34" customHeight="1">
      <c r="A1" s="935" t="inlineStr">
        <is>
          <t>Adams County, Colorado Property &amp; Development Resource Directory</t>
        </is>
      </c>
    </row>
    <row r="2" ht="34" customHeight="1"/>
    <row r="3" ht="28" customHeight="1">
      <c r="A3" s="936" t="inlineStr">
        <is>
          <t>County records, every municipality, unincorporated land-use resources, development monitoring, news, and a practical due-diligence workflow. Verified 2026-07-10.</t>
        </is>
      </c>
    </row>
    <row r="5">
      <c r="A5" s="937" t="inlineStr">
        <is>
          <t>Directory coverage</t>
        </is>
      </c>
      <c r="E5" s="937" t="inlineStr">
        <is>
          <t>How to use the directory</t>
        </is>
      </c>
      <c r="K5" s="937" t="inlineStr">
        <is>
          <t>Primary official starting points</t>
        </is>
      </c>
    </row>
    <row r="6" ht="30" customHeight="1">
      <c r="A6" s="938" t="inlineStr">
        <is>
          <t>Curated directory rows</t>
        </is>
      </c>
      <c r="B6" s="939">
        <f>COUNTA('Countywide Core'!$C$5:$C$500)+COUNTA('Municipal Directory'!$C$5:$C$500)+COUNTA('Meetings &amp; News'!$C$5:$C$500)+COUNTA('State &amp; Regional'!$C$5:$C$500)</f>
        <v/>
      </c>
      <c r="E6" s="940" t="inlineStr">
        <is>
          <t>1. Start with the county assessor search and capture the parcel/account number.</t>
        </is>
      </c>
      <c r="K6" s="938" t="inlineStr">
        <is>
          <t>Official municipality list</t>
        </is>
      </c>
      <c r="L6" s="941" t="inlineStr">
        <is>
          <t>https://adamscountyco.gov/about-adams-county/cities-towns/</t>
        </is>
      </c>
    </row>
    <row r="7" ht="30" customHeight="1">
      <c r="A7" s="938" t="inlineStr">
        <is>
          <t>Official-source rows</t>
        </is>
      </c>
      <c r="B7" s="939">
        <f>COUNTIF('Countywide Core'!$F$5:$F$500,"Yes")+COUNTIF('Municipal Directory'!$F$5:$F$500,"Yes")+COUNTIF('State &amp; Regional'!$F$5:$F$500,"Yes")+COUNTIF('Meetings &amp; News'!$E$5:$E$500,"Official")</f>
        <v/>
      </c>
      <c r="E7" s="942" t="inlineStr">
        <is>
          <t>2. Confirm the municipal boundary. A mailing city is not always the land-use jurisdiction.</t>
        </is>
      </c>
      <c r="K7" s="938" t="inlineStr">
        <is>
          <t>Adams County property search</t>
        </is>
      </c>
      <c r="L7" s="941" t="inlineStr">
        <is>
          <t>https://adamscountyco.gov/service/search-real-property/</t>
        </is>
      </c>
    </row>
    <row r="8" ht="30" customHeight="1">
      <c r="A8" s="938" t="inlineStr">
        <is>
          <t>Municipalities covered</t>
        </is>
      </c>
      <c r="B8" s="939" t="n">
        <v>10</v>
      </c>
      <c r="E8" s="940" t="inlineStr">
        <is>
          <t>3. Use county sources for assessor records, recorded deeds/documents, property taxes, tax liens and public-trustee foreclosure records for Adams County parcels.</t>
        </is>
      </c>
      <c r="K8" s="938" t="inlineStr">
        <is>
          <t>Recorded deed/document search</t>
        </is>
      </c>
      <c r="L8" s="941" t="inlineStr">
        <is>
          <t>https://recording.adamscountyco.gov/landmarkweb/</t>
        </is>
      </c>
    </row>
    <row r="9" ht="30" customHeight="1">
      <c r="A9" s="938" t="inlineStr">
        <is>
          <t>Unincorporated jurisdiction</t>
        </is>
      </c>
      <c r="B9" s="939" t="n">
        <v>1</v>
      </c>
      <c r="E9" s="942" t="inlineStr">
        <is>
          <t>4. Use the city or town for zoning, planning, development review, permits, local code, public hearings and municipal records; use Adams County for unincorporated land.</t>
        </is>
      </c>
      <c r="K9" s="938" t="inlineStr">
        <is>
          <t>Property tax portal</t>
        </is>
      </c>
      <c r="L9" s="941" t="inlineStr">
        <is>
          <t>https://adcotax.com/</t>
        </is>
      </c>
    </row>
    <row r="10" ht="30" customHeight="1">
      <c r="A10" s="938" t="inlineStr">
        <is>
          <t>Countywide core rows</t>
        </is>
      </c>
      <c r="B10" s="939">
        <f>COUNTA('Countywide Core'!$C$5:$C$500)</f>
        <v/>
      </c>
      <c r="E10" s="940" t="inlineStr">
        <is>
          <t>5. Save source documents and the date checked. Use public-notice and agenda pages to catch pending changes that may not yet appear on a project map.</t>
        </is>
      </c>
      <c r="K10" s="938" t="inlineStr">
        <is>
          <t>County GIS maps</t>
        </is>
      </c>
      <c r="L10" s="941" t="inlineStr">
        <is>
          <t>https://adamscountyco.gov/service/gis-interactive-maps/</t>
        </is>
      </c>
    </row>
    <row r="11">
      <c r="A11" s="938" t="inlineStr">
        <is>
          <t>Municipal detail rows</t>
        </is>
      </c>
      <c r="B11" s="939">
        <f>COUNTA('Municipal Directory'!$C$5:$C$500)</f>
        <v/>
      </c>
      <c r="K11" s="938" t="inlineStr">
        <is>
          <t>Unincorporated planning/zoning</t>
        </is>
      </c>
      <c r="L11" s="941" t="inlineStr">
        <is>
          <t>https://adamscountyco.gov/our-county/community-economic-development/planning-development/</t>
        </is>
      </c>
    </row>
    <row r="12">
      <c r="A12" s="938" t="inlineStr">
        <is>
          <t>Meeting / news rows</t>
        </is>
      </c>
      <c r="B12" s="939">
        <f>COUNTA('Meetings &amp; News'!$C$5:$C$500)</f>
        <v/>
      </c>
      <c r="E12" s="943" t="inlineStr">
        <is>
          <t>Scope and cautions</t>
        </is>
      </c>
      <c r="K12" s="938" t="inlineStr">
        <is>
          <t>Current county land-use cases</t>
        </is>
      </c>
      <c r="L12" s="941" t="inlineStr">
        <is>
          <t>https://adamscountyco.gov/our-county/community-economic-development/planning-development/current-land-use-cases/</t>
        </is>
      </c>
    </row>
    <row r="13" ht="30" customHeight="1">
      <c r="A13" s="938" t="inlineStr">
        <is>
          <t>State / regional rows</t>
        </is>
      </c>
      <c r="B13" s="939">
        <f>COUNTA('State &amp; Regional'!$C$5:$C$500)</f>
        <v/>
      </c>
      <c r="E13" s="944" t="inlineStr">
        <is>
          <t>GIS parcel lines and mapped layers are screening tools, not legal surveys or title evidence.</t>
        </is>
      </c>
      <c r="K13" s="938" t="inlineStr">
        <is>
          <t>Municipality quick matrix</t>
        </is>
      </c>
      <c r="L13" s="941" t="inlineStr">
        <is>
          <t>See the Quick Matrix worksheet</t>
        </is>
      </c>
    </row>
    <row r="14" ht="30" customHeight="1">
      <c r="A14" s="938" t="inlineStr">
        <is>
          <t>Due-diligence tasks</t>
        </is>
      </c>
      <c r="B14" s="939">
        <f>COUNTA('Due Diligence'!$A$5:$A$100)</f>
        <v/>
      </c>
      <c r="E14" s="945" t="inlineStr">
        <is>
          <t>Codes, maps, fees and project statuses change. Verify material conclusions with the responsible agency.</t>
        </is>
      </c>
    </row>
    <row r="15" ht="30" customHeight="1">
      <c r="A15" s="938" t="inlineStr">
        <is>
          <t>Tasks complete</t>
        </is>
      </c>
      <c r="B15" s="939">
        <f>COUNTIF('Due Diligence'!$H$5:$H$100,"Complete")</f>
        <v/>
      </c>
      <c r="E15" s="944" t="inlineStr">
        <is>
          <t>Online recorder searching is not a substitute for a title commitment, legal review or a complete chain-of-title examination.</t>
        </is>
      </c>
    </row>
    <row r="16" ht="30" customHeight="1">
      <c r="A16" s="938" t="inlineStr">
        <is>
          <t>Checklist completion</t>
        </is>
      </c>
      <c r="B16" s="946">
        <f>IF(B14=0,0,B15/B14)</f>
        <v/>
      </c>
      <c r="E16" s="945" t="inlineStr">
        <is>
          <t>Several listed cities/towns extend beyond Adams County. Confirm the parcel's county before using recorder, assessor or tax systems.</t>
        </is>
      </c>
    </row>
    <row r="19">
      <c r="A19" s="947" t="inlineStr">
        <is>
          <t>Recommended research workflow</t>
        </is>
      </c>
      <c r="J19" s="948" t="inlineStr">
        <is>
          <t>Detailed resources by jurisdiction</t>
        </is>
      </c>
    </row>
    <row r="20">
      <c r="A20" s="949" t="inlineStr">
        <is>
          <t>Step</t>
        </is>
      </c>
      <c r="B20" s="949" t="inlineStr">
        <is>
          <t>Question</t>
        </is>
      </c>
      <c r="E20" s="949" t="n"/>
      <c r="G20" s="949" t="n"/>
      <c r="J20" s="950" t="inlineStr">
        <is>
          <t>Municipality</t>
        </is>
      </c>
      <c r="K20" s="950" t="inlineStr">
        <is>
          <t>Resources</t>
        </is>
      </c>
    </row>
    <row r="21" ht="22" customHeight="1">
      <c r="A21" s="951" t="n">
        <v>1</v>
      </c>
      <c r="B21" s="952" t="inlineStr">
        <is>
          <t>What exact parcel is this?</t>
        </is>
      </c>
      <c r="E21" s="952" t="n"/>
      <c r="G21" s="952" t="n"/>
      <c r="J21" s="953" t="inlineStr">
        <is>
          <t>Arvada</t>
        </is>
      </c>
      <c r="K21" s="954">
        <f>COUNTIF('Municipal Directory'!$A$5:$A$500,J21)</f>
        <v/>
      </c>
    </row>
    <row r="22" ht="22" customHeight="1">
      <c r="A22" s="951" t="n">
        <v>2</v>
      </c>
      <c r="B22" s="952" t="inlineStr">
        <is>
          <t>Which county and land-use jurisdiction apply?</t>
        </is>
      </c>
      <c r="E22" s="952" t="n"/>
      <c r="G22" s="952" t="n"/>
      <c r="J22" s="953" t="inlineStr">
        <is>
          <t>Aurora</t>
        </is>
      </c>
      <c r="K22" s="954">
        <f>COUNTIF('Municipal Directory'!$A$5:$A$500,J22)</f>
        <v/>
      </c>
    </row>
    <row r="23" ht="22" customHeight="1">
      <c r="A23" s="951" t="n">
        <v>3</v>
      </c>
      <c r="B23" s="952" t="inlineStr">
        <is>
          <t>Who owns it and what is the legal description?</t>
        </is>
      </c>
      <c r="E23" s="952" t="n"/>
      <c r="G23" s="952" t="n"/>
      <c r="J23" s="953" t="inlineStr">
        <is>
          <t>Bennett</t>
        </is>
      </c>
      <c r="K23" s="954">
        <f>COUNTIF('Municipal Directory'!$A$5:$A$500,J23)</f>
        <v/>
      </c>
    </row>
    <row r="24" ht="22" customHeight="1">
      <c r="A24" s="951" t="n">
        <v>4</v>
      </c>
      <c r="B24" s="952" t="inlineStr">
        <is>
          <t>What recorded interests affect it?</t>
        </is>
      </c>
      <c r="E24" s="952" t="n"/>
      <c r="G24" s="952" t="n"/>
      <c r="J24" s="953" t="inlineStr">
        <is>
          <t>Brighton</t>
        </is>
      </c>
      <c r="K24" s="954">
        <f>COUNTIF('Municipal Directory'!$A$5:$A$500,J24)</f>
        <v/>
      </c>
    </row>
    <row r="25" ht="22" customHeight="1">
      <c r="A25" s="951" t="n">
        <v>5</v>
      </c>
      <c r="B25" s="952" t="inlineStr">
        <is>
          <t>Are taxes, tax liens or foreclosure issues present?</t>
        </is>
      </c>
      <c r="E25" s="952" t="n"/>
      <c r="G25" s="952" t="n"/>
      <c r="J25" s="953" t="inlineStr">
        <is>
          <t>Commerce City</t>
        </is>
      </c>
      <c r="K25" s="954">
        <f>COUNTIF('Municipal Directory'!$A$5:$A$500,J25)</f>
        <v/>
      </c>
    </row>
    <row r="26" ht="22" customHeight="1">
      <c r="A26" s="951" t="n">
        <v>6</v>
      </c>
      <c r="B26" s="952" t="inlineStr">
        <is>
          <t>What zoning, uses and overlays apply?</t>
        </is>
      </c>
      <c r="E26" s="952" t="n"/>
      <c r="G26" s="952" t="n"/>
      <c r="J26" s="953" t="inlineStr">
        <is>
          <t>Federal Heights</t>
        </is>
      </c>
      <c r="K26" s="954">
        <f>COUNTIF('Municipal Directory'!$A$5:$A$500,J26)</f>
        <v/>
      </c>
    </row>
    <row r="27" ht="22" customHeight="1">
      <c r="A27" s="951" t="n">
        <v>7</v>
      </c>
      <c r="B27" s="952" t="inlineStr">
        <is>
          <t>What projects or hearings may change the area?</t>
        </is>
      </c>
      <c r="E27" s="952" t="n"/>
      <c r="G27" s="952" t="n"/>
      <c r="J27" s="953" t="inlineStr">
        <is>
          <t>Lochbuie</t>
        </is>
      </c>
      <c r="K27" s="954">
        <f>COUNTIF('Municipal Directory'!$A$5:$A$500,J27)</f>
        <v/>
      </c>
    </row>
    <row r="28" ht="22" customHeight="1">
      <c r="A28" s="951" t="n">
        <v>8</v>
      </c>
      <c r="B28" s="952" t="inlineStr">
        <is>
          <t>What permits and violations exist?</t>
        </is>
      </c>
      <c r="E28" s="952" t="n"/>
      <c r="G28" s="952" t="n"/>
      <c r="J28" s="953" t="inlineStr">
        <is>
          <t>Northglenn</t>
        </is>
      </c>
      <c r="K28" s="954">
        <f>COUNTIF('Municipal Directory'!$A$5:$A$500,J28)</f>
        <v/>
      </c>
    </row>
    <row r="29" ht="22" customHeight="1">
      <c r="A29" s="951" t="n">
        <v>9</v>
      </c>
      <c r="B29" s="952" t="inlineStr">
        <is>
          <t>What physical and environmental constraints exist?</t>
        </is>
      </c>
      <c r="E29" s="952" t="n"/>
      <c r="G29" s="952" t="n"/>
      <c r="J29" s="953" t="inlineStr">
        <is>
          <t>Thornton</t>
        </is>
      </c>
      <c r="K29" s="954">
        <f>COUNTIF('Municipal Directory'!$A$5:$A$500,J29)</f>
        <v/>
      </c>
    </row>
    <row r="30" ht="22" customHeight="1">
      <c r="A30" s="951" t="n">
        <v>10</v>
      </c>
      <c r="B30" s="952" t="inlineStr">
        <is>
          <t>What service, access and district costs apply?</t>
        </is>
      </c>
      <c r="E30" s="952" t="n"/>
      <c r="G30" s="952" t="n"/>
      <c r="J30" s="953" t="inlineStr">
        <is>
          <t>Westminster</t>
        </is>
      </c>
      <c r="K30" s="954">
        <f>COUNTIF('Municipal Directory'!$A$5:$A$500,J30)</f>
        <v/>
      </c>
    </row>
    <row r="31" ht="36" customHeight="1">
      <c r="A31" s="951" t="n">
        <v>11</v>
      </c>
      <c r="B31" s="952" t="inlineStr">
        <is>
          <t>What final professional confirmations are needed?</t>
        </is>
      </c>
      <c r="E31" s="952" t="n"/>
      <c r="G31" s="952" t="n"/>
    </row>
    <row r="34">
      <c r="A34" s="947" t="inlineStr">
        <is>
          <t>What each worksheet contains</t>
        </is>
      </c>
    </row>
    <row r="35" ht="30" customHeight="1">
      <c r="A35" s="955" t="inlineStr">
        <is>
          <t>Quick Matrix</t>
        </is>
      </c>
      <c r="B35" s="956" t="inlineStr">
        <is>
          <t>One row for unincorporated Adams County plus every municipality, with direct links for GIS, zoning, planning, development, permits, plans, agendas, notices and news.</t>
        </is>
      </c>
    </row>
    <row r="36" ht="30" customHeight="1">
      <c r="A36" s="955" t="inlineStr">
        <is>
          <t>Countywide Core</t>
        </is>
      </c>
      <c r="B36" s="956" t="inlineStr">
        <is>
          <t>Assessor/property search, recorded deeds and documents, survey plats, taxes, tax liens, foreclosure, GIS, county planning, permits and public works.</t>
        </is>
      </c>
    </row>
    <row r="37" ht="30" customHeight="1">
      <c r="A37" s="955" t="inlineStr">
        <is>
          <t>Municipal Directory</t>
        </is>
      </c>
      <c r="B37" s="956" t="inlineStr">
        <is>
          <t>Detailed, filterable city/town resources for all 10 municipalities with territory in Adams County.</t>
        </is>
      </c>
    </row>
    <row r="38" ht="30" customHeight="1">
      <c r="A38" s="955" t="inlineStr">
        <is>
          <t>Meetings &amp; News</t>
        </is>
      </c>
      <c r="B38" s="956" t="inlineStr">
        <is>
          <t>Agendas, land-use cases, legal/public notices, alerts, official news and selected independent local media.</t>
        </is>
      </c>
    </row>
    <row r="39" ht="30" customHeight="1">
      <c r="A39" s="955" t="inlineStr">
        <is>
          <t>State &amp; Regional</t>
        </is>
      </c>
      <c r="B39" s="956" t="inlineStr">
        <is>
          <t>Special districts, business/UCC, water, oil and gas, flood, environmental, soils, wetlands, transportation, historic and HOA resources.</t>
        </is>
      </c>
    </row>
    <row r="40" ht="30" customHeight="1">
      <c r="A40" s="955" t="inlineStr">
        <is>
          <t>Due Diligence</t>
        </is>
      </c>
      <c r="B40" s="956" t="inlineStr">
        <is>
          <t>A 32-step editable checklist with status drop-downs, evidence to save and red flags.</t>
        </is>
      </c>
    </row>
  </sheetData>
  <mergeCells count="79">
    <mergeCell ref="G21:H21"/>
    <mergeCell ref="E12:I12"/>
    <mergeCell ref="A34:Q34"/>
    <mergeCell ref="B40:Q40"/>
    <mergeCell ref="E23:F23"/>
    <mergeCell ref="J19:K19"/>
    <mergeCell ref="E5:I5"/>
    <mergeCell ref="L8:Q8"/>
    <mergeCell ref="G23:H23"/>
    <mergeCell ref="E14:I14"/>
    <mergeCell ref="B12:C12"/>
    <mergeCell ref="B28:D28"/>
    <mergeCell ref="L10:Q10"/>
    <mergeCell ref="B35:Q35"/>
    <mergeCell ref="E13:I13"/>
    <mergeCell ref="B14:C14"/>
    <mergeCell ref="B30:D30"/>
    <mergeCell ref="B20:D20"/>
    <mergeCell ref="B13:C13"/>
    <mergeCell ref="E15:I15"/>
    <mergeCell ref="A3:Q3"/>
    <mergeCell ref="E27:F27"/>
    <mergeCell ref="G20:H20"/>
    <mergeCell ref="E7:I7"/>
    <mergeCell ref="E16:I16"/>
    <mergeCell ref="E22:F22"/>
    <mergeCell ref="G22:H22"/>
    <mergeCell ref="L12:Q12"/>
    <mergeCell ref="B37:Q37"/>
    <mergeCell ref="B16:C16"/>
    <mergeCell ref="A5:C5"/>
    <mergeCell ref="B11:C11"/>
    <mergeCell ref="K5:Q5"/>
    <mergeCell ref="E6:I6"/>
    <mergeCell ref="G24:H24"/>
    <mergeCell ref="E26:F26"/>
    <mergeCell ref="G26:H26"/>
    <mergeCell ref="B6:C6"/>
    <mergeCell ref="B15:C15"/>
    <mergeCell ref="B31:D31"/>
    <mergeCell ref="E25:F25"/>
    <mergeCell ref="G25:H25"/>
    <mergeCell ref="B21:D21"/>
    <mergeCell ref="B7:C7"/>
    <mergeCell ref="B23:D23"/>
    <mergeCell ref="E8:I8"/>
    <mergeCell ref="E20:F20"/>
    <mergeCell ref="E29:F29"/>
    <mergeCell ref="E10:I10"/>
    <mergeCell ref="E31:F31"/>
    <mergeCell ref="E9:I9"/>
    <mergeCell ref="L6:Q6"/>
    <mergeCell ref="B9:C9"/>
    <mergeCell ref="B25:D25"/>
    <mergeCell ref="L7:Q7"/>
    <mergeCell ref="B22:D22"/>
    <mergeCell ref="A19:H19"/>
    <mergeCell ref="E24:F24"/>
    <mergeCell ref="G27:H27"/>
    <mergeCell ref="B29:D29"/>
    <mergeCell ref="B36:Q36"/>
    <mergeCell ref="E28:F28"/>
    <mergeCell ref="L9:Q9"/>
    <mergeCell ref="G28:H28"/>
    <mergeCell ref="B8:C8"/>
    <mergeCell ref="B24:D24"/>
    <mergeCell ref="E30:F30"/>
    <mergeCell ref="L11:Q11"/>
    <mergeCell ref="G30:H30"/>
    <mergeCell ref="B10:C10"/>
    <mergeCell ref="B26:D26"/>
    <mergeCell ref="B39:Q39"/>
    <mergeCell ref="A1:Q2"/>
    <mergeCell ref="G29:H29"/>
    <mergeCell ref="B27:D27"/>
    <mergeCell ref="L13:Q13"/>
    <mergeCell ref="G31:H31"/>
    <mergeCell ref="B38:Q38"/>
    <mergeCell ref="E21:F21"/>
  </mergeCells>
  <pageMargins left="0.75" right="0.75" top="1" bottom="1" header="0.5" footer="0.5"/>
</worksheet>
</file>

<file path=xl/worksheets/sheet17.xml><?xml version="1.0" encoding="utf-8"?>
<worksheet xmlns="http://schemas.openxmlformats.org/spreadsheetml/2006/main">
  <sheetPr>
    <tabColor rgb="00D97706"/>
    <outlinePr summaryBelow="1" summaryRight="1"/>
    <pageSetUpPr/>
  </sheetPr>
  <dimension ref="A1:M15"/>
  <sheetViews>
    <sheetView workbookViewId="0">
      <selection activeCell="A1" sqref="A1"/>
    </sheetView>
  </sheetViews>
  <sheetFormatPr baseColWidth="8" defaultRowHeight="15"/>
  <cols>
    <col width="29" customWidth="1" min="1" max="1"/>
    <col width="21" customWidth="1" min="2" max="2"/>
    <col width="3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s>
  <sheetData>
    <row r="1" ht="32" customHeight="1">
      <c r="A1" s="957" t="inlineStr">
        <is>
          <t>Adams County Jurisdiction Quick Matrix</t>
        </is>
      </c>
    </row>
    <row r="2" ht="28" customHeight="1">
      <c r="A2" s="958" t="inlineStr">
        <is>
          <t>Direct official links by jurisdiction. Begin here after confirming the parcel's county and municipal boundary.</t>
        </is>
      </c>
    </row>
    <row r="4" ht="30" customHeight="1">
      <c r="A4" s="959" t="inlineStr">
        <is>
          <t>Jurisdiction</t>
        </is>
      </c>
      <c r="B4" s="959" t="inlineStr">
        <is>
          <t>Type</t>
        </is>
      </c>
      <c r="C4" s="959" t="inlineStr">
        <is>
          <t>Official Home</t>
        </is>
      </c>
      <c r="D4" s="1187" t="inlineStr">
        <is>
          <t>Property / GIS</t>
        </is>
      </c>
      <c r="E4" s="1187" t="inlineStr">
        <is>
          <t>Zoning / Code</t>
        </is>
      </c>
      <c r="F4" s="1187" t="inlineStr">
        <is>
          <t>Planning</t>
        </is>
      </c>
      <c r="G4" s="1187" t="inlineStr">
        <is>
          <t>Development / Projects</t>
        </is>
      </c>
      <c r="H4" s="1187" t="inlineStr">
        <is>
          <t>Permits</t>
        </is>
      </c>
      <c r="I4" s="1187" t="inlineStr">
        <is>
          <t>Long-Range Plan</t>
        </is>
      </c>
      <c r="J4" s="1187" t="inlineStr">
        <is>
          <t>Agendas / Meetings</t>
        </is>
      </c>
      <c r="K4" s="1187" t="inlineStr">
        <is>
          <t>Public Notices</t>
        </is>
      </c>
      <c r="L4" s="1187" t="inlineStr">
        <is>
          <t>News</t>
        </is>
      </c>
      <c r="M4" s="1187" t="inlineStr">
        <is>
          <t>Boundary / Use Note</t>
        </is>
      </c>
    </row>
    <row r="5" ht="54" customHeight="1">
      <c r="A5" s="952" t="inlineStr">
        <is>
          <t>Unincorporated Adams County</t>
        </is>
      </c>
      <c r="B5" s="952" t="inlineStr">
        <is>
          <t>County jurisdiction</t>
        </is>
      </c>
      <c r="C5" s="960" t="inlineStr">
        <is>
          <t>https://adamscountyco.gov/</t>
        </is>
      </c>
      <c r="D5" s="1188" t="inlineStr">
        <is>
          <t>https://adamscountyco.gov/service/gis-interactive-maps/</t>
        </is>
      </c>
      <c r="E5" s="1188" t="inlineStr">
        <is>
          <t>https://adamscountyco.gov/our-county/community-economic-development/planning-development/development-standards-regulations/</t>
        </is>
      </c>
      <c r="F5" s="1188" t="inlineStr">
        <is>
          <t>https://adamscountyco.gov/our-county/community-economic-development/planning-development/</t>
        </is>
      </c>
      <c r="G5" s="1188" t="inlineStr">
        <is>
          <t>https://adamscountyco.gov/our-county/community-economic-development/planning-development/current-land-use-cases/</t>
        </is>
      </c>
      <c r="H5" s="1188" t="inlineStr">
        <is>
          <t>https://adamscountyco.gov/our-county/community-economic-development/building-safety/building-permit/</t>
        </is>
      </c>
      <c r="I5" s="1188" t="inlineStr">
        <is>
          <t>https://adamscountyco.gov/our-county/community-economic-development/advancing-adams/comprehensive-plan/</t>
        </is>
      </c>
      <c r="J5" s="1188" t="inlineStr">
        <is>
          <t>https://adamscountyco.gov/about-adams-county/public-meetings/</t>
        </is>
      </c>
      <c r="K5" s="1189" t="inlineStr">
        <is>
          <t>https://adamscountyco.gov/our-county/community-economic-development/planning-development/current-land-use-cases/</t>
        </is>
      </c>
      <c r="L5" s="1189" t="inlineStr">
        <is>
          <t>https://adamscountyco.gov/about-adams-county/news/</t>
        </is>
      </c>
      <c r="M5" s="952" t="inlineStr">
        <is>
          <t>Use county land-use and permit resources only when the parcel is outside an incorporated city or town.</t>
        </is>
      </c>
    </row>
    <row r="6" ht="54" customHeight="1">
      <c r="A6" s="952" t="inlineStr">
        <is>
          <t>Arvada</t>
        </is>
      </c>
      <c r="B6" s="952" t="inlineStr">
        <is>
          <t>City</t>
        </is>
      </c>
      <c r="C6" s="960" t="inlineStr">
        <is>
          <t>https://www.arvadaco.gov/</t>
        </is>
      </c>
      <c r="D6" s="1188" t="inlineStr">
        <is>
          <t>https://www.arvadaco.gov/702/Maps-and-Property-Search</t>
        </is>
      </c>
      <c r="E6" s="1188" t="inlineStr">
        <is>
          <t>https://www.arvadaco.gov/168/Zoning</t>
        </is>
      </c>
      <c r="F6" s="1188" t="inlineStr">
        <is>
          <t>https://www.arvadaco.gov/1369/Planning-and-Development</t>
        </is>
      </c>
      <c r="G6" s="1188" t="inlineStr">
        <is>
          <t>https://www.arvadaco.gov/1394/Active-Development-Projects</t>
        </is>
      </c>
      <c r="H6" s="1188" t="inlineStr">
        <is>
          <t>https://www.arvadaco.gov/330/Permits</t>
        </is>
      </c>
      <c r="I6" s="1188" t="inlineStr">
        <is>
          <t>https://www.arvadaco.gov/1374/2026-27-Comprehensive-Plan</t>
        </is>
      </c>
      <c r="J6" s="1188" t="inlineStr">
        <is>
          <t>https://www.arvadaco.gov/AgendaCenter</t>
        </is>
      </c>
      <c r="K6" s="1189" t="inlineStr">
        <is>
          <t>https://www.arvadaco.gov/245/Meetings-and-Other-Legal-Notices</t>
        </is>
      </c>
      <c r="L6" s="1189" t="inlineStr">
        <is>
          <t>https://www.arvadaco.gov/908/News-Releases</t>
        </is>
      </c>
      <c r="M6" s="952" t="inlineStr">
        <is>
          <t>Use city land-use resources for the Arvada parcel; use the recorder/assessor for the parcel's actual county.</t>
        </is>
      </c>
    </row>
    <row r="7" ht="54" customHeight="1">
      <c r="A7" s="952" t="inlineStr">
        <is>
          <t>Aurora</t>
        </is>
      </c>
      <c r="B7" s="952" t="inlineStr">
        <is>
          <t>City</t>
        </is>
      </c>
      <c r="C7" s="960" t="inlineStr">
        <is>
          <t>https://www.auroragov.org/</t>
        </is>
      </c>
      <c r="D7" s="1188" t="inlineStr">
        <is>
          <t>https://www.auroragov.org/city_hall/maps/planning_and_zoning_maps</t>
        </is>
      </c>
      <c r="E7" s="1188" t="inlineStr">
        <is>
          <t>https://zoning.auroragov.org/</t>
        </is>
      </c>
      <c r="F7" s="1188" t="inlineStr">
        <is>
          <t>https://www.auroragov.org/business_services/planning</t>
        </is>
      </c>
      <c r="G7" s="1188" t="inlineStr">
        <is>
          <t>https://coaapps.auroragov.org/ProjectStatus/search.aspx</t>
        </is>
      </c>
      <c r="H7" s="1188" t="inlineStr">
        <is>
          <t>https://www.auroragov.org/business_services/building_division/permits</t>
        </is>
      </c>
      <c r="I7" s="1188" t="inlineStr">
        <is>
          <t>https://www.auroragov.org/business_services/planning/projects__plans___studies/comprehensive_plan</t>
        </is>
      </c>
      <c r="J7" s="1188" t="inlineStr">
        <is>
          <t>https://www.auroragov.org/city_hall/mayor___city_council/council_meetings</t>
        </is>
      </c>
      <c r="K7" s="1189" t="inlineStr">
        <is>
          <t>https://www.auroragov.org/city_hall/public_records/legal_notices/public_hearings</t>
        </is>
      </c>
      <c r="L7" s="1189" t="inlineStr">
        <is>
          <t>https://www.auroragov.org/news/whats_new</t>
        </is>
      </c>
      <c r="M7" s="952" t="inlineStr">
        <is>
          <t>Use these links for Aurora parcels in Adams County; verify county before deed, tax or assessor research.</t>
        </is>
      </c>
    </row>
    <row r="8" ht="54" customHeight="1">
      <c r="A8" s="952" t="inlineStr">
        <is>
          <t>Bennett</t>
        </is>
      </c>
      <c r="B8" s="952" t="inlineStr">
        <is>
          <t>Town</t>
        </is>
      </c>
      <c r="C8" s="960" t="inlineStr">
        <is>
          <t>https://www.bennettco.gov/</t>
        </is>
      </c>
      <c r="D8" s="1188" t="inlineStr">
        <is>
          <t>https://www.bennettco.gov/business/page/bennett-zoning-map</t>
        </is>
      </c>
      <c r="E8" s="1188" t="inlineStr">
        <is>
          <t>https://www.bennettco.gov/planning-economic-development/page/zoning-and-subdivision-regulations</t>
        </is>
      </c>
      <c r="F8" s="1188" t="inlineStr">
        <is>
          <t>https://www.bennettco.gov/planning-economic-development/page/planning-and-zoning</t>
        </is>
      </c>
      <c r="G8" s="1188" t="inlineStr">
        <is>
          <t>https://www.bennettco.gov/projects</t>
        </is>
      </c>
      <c r="H8" s="1188" t="inlineStr">
        <is>
          <t>https://www.bennettco.gov/community-development/page/building-department</t>
        </is>
      </c>
      <c r="I8" s="1188" t="inlineStr">
        <is>
          <t>https://www.bennettco.gov/planning-economic-development/page/master-plans-and-guiding-documents</t>
        </is>
      </c>
      <c r="J8" s="1188" t="inlineStr">
        <is>
          <t>https://www.bennettco.gov/meetings/recent</t>
        </is>
      </c>
      <c r="K8" s="1189" t="inlineStr">
        <is>
          <t>https://www.bennettco.gov/town-clerk/page/public-records</t>
        </is>
      </c>
      <c r="L8" s="1189" t="inlineStr">
        <is>
          <t>https://www.bennettco.gov/news</t>
        </is>
      </c>
      <c r="M8" s="952" t="inlineStr">
        <is>
          <t>Use town land-use resources; confirm parcel county for assessor, deed and tax records.</t>
        </is>
      </c>
    </row>
    <row r="9" ht="54" customHeight="1">
      <c r="A9" s="952" t="inlineStr">
        <is>
          <t>Brighton</t>
        </is>
      </c>
      <c r="B9" s="952" t="inlineStr">
        <is>
          <t>City</t>
        </is>
      </c>
      <c r="C9" s="960" t="inlineStr">
        <is>
          <t>https://www.brightonco.gov/</t>
        </is>
      </c>
      <c r="D9" s="1188" t="inlineStr">
        <is>
          <t>https://www.brightonco.gov/248/Geographic-Information-Systems</t>
        </is>
      </c>
      <c r="E9" s="1188" t="inlineStr">
        <is>
          <t>https://www.brightonco.gov/363/Land-Use-Development-Code</t>
        </is>
      </c>
      <c r="F9" s="1188" t="inlineStr">
        <is>
          <t>https://www.brightonco.gov/224/Planning-Zoning</t>
        </is>
      </c>
      <c r="G9" s="1188" t="inlineStr">
        <is>
          <t>https://www.brightonco.gov/1596/Interactive-Development-Map</t>
        </is>
      </c>
      <c r="H9" s="1188" t="inlineStr">
        <is>
          <t>https://www.brightonco.gov/222/Permitting</t>
        </is>
      </c>
      <c r="I9" s="1188" t="inlineStr">
        <is>
          <t>https://www.brightonco.gov/553/Long-Range-Planning</t>
        </is>
      </c>
      <c r="J9" s="1188" t="inlineStr">
        <is>
          <t>https://www.brightonco.gov/agendacenter</t>
        </is>
      </c>
      <c r="K9" s="1189" t="inlineStr">
        <is>
          <t>https://www.brightonco.gov/453/Legal-Notices</t>
        </is>
      </c>
      <c r="L9" s="1189" t="inlineStr">
        <is>
          <t>https://www.brightonco.gov/175/News</t>
        </is>
      </c>
      <c r="M9" s="952" t="inlineStr">
        <is>
          <t>Use city land-use resources; confirm parcel county before county-record research.</t>
        </is>
      </c>
    </row>
    <row r="10" ht="54" customHeight="1">
      <c r="A10" s="952" t="inlineStr">
        <is>
          <t>Commerce City</t>
        </is>
      </c>
      <c r="B10" s="952" t="inlineStr">
        <is>
          <t>City</t>
        </is>
      </c>
      <c r="C10" s="960" t="inlineStr">
        <is>
          <t>https://www.c3gov.com/Home</t>
        </is>
      </c>
      <c r="D10" s="1188" t="inlineStr">
        <is>
          <t>https://www.c3gov.com/Residents/Maps-Data-GIS</t>
        </is>
      </c>
      <c r="E10" s="1188" t="inlineStr">
        <is>
          <t>https://www.c3gov.com/Government/City-Codes/Land-Development-Code</t>
        </is>
      </c>
      <c r="F10" s="1188" t="inlineStr">
        <is>
          <t>https://www.c3gov.com/Government/Departments-Divisions/Community-Development</t>
        </is>
      </c>
      <c r="G10" s="1188" t="inlineStr">
        <is>
          <t>https://www.c3gov.com/Business-Development/Development-Projects-Map</t>
        </is>
      </c>
      <c r="H10" s="1188" t="inlineStr">
        <is>
          <t>https://www.c3gov.com/Business-Development/Building-Permits-Inspections</t>
        </is>
      </c>
      <c r="I10" s="1188" t="inlineStr">
        <is>
          <t>https://www.c3gov.com/Government/City-Charter-Master-Plans/Comprehensive-Plan</t>
        </is>
      </c>
      <c r="J10" s="1188" t="inlineStr">
        <is>
          <t>https://www.c3gov.com/Site-Footer/Footer-Widgets/Quick-Links/Meeting-Agendas-and-Schedules</t>
        </is>
      </c>
      <c r="K10" s="1189" t="inlineStr">
        <is>
          <t>https://www.c3gov.com/Government/Departments-Divisions/City-Clerks-Office/Legal-Notices-Ordinances</t>
        </is>
      </c>
      <c r="L10" s="1189" t="inlineStr">
        <is>
          <t>https://www.c3gov.com/Government/Media-News/News-Announcements</t>
        </is>
      </c>
      <c r="M10" s="952" t="inlineStr">
        <is>
          <t>Use city land-use resources and Adams County property/recording/tax sources for Adams County parcels.</t>
        </is>
      </c>
    </row>
    <row r="11" ht="54" customHeight="1">
      <c r="A11" s="952" t="inlineStr">
        <is>
          <t>Federal Heights</t>
        </is>
      </c>
      <c r="B11" s="952" t="inlineStr">
        <is>
          <t>City</t>
        </is>
      </c>
      <c r="C11" s="960" t="inlineStr">
        <is>
          <t>https://www.fedheights.org/</t>
        </is>
      </c>
      <c r="D11" s="1188" t="inlineStr">
        <is>
          <t>https://www.fedheights.org/index.asp?SEC=D1A883BE-0C29-4602-8CC9-5D6A08DA5503</t>
        </is>
      </c>
      <c r="E11" s="1188" t="inlineStr">
        <is>
          <t>https://www.fedheights.org/index.asp?SEC=D7AA9940-8607-468A-8215-7308DD3BF799</t>
        </is>
      </c>
      <c r="F11" s="1188" t="inlineStr">
        <is>
          <t>https://www.fedheights.org/planning</t>
        </is>
      </c>
      <c r="G11" s="1188" t="inlineStr">
        <is>
          <t>https://www.fedheights.org/index.asp?SEC=%7B76F23E1D-0819-4BAB-BD73-23D6092E8A3B%7D&amp;persistdesign=none</t>
        </is>
      </c>
      <c r="H11" s="1188" t="inlineStr">
        <is>
          <t>https://www.fedheights.org/index.asp?SEC=D1CB6EB6-9C4B-4FA8-B119-EF1785E54CB6</t>
        </is>
      </c>
      <c r="I11" s="1188" t="inlineStr">
        <is>
          <t>https://www.fedheights.org/index.asp?SEC=%7B5CF1D2C4-3E29-4A1A-BBFA-2BE19B3ABFD0%7D</t>
        </is>
      </c>
      <c r="J11" s="1188" t="inlineStr">
        <is>
          <t>https://www.fedheights.org/index.asp?SEC=%7BE66D34DF-8290-4807-83DA-3AF56D110C00%7D</t>
        </is>
      </c>
      <c r="K11" s="1189" t="inlineStr">
        <is>
          <t>https://www.fedheights.org/index.asp?SEC=%7B13723B89-BA4A-47C1-9634-50363F8CD1D2%7D&amp;persistdesign=none</t>
        </is>
      </c>
      <c r="L11" s="1189" t="inlineStr">
        <is>
          <t>https://www.fedheights.org/index.asp?SEC=407F7286-34E9-495F-B5F7-88E905D7C9A5</t>
        </is>
      </c>
      <c r="M11" s="952" t="inlineStr">
        <is>
          <t>Use city land-use resources and Adams County property/recording/tax sources.</t>
        </is>
      </c>
    </row>
    <row r="12" ht="54" customHeight="1">
      <c r="A12" s="952" t="inlineStr">
        <is>
          <t>Lochbuie</t>
        </is>
      </c>
      <c r="B12" s="952" t="inlineStr">
        <is>
          <t>Town</t>
        </is>
      </c>
      <c r="C12" s="960" t="inlineStr">
        <is>
          <t>https://www.lochbuie.org/</t>
        </is>
      </c>
      <c r="D12" s="1188" t="inlineStr">
        <is>
          <t>https://www.lochbuie.org/community-dev/page/interactive-land-use-map</t>
        </is>
      </c>
      <c r="E12" s="1188" t="inlineStr">
        <is>
          <t>https://www.lochbuie.org/administration/page/zoning-map</t>
        </is>
      </c>
      <c r="F12" s="1188" t="inlineStr">
        <is>
          <t>https://www.lochbuie.org/community-dev/page/current-planning</t>
        </is>
      </c>
      <c r="G12" s="1188" t="inlineStr">
        <is>
          <t>https://www.lochbuie.org/projects</t>
        </is>
      </c>
      <c r="H12" s="1188" t="inlineStr">
        <is>
          <t>https://www.lochbuie.org/community-dev/page/building-permits-and-inspections</t>
        </is>
      </c>
      <c r="I12" s="1188" t="inlineStr">
        <is>
          <t>https://www.lochbuie.org/community-dev/page/documents</t>
        </is>
      </c>
      <c r="J12" s="1188" t="inlineStr">
        <is>
          <t>https://www.lochbuie.org/meetings</t>
        </is>
      </c>
      <c r="K12" s="1189" t="inlineStr">
        <is>
          <t>https://www.lochbuie.org/publicnotice</t>
        </is>
      </c>
      <c r="L12" s="1189" t="inlineStr">
        <is>
          <t>https://www.lochbuie.org/news</t>
        </is>
      </c>
      <c r="M12" s="952" t="inlineStr">
        <is>
          <t>Use town land-use resources; confirm the parcel's county before deed, tax and assessor research.</t>
        </is>
      </c>
    </row>
    <row r="13" ht="54" customHeight="1">
      <c r="A13" s="952" t="inlineStr">
        <is>
          <t>Northglenn</t>
        </is>
      </c>
      <c r="B13" s="952" t="inlineStr">
        <is>
          <t>City</t>
        </is>
      </c>
      <c r="C13" s="960" t="inlineStr">
        <is>
          <t>https://www.northglenn.org/</t>
        </is>
      </c>
      <c r="D13" s="1188" t="inlineStr">
        <is>
          <t>https://biz.northglenn.org/quickzone</t>
        </is>
      </c>
      <c r="E13" s="1188" t="inlineStr">
        <is>
          <t>https://www.northglenn.org/government/land_use_zoning/new_code_northglenn.php</t>
        </is>
      </c>
      <c r="F13" s="1188" t="inlineStr">
        <is>
          <t>https://www.northglenn.org/government/departments/planning_development/index.php</t>
        </is>
      </c>
      <c r="G13" s="1188" t="inlineStr">
        <is>
          <t>https://www.northglenn.org/government/project_updates/</t>
        </is>
      </c>
      <c r="H13" s="1188" t="inlineStr">
        <is>
          <t>https://www.northglenn.org/government/departments/building/pull_a_permit.php</t>
        </is>
      </c>
      <c r="I13" s="1188" t="inlineStr">
        <is>
          <t>https://www.northglenn.org/government/land_use_zoning/comprehensive_plan.php</t>
        </is>
      </c>
      <c r="J13" s="1188" t="inlineStr">
        <is>
          <t>https://webdocs.northglenn.org/</t>
        </is>
      </c>
      <c r="K13" s="1189" t="inlineStr">
        <is>
          <t>https://webdocs.northglenn.org/</t>
        </is>
      </c>
      <c r="L13" s="1189" t="inlineStr">
        <is>
          <t>https://www.northglenn.org/newslist.php</t>
        </is>
      </c>
      <c r="M13" s="952" t="inlineStr">
        <is>
          <t>Use city land-use resources; confirm the parcel's county before recorder, assessor and tax research.</t>
        </is>
      </c>
    </row>
    <row r="14" ht="54" customHeight="1">
      <c r="A14" s="952" t="inlineStr">
        <is>
          <t>Thornton</t>
        </is>
      </c>
      <c r="B14" s="952" t="inlineStr">
        <is>
          <t>City</t>
        </is>
      </c>
      <c r="C14" s="960" t="inlineStr">
        <is>
          <t>https://www.thorntonco.gov/</t>
        </is>
      </c>
      <c r="D14" s="1188" t="inlineStr">
        <is>
          <t>https://cityofthornton.maps.arcgis.com/apps/webappviewer/index.html?id=643abe02e8b8446586b6eb6d8ed43f84</t>
        </is>
      </c>
      <c r="E14" s="1188" t="inlineStr">
        <is>
          <t>https://www.thorntonco.gov/business-development/city-development/current-planning-zoning/zoning-districts-uses-and-regulations</t>
        </is>
      </c>
      <c r="F14" s="1188" t="inlineStr">
        <is>
          <t>https://www.thorntonco.gov/business-development/city-development</t>
        </is>
      </c>
      <c r="G14" s="1188" t="inlineStr">
        <is>
          <t>https://www.thorntonco.gov/business-development/active-development</t>
        </is>
      </c>
      <c r="H14" s="1188" t="inlineStr">
        <is>
          <t>https://www.thorntonco.gov/business-development/city-development/building-permits-inspections</t>
        </is>
      </c>
      <c r="I14" s="1188" t="inlineStr">
        <is>
          <t>https://www.thorntonco.gov/business-development/city-development/long-range-planning/plans/thornton-comprehensive-plan</t>
        </is>
      </c>
      <c r="J14" s="1188" t="inlineStr">
        <is>
          <t>https://www.thorntonco.gov/government/mayor-council/upcoming-meetings</t>
        </is>
      </c>
      <c r="K14" s="1189" t="inlineStr">
        <is>
          <t>https://www.thorntonco.gov/government/public-notices</t>
        </is>
      </c>
      <c r="L14" s="1189" t="inlineStr">
        <is>
          <t>https://www.thorntonco.gov/news</t>
        </is>
      </c>
      <c r="M14" s="952" t="inlineStr">
        <is>
          <t>Use city land-use resources; confirm the parcel's county before county-record research.</t>
        </is>
      </c>
    </row>
    <row r="15" ht="54" customHeight="1">
      <c r="A15" s="952" t="inlineStr">
        <is>
          <t>Westminster</t>
        </is>
      </c>
      <c r="B15" s="952" t="inlineStr">
        <is>
          <t>City</t>
        </is>
      </c>
      <c r="C15" s="960" t="inlineStr">
        <is>
          <t>https://www.westminsterco.gov/</t>
        </is>
      </c>
      <c r="D15" s="1188" t="inlineStr">
        <is>
          <t>https://www.westminsterco.gov/471/Maps</t>
        </is>
      </c>
      <c r="E15" s="1188" t="inlineStr">
        <is>
          <t>https://www.westminsterco.gov/727/Zoning</t>
        </is>
      </c>
      <c r="F15" s="1188" t="inlineStr">
        <is>
          <t>https://www.westminsterco.gov/707/Planning</t>
        </is>
      </c>
      <c r="G15" s="1188" t="inlineStr">
        <is>
          <t>https://www.westminsterco.gov/855/Current-Development-Project-Map</t>
        </is>
      </c>
      <c r="H15" s="1188" t="inlineStr">
        <is>
          <t>https://www.westminsterco.gov/617/Apply-for-a-Permit-Project</t>
        </is>
      </c>
      <c r="I15" s="1188" t="inlineStr">
        <is>
          <t>https://www.westminsterco.gov/DocumentCenter/View/5605/Comprehensive-Plan_November2025-LR</t>
        </is>
      </c>
      <c r="J15" s="1188" t="inlineStr">
        <is>
          <t>https://www.westminsterco.gov/AgendaCenter</t>
        </is>
      </c>
      <c r="K15" s="1189" t="inlineStr">
        <is>
          <t>https://www.westminsterco.gov/1098/Public-Notices</t>
        </is>
      </c>
      <c r="L15" s="1189" t="inlineStr">
        <is>
          <t>https://www.westminsterco.gov/m/NewsFlash</t>
        </is>
      </c>
      <c r="M15" s="952" t="inlineStr">
        <is>
          <t>Use city land-use resources; confirm the parcel's county before recorder, assessor and tax research.</t>
        </is>
      </c>
    </row>
  </sheetData>
  <mergeCells count="2">
    <mergeCell ref="A2:M2"/>
    <mergeCell ref="A1:M1"/>
  </mergeCells>
  <hyperlinks>
    <hyperlink xmlns:r="http://schemas.openxmlformats.org/officeDocument/2006/relationships" ref="C5" r:id="rId1"/>
    <hyperlink xmlns:r="http://schemas.openxmlformats.org/officeDocument/2006/relationships" ref="D5" r:id="rId2"/>
    <hyperlink xmlns:r="http://schemas.openxmlformats.org/officeDocument/2006/relationships" ref="E5" r:id="rId3"/>
    <hyperlink xmlns:r="http://schemas.openxmlformats.org/officeDocument/2006/relationships" ref="F5" r:id="rId4"/>
    <hyperlink xmlns:r="http://schemas.openxmlformats.org/officeDocument/2006/relationships" ref="G5" r:id="rId5"/>
    <hyperlink xmlns:r="http://schemas.openxmlformats.org/officeDocument/2006/relationships" ref="H5" r:id="rId6"/>
    <hyperlink xmlns:r="http://schemas.openxmlformats.org/officeDocument/2006/relationships" ref="I5" r:id="rId7"/>
    <hyperlink xmlns:r="http://schemas.openxmlformats.org/officeDocument/2006/relationships" ref="J5" r:id="rId8"/>
    <hyperlink xmlns:r="http://schemas.openxmlformats.org/officeDocument/2006/relationships" ref="C6" r:id="rId9"/>
    <hyperlink xmlns:r="http://schemas.openxmlformats.org/officeDocument/2006/relationships" ref="D6" r:id="rId10"/>
    <hyperlink xmlns:r="http://schemas.openxmlformats.org/officeDocument/2006/relationships" ref="E6" r:id="rId11"/>
    <hyperlink xmlns:r="http://schemas.openxmlformats.org/officeDocument/2006/relationships" ref="F6" r:id="rId12"/>
    <hyperlink xmlns:r="http://schemas.openxmlformats.org/officeDocument/2006/relationships" ref="G6" r:id="rId13"/>
    <hyperlink xmlns:r="http://schemas.openxmlformats.org/officeDocument/2006/relationships" ref="H6" r:id="rId14"/>
    <hyperlink xmlns:r="http://schemas.openxmlformats.org/officeDocument/2006/relationships" ref="I6" r:id="rId15"/>
    <hyperlink xmlns:r="http://schemas.openxmlformats.org/officeDocument/2006/relationships" ref="J6" r:id="rId16"/>
    <hyperlink xmlns:r="http://schemas.openxmlformats.org/officeDocument/2006/relationships" ref="C7" r:id="rId17"/>
    <hyperlink xmlns:r="http://schemas.openxmlformats.org/officeDocument/2006/relationships" ref="D7" r:id="rId18"/>
    <hyperlink xmlns:r="http://schemas.openxmlformats.org/officeDocument/2006/relationships" ref="E7" r:id="rId19"/>
    <hyperlink xmlns:r="http://schemas.openxmlformats.org/officeDocument/2006/relationships" ref="F7" r:id="rId20"/>
    <hyperlink xmlns:r="http://schemas.openxmlformats.org/officeDocument/2006/relationships" ref="G7" r:id="rId21"/>
    <hyperlink xmlns:r="http://schemas.openxmlformats.org/officeDocument/2006/relationships" ref="H7" r:id="rId22"/>
    <hyperlink xmlns:r="http://schemas.openxmlformats.org/officeDocument/2006/relationships" ref="I7" r:id="rId23"/>
    <hyperlink xmlns:r="http://schemas.openxmlformats.org/officeDocument/2006/relationships" ref="J7" r:id="rId24"/>
    <hyperlink xmlns:r="http://schemas.openxmlformats.org/officeDocument/2006/relationships" ref="C8" r:id="rId25"/>
    <hyperlink xmlns:r="http://schemas.openxmlformats.org/officeDocument/2006/relationships" ref="D8" r:id="rId26"/>
    <hyperlink xmlns:r="http://schemas.openxmlformats.org/officeDocument/2006/relationships" ref="E8" r:id="rId27"/>
    <hyperlink xmlns:r="http://schemas.openxmlformats.org/officeDocument/2006/relationships" ref="F8" r:id="rId28"/>
    <hyperlink xmlns:r="http://schemas.openxmlformats.org/officeDocument/2006/relationships" ref="G8" r:id="rId29"/>
    <hyperlink xmlns:r="http://schemas.openxmlformats.org/officeDocument/2006/relationships" ref="H8" r:id="rId30"/>
    <hyperlink xmlns:r="http://schemas.openxmlformats.org/officeDocument/2006/relationships" ref="I8" r:id="rId31"/>
    <hyperlink xmlns:r="http://schemas.openxmlformats.org/officeDocument/2006/relationships" ref="J8" r:id="rId32"/>
    <hyperlink xmlns:r="http://schemas.openxmlformats.org/officeDocument/2006/relationships" ref="C9" r:id="rId33"/>
    <hyperlink xmlns:r="http://schemas.openxmlformats.org/officeDocument/2006/relationships" ref="D9" r:id="rId34"/>
    <hyperlink xmlns:r="http://schemas.openxmlformats.org/officeDocument/2006/relationships" ref="E9" r:id="rId35"/>
    <hyperlink xmlns:r="http://schemas.openxmlformats.org/officeDocument/2006/relationships" ref="F9" r:id="rId36"/>
    <hyperlink xmlns:r="http://schemas.openxmlformats.org/officeDocument/2006/relationships" ref="G9" r:id="rId37"/>
    <hyperlink xmlns:r="http://schemas.openxmlformats.org/officeDocument/2006/relationships" ref="H9" r:id="rId38"/>
    <hyperlink xmlns:r="http://schemas.openxmlformats.org/officeDocument/2006/relationships" ref="I9" r:id="rId39"/>
    <hyperlink xmlns:r="http://schemas.openxmlformats.org/officeDocument/2006/relationships" ref="J9" r:id="rId40"/>
    <hyperlink xmlns:r="http://schemas.openxmlformats.org/officeDocument/2006/relationships" ref="C10" r:id="rId41"/>
    <hyperlink xmlns:r="http://schemas.openxmlformats.org/officeDocument/2006/relationships" ref="D10" r:id="rId42"/>
    <hyperlink xmlns:r="http://schemas.openxmlformats.org/officeDocument/2006/relationships" ref="E10" r:id="rId43"/>
    <hyperlink xmlns:r="http://schemas.openxmlformats.org/officeDocument/2006/relationships" ref="F10" r:id="rId44"/>
    <hyperlink xmlns:r="http://schemas.openxmlformats.org/officeDocument/2006/relationships" ref="G10" r:id="rId45"/>
    <hyperlink xmlns:r="http://schemas.openxmlformats.org/officeDocument/2006/relationships" ref="H10" r:id="rId46"/>
    <hyperlink xmlns:r="http://schemas.openxmlformats.org/officeDocument/2006/relationships" ref="I10" r:id="rId47"/>
    <hyperlink xmlns:r="http://schemas.openxmlformats.org/officeDocument/2006/relationships" ref="J10" r:id="rId48"/>
    <hyperlink xmlns:r="http://schemas.openxmlformats.org/officeDocument/2006/relationships" ref="C11" r:id="rId49"/>
    <hyperlink xmlns:r="http://schemas.openxmlformats.org/officeDocument/2006/relationships" ref="D11" r:id="rId50"/>
    <hyperlink xmlns:r="http://schemas.openxmlformats.org/officeDocument/2006/relationships" ref="E11" r:id="rId51"/>
    <hyperlink xmlns:r="http://schemas.openxmlformats.org/officeDocument/2006/relationships" ref="F11" r:id="rId52"/>
    <hyperlink xmlns:r="http://schemas.openxmlformats.org/officeDocument/2006/relationships" ref="G11" r:id="rId53"/>
    <hyperlink xmlns:r="http://schemas.openxmlformats.org/officeDocument/2006/relationships" ref="H11" r:id="rId54"/>
    <hyperlink xmlns:r="http://schemas.openxmlformats.org/officeDocument/2006/relationships" ref="I11" r:id="rId55"/>
    <hyperlink xmlns:r="http://schemas.openxmlformats.org/officeDocument/2006/relationships" ref="J11" r:id="rId56"/>
    <hyperlink xmlns:r="http://schemas.openxmlformats.org/officeDocument/2006/relationships" ref="C12" r:id="rId57"/>
    <hyperlink xmlns:r="http://schemas.openxmlformats.org/officeDocument/2006/relationships" ref="D12" r:id="rId58"/>
    <hyperlink xmlns:r="http://schemas.openxmlformats.org/officeDocument/2006/relationships" ref="E12" r:id="rId59"/>
    <hyperlink xmlns:r="http://schemas.openxmlformats.org/officeDocument/2006/relationships" ref="F12" r:id="rId60"/>
    <hyperlink xmlns:r="http://schemas.openxmlformats.org/officeDocument/2006/relationships" ref="G12" r:id="rId61"/>
    <hyperlink xmlns:r="http://schemas.openxmlformats.org/officeDocument/2006/relationships" ref="H12" r:id="rId62"/>
    <hyperlink xmlns:r="http://schemas.openxmlformats.org/officeDocument/2006/relationships" ref="I12" r:id="rId63"/>
    <hyperlink xmlns:r="http://schemas.openxmlformats.org/officeDocument/2006/relationships" ref="J12" r:id="rId64"/>
    <hyperlink xmlns:r="http://schemas.openxmlformats.org/officeDocument/2006/relationships" ref="C13" r:id="rId65"/>
    <hyperlink xmlns:r="http://schemas.openxmlformats.org/officeDocument/2006/relationships" ref="D13" r:id="rId66"/>
    <hyperlink xmlns:r="http://schemas.openxmlformats.org/officeDocument/2006/relationships" ref="E13" r:id="rId67"/>
    <hyperlink xmlns:r="http://schemas.openxmlformats.org/officeDocument/2006/relationships" ref="F13" r:id="rId68"/>
    <hyperlink xmlns:r="http://schemas.openxmlformats.org/officeDocument/2006/relationships" ref="G13" r:id="rId69"/>
    <hyperlink xmlns:r="http://schemas.openxmlformats.org/officeDocument/2006/relationships" ref="H13" r:id="rId70"/>
    <hyperlink xmlns:r="http://schemas.openxmlformats.org/officeDocument/2006/relationships" ref="I13" r:id="rId71"/>
    <hyperlink xmlns:r="http://schemas.openxmlformats.org/officeDocument/2006/relationships" ref="J13" r:id="rId72"/>
    <hyperlink xmlns:r="http://schemas.openxmlformats.org/officeDocument/2006/relationships" ref="C14" r:id="rId73"/>
    <hyperlink xmlns:r="http://schemas.openxmlformats.org/officeDocument/2006/relationships" ref="D14" r:id="rId74"/>
    <hyperlink xmlns:r="http://schemas.openxmlformats.org/officeDocument/2006/relationships" ref="E14" r:id="rId75"/>
    <hyperlink xmlns:r="http://schemas.openxmlformats.org/officeDocument/2006/relationships" ref="F14" r:id="rId76"/>
    <hyperlink xmlns:r="http://schemas.openxmlformats.org/officeDocument/2006/relationships" ref="G14" r:id="rId77"/>
    <hyperlink xmlns:r="http://schemas.openxmlformats.org/officeDocument/2006/relationships" ref="H14" r:id="rId78"/>
    <hyperlink xmlns:r="http://schemas.openxmlformats.org/officeDocument/2006/relationships" ref="I14" r:id="rId79"/>
    <hyperlink xmlns:r="http://schemas.openxmlformats.org/officeDocument/2006/relationships" ref="J14" r:id="rId80"/>
    <hyperlink xmlns:r="http://schemas.openxmlformats.org/officeDocument/2006/relationships" ref="C15" r:id="rId81"/>
    <hyperlink xmlns:r="http://schemas.openxmlformats.org/officeDocument/2006/relationships" ref="D15" r:id="rId82"/>
    <hyperlink xmlns:r="http://schemas.openxmlformats.org/officeDocument/2006/relationships" ref="E15" r:id="rId83"/>
    <hyperlink xmlns:r="http://schemas.openxmlformats.org/officeDocument/2006/relationships" ref="F15" r:id="rId84"/>
    <hyperlink xmlns:r="http://schemas.openxmlformats.org/officeDocument/2006/relationships" ref="G15" r:id="rId85"/>
    <hyperlink xmlns:r="http://schemas.openxmlformats.org/officeDocument/2006/relationships" ref="H15" r:id="rId86"/>
    <hyperlink xmlns:r="http://schemas.openxmlformats.org/officeDocument/2006/relationships" ref="I15" r:id="rId87"/>
    <hyperlink xmlns:r="http://schemas.openxmlformats.org/officeDocument/2006/relationships" ref="J15" r:id="rId88"/>
  </hyperlinks>
  <pageMargins left="0.75" right="0.75" top="1" bottom="1" header="0.5" footer="0.5"/>
</worksheet>
</file>

<file path=xl/worksheets/sheet18.xml><?xml version="1.0" encoding="utf-8"?>
<worksheet xmlns="http://schemas.openxmlformats.org/spreadsheetml/2006/main">
  <sheetPr>
    <tabColor rgb="00D97706"/>
    <outlinePr summaryBelow="1" summaryRight="1"/>
    <pageSetUpPr/>
  </sheetPr>
  <dimension ref="A1:I41"/>
  <sheetViews>
    <sheetView workbookViewId="0">
      <selection activeCell="A1" sqref="A1"/>
    </sheetView>
  </sheetViews>
  <sheetFormatPr baseColWidth="8" defaultRowHeight="15"/>
  <cols>
    <col width="14" customWidth="1" min="1" max="1"/>
    <col width="21" customWidth="1" min="2" max="2"/>
    <col width="52" customWidth="1" min="3" max="3"/>
    <col width="52" customWidth="1" min="4" max="4"/>
    <col width="52" customWidth="1" min="5" max="5"/>
    <col width="6" customWidth="1" min="6" max="6"/>
    <col width="52" customWidth="1" min="7" max="7"/>
    <col width="21" customWidth="1" min="8" max="8"/>
    <col width="10" customWidth="1" min="9" max="9"/>
  </cols>
  <sheetData>
    <row r="1" ht="32" customHeight="1">
      <c r="A1" s="957" t="inlineStr">
        <is>
          <t>Adams County Core Property &amp; Land Records</t>
        </is>
      </c>
    </row>
    <row r="2" ht="28" customHeight="1">
      <c r="A2" s="958" t="inlineStr">
        <is>
          <t>County-level assessor, recording, tax, foreclosure, GIS, unincorporated planning, permits, public works and monitoring resources.</t>
        </is>
      </c>
    </row>
    <row r="4" ht="30" customHeight="1">
      <c r="A4" s="959" t="inlineStr">
        <is>
          <t>Jurisdiction</t>
        </is>
      </c>
      <c r="B4" s="959" t="inlineStr">
        <is>
          <t>Category</t>
        </is>
      </c>
      <c r="C4" s="1187" t="inlineStr">
        <is>
          <t>Resource</t>
        </is>
      </c>
      <c r="D4" s="1187" t="inlineStr">
        <is>
          <t>What It Provides</t>
        </is>
      </c>
      <c r="E4" s="1187" t="inlineStr">
        <is>
          <t>Best Use</t>
        </is>
      </c>
      <c r="F4" s="959" t="inlineStr">
        <is>
          <t>Official</t>
        </is>
      </c>
      <c r="G4" s="1187" t="inlineStr">
        <is>
          <t>URL</t>
        </is>
      </c>
      <c r="H4" s="959" t="inlineStr">
        <is>
          <t>Verified</t>
        </is>
      </c>
      <c r="I4" s="959" t="inlineStr">
        <is>
          <t>Priority</t>
        </is>
      </c>
    </row>
    <row r="5" ht="42" customHeight="1">
      <c r="A5" s="952" t="inlineStr">
        <is>
          <t>Adams County</t>
        </is>
      </c>
      <c r="B5" s="952" t="inlineStr">
        <is>
          <t>Jurisdictions</t>
        </is>
      </c>
      <c r="C5" s="952" t="inlineStr">
        <is>
          <t>Cities &amp; Towns in Adams County</t>
        </is>
      </c>
      <c r="D5" s="952" t="inlineStr">
        <is>
          <t>Official county list of municipalities with territory in Adams County and named unincorporated communities.</t>
        </is>
      </c>
      <c r="E5" s="952" t="inlineStr">
        <is>
          <t>Confirm which municipal websites belong in the search set.</t>
        </is>
      </c>
      <c r="F5" s="952" t="inlineStr">
        <is>
          <t>Yes</t>
        </is>
      </c>
      <c r="G5" s="1188" t="inlineStr">
        <is>
          <t>https://adamscountyco.gov/about-adams-county/cities-towns/</t>
        </is>
      </c>
      <c r="H5" s="1129" t="n">
        <v>46213</v>
      </c>
      <c r="I5" s="951" t="inlineStr">
        <is>
          <t>Critical</t>
        </is>
      </c>
    </row>
    <row r="6" ht="42" customHeight="1">
      <c r="A6" s="952" t="inlineStr">
        <is>
          <t>Adams County</t>
        </is>
      </c>
      <c r="B6" s="952" t="inlineStr">
        <is>
          <t>Property Search</t>
        </is>
      </c>
      <c r="C6" s="952" t="inlineStr">
        <is>
          <t>Search Real Property</t>
        </is>
      </c>
      <c r="D6" s="952" t="inlineStr">
        <is>
          <t>County assessor entry page for parcel, owner, address, account and assessment research.</t>
        </is>
      </c>
      <c r="E6" s="952" t="inlineStr">
        <is>
          <t>Start every Adams County property investigation and obtain the parcel/account number.</t>
        </is>
      </c>
      <c r="F6" s="952" t="inlineStr">
        <is>
          <t>Yes</t>
        </is>
      </c>
      <c r="G6" s="1188" t="inlineStr">
        <is>
          <t>https://adamscountyco.gov/service/search-real-property/</t>
        </is>
      </c>
      <c r="H6" s="1129" t="n">
        <v>46213</v>
      </c>
      <c r="I6" s="951" t="inlineStr">
        <is>
          <t>Critical</t>
        </is>
      </c>
    </row>
    <row r="7" ht="42" customHeight="1">
      <c r="A7" s="952" t="inlineStr">
        <is>
          <t>Adams County</t>
        </is>
      </c>
      <c r="B7" s="952" t="inlineStr">
        <is>
          <t>Property Search</t>
        </is>
      </c>
      <c r="C7" s="952" t="inlineStr">
        <is>
          <t>Assessor Quick Search</t>
        </is>
      </c>
      <c r="D7" s="952" t="inlineStr">
        <is>
          <t>Direct assessor/GIS parcel lookup.</t>
        </is>
      </c>
      <c r="E7" s="952" t="inlineStr">
        <is>
          <t>Search by owner, address, parcel or account number and view assessment attributes.</t>
        </is>
      </c>
      <c r="F7" s="952" t="inlineStr">
        <is>
          <t>Yes</t>
        </is>
      </c>
      <c r="G7" s="1188" t="inlineStr">
        <is>
          <t>https://gisapp.adcogov.org/quicksearch/</t>
        </is>
      </c>
      <c r="H7" s="1129" t="n">
        <v>46213</v>
      </c>
      <c r="I7" s="951" t="inlineStr">
        <is>
          <t>Critical</t>
        </is>
      </c>
    </row>
    <row r="8" ht="42" customHeight="1">
      <c r="A8" s="952" t="inlineStr">
        <is>
          <t>Adams County</t>
        </is>
      </c>
      <c r="B8" s="952" t="inlineStr">
        <is>
          <t>Assessor</t>
        </is>
      </c>
      <c r="C8" s="952" t="inlineStr">
        <is>
          <t>Assessor Office</t>
        </is>
      </c>
      <c r="D8" s="952" t="inlineStr">
        <is>
          <t>Assessment, valuation, exemptions, appeals and ownership record guidance.</t>
        </is>
      </c>
      <c r="E8" s="952" t="inlineStr">
        <is>
          <t>Resolve valuation or ownership questions and locate appeal information.</t>
        </is>
      </c>
      <c r="F8" s="952" t="inlineStr">
        <is>
          <t>Yes</t>
        </is>
      </c>
      <c r="G8" s="1188" t="inlineStr">
        <is>
          <t>https://adamscountyco.gov/our-county/elected-officials/assessor/</t>
        </is>
      </c>
      <c r="H8" s="1129" t="n">
        <v>46213</v>
      </c>
      <c r="I8" s="951" t="inlineStr">
        <is>
          <t>High</t>
        </is>
      </c>
    </row>
    <row r="9" ht="42" customHeight="1">
      <c r="A9" s="952" t="inlineStr">
        <is>
          <t>Adams County</t>
        </is>
      </c>
      <c r="B9" s="952" t="inlineStr">
        <is>
          <t>GIS / Data</t>
        </is>
      </c>
      <c r="C9" s="952" t="inlineStr">
        <is>
          <t>Assessor Maps &amp; Data</t>
        </is>
      </c>
      <c r="D9" s="952" t="inlineStr">
        <is>
          <t>Assessor mapping and downloadable property-related data resources.</t>
        </is>
      </c>
      <c r="E9" s="952" t="inlineStr">
        <is>
          <t>Cross-check parcel geometry, neighborhood and assessment map data.</t>
        </is>
      </c>
      <c r="F9" s="952" t="inlineStr">
        <is>
          <t>Yes</t>
        </is>
      </c>
      <c r="G9" s="1188" t="inlineStr">
        <is>
          <t>https://adamscountyco.gov/our-county/elected-officials/assessor/maps-data/</t>
        </is>
      </c>
      <c r="H9" s="1129" t="n">
        <v>46213</v>
      </c>
      <c r="I9" s="951" t="inlineStr">
        <is>
          <t>High</t>
        </is>
      </c>
    </row>
    <row r="10" ht="42" customHeight="1">
      <c r="A10" s="952" t="inlineStr">
        <is>
          <t>Adams County</t>
        </is>
      </c>
      <c r="B10" s="952" t="inlineStr">
        <is>
          <t>GIS / Data</t>
        </is>
      </c>
      <c r="C10" s="952" t="inlineStr">
        <is>
          <t>GIS Interactive Maps</t>
        </is>
      </c>
      <c r="D10" s="952" t="inlineStr">
        <is>
          <t>County interactive mapping applications.</t>
        </is>
      </c>
      <c r="E10" s="952" t="inlineStr">
        <is>
          <t>Screen parcels, boundaries, services, hazards and other mapped county data.</t>
        </is>
      </c>
      <c r="F10" s="952" t="inlineStr">
        <is>
          <t>Yes</t>
        </is>
      </c>
      <c r="G10" s="1188" t="inlineStr">
        <is>
          <t>https://adamscountyco.gov/service/gis-interactive-maps/</t>
        </is>
      </c>
      <c r="H10" s="1129" t="n">
        <v>46213</v>
      </c>
      <c r="I10" s="951" t="inlineStr">
        <is>
          <t>Critical</t>
        </is>
      </c>
    </row>
    <row r="11" ht="42" customHeight="1">
      <c r="A11" s="952" t="inlineStr">
        <is>
          <t>Adams County</t>
        </is>
      </c>
      <c r="B11" s="952" t="inlineStr">
        <is>
          <t>GIS / Data</t>
        </is>
      </c>
      <c r="C11" s="952" t="inlineStr">
        <is>
          <t>Geographic Information Systems</t>
        </is>
      </c>
      <c r="D11" s="952" t="inlineStr">
        <is>
          <t>County GIS program overview and limitations.</t>
        </is>
      </c>
      <c r="E11" s="952" t="inlineStr">
        <is>
          <t>Understand map sources and remember that GIS parcel lines are not a legal survey.</t>
        </is>
      </c>
      <c r="F11" s="952" t="inlineStr">
        <is>
          <t>Yes</t>
        </is>
      </c>
      <c r="G11" s="1188" t="inlineStr">
        <is>
          <t>https://adamscountyco.gov/our-county/information-technology-innovation/geographic-information-systems/</t>
        </is>
      </c>
      <c r="H11" s="1129" t="n">
        <v>46213</v>
      </c>
      <c r="I11" s="951" t="inlineStr">
        <is>
          <t>High</t>
        </is>
      </c>
    </row>
    <row r="12" ht="42" customHeight="1">
      <c r="A12" s="952" t="inlineStr">
        <is>
          <t>Adams County</t>
        </is>
      </c>
      <c r="B12" s="952" t="inlineStr">
        <is>
          <t>Recorded Documents</t>
        </is>
      </c>
      <c r="C12" s="952" t="inlineStr">
        <is>
          <t>Find Public Records / Recorded Documents</t>
        </is>
      </c>
      <c r="D12" s="952" t="inlineStr">
        <is>
          <t>Guide to recorded real estate documents, search methods and copies.</t>
        </is>
      </c>
      <c r="E12" s="952" t="inlineStr">
        <is>
          <t>Learn how to search deeds, deeds of trust, releases, easements, liens, plats and related filings.</t>
        </is>
      </c>
      <c r="F12" s="952" t="inlineStr">
        <is>
          <t>Yes</t>
        </is>
      </c>
      <c r="G12" s="1188" t="inlineStr">
        <is>
          <t>https://adamscountyco.gov/service/find-public-records-recorded-documents/</t>
        </is>
      </c>
      <c r="H12" s="1129" t="n">
        <v>46213</v>
      </c>
      <c r="I12" s="951" t="inlineStr">
        <is>
          <t>Critical</t>
        </is>
      </c>
    </row>
    <row r="13" ht="42" customHeight="1">
      <c r="A13" s="952" t="inlineStr">
        <is>
          <t>Adams County</t>
        </is>
      </c>
      <c r="B13" s="952" t="inlineStr">
        <is>
          <t>Recorded Documents</t>
        </is>
      </c>
      <c r="C13" s="952" t="inlineStr">
        <is>
          <t>Landmark Web Recording Search</t>
        </is>
      </c>
      <c r="D13" s="952" t="inlineStr">
        <is>
          <t>Direct public index for recorded documents.</t>
        </is>
      </c>
      <c r="E13" s="952" t="inlineStr">
        <is>
          <t>Search the grantor/grantee index, legal description references and document numbers.</t>
        </is>
      </c>
      <c r="F13" s="952" t="inlineStr">
        <is>
          <t>Yes</t>
        </is>
      </c>
      <c r="G13" s="1188" t="inlineStr">
        <is>
          <t>https://recording.adamscountyco.gov/landmarkweb/</t>
        </is>
      </c>
      <c r="H13" s="1129" t="n">
        <v>46213</v>
      </c>
      <c r="I13" s="951" t="inlineStr">
        <is>
          <t>Critical</t>
        </is>
      </c>
    </row>
    <row r="14" ht="42" customHeight="1">
      <c r="A14" s="952" t="inlineStr">
        <is>
          <t>Adams County</t>
        </is>
      </c>
      <c r="B14" s="952" t="inlineStr">
        <is>
          <t>Recorded Documents</t>
        </is>
      </c>
      <c r="C14" s="952" t="inlineStr">
        <is>
          <t>Recording Division</t>
        </is>
      </c>
      <c r="D14" s="952" t="inlineStr">
        <is>
          <t>Recorder services, fees, document standards and contact information.</t>
        </is>
      </c>
      <c r="E14" s="952" t="inlineStr">
        <is>
          <t>Order copies or resolve questions about recorded instruments.</t>
        </is>
      </c>
      <c r="F14" s="952" t="inlineStr">
        <is>
          <t>Yes</t>
        </is>
      </c>
      <c r="G14" s="1188" t="inlineStr">
        <is>
          <t>https://adamscountyco.gov/our-county/elected-officials/clerk-recorder/recording/</t>
        </is>
      </c>
      <c r="H14" s="1129" t="n">
        <v>46213</v>
      </c>
      <c r="I14" s="951" t="inlineStr">
        <is>
          <t>High</t>
        </is>
      </c>
    </row>
    <row r="15" ht="42" customHeight="1">
      <c r="A15" s="952" t="inlineStr">
        <is>
          <t>Adams County</t>
        </is>
      </c>
      <c r="B15" s="952" t="inlineStr">
        <is>
          <t>Survey / Plat</t>
        </is>
      </c>
      <c r="C15" s="952" t="inlineStr">
        <is>
          <t>Land Survey Plats</t>
        </is>
      </c>
      <c r="D15" s="952" t="inlineStr">
        <is>
          <t>Recorded survey plat resources and filing information.</t>
        </is>
      </c>
      <c r="E15" s="952" t="inlineStr">
        <is>
          <t>Research recorded surveys and surveyor filings; still obtain a current survey when required.</t>
        </is>
      </c>
      <c r="F15" s="952" t="inlineStr">
        <is>
          <t>Yes</t>
        </is>
      </c>
      <c r="G15" s="1188" t="inlineStr">
        <is>
          <t>https://adamscountyco.gov/our-county/elected-officials/clerk-recorder/recording/land-survey-plats/</t>
        </is>
      </c>
      <c r="H15" s="1129" t="n">
        <v>46213</v>
      </c>
      <c r="I15" s="951" t="inlineStr">
        <is>
          <t>High</t>
        </is>
      </c>
    </row>
    <row r="16" ht="42" customHeight="1">
      <c r="A16" s="952" t="inlineStr">
        <is>
          <t>Adams County</t>
        </is>
      </c>
      <c r="B16" s="952" t="inlineStr">
        <is>
          <t>Public Postings</t>
        </is>
      </c>
      <c r="C16" s="952" t="inlineStr">
        <is>
          <t>Public Document Postings</t>
        </is>
      </c>
      <c r="D16" s="952" t="inlineStr">
        <is>
          <t>Publicly posted documents maintained through the recording division.</t>
        </is>
      </c>
      <c r="E16" s="952" t="inlineStr">
        <is>
          <t>Check statutory postings and other public documents relevant to a parcel or entity.</t>
        </is>
      </c>
      <c r="F16" s="952" t="inlineStr">
        <is>
          <t>Yes</t>
        </is>
      </c>
      <c r="G16" s="1188" t="inlineStr">
        <is>
          <t>https://adamscountyco.gov/our-county/elected-officials/clerk-recorder/recording/public-document-postings/</t>
        </is>
      </c>
      <c r="H16" s="1129" t="n">
        <v>46213</v>
      </c>
      <c r="I16" s="951" t="inlineStr">
        <is>
          <t>Useful</t>
        </is>
      </c>
    </row>
    <row r="17" ht="42" customHeight="1">
      <c r="A17" s="952" t="inlineStr">
        <is>
          <t>Adams County</t>
        </is>
      </c>
      <c r="B17" s="952" t="inlineStr">
        <is>
          <t>Property Tax</t>
        </is>
      </c>
      <c r="C17" s="952" t="inlineStr">
        <is>
          <t>Adams County Tax Portal</t>
        </is>
      </c>
      <c r="D17" s="952" t="inlineStr">
        <is>
          <t>Direct tax account search and payment portal.</t>
        </is>
      </c>
      <c r="E17" s="952" t="inlineStr">
        <is>
          <t>Verify current taxes, balances, tax history and payment status.</t>
        </is>
      </c>
      <c r="F17" s="952" t="inlineStr">
        <is>
          <t>Yes</t>
        </is>
      </c>
      <c r="G17" s="1188" t="inlineStr">
        <is>
          <t>https://adcotax.com/</t>
        </is>
      </c>
      <c r="H17" s="1129" t="n">
        <v>46213</v>
      </c>
      <c r="I17" s="951" t="inlineStr">
        <is>
          <t>Critical</t>
        </is>
      </c>
    </row>
    <row r="18" ht="42" customHeight="1">
      <c r="A18" s="952" t="inlineStr">
        <is>
          <t>Adams County</t>
        </is>
      </c>
      <c r="B18" s="952" t="inlineStr">
        <is>
          <t>Property Tax</t>
        </is>
      </c>
      <c r="C18" s="952" t="inlineStr">
        <is>
          <t>Treasurer Division</t>
        </is>
      </c>
      <c r="D18" s="952" t="inlineStr">
        <is>
          <t>Treasurer services and property-tax administration information.</t>
        </is>
      </c>
      <c r="E18" s="952" t="inlineStr">
        <is>
          <t>Resolve tax bills, payment questions and certificates.</t>
        </is>
      </c>
      <c r="F18" s="952" t="inlineStr">
        <is>
          <t>Yes</t>
        </is>
      </c>
      <c r="G18" s="1188" t="inlineStr">
        <is>
          <t>https://adamscountyco.gov/our-county/elected-officials/treasurer-public-trustee/treasurer-division/</t>
        </is>
      </c>
      <c r="H18" s="1129" t="n">
        <v>46213</v>
      </c>
      <c r="I18" s="951" t="inlineStr">
        <is>
          <t>High</t>
        </is>
      </c>
    </row>
    <row r="19" ht="42" customHeight="1">
      <c r="A19" s="952" t="inlineStr">
        <is>
          <t>Adams County</t>
        </is>
      </c>
      <c r="B19" s="952" t="inlineStr">
        <is>
          <t>Property Tax</t>
        </is>
      </c>
      <c r="C19" s="952" t="inlineStr">
        <is>
          <t>Property Tax Information</t>
        </is>
      </c>
      <c r="D19" s="952" t="inlineStr">
        <is>
          <t>Property tax timelines, payment methods and frequently used tax information.</t>
        </is>
      </c>
      <c r="E19" s="952" t="inlineStr">
        <is>
          <t>Understand due dates, delinquency and tax account procedures.</t>
        </is>
      </c>
      <c r="F19" s="952" t="inlineStr">
        <is>
          <t>Yes</t>
        </is>
      </c>
      <c r="G19" s="1188" t="inlineStr">
        <is>
          <t>https://adamscountyco.gov/our-county/elected-officials/treasurer-public-trustee/treasurer-division/property-tax-information/</t>
        </is>
      </c>
      <c r="H19" s="1129" t="n">
        <v>46213</v>
      </c>
      <c r="I19" s="951" t="inlineStr">
        <is>
          <t>High</t>
        </is>
      </c>
    </row>
    <row r="20" ht="42" customHeight="1">
      <c r="A20" s="952" t="inlineStr">
        <is>
          <t>Adams County</t>
        </is>
      </c>
      <c r="B20" s="952" t="inlineStr">
        <is>
          <t>Tax Lien</t>
        </is>
      </c>
      <c r="C20" s="952" t="inlineStr">
        <is>
          <t>Tax Lien Sale</t>
        </is>
      </c>
      <c r="D20" s="952" t="inlineStr">
        <is>
          <t>County tax lien sale process and related information.</t>
        </is>
      </c>
      <c r="E20" s="952" t="inlineStr">
        <is>
          <t>Research delinquent tax liens and sale procedures.</t>
        </is>
      </c>
      <c r="F20" s="952" t="inlineStr">
        <is>
          <t>Yes</t>
        </is>
      </c>
      <c r="G20" s="1188" t="inlineStr">
        <is>
          <t>https://adamscountyco.gov/our-county/elected-officials/treasurer-public-trustee/treasurer-division/tax-lien-sale/</t>
        </is>
      </c>
      <c r="H20" s="1129" t="n">
        <v>46213</v>
      </c>
      <c r="I20" s="951" t="inlineStr">
        <is>
          <t>High</t>
        </is>
      </c>
    </row>
    <row r="21" ht="42" customHeight="1">
      <c r="A21" s="952" t="inlineStr">
        <is>
          <t>Adams County</t>
        </is>
      </c>
      <c r="B21" s="952" t="inlineStr">
        <is>
          <t>Tax Lien</t>
        </is>
      </c>
      <c r="C21" s="952" t="inlineStr">
        <is>
          <t>Treasurer's Deed</t>
        </is>
      </c>
      <c r="D21" s="952" t="inlineStr">
        <is>
          <t>Information on the treasurer's deed process after a tax lien.</t>
        </is>
      </c>
      <c r="E21" s="952" t="inlineStr">
        <is>
          <t>Investigate tax-deed procedures and required notices.</t>
        </is>
      </c>
      <c r="F21" s="952" t="inlineStr">
        <is>
          <t>Yes</t>
        </is>
      </c>
      <c r="G21" s="1188" t="inlineStr">
        <is>
          <t>https://adamscountyco.gov/our-county/elected-officials/treasurer-public-trustee/treasurer-division/tax-lien-sale/treasurers-deed/</t>
        </is>
      </c>
      <c r="H21" s="1129" t="n">
        <v>46213</v>
      </c>
      <c r="I21" s="951" t="inlineStr">
        <is>
          <t>High</t>
        </is>
      </c>
    </row>
    <row r="22" ht="42" customHeight="1">
      <c r="A22" s="952" t="inlineStr">
        <is>
          <t>Adams County</t>
        </is>
      </c>
      <c r="B22" s="952" t="inlineStr">
        <is>
          <t>Foreclosure</t>
        </is>
      </c>
      <c r="C22" s="952" t="inlineStr">
        <is>
          <t>Public Trustee Division</t>
        </is>
      </c>
      <c r="D22" s="952" t="inlineStr">
        <is>
          <t>County public trustee functions for deeds of trust and foreclosure administration.</t>
        </is>
      </c>
      <c r="E22" s="952" t="inlineStr">
        <is>
          <t>Understand foreclosure, releases and public trustee procedures.</t>
        </is>
      </c>
      <c r="F22" s="952" t="inlineStr">
        <is>
          <t>Yes</t>
        </is>
      </c>
      <c r="G22" s="1188" t="inlineStr">
        <is>
          <t>https://adamscountyco.gov/our-county/elected-officials/treasurer-public-trustee/public-trustee-division/</t>
        </is>
      </c>
      <c r="H22" s="1129" t="n">
        <v>46213</v>
      </c>
      <c r="I22" s="951" t="inlineStr">
        <is>
          <t>High</t>
        </is>
      </c>
    </row>
    <row r="23" ht="42" customHeight="1">
      <c r="A23" s="952" t="inlineStr">
        <is>
          <t>Adams County</t>
        </is>
      </c>
      <c r="B23" s="952" t="inlineStr">
        <is>
          <t>Foreclosure</t>
        </is>
      </c>
      <c r="C23" s="952" t="inlineStr">
        <is>
          <t>Foreclosure Search</t>
        </is>
      </c>
      <c r="D23" s="952" t="inlineStr">
        <is>
          <t>Direct search of Adams County public trustee foreclosure records.</t>
        </is>
      </c>
      <c r="E23" s="952" t="inlineStr">
        <is>
          <t>Check pending and historical foreclosure activity associated with a borrower or property.</t>
        </is>
      </c>
      <c r="F23" s="952" t="inlineStr">
        <is>
          <t>Yes</t>
        </is>
      </c>
      <c r="G23" s="1188" t="inlineStr">
        <is>
          <t>https://apps.adcogov.org/PTForeclosureSearch/?ds=1</t>
        </is>
      </c>
      <c r="H23" s="1129" t="n">
        <v>46213</v>
      </c>
      <c r="I23" s="951" t="inlineStr">
        <is>
          <t>Critical</t>
        </is>
      </c>
    </row>
    <row r="24" ht="42" customHeight="1">
      <c r="A24" s="952" t="inlineStr">
        <is>
          <t>Adams County</t>
        </is>
      </c>
      <c r="B24" s="952" t="inlineStr">
        <is>
          <t>Foreclosure</t>
        </is>
      </c>
      <c r="C24" s="952" t="inlineStr">
        <is>
          <t>Foreclosure Reports</t>
        </is>
      </c>
      <c r="D24" s="952" t="inlineStr">
        <is>
          <t>Public trustee foreclosure reports.</t>
        </is>
      </c>
      <c r="E24" s="952" t="inlineStr">
        <is>
          <t>Monitor foreclosure filings and sale-related reports.</t>
        </is>
      </c>
      <c r="F24" s="952" t="inlineStr">
        <is>
          <t>Yes</t>
        </is>
      </c>
      <c r="G24" s="1188" t="inlineStr">
        <is>
          <t>https://apps.adcogov.org/PTForeclosureSearch/reports</t>
        </is>
      </c>
      <c r="H24" s="1129" t="n">
        <v>46213</v>
      </c>
      <c r="I24" s="951" t="inlineStr">
        <is>
          <t>High</t>
        </is>
      </c>
    </row>
    <row r="25" ht="42" customHeight="1">
      <c r="A25" s="952" t="inlineStr">
        <is>
          <t>Adams County</t>
        </is>
      </c>
      <c r="B25" s="952" t="inlineStr">
        <is>
          <t>Planning / Zoning</t>
        </is>
      </c>
      <c r="C25" s="952" t="inlineStr">
        <is>
          <t>Planning &amp; Development</t>
        </is>
      </c>
      <c r="D25" s="952" t="inlineStr">
        <is>
          <t>County planning, zoning and development review for unincorporated Adams County.</t>
        </is>
      </c>
      <c r="E25" s="952" t="inlineStr">
        <is>
          <t>Use only for unincorporated parcels; incorporated parcels are governed by their city or town.</t>
        </is>
      </c>
      <c r="F25" s="952" t="inlineStr">
        <is>
          <t>Yes</t>
        </is>
      </c>
      <c r="G25" s="1188" t="inlineStr">
        <is>
          <t>https://adamscountyco.gov/our-county/community-economic-development/planning-development/</t>
        </is>
      </c>
      <c r="H25" s="1129" t="n">
        <v>46213</v>
      </c>
      <c r="I25" s="951" t="inlineStr">
        <is>
          <t>Critical</t>
        </is>
      </c>
    </row>
    <row r="26" ht="42" customHeight="1">
      <c r="A26" s="952" t="inlineStr">
        <is>
          <t>Adams County</t>
        </is>
      </c>
      <c r="B26" s="952" t="inlineStr">
        <is>
          <t>Planning / Zoning</t>
        </is>
      </c>
      <c r="C26" s="952" t="inlineStr">
        <is>
          <t>Development Standards &amp; Regulations</t>
        </is>
      </c>
      <c r="D26" s="952" t="inlineStr">
        <is>
          <t>Current county land-use and development regulations.</t>
        </is>
      </c>
      <c r="E26" s="952" t="inlineStr">
        <is>
          <t>Research zone districts, allowed uses, overlays, subdivisions and application standards in unincorporated areas.</t>
        </is>
      </c>
      <c r="F26" s="952" t="inlineStr">
        <is>
          <t>Yes</t>
        </is>
      </c>
      <c r="G26" s="1188" t="inlineStr">
        <is>
          <t>https://adamscountyco.gov/our-county/community-economic-development/planning-development/development-standards-regulations/</t>
        </is>
      </c>
      <c r="H26" s="1129" t="n">
        <v>46213</v>
      </c>
      <c r="I26" s="951" t="inlineStr">
        <is>
          <t>Critical</t>
        </is>
      </c>
    </row>
    <row r="27" ht="42" customHeight="1">
      <c r="A27" s="952" t="inlineStr">
        <is>
          <t>Adams County</t>
        </is>
      </c>
      <c r="B27" s="952" t="inlineStr">
        <is>
          <t>Planning / Zoning</t>
        </is>
      </c>
      <c r="C27" s="952" t="inlineStr">
        <is>
          <t>Current Land Use Cases</t>
        </is>
      </c>
      <c r="D27" s="952" t="inlineStr">
        <is>
          <t>Scheduled land-use cases, public hearings and recent decisions.</t>
        </is>
      </c>
      <c r="E27" s="952" t="inlineStr">
        <is>
          <t>Identify rezonings, conditional uses, plats, variances and nearby proposals before final approval.</t>
        </is>
      </c>
      <c r="F27" s="952" t="inlineStr">
        <is>
          <t>Yes</t>
        </is>
      </c>
      <c r="G27" s="1188" t="inlineStr">
        <is>
          <t>https://adamscountyco.gov/our-county/community-economic-development/planning-development/current-land-use-cases/</t>
        </is>
      </c>
      <c r="H27" s="1129" t="n">
        <v>46213</v>
      </c>
      <c r="I27" s="951" t="inlineStr">
        <is>
          <t>Critical</t>
        </is>
      </c>
    </row>
    <row r="28" ht="42" customHeight="1">
      <c r="A28" s="952" t="inlineStr">
        <is>
          <t>Adams County</t>
        </is>
      </c>
      <c r="B28" s="952" t="inlineStr">
        <is>
          <t>Long-Range Planning</t>
        </is>
      </c>
      <c r="C28" s="952" t="inlineStr">
        <is>
          <t>Advancing Adams Comprehensive Plan</t>
        </is>
      </c>
      <c r="D28" s="952" t="inlineStr">
        <is>
          <t>Countywide policy plan and future land-use maps for unincorporated Adams County.</t>
        </is>
      </c>
      <c r="E28" s="952" t="inlineStr">
        <is>
          <t>Evaluate future land-use direction, policy context and long-range growth patterns.</t>
        </is>
      </c>
      <c r="F28" s="952" t="inlineStr">
        <is>
          <t>Yes</t>
        </is>
      </c>
      <c r="G28" s="1188" t="inlineStr">
        <is>
          <t>https://adamscountyco.gov/our-county/community-economic-development/advancing-adams/comprehensive-plan/</t>
        </is>
      </c>
      <c r="H28" s="1129" t="n">
        <v>46213</v>
      </c>
      <c r="I28" s="951" t="inlineStr">
        <is>
          <t>High</t>
        </is>
      </c>
    </row>
    <row r="29" ht="42" customHeight="1">
      <c r="A29" s="952" t="inlineStr">
        <is>
          <t>Adams County</t>
        </is>
      </c>
      <c r="B29" s="952" t="inlineStr">
        <is>
          <t>Long-Range Planning</t>
        </is>
      </c>
      <c r="C29" s="952" t="inlineStr">
        <is>
          <t>Long Range Planning</t>
        </is>
      </c>
      <c r="D29" s="952" t="inlineStr">
        <is>
          <t>Adopted plans and ongoing long-range planning work.</t>
        </is>
      </c>
      <c r="E29" s="952" t="inlineStr">
        <is>
          <t>Find subarea, transportation and other adopted planning documents.</t>
        </is>
      </c>
      <c r="F29" s="952" t="inlineStr">
        <is>
          <t>Yes</t>
        </is>
      </c>
      <c r="G29" s="1188" t="inlineStr">
        <is>
          <t>https://adamscountyco.gov/our-county/community-economic-development/planning-development/long-range-planning/</t>
        </is>
      </c>
      <c r="H29" s="1129" t="n">
        <v>46213</v>
      </c>
      <c r="I29" s="951" t="inlineStr">
        <is>
          <t>High</t>
        </is>
      </c>
    </row>
    <row r="30" ht="42" customHeight="1">
      <c r="A30" s="952" t="inlineStr">
        <is>
          <t>Adams County</t>
        </is>
      </c>
      <c r="B30" s="952" t="inlineStr">
        <is>
          <t>Permits</t>
        </is>
      </c>
      <c r="C30" s="952" t="inlineStr">
        <is>
          <t>Permits &amp; Licensing</t>
        </is>
      </c>
      <c r="D30" s="952" t="inlineStr">
        <is>
          <t>County permit, license and Eye on Adams resources for unincorporated property.</t>
        </is>
      </c>
      <c r="E30" s="952" t="inlineStr">
        <is>
          <t>Find permit tools, licensing information and code-related records.</t>
        </is>
      </c>
      <c r="F30" s="952" t="inlineStr">
        <is>
          <t>Yes</t>
        </is>
      </c>
      <c r="G30" s="1188" t="inlineStr">
        <is>
          <t>https://adamscountyco.gov/our-county/community-economic-development/permits-licensing/</t>
        </is>
      </c>
      <c r="H30" s="1129" t="n">
        <v>46213</v>
      </c>
      <c r="I30" s="951" t="inlineStr">
        <is>
          <t>Critical</t>
        </is>
      </c>
    </row>
    <row r="31" ht="42" customHeight="1">
      <c r="A31" s="952" t="inlineStr">
        <is>
          <t>Adams County</t>
        </is>
      </c>
      <c r="B31" s="952" t="inlineStr">
        <is>
          <t>Permits</t>
        </is>
      </c>
      <c r="C31" s="952" t="inlineStr">
        <is>
          <t>Building Permit</t>
        </is>
      </c>
      <c r="D31" s="952" t="inlineStr">
        <is>
          <t>Building-permit application, review, payment and permit-tracking guidance.</t>
        </is>
      </c>
      <c r="E31" s="952" t="inlineStr">
        <is>
          <t>Research or apply for building permits in unincorporated Adams County.</t>
        </is>
      </c>
      <c r="F31" s="952" t="inlineStr">
        <is>
          <t>Yes</t>
        </is>
      </c>
      <c r="G31" s="1188" t="inlineStr">
        <is>
          <t>https://adamscountyco.gov/our-county/community-economic-development/building-safety/building-permit/</t>
        </is>
      </c>
      <c r="H31" s="1129" t="n">
        <v>46213</v>
      </c>
      <c r="I31" s="951" t="inlineStr">
        <is>
          <t>Critical</t>
        </is>
      </c>
    </row>
    <row r="32" ht="42" customHeight="1">
      <c r="A32" s="952" t="inlineStr">
        <is>
          <t>Adams County</t>
        </is>
      </c>
      <c r="B32" s="952" t="inlineStr">
        <is>
          <t>Permits</t>
        </is>
      </c>
      <c r="C32" s="952" t="inlineStr">
        <is>
          <t>Apply for a Building Permit</t>
        </is>
      </c>
      <c r="D32" s="952" t="inlineStr">
        <is>
          <t>Service guide to the building-permit process and required resources.</t>
        </is>
      </c>
      <c r="E32" s="952" t="inlineStr">
        <is>
          <t>Use as a concise application starting point.</t>
        </is>
      </c>
      <c r="F32" s="952" t="inlineStr">
        <is>
          <t>Yes</t>
        </is>
      </c>
      <c r="G32" s="1188" t="inlineStr">
        <is>
          <t>https://adamscountyco.gov/service/apply-for-a-building-permit/</t>
        </is>
      </c>
      <c r="H32" s="1129" t="n">
        <v>46213</v>
      </c>
      <c r="I32" s="951" t="inlineStr">
        <is>
          <t>High</t>
        </is>
      </c>
    </row>
    <row r="33" ht="42" customHeight="1">
      <c r="A33" s="952" t="inlineStr">
        <is>
          <t>Adams County</t>
        </is>
      </c>
      <c r="B33" s="952" t="inlineStr">
        <is>
          <t>Permits</t>
        </is>
      </c>
      <c r="C33" s="952" t="inlineStr">
        <is>
          <t>Permit Fees &amp; Contractor Registration</t>
        </is>
      </c>
      <c r="D33" s="952" t="inlineStr">
        <is>
          <t>Permit fee and contractor licensing information.</t>
        </is>
      </c>
      <c r="E33" s="952" t="inlineStr">
        <is>
          <t>Estimate administrative requirements and verify contractor registration procedures.</t>
        </is>
      </c>
      <c r="F33" s="952" t="inlineStr">
        <is>
          <t>Yes</t>
        </is>
      </c>
      <c r="G33" s="1188" t="inlineStr">
        <is>
          <t>https://adamscountyco.gov/our-county/community-economic-development/building-safety/permit-fees-contractor-registration/</t>
        </is>
      </c>
      <c r="H33" s="1129" t="n">
        <v>46213</v>
      </c>
      <c r="I33" s="951" t="inlineStr">
        <is>
          <t>Useful</t>
        </is>
      </c>
    </row>
    <row r="34" ht="42" customHeight="1">
      <c r="A34" s="952" t="inlineStr">
        <is>
          <t>Adams County</t>
        </is>
      </c>
      <c r="B34" s="952" t="inlineStr">
        <is>
          <t>Permits</t>
        </is>
      </c>
      <c r="C34" s="952" t="inlineStr">
        <is>
          <t>Submittal Checklists</t>
        </is>
      </c>
      <c r="D34" s="952" t="inlineStr">
        <is>
          <t>Checklists for development and building submittals.</t>
        </is>
      </c>
      <c r="E34" s="952" t="inlineStr">
        <is>
          <t>Confirm required documents before filing an application.</t>
        </is>
      </c>
      <c r="F34" s="952" t="inlineStr">
        <is>
          <t>Yes</t>
        </is>
      </c>
      <c r="G34" s="1188" t="inlineStr">
        <is>
          <t>https://adamscountyco.gov/our-county/community-economic-development/submittal-checklists/</t>
        </is>
      </c>
      <c r="H34" s="1129" t="n">
        <v>46213</v>
      </c>
      <c r="I34" s="951" t="inlineStr">
        <is>
          <t>High</t>
        </is>
      </c>
    </row>
    <row r="35" ht="42" customHeight="1">
      <c r="A35" s="952" t="inlineStr">
        <is>
          <t>Adams County</t>
        </is>
      </c>
      <c r="B35" s="952" t="inlineStr">
        <is>
          <t>Codes</t>
        </is>
      </c>
      <c r="C35" s="952" t="inlineStr">
        <is>
          <t>Codes &amp; Information</t>
        </is>
      </c>
      <c r="D35" s="952" t="inlineStr">
        <is>
          <t>Building codes, development regulations and related compliance resources.</t>
        </is>
      </c>
      <c r="E35" s="952" t="inlineStr">
        <is>
          <t>Verify current construction and land-use standards before design or acquisition.</t>
        </is>
      </c>
      <c r="F35" s="952" t="inlineStr">
        <is>
          <t>Yes</t>
        </is>
      </c>
      <c r="G35" s="1188" t="inlineStr">
        <is>
          <t>https://adamscountyco.gov/our-county/community-economic-development/permits-licensing/codes-information/</t>
        </is>
      </c>
      <c r="H35" s="1129" t="n">
        <v>46213</v>
      </c>
      <c r="I35" s="951" t="inlineStr">
        <is>
          <t>High</t>
        </is>
      </c>
    </row>
    <row r="36" ht="42" customHeight="1">
      <c r="A36" s="952" t="inlineStr">
        <is>
          <t>Adams County</t>
        </is>
      </c>
      <c r="B36" s="952" t="inlineStr">
        <is>
          <t>Online Tools</t>
        </is>
      </c>
      <c r="C36" s="952" t="inlineStr">
        <is>
          <t>Community &amp; Economic Development Online Resources</t>
        </is>
      </c>
      <c r="D36" s="952" t="inlineStr">
        <is>
          <t>Online research and application resources for planning, building and permits.</t>
        </is>
      </c>
      <c r="E36" s="952" t="inlineStr">
        <is>
          <t>Use as a consolidated starting point for development services.</t>
        </is>
      </c>
      <c r="F36" s="952" t="inlineStr">
        <is>
          <t>Yes</t>
        </is>
      </c>
      <c r="G36" s="1188" t="inlineStr">
        <is>
          <t>https://adamscountyco.gov/our-county/community-economic-development/online-resources/</t>
        </is>
      </c>
      <c r="H36" s="1129" t="n">
        <v>46213</v>
      </c>
      <c r="I36" s="951" t="inlineStr">
        <is>
          <t>Useful</t>
        </is>
      </c>
    </row>
    <row r="37" ht="42" customHeight="1">
      <c r="A37" s="952" t="inlineStr">
        <is>
          <t>Adams County</t>
        </is>
      </c>
      <c r="B37" s="952" t="inlineStr">
        <is>
          <t>Road / Access</t>
        </is>
      </c>
      <c r="C37" s="952" t="inlineStr">
        <is>
          <t>Public Works</t>
        </is>
      </c>
      <c r="D37" s="952" t="inlineStr">
        <is>
          <t>County roads, right-of-way, access, stormwater and infrastructure permit information.</t>
        </is>
      </c>
      <c r="E37" s="952" t="inlineStr">
        <is>
          <t>Check county road jurisdiction, access permits and public works projects.</t>
        </is>
      </c>
      <c r="F37" s="952" t="inlineStr">
        <is>
          <t>Yes</t>
        </is>
      </c>
      <c r="G37" s="1188" t="inlineStr">
        <is>
          <t>https://adamscountyco.gov/our-county/public-works/</t>
        </is>
      </c>
      <c r="H37" s="1129" t="n">
        <v>46213</v>
      </c>
      <c r="I37" s="951" t="inlineStr">
        <is>
          <t>High</t>
        </is>
      </c>
    </row>
    <row r="38" ht="42" customHeight="1">
      <c r="A38" s="952" t="inlineStr">
        <is>
          <t>Adams County</t>
        </is>
      </c>
      <c r="B38" s="952" t="inlineStr">
        <is>
          <t>Meetings</t>
        </is>
      </c>
      <c r="C38" s="952" t="inlineStr">
        <is>
          <t>Public Meetings</t>
        </is>
      </c>
      <c r="D38" s="952" t="inlineStr">
        <is>
          <t>County boards, commissions, hearings and public participation links.</t>
        </is>
      </c>
      <c r="E38" s="952" t="inlineStr">
        <is>
          <t>Monitor decisions and public-comment opportunities.</t>
        </is>
      </c>
      <c r="F38" s="952" t="inlineStr">
        <is>
          <t>Yes</t>
        </is>
      </c>
      <c r="G38" s="1188" t="inlineStr">
        <is>
          <t>https://adamscountyco.gov/about-adams-county/public-meetings/</t>
        </is>
      </c>
      <c r="H38" s="1129" t="n">
        <v>46213</v>
      </c>
      <c r="I38" s="951" t="inlineStr">
        <is>
          <t>High</t>
        </is>
      </c>
    </row>
    <row r="39" ht="42" customHeight="1">
      <c r="A39" s="952" t="inlineStr">
        <is>
          <t>Adams County</t>
        </is>
      </c>
      <c r="B39" s="952" t="inlineStr">
        <is>
          <t>Meetings</t>
        </is>
      </c>
      <c r="C39" s="952" t="inlineStr">
        <is>
          <t>Current Meeting Agendas &amp; Archives</t>
        </is>
      </c>
      <c r="D39" s="952" t="inlineStr">
        <is>
          <t>Board of County Commissioners agendas, minutes, audio and public hearing information.</t>
        </is>
      </c>
      <c r="E39" s="952" t="inlineStr">
        <is>
          <t>Track pending and completed county actions.</t>
        </is>
      </c>
      <c r="F39" s="952" t="inlineStr">
        <is>
          <t>Yes</t>
        </is>
      </c>
      <c r="G39" s="1188" t="inlineStr">
        <is>
          <t>https://adamscountyco.gov/our-county/elected-officials/board-of-county-commissioners/current-meeting-agendas-archives/</t>
        </is>
      </c>
      <c r="H39" s="1129" t="n">
        <v>46213</v>
      </c>
      <c r="I39" s="951" t="inlineStr">
        <is>
          <t>High</t>
        </is>
      </c>
    </row>
    <row r="40" ht="42" customHeight="1">
      <c r="A40" s="952" t="inlineStr">
        <is>
          <t>Adams County</t>
        </is>
      </c>
      <c r="B40" s="952" t="inlineStr">
        <is>
          <t>News</t>
        </is>
      </c>
      <c r="C40" s="952" t="inlineStr">
        <is>
          <t>Adams County News</t>
        </is>
      </c>
      <c r="D40" s="952" t="inlineStr">
        <is>
          <t>Official county news and announcements.</t>
        </is>
      </c>
      <c r="E40" s="952" t="inlineStr">
        <is>
          <t>Monitor code updates, projects, hearings, public programs and policy changes.</t>
        </is>
      </c>
      <c r="F40" s="952" t="inlineStr">
        <is>
          <t>Yes</t>
        </is>
      </c>
      <c r="G40" s="1188" t="inlineStr">
        <is>
          <t>https://adamscountyco.gov/about-adams-county/news/</t>
        </is>
      </c>
      <c r="H40" s="1129" t="n">
        <v>46213</v>
      </c>
      <c r="I40" s="951" t="inlineStr">
        <is>
          <t>High</t>
        </is>
      </c>
    </row>
    <row r="41" ht="42" customHeight="1">
      <c r="A41" s="952" t="inlineStr">
        <is>
          <t>Adams County</t>
        </is>
      </c>
      <c r="B41" s="952" t="inlineStr">
        <is>
          <t>News</t>
        </is>
      </c>
      <c r="C41" s="952" t="inlineStr">
        <is>
          <t>Planning &amp; Development News &amp; Updates</t>
        </is>
      </c>
      <c r="D41" s="952" t="inlineStr">
        <is>
          <t>Updates from the county planning and development division.</t>
        </is>
      </c>
      <c r="E41" s="952" t="inlineStr">
        <is>
          <t>Watch for development-regulation changes and planning initiatives.</t>
        </is>
      </c>
      <c r="F41" s="952" t="inlineStr">
        <is>
          <t>Yes</t>
        </is>
      </c>
      <c r="G41" s="1188" t="inlineStr">
        <is>
          <t>https://adamscountyco.gov/our-county/community-economic-development/planning-development/news-updates/</t>
        </is>
      </c>
      <c r="H41" s="1129" t="n">
        <v>46213</v>
      </c>
      <c r="I41" s="951" t="inlineStr">
        <is>
          <t>High</t>
        </is>
      </c>
    </row>
  </sheetData>
  <mergeCells count="2">
    <mergeCell ref="A1:I1"/>
    <mergeCell ref="A2:I2"/>
  </mergeCells>
  <dataValidations count="1">
    <dataValidation sqref="I5:I41"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J176"/>
  <sheetViews>
    <sheetView workbookViewId="0">
      <selection activeCell="A1" sqref="A1"/>
    </sheetView>
  </sheetViews>
  <sheetFormatPr baseColWidth="8" defaultRowHeight="15"/>
  <cols>
    <col width="18" customWidth="1" min="1" max="1"/>
    <col width="23" customWidth="1" min="2" max="2"/>
    <col width="32" customWidth="1" min="3" max="3"/>
    <col width="52" customWidth="1" min="4" max="4"/>
    <col width="52" customWidth="1" min="5" max="5"/>
    <col width="6" customWidth="1" min="6" max="6"/>
    <col width="52" customWidth="1" min="7" max="7"/>
    <col width="52" customWidth="1" min="8" max="8"/>
    <col width="21" customWidth="1" min="9" max="9"/>
    <col width="12" customWidth="1" min="10" max="10"/>
  </cols>
  <sheetData>
    <row r="1" ht="32" customHeight="1">
      <c r="A1" s="957" t="inlineStr">
        <is>
          <t>Municipal Property, Zoning, Planning, Development &amp; Permit Directory</t>
        </is>
      </c>
    </row>
    <row r="2" ht="28" customHeight="1">
      <c r="A2" s="958" t="inlineStr">
        <is>
          <t>Detailed official resources for Arvada, Aurora, Bennett, Brighton, Commerce City, Federal Heights, Lochbuie, Northglenn, Thornton and Westminster.</t>
        </is>
      </c>
    </row>
    <row r="4" ht="30" customHeight="1">
      <c r="A4" s="959" t="inlineStr">
        <is>
          <t>Municipality</t>
        </is>
      </c>
      <c r="B4" s="959" t="inlineStr">
        <is>
          <t>Category</t>
        </is>
      </c>
      <c r="C4" s="959" t="inlineStr">
        <is>
          <t>Resource</t>
        </is>
      </c>
      <c r="D4" s="1187" t="inlineStr">
        <is>
          <t>What It Provides</t>
        </is>
      </c>
      <c r="E4" s="1187" t="inlineStr">
        <is>
          <t>Best Use</t>
        </is>
      </c>
      <c r="F4" s="959" t="inlineStr">
        <is>
          <t>Official</t>
        </is>
      </c>
      <c r="G4" s="1187" t="inlineStr">
        <is>
          <t>URL</t>
        </is>
      </c>
      <c r="H4" s="1187" t="inlineStr">
        <is>
          <t>Coverage Note</t>
        </is>
      </c>
      <c r="I4" s="959" t="inlineStr">
        <is>
          <t>Verified</t>
        </is>
      </c>
      <c r="J4" s="959" t="inlineStr">
        <is>
          <t>Priority</t>
        </is>
      </c>
    </row>
    <row r="5" ht="42" customHeight="1">
      <c r="A5" s="952" t="inlineStr">
        <is>
          <t>Arvada</t>
        </is>
      </c>
      <c r="B5" s="952" t="inlineStr">
        <is>
          <t>Official Website</t>
        </is>
      </c>
      <c r="C5" s="952" t="inlineStr">
        <is>
          <t>City of Arvada</t>
        </is>
      </c>
      <c r="D5" s="952" t="inlineStr">
        <is>
          <t>Main city website and departmental navigation.</t>
        </is>
      </c>
      <c r="E5" s="952" t="inlineStr">
        <is>
          <t>Verify current city contacts and services.</t>
        </is>
      </c>
      <c r="F5" s="952" t="inlineStr">
        <is>
          <t>Yes</t>
        </is>
      </c>
      <c r="G5" s="1188" t="inlineStr">
        <is>
          <t>https://www.arvadaco.gov/</t>
        </is>
      </c>
      <c r="H5" s="952" t="inlineStr">
        <is>
          <t>Use for parcels inside this jurisdiction; confirm the parcel's actual county before relying on county recorder or assessor records.</t>
        </is>
      </c>
      <c r="I5" s="1129" t="n">
        <v>46213</v>
      </c>
      <c r="J5" s="951" t="inlineStr">
        <is>
          <t>Reference</t>
        </is>
      </c>
    </row>
    <row r="6" ht="42" customHeight="1">
      <c r="A6" s="952" t="inlineStr">
        <is>
          <t>Arvada</t>
        </is>
      </c>
      <c r="B6" s="952" t="inlineStr">
        <is>
          <t>GIS / Property</t>
        </is>
      </c>
      <c r="C6" s="952" t="inlineStr">
        <is>
          <t>Maps and Property Search</t>
        </is>
      </c>
      <c r="D6" s="952" t="inlineStr">
        <is>
          <t>City maps and parcel/property research links.</t>
        </is>
      </c>
      <c r="E6" s="952" t="inlineStr">
        <is>
          <t>Locate parcels, zoning and mapped city information.</t>
        </is>
      </c>
      <c r="F6" s="952" t="inlineStr">
        <is>
          <t>Yes</t>
        </is>
      </c>
      <c r="G6" s="1188" t="inlineStr">
        <is>
          <t>https://www.arvadaco.gov/702/Maps-and-Property-Search</t>
        </is>
      </c>
      <c r="H6" s="952" t="inlineStr">
        <is>
          <t>Use for parcels inside this jurisdiction; confirm the parcel's actual county before relying on county recorder or assessor records.</t>
        </is>
      </c>
      <c r="I6" s="1129" t="n">
        <v>46213</v>
      </c>
      <c r="J6" s="951" t="inlineStr">
        <is>
          <t>Critical</t>
        </is>
      </c>
    </row>
    <row r="7" ht="42" customHeight="1">
      <c r="A7" s="952" t="inlineStr">
        <is>
          <t>Arvada</t>
        </is>
      </c>
      <c r="B7" s="952" t="inlineStr">
        <is>
          <t>Zoning</t>
        </is>
      </c>
      <c r="C7" s="952" t="inlineStr">
        <is>
          <t>Zoning</t>
        </is>
      </c>
      <c r="D7" s="952" t="inlineStr">
        <is>
          <t>Zoning districts, regulations and zoning information.</t>
        </is>
      </c>
      <c r="E7" s="952" t="inlineStr">
        <is>
          <t>Confirm district and permitted-use rules.</t>
        </is>
      </c>
      <c r="F7" s="952" t="inlineStr">
        <is>
          <t>Yes</t>
        </is>
      </c>
      <c r="G7" s="1188" t="inlineStr">
        <is>
          <t>https://www.arvadaco.gov/168/Zoning</t>
        </is>
      </c>
      <c r="H7" s="952" t="inlineStr">
        <is>
          <t>Use for parcels inside this jurisdiction; confirm the parcel's actual county before relying on county recorder or assessor records.</t>
        </is>
      </c>
      <c r="I7" s="1129" t="n">
        <v>46213</v>
      </c>
      <c r="J7" s="951" t="inlineStr">
        <is>
          <t>Critical</t>
        </is>
      </c>
    </row>
    <row r="8" ht="42" customHeight="1">
      <c r="A8" s="952" t="inlineStr">
        <is>
          <t>Arvada</t>
        </is>
      </c>
      <c r="B8" s="952" t="inlineStr">
        <is>
          <t>Planning</t>
        </is>
      </c>
      <c r="C8" s="952" t="inlineStr">
        <is>
          <t>Planning and Development</t>
        </is>
      </c>
      <c r="D8" s="952" t="inlineStr">
        <is>
          <t>Planning, land use, development review and long-range resources.</t>
        </is>
      </c>
      <c r="E8" s="952" t="inlineStr">
        <is>
          <t>Start development or entitlement research.</t>
        </is>
      </c>
      <c r="F8" s="952" t="inlineStr">
        <is>
          <t>Yes</t>
        </is>
      </c>
      <c r="G8" s="1188" t="inlineStr">
        <is>
          <t>https://www.arvadaco.gov/1369/Planning-and-Development</t>
        </is>
      </c>
      <c r="H8" s="952" t="inlineStr">
        <is>
          <t>Use for parcels inside this jurisdiction; confirm the parcel's actual county before relying on county recorder or assessor records.</t>
        </is>
      </c>
      <c r="I8" s="1129" t="n">
        <v>46213</v>
      </c>
      <c r="J8" s="951" t="inlineStr">
        <is>
          <t>Critical</t>
        </is>
      </c>
    </row>
    <row r="9" ht="42" customHeight="1">
      <c r="A9" s="952" t="inlineStr">
        <is>
          <t>Arvada</t>
        </is>
      </c>
      <c r="B9" s="952" t="inlineStr">
        <is>
          <t>Code</t>
        </is>
      </c>
      <c r="C9" s="952" t="inlineStr">
        <is>
          <t>Land Development Code</t>
        </is>
      </c>
      <c r="D9" s="952" t="inlineStr">
        <is>
          <t>Current land-development regulations.</t>
        </is>
      </c>
      <c r="E9" s="952" t="inlineStr">
        <is>
          <t>Review use, dimensional, design and review standards.</t>
        </is>
      </c>
      <c r="F9" s="952" t="inlineStr">
        <is>
          <t>Yes</t>
        </is>
      </c>
      <c r="G9" s="1188" t="inlineStr">
        <is>
          <t>https://www.arvadaco.gov/1397/Land-Development-Code</t>
        </is>
      </c>
      <c r="H9" s="952" t="inlineStr">
        <is>
          <t>Use for parcels inside this jurisdiction; confirm the parcel's actual county before relying on county recorder or assessor records.</t>
        </is>
      </c>
      <c r="I9" s="1129" t="n">
        <v>46213</v>
      </c>
      <c r="J9" s="951" t="inlineStr">
        <is>
          <t>Critical</t>
        </is>
      </c>
    </row>
    <row r="10" ht="42" customHeight="1">
      <c r="A10" s="952" t="inlineStr">
        <is>
          <t>Arvada</t>
        </is>
      </c>
      <c r="B10" s="952" t="inlineStr">
        <is>
          <t>Development</t>
        </is>
      </c>
      <c r="C10" s="952" t="inlineStr">
        <is>
          <t>Active Development Projects</t>
        </is>
      </c>
      <c r="D10" s="952" t="inlineStr">
        <is>
          <t>Map/list of current development projects.</t>
        </is>
      </c>
      <c r="E10" s="952" t="inlineStr">
        <is>
          <t>Identify pending or active projects near a target property.</t>
        </is>
      </c>
      <c r="F10" s="952" t="inlineStr">
        <is>
          <t>Yes</t>
        </is>
      </c>
      <c r="G10" s="1188" t="inlineStr">
        <is>
          <t>https://www.arvadaco.gov/1394/Active-Development-Projects</t>
        </is>
      </c>
      <c r="H10" s="952" t="inlineStr">
        <is>
          <t>Use for parcels inside this jurisdiction; confirm the parcel's actual county before relying on county recorder or assessor records.</t>
        </is>
      </c>
      <c r="I10" s="1129" t="n">
        <v>46213</v>
      </c>
      <c r="J10" s="951" t="inlineStr">
        <is>
          <t>High</t>
        </is>
      </c>
    </row>
    <row r="11" ht="42" customHeight="1">
      <c r="A11" s="952" t="inlineStr">
        <is>
          <t>Arvada</t>
        </is>
      </c>
      <c r="B11" s="952" t="inlineStr">
        <is>
          <t>Development</t>
        </is>
      </c>
      <c r="C11" s="952" t="inlineStr">
        <is>
          <t>Development Review Process</t>
        </is>
      </c>
      <c r="D11" s="952" t="inlineStr">
        <is>
          <t>Explanation of land-use and development review steps.</t>
        </is>
      </c>
      <c r="E11" s="952" t="inlineStr">
        <is>
          <t>Estimate entitlement path and required approvals.</t>
        </is>
      </c>
      <c r="F11" s="952" t="inlineStr">
        <is>
          <t>Yes</t>
        </is>
      </c>
      <c r="G11" s="1188" t="inlineStr">
        <is>
          <t>https://www.arvadaco.gov/1393/Development-Review-Process</t>
        </is>
      </c>
      <c r="H11" s="952" t="inlineStr">
        <is>
          <t>Use for parcels inside this jurisdiction; confirm the parcel's actual county before relying on county recorder or assessor records.</t>
        </is>
      </c>
      <c r="I11" s="1129" t="n">
        <v>46213</v>
      </c>
      <c r="J11" s="951" t="inlineStr">
        <is>
          <t>High</t>
        </is>
      </c>
    </row>
    <row r="12" ht="42" customHeight="1">
      <c r="A12" s="952" t="inlineStr">
        <is>
          <t>Arvada</t>
        </is>
      </c>
      <c r="B12" s="952" t="inlineStr">
        <is>
          <t>Planning Documents</t>
        </is>
      </c>
      <c r="C12" s="952" t="inlineStr">
        <is>
          <t>Documents and Downloads</t>
        </is>
      </c>
      <c r="D12" s="952" t="inlineStr">
        <is>
          <t>Applications, checklists, plans and planning documents.</t>
        </is>
      </c>
      <c r="E12" s="952" t="inlineStr">
        <is>
          <t>Collect forms and supporting standards.</t>
        </is>
      </c>
      <c r="F12" s="952" t="inlineStr">
        <is>
          <t>Yes</t>
        </is>
      </c>
      <c r="G12" s="1188" t="inlineStr">
        <is>
          <t>https://www.arvadaco.gov/363/Documents-and-Downloads</t>
        </is>
      </c>
      <c r="H12" s="952" t="inlineStr">
        <is>
          <t>Use for parcels inside this jurisdiction; confirm the parcel's actual county before relying on county recorder or assessor records.</t>
        </is>
      </c>
      <c r="I12" s="1129" t="n">
        <v>46213</v>
      </c>
      <c r="J12" s="951" t="inlineStr">
        <is>
          <t>Useful</t>
        </is>
      </c>
    </row>
    <row r="13" ht="42" customHeight="1">
      <c r="A13" s="952" t="inlineStr">
        <is>
          <t>Arvada</t>
        </is>
      </c>
      <c r="B13" s="952" t="inlineStr">
        <is>
          <t>Permits</t>
        </is>
      </c>
      <c r="C13" s="952" t="inlineStr">
        <is>
          <t>Permits</t>
        </is>
      </c>
      <c r="D13" s="952" t="inlineStr">
        <is>
          <t>City permit portal and permit categories.</t>
        </is>
      </c>
      <c r="E13" s="952" t="inlineStr">
        <is>
          <t>Find applicable city permits.</t>
        </is>
      </c>
      <c r="F13" s="952" t="inlineStr">
        <is>
          <t>Yes</t>
        </is>
      </c>
      <c r="G13" s="1188" t="inlineStr">
        <is>
          <t>https://www.arvadaco.gov/330/Permits</t>
        </is>
      </c>
      <c r="H13" s="952" t="inlineStr">
        <is>
          <t>Use for parcels inside this jurisdiction; confirm the parcel's actual county before relying on county recorder or assessor records.</t>
        </is>
      </c>
      <c r="I13" s="1129" t="n">
        <v>46213</v>
      </c>
      <c r="J13" s="951" t="inlineStr">
        <is>
          <t>High</t>
        </is>
      </c>
    </row>
    <row r="14" ht="42" customHeight="1">
      <c r="A14" s="952" t="inlineStr">
        <is>
          <t>Arvada</t>
        </is>
      </c>
      <c r="B14" s="952" t="inlineStr">
        <is>
          <t>Permits</t>
        </is>
      </c>
      <c r="C14" s="952" t="inlineStr">
        <is>
          <t>Building Permits</t>
        </is>
      </c>
      <c r="D14" s="952" t="inlineStr">
        <is>
          <t>Building-permit requirements and guidance.</t>
        </is>
      </c>
      <c r="E14" s="952" t="inlineStr">
        <is>
          <t>Research construction permit needs.</t>
        </is>
      </c>
      <c r="F14" s="952" t="inlineStr">
        <is>
          <t>Yes</t>
        </is>
      </c>
      <c r="G14" s="1188" t="inlineStr">
        <is>
          <t>https://www.arvadaco.gov/332/Building-Permits</t>
        </is>
      </c>
      <c r="H14" s="952" t="inlineStr">
        <is>
          <t>Use for parcels inside this jurisdiction; confirm the parcel's actual county before relying on county recorder or assessor records.</t>
        </is>
      </c>
      <c r="I14" s="1129" t="n">
        <v>46213</v>
      </c>
      <c r="J14" s="951" t="inlineStr">
        <is>
          <t>Critical</t>
        </is>
      </c>
    </row>
    <row r="15" ht="42" customHeight="1">
      <c r="A15" s="952" t="inlineStr">
        <is>
          <t>Arvada</t>
        </is>
      </c>
      <c r="B15" s="952" t="inlineStr">
        <is>
          <t>Permits</t>
        </is>
      </c>
      <c r="C15" s="952" t="inlineStr">
        <is>
          <t>eTRAKiT Help</t>
        </is>
      </c>
      <c r="D15" s="952" t="inlineStr">
        <is>
          <t>Online permit and project portal help.</t>
        </is>
      </c>
      <c r="E15" s="952" t="inlineStr">
        <is>
          <t>Search or manage permits and development cases.</t>
        </is>
      </c>
      <c r="F15" s="952" t="inlineStr">
        <is>
          <t>Yes</t>
        </is>
      </c>
      <c r="G15" s="1188" t="inlineStr">
        <is>
          <t>https://www.arvadaco.gov/593/eTRAKiT-Help/permithelp</t>
        </is>
      </c>
      <c r="H15" s="952" t="inlineStr">
        <is>
          <t>Use for parcels inside this jurisdiction; confirm the parcel's actual county before relying on county recorder or assessor records.</t>
        </is>
      </c>
      <c r="I15" s="1129" t="n">
        <v>46213</v>
      </c>
      <c r="J15" s="951" t="inlineStr">
        <is>
          <t>High</t>
        </is>
      </c>
    </row>
    <row r="16" ht="42" customHeight="1">
      <c r="A16" s="952" t="inlineStr">
        <is>
          <t>Arvada</t>
        </is>
      </c>
      <c r="B16" s="952" t="inlineStr">
        <is>
          <t>Permit History</t>
        </is>
      </c>
      <c r="C16" s="952" t="inlineStr">
        <is>
          <t>Researching Permits</t>
        </is>
      </c>
      <c r="D16" s="952" t="inlineStr">
        <is>
          <t>Instructions for researching historical permits.</t>
        </is>
      </c>
      <c r="E16" s="952" t="inlineStr">
        <is>
          <t>Check prior construction and permit records.</t>
        </is>
      </c>
      <c r="F16" s="952" t="inlineStr">
        <is>
          <t>Yes</t>
        </is>
      </c>
      <c r="G16" s="1188" t="inlineStr">
        <is>
          <t>https://www.arvadaco.gov/627/Researching-Permits</t>
        </is>
      </c>
      <c r="H16" s="952" t="inlineStr">
        <is>
          <t>Use for parcels inside this jurisdiction; confirm the parcel's actual county before relying on county recorder or assessor records.</t>
        </is>
      </c>
      <c r="I16" s="1129" t="n">
        <v>46213</v>
      </c>
      <c r="J16" s="951" t="inlineStr">
        <is>
          <t>High</t>
        </is>
      </c>
    </row>
    <row r="17" ht="42" customHeight="1">
      <c r="A17" s="952" t="inlineStr">
        <is>
          <t>Arvada</t>
        </is>
      </c>
      <c r="B17" s="952" t="inlineStr">
        <is>
          <t>Long-Range Planning</t>
        </is>
      </c>
      <c r="C17" s="952" t="inlineStr">
        <is>
          <t>2026-27 Comprehensive Plan</t>
        </is>
      </c>
      <c r="D17" s="952" t="inlineStr">
        <is>
          <t>Current comprehensive-plan update information.</t>
        </is>
      </c>
      <c r="E17" s="952" t="inlineStr">
        <is>
          <t>Track future land-use policy and plan changes.</t>
        </is>
      </c>
      <c r="F17" s="952" t="inlineStr">
        <is>
          <t>Yes</t>
        </is>
      </c>
      <c r="G17" s="1188" t="inlineStr">
        <is>
          <t>https://www.arvadaco.gov/1374/2026-27-Comprehensive-Plan</t>
        </is>
      </c>
      <c r="H17" s="952" t="inlineStr">
        <is>
          <t>Use for parcels inside this jurisdiction; confirm the parcel's actual county before relying on county recorder or assessor records.</t>
        </is>
      </c>
      <c r="I17" s="1129" t="n">
        <v>46213</v>
      </c>
      <c r="J17" s="951" t="inlineStr">
        <is>
          <t>High</t>
        </is>
      </c>
    </row>
    <row r="18" ht="42" customHeight="1">
      <c r="A18" s="952" t="inlineStr">
        <is>
          <t>Arvada</t>
        </is>
      </c>
      <c r="B18" s="952" t="inlineStr">
        <is>
          <t>Plans</t>
        </is>
      </c>
      <c r="C18" s="952" t="inlineStr">
        <is>
          <t>City Plans</t>
        </is>
      </c>
      <c r="D18" s="952" t="inlineStr">
        <is>
          <t>Adopted and ongoing city plans.</t>
        </is>
      </c>
      <c r="E18" s="952" t="inlineStr">
        <is>
          <t>Review subarea and long-range policy documents.</t>
        </is>
      </c>
      <c r="F18" s="952" t="inlineStr">
        <is>
          <t>Yes</t>
        </is>
      </c>
      <c r="G18" s="1188" t="inlineStr">
        <is>
          <t>https://www.arvadaco.gov/304/City-Plans</t>
        </is>
      </c>
      <c r="H18" s="952" t="inlineStr">
        <is>
          <t>Use for parcels inside this jurisdiction; confirm the parcel's actual county before relying on county recorder or assessor records.</t>
        </is>
      </c>
      <c r="I18" s="1129" t="n">
        <v>46213</v>
      </c>
      <c r="J18" s="951" t="inlineStr">
        <is>
          <t>Useful</t>
        </is>
      </c>
    </row>
    <row r="19" ht="42" customHeight="1">
      <c r="A19" s="952" t="inlineStr">
        <is>
          <t>Arvada</t>
        </is>
      </c>
      <c r="B19" s="952" t="inlineStr">
        <is>
          <t>Meetings</t>
        </is>
      </c>
      <c r="C19" s="952" t="inlineStr">
        <is>
          <t>Planning Commission</t>
        </is>
      </c>
      <c r="D19" s="952" t="inlineStr">
        <is>
          <t>Planning Commission information and meeting resources.</t>
        </is>
      </c>
      <c r="E19" s="952" t="inlineStr">
        <is>
          <t>Monitor land-use recommendations and hearings.</t>
        </is>
      </c>
      <c r="F19" s="952" t="inlineStr">
        <is>
          <t>Yes</t>
        </is>
      </c>
      <c r="G19" s="1188" t="inlineStr">
        <is>
          <t>https://www.arvadaco.gov/276/Planning-Commission</t>
        </is>
      </c>
      <c r="H19" s="952" t="inlineStr">
        <is>
          <t>Use for parcels inside this jurisdiction; confirm the parcel's actual county before relying on county recorder or assessor records.</t>
        </is>
      </c>
      <c r="I19" s="1129" t="n">
        <v>46213</v>
      </c>
      <c r="J19" s="951" t="inlineStr">
        <is>
          <t>High</t>
        </is>
      </c>
    </row>
    <row r="20" ht="42" customHeight="1">
      <c r="A20" s="952" t="inlineStr">
        <is>
          <t>Arvada</t>
        </is>
      </c>
      <c r="B20" s="952" t="inlineStr">
        <is>
          <t>Meetings</t>
        </is>
      </c>
      <c r="C20" s="952" t="inlineStr">
        <is>
          <t>Agenda Center</t>
        </is>
      </c>
      <c r="D20" s="952" t="inlineStr">
        <is>
          <t>Agendas and minutes for city boards and council.</t>
        </is>
      </c>
      <c r="E20" s="952" t="inlineStr">
        <is>
          <t>Track official actions and hearing dates.</t>
        </is>
      </c>
      <c r="F20" s="952" t="inlineStr">
        <is>
          <t>Yes</t>
        </is>
      </c>
      <c r="G20" s="1188" t="inlineStr">
        <is>
          <t>https://www.arvadaco.gov/AgendaCenter</t>
        </is>
      </c>
      <c r="H20" s="952" t="inlineStr">
        <is>
          <t>Use for parcels inside this jurisdiction; confirm the parcel's actual county before relying on county recorder or assessor records.</t>
        </is>
      </c>
      <c r="I20" s="1129" t="n">
        <v>46213</v>
      </c>
      <c r="J20" s="951" t="inlineStr">
        <is>
          <t>High</t>
        </is>
      </c>
    </row>
    <row r="21" ht="42" customHeight="1">
      <c r="A21" s="952" t="inlineStr">
        <is>
          <t>Arvada</t>
        </is>
      </c>
      <c r="B21" s="952" t="inlineStr">
        <is>
          <t>Public Notices</t>
        </is>
      </c>
      <c r="C21" s="952" t="inlineStr">
        <is>
          <t>Meetings and Other Legal Notices</t>
        </is>
      </c>
      <c r="D21" s="952" t="inlineStr">
        <is>
          <t>Official notices and public-hearing information.</t>
        </is>
      </c>
      <c r="E21" s="952" t="inlineStr">
        <is>
          <t>Confirm formal notice and comment deadlines.</t>
        </is>
      </c>
      <c r="F21" s="952" t="inlineStr">
        <is>
          <t>Yes</t>
        </is>
      </c>
      <c r="G21" s="1188" t="inlineStr">
        <is>
          <t>https://www.arvadaco.gov/245/Meetings-and-Other-Legal-Notices</t>
        </is>
      </c>
      <c r="H21" s="952" t="inlineStr">
        <is>
          <t>Use for parcels inside this jurisdiction; confirm the parcel's actual county before relying on county recorder or assessor records.</t>
        </is>
      </c>
      <c r="I21" s="1129" t="n">
        <v>46213</v>
      </c>
      <c r="J21" s="951" t="inlineStr">
        <is>
          <t>High</t>
        </is>
      </c>
    </row>
    <row r="22" ht="42" customHeight="1">
      <c r="A22" s="952" t="inlineStr">
        <is>
          <t>Arvada</t>
        </is>
      </c>
      <c r="B22" s="952" t="inlineStr">
        <is>
          <t>News</t>
        </is>
      </c>
      <c r="C22" s="952" t="inlineStr">
        <is>
          <t>News Releases</t>
        </is>
      </c>
      <c r="D22" s="952" t="inlineStr">
        <is>
          <t>Official city news releases.</t>
        </is>
      </c>
      <c r="E22" s="952" t="inlineStr">
        <is>
          <t>Monitor city projects, policy and development announcements.</t>
        </is>
      </c>
      <c r="F22" s="952" t="inlineStr">
        <is>
          <t>Yes</t>
        </is>
      </c>
      <c r="G22" s="1188" t="inlineStr">
        <is>
          <t>https://www.arvadaco.gov/908/News-Releases</t>
        </is>
      </c>
      <c r="H22" s="952" t="inlineStr">
        <is>
          <t>Use for parcels inside this jurisdiction; confirm the parcel's actual county before relying on county recorder or assessor records.</t>
        </is>
      </c>
      <c r="I22" s="1129" t="n">
        <v>46213</v>
      </c>
      <c r="J22" s="951" t="inlineStr">
        <is>
          <t>Useful</t>
        </is>
      </c>
    </row>
    <row r="23" ht="42" customHeight="1">
      <c r="A23" s="952" t="inlineStr">
        <is>
          <t>Arvada</t>
        </is>
      </c>
      <c r="B23" s="952" t="inlineStr">
        <is>
          <t>Public Records</t>
        </is>
      </c>
      <c r="C23" s="952" t="inlineStr">
        <is>
          <t>Records and Requests</t>
        </is>
      </c>
      <c r="D23" s="952" t="inlineStr">
        <is>
          <t>Public records request information.</t>
        </is>
      </c>
      <c r="E23" s="952" t="inlineStr">
        <is>
          <t>Request records not available in online systems.</t>
        </is>
      </c>
      <c r="F23" s="952" t="inlineStr">
        <is>
          <t>Yes</t>
        </is>
      </c>
      <c r="G23" s="1188" t="inlineStr">
        <is>
          <t>https://www.arvadaco.gov/247/Records-and-Requests</t>
        </is>
      </c>
      <c r="H23" s="952" t="inlineStr">
        <is>
          <t>Use for parcels inside this jurisdiction; confirm the parcel's actual county before relying on county recorder or assessor records.</t>
        </is>
      </c>
      <c r="I23" s="1129" t="n">
        <v>46213</v>
      </c>
      <c r="J23" s="951" t="inlineStr">
        <is>
          <t>High</t>
        </is>
      </c>
    </row>
    <row r="24" ht="42" customHeight="1">
      <c r="A24" s="952" t="inlineStr">
        <is>
          <t>Aurora</t>
        </is>
      </c>
      <c r="B24" s="952" t="inlineStr">
        <is>
          <t>Official Website</t>
        </is>
      </c>
      <c r="C24" s="952" t="inlineStr">
        <is>
          <t>City of Aurora</t>
        </is>
      </c>
      <c r="D24" s="952" t="inlineStr">
        <is>
          <t>Main city website.</t>
        </is>
      </c>
      <c r="E24" s="952" t="inlineStr">
        <is>
          <t>Navigate city departments and services.</t>
        </is>
      </c>
      <c r="F24" s="952" t="inlineStr">
        <is>
          <t>Yes</t>
        </is>
      </c>
      <c r="G24" s="1188" t="inlineStr">
        <is>
          <t>https://www.auroragov.org/</t>
        </is>
      </c>
      <c r="H24" s="952" t="inlineStr">
        <is>
          <t>Use for parcels inside this jurisdiction; confirm the parcel's actual county before relying on county recorder or assessor records.</t>
        </is>
      </c>
      <c r="I24" s="1129" t="n">
        <v>46213</v>
      </c>
      <c r="J24" s="951" t="inlineStr">
        <is>
          <t>Reference</t>
        </is>
      </c>
    </row>
    <row r="25" ht="42" customHeight="1">
      <c r="A25" s="952" t="inlineStr">
        <is>
          <t>Aurora</t>
        </is>
      </c>
      <c r="B25" s="952" t="inlineStr">
        <is>
          <t>GIS / Property</t>
        </is>
      </c>
      <c r="C25" s="952" t="inlineStr">
        <is>
          <t>Planning and Zoning Maps</t>
        </is>
      </c>
      <c r="D25" s="952" t="inlineStr">
        <is>
          <t>Planning, zoning and related interactive maps.</t>
        </is>
      </c>
      <c r="E25" s="952" t="inlineStr">
        <is>
          <t>Locate zoning, plan areas and mapped land-use information.</t>
        </is>
      </c>
      <c r="F25" s="952" t="inlineStr">
        <is>
          <t>Yes</t>
        </is>
      </c>
      <c r="G25" s="1188" t="inlineStr">
        <is>
          <t>https://www.auroragov.org/city_hall/maps/planning_and_zoning_maps</t>
        </is>
      </c>
      <c r="H25" s="952" t="inlineStr">
        <is>
          <t>Use for parcels inside this jurisdiction; confirm the parcel's actual county before relying on county recorder or assessor records.</t>
        </is>
      </c>
      <c r="I25" s="1129" t="n">
        <v>46213</v>
      </c>
      <c r="J25" s="951" t="inlineStr">
        <is>
          <t>Critical</t>
        </is>
      </c>
    </row>
    <row r="26" ht="42" customHeight="1">
      <c r="A26" s="952" t="inlineStr">
        <is>
          <t>Aurora</t>
        </is>
      </c>
      <c r="B26" s="952" t="inlineStr">
        <is>
          <t>GIS / Open Data</t>
        </is>
      </c>
      <c r="C26" s="952" t="inlineStr">
        <is>
          <t>Aurora Open Data Map Services</t>
        </is>
      </c>
      <c r="D26" s="952" t="inlineStr">
        <is>
          <t>City GIS open-data map services.</t>
        </is>
      </c>
      <c r="E26" s="952" t="inlineStr">
        <is>
          <t>Use detailed GIS layers or connect mapping software.</t>
        </is>
      </c>
      <c r="F26" s="952" t="inlineStr">
        <is>
          <t>Yes</t>
        </is>
      </c>
      <c r="G26" s="1188" t="inlineStr">
        <is>
          <t>https://ags.auroragov.org/aurora/rest/services/OpenData/MapServer</t>
        </is>
      </c>
      <c r="H26" s="952" t="inlineStr">
        <is>
          <t>Use for parcels inside this jurisdiction; confirm the parcel's actual county before relying on county recorder or assessor records.</t>
        </is>
      </c>
      <c r="I26" s="1129" t="n">
        <v>46213</v>
      </c>
      <c r="J26" s="951" t="inlineStr">
        <is>
          <t>Useful</t>
        </is>
      </c>
    </row>
    <row r="27" ht="42" customHeight="1">
      <c r="A27" s="952" t="inlineStr">
        <is>
          <t>Aurora</t>
        </is>
      </c>
      <c r="B27" s="952" t="inlineStr">
        <is>
          <t>Zoning</t>
        </is>
      </c>
      <c r="C27" s="952" t="inlineStr">
        <is>
          <t>Zoning Navigator</t>
        </is>
      </c>
      <c r="D27" s="952" t="inlineStr">
        <is>
          <t>Interactive zoning and development-code navigation.</t>
        </is>
      </c>
      <c r="E27" s="952" t="inlineStr">
        <is>
          <t>Research district standards and applicable regulations.</t>
        </is>
      </c>
      <c r="F27" s="952" t="inlineStr">
        <is>
          <t>Yes</t>
        </is>
      </c>
      <c r="G27" s="1188" t="inlineStr">
        <is>
          <t>https://zoning.auroragov.org/</t>
        </is>
      </c>
      <c r="H27" s="952" t="inlineStr">
        <is>
          <t>Use for parcels inside this jurisdiction; confirm the parcel's actual county before relying on county recorder or assessor records.</t>
        </is>
      </c>
      <c r="I27" s="1129" t="n">
        <v>46213</v>
      </c>
      <c r="J27" s="951" t="inlineStr">
        <is>
          <t>Critical</t>
        </is>
      </c>
    </row>
    <row r="28" ht="42" customHeight="1">
      <c r="A28" s="952" t="inlineStr">
        <is>
          <t>Aurora</t>
        </is>
      </c>
      <c r="B28" s="952" t="inlineStr">
        <is>
          <t>Planning</t>
        </is>
      </c>
      <c r="C28" s="952" t="inlineStr">
        <is>
          <t>Planning</t>
        </is>
      </c>
      <c r="D28" s="952" t="inlineStr">
        <is>
          <t>Planning division resources, plans and land-use services.</t>
        </is>
      </c>
      <c r="E28" s="952" t="inlineStr">
        <is>
          <t>Start zoning or planning research.</t>
        </is>
      </c>
      <c r="F28" s="952" t="inlineStr">
        <is>
          <t>Yes</t>
        </is>
      </c>
      <c r="G28" s="1188" t="inlineStr">
        <is>
          <t>https://www.auroragov.org/business_services/planning</t>
        </is>
      </c>
      <c r="H28" s="952" t="inlineStr">
        <is>
          <t>Use for parcels inside this jurisdiction; confirm the parcel's actual county before relying on county recorder or assessor records.</t>
        </is>
      </c>
      <c r="I28" s="1129" t="n">
        <v>46213</v>
      </c>
      <c r="J28" s="951" t="inlineStr">
        <is>
          <t>Critical</t>
        </is>
      </c>
    </row>
    <row r="29" ht="42" customHeight="1">
      <c r="A29" s="952" t="inlineStr">
        <is>
          <t>Aurora</t>
        </is>
      </c>
      <c r="B29" s="952" t="inlineStr">
        <is>
          <t>Planning</t>
        </is>
      </c>
      <c r="C29" s="952" t="inlineStr">
        <is>
          <t>Planning &amp; Development Services</t>
        </is>
      </c>
      <c r="D29" s="952" t="inlineStr">
        <is>
          <t>Department-level planning, building and development services.</t>
        </is>
      </c>
      <c r="E29" s="952" t="inlineStr">
        <is>
          <t>Navigate project review and development departments.</t>
        </is>
      </c>
      <c r="F29" s="952" t="inlineStr">
        <is>
          <t>Yes</t>
        </is>
      </c>
      <c r="G29" s="1188" t="inlineStr">
        <is>
          <t>https://www.auroragov.org/city_hall/departments/planning___development_services</t>
        </is>
      </c>
      <c r="H29" s="952" t="inlineStr">
        <is>
          <t>Use for parcels inside this jurisdiction; confirm the parcel's actual county before relying on county recorder or assessor records.</t>
        </is>
      </c>
      <c r="I29" s="1129" t="n">
        <v>46213</v>
      </c>
      <c r="J29" s="951" t="inlineStr">
        <is>
          <t>High</t>
        </is>
      </c>
    </row>
    <row r="30" ht="42" customHeight="1">
      <c r="A30" s="952" t="inlineStr">
        <is>
          <t>Aurora</t>
        </is>
      </c>
      <c r="B30" s="952" t="inlineStr">
        <is>
          <t>Code</t>
        </is>
      </c>
      <c r="C30" s="952" t="inlineStr">
        <is>
          <t>Unified Development Ordinance</t>
        </is>
      </c>
      <c r="D30" s="952" t="inlineStr">
        <is>
          <t>Aurora's land-use and zoning ordinance.</t>
        </is>
      </c>
      <c r="E30" s="952" t="inlineStr">
        <is>
          <t>Review permitted uses, districts and development standards.</t>
        </is>
      </c>
      <c r="F30" s="952" t="inlineStr">
        <is>
          <t>Yes</t>
        </is>
      </c>
      <c r="G30" s="1188" t="inlineStr">
        <is>
          <t>https://www.auroragov.org/business_services/development_center/codes_rules/building___zoning_code/unified_development_ordinance</t>
        </is>
      </c>
      <c r="H30" s="952" t="inlineStr">
        <is>
          <t>Use for parcels inside this jurisdiction; confirm the parcel's actual county before relying on county recorder or assessor records.</t>
        </is>
      </c>
      <c r="I30" s="1129" t="n">
        <v>46213</v>
      </c>
      <c r="J30" s="951" t="inlineStr">
        <is>
          <t>Critical</t>
        </is>
      </c>
    </row>
    <row r="31" ht="42" customHeight="1">
      <c r="A31" s="952" t="inlineStr">
        <is>
          <t>Aurora</t>
        </is>
      </c>
      <c r="B31" s="952" t="inlineStr">
        <is>
          <t>Codes</t>
        </is>
      </c>
      <c r="C31" s="952" t="inlineStr">
        <is>
          <t>Building &amp; Zoning Code</t>
        </is>
      </c>
      <c r="D31" s="952" t="inlineStr">
        <is>
          <t>Building and zoning code resources.</t>
        </is>
      </c>
      <c r="E31" s="952" t="inlineStr">
        <is>
          <t>Verify construction and zoning requirements.</t>
        </is>
      </c>
      <c r="F31" s="952" t="inlineStr">
        <is>
          <t>Yes</t>
        </is>
      </c>
      <c r="G31" s="1188" t="inlineStr">
        <is>
          <t>https://www.auroragov.org/business_services/development_center/codes_rules/building___zoning_code</t>
        </is>
      </c>
      <c r="H31" s="952" t="inlineStr">
        <is>
          <t>Use for parcels inside this jurisdiction; confirm the parcel's actual county before relying on county recorder or assessor records.</t>
        </is>
      </c>
      <c r="I31" s="1129" t="n">
        <v>46213</v>
      </c>
      <c r="J31" s="951" t="inlineStr">
        <is>
          <t>High</t>
        </is>
      </c>
    </row>
    <row r="32" ht="42" customHeight="1">
      <c r="A32" s="952" t="inlineStr">
        <is>
          <t>Aurora</t>
        </is>
      </c>
      <c r="B32" s="952" t="inlineStr">
        <is>
          <t>Development</t>
        </is>
      </c>
      <c r="C32" s="952" t="inlineStr">
        <is>
          <t>Project Status Search</t>
        </is>
      </c>
      <c r="D32" s="952" t="inlineStr">
        <is>
          <t>Online search for development project status.</t>
        </is>
      </c>
      <c r="E32" s="952" t="inlineStr">
        <is>
          <t>Check active or historical development review cases.</t>
        </is>
      </c>
      <c r="F32" s="952" t="inlineStr">
        <is>
          <t>Yes</t>
        </is>
      </c>
      <c r="G32" s="1188" t="inlineStr">
        <is>
          <t>https://coaapps.auroragov.org/ProjectStatus/search.aspx</t>
        </is>
      </c>
      <c r="H32" s="952" t="inlineStr">
        <is>
          <t>Use for parcels inside this jurisdiction; confirm the parcel's actual county before relying on county recorder or assessor records.</t>
        </is>
      </c>
      <c r="I32" s="1129" t="n">
        <v>46213</v>
      </c>
      <c r="J32" s="951" t="inlineStr">
        <is>
          <t>Critical</t>
        </is>
      </c>
    </row>
    <row r="33" ht="42" customHeight="1">
      <c r="A33" s="952" t="inlineStr">
        <is>
          <t>Aurora</t>
        </is>
      </c>
      <c r="B33" s="952" t="inlineStr">
        <is>
          <t>Development</t>
        </is>
      </c>
      <c r="C33" s="952" t="inlineStr">
        <is>
          <t>Forms and Applications</t>
        </is>
      </c>
      <c r="D33" s="952" t="inlineStr">
        <is>
          <t>Development-center forms and applications.</t>
        </is>
      </c>
      <c r="E33" s="952" t="inlineStr">
        <is>
          <t>Identify required land-use and development submittals.</t>
        </is>
      </c>
      <c r="F33" s="952" t="inlineStr">
        <is>
          <t>Yes</t>
        </is>
      </c>
      <c r="G33" s="1188" t="inlineStr">
        <is>
          <t>https://www.auroragov.org/business_services/development_center/development_process/forms_and_applications</t>
        </is>
      </c>
      <c r="H33" s="952" t="inlineStr">
        <is>
          <t>Use for parcels inside this jurisdiction; confirm the parcel's actual county before relying on county recorder or assessor records.</t>
        </is>
      </c>
      <c r="I33" s="1129" t="n">
        <v>46213</v>
      </c>
      <c r="J33" s="951" t="inlineStr">
        <is>
          <t>High</t>
        </is>
      </c>
    </row>
    <row r="34" ht="42" customHeight="1">
      <c r="A34" s="952" t="inlineStr">
        <is>
          <t>Aurora</t>
        </is>
      </c>
      <c r="B34" s="952" t="inlineStr">
        <is>
          <t>Development</t>
        </is>
      </c>
      <c r="C34" s="952" t="inlineStr">
        <is>
          <t>Projects, Plans &amp; Studies</t>
        </is>
      </c>
      <c r="D34" s="952" t="inlineStr">
        <is>
          <t>Current and adopted planning projects and studies.</t>
        </is>
      </c>
      <c r="E34" s="952" t="inlineStr">
        <is>
          <t>Track area plans, corridor studies and policy changes.</t>
        </is>
      </c>
      <c r="F34" s="952" t="inlineStr">
        <is>
          <t>Yes</t>
        </is>
      </c>
      <c r="G34" s="1188" t="inlineStr">
        <is>
          <t>https://www.auroragov.org/business_services/planning/projects__plans___studies</t>
        </is>
      </c>
      <c r="H34" s="952" t="inlineStr">
        <is>
          <t>Use for parcels inside this jurisdiction; confirm the parcel's actual county before relying on county recorder or assessor records.</t>
        </is>
      </c>
      <c r="I34" s="1129" t="n">
        <v>46213</v>
      </c>
      <c r="J34" s="951" t="inlineStr">
        <is>
          <t>High</t>
        </is>
      </c>
    </row>
    <row r="35" ht="42" customHeight="1">
      <c r="A35" s="952" t="inlineStr">
        <is>
          <t>Aurora</t>
        </is>
      </c>
      <c r="B35" s="952" t="inlineStr">
        <is>
          <t>Long-Range Planning</t>
        </is>
      </c>
      <c r="C35" s="952" t="inlineStr">
        <is>
          <t>Comprehensive Plan</t>
        </is>
      </c>
      <c r="D35" s="952" t="inlineStr">
        <is>
          <t>Aurora comprehensive-plan resources.</t>
        </is>
      </c>
      <c r="E35" s="952" t="inlineStr">
        <is>
          <t>Evaluate future land-use and policy direction.</t>
        </is>
      </c>
      <c r="F35" s="952" t="inlineStr">
        <is>
          <t>Yes</t>
        </is>
      </c>
      <c r="G35" s="1188" t="inlineStr">
        <is>
          <t>https://www.auroragov.org/business_services/planning/projects__plans___studies/comprehensive_plan</t>
        </is>
      </c>
      <c r="H35" s="952" t="inlineStr">
        <is>
          <t>Use for parcels inside this jurisdiction; confirm the parcel's actual county before relying on county recorder or assessor records.</t>
        </is>
      </c>
      <c r="I35" s="1129" t="n">
        <v>46213</v>
      </c>
      <c r="J35" s="951" t="inlineStr">
        <is>
          <t>High</t>
        </is>
      </c>
    </row>
    <row r="36" ht="42" customHeight="1">
      <c r="A36" s="952" t="inlineStr">
        <is>
          <t>Aurora</t>
        </is>
      </c>
      <c r="B36" s="952" t="inlineStr">
        <is>
          <t>Neighborhood Planning</t>
        </is>
      </c>
      <c r="C36" s="952" t="inlineStr">
        <is>
          <t>Neighborhood Planning</t>
        </is>
      </c>
      <c r="D36" s="952" t="inlineStr">
        <is>
          <t>Area and neighborhood plan information.</t>
        </is>
      </c>
      <c r="E36" s="952" t="inlineStr">
        <is>
          <t>Research smaller-area plans affecting a parcel.</t>
        </is>
      </c>
      <c r="F36" s="952" t="inlineStr">
        <is>
          <t>Yes</t>
        </is>
      </c>
      <c r="G36" s="1188" t="inlineStr">
        <is>
          <t>https://www.auroragov.org/residents/neighborhood_planning</t>
        </is>
      </c>
      <c r="H36" s="952" t="inlineStr">
        <is>
          <t>Use for parcels inside this jurisdiction; confirm the parcel's actual county before relying on county recorder or assessor records.</t>
        </is>
      </c>
      <c r="I36" s="1129" t="n">
        <v>46213</v>
      </c>
      <c r="J36" s="951" t="inlineStr">
        <is>
          <t>Useful</t>
        </is>
      </c>
    </row>
    <row r="37" ht="42" customHeight="1">
      <c r="A37" s="952" t="inlineStr">
        <is>
          <t>Aurora</t>
        </is>
      </c>
      <c r="B37" s="952" t="inlineStr">
        <is>
          <t>Permits</t>
        </is>
      </c>
      <c r="C37" s="952" t="inlineStr">
        <is>
          <t>Building Permits</t>
        </is>
      </c>
      <c r="D37" s="952" t="inlineStr">
        <is>
          <t>Building permit information and application guidance.</t>
        </is>
      </c>
      <c r="E37" s="952" t="inlineStr">
        <is>
          <t>Check permit requirements and application paths.</t>
        </is>
      </c>
      <c r="F37" s="952" t="inlineStr">
        <is>
          <t>Yes</t>
        </is>
      </c>
      <c r="G37" s="1188" t="inlineStr">
        <is>
          <t>https://www.auroragov.org/business_services/building_division/permits</t>
        </is>
      </c>
      <c r="H37" s="952" t="inlineStr">
        <is>
          <t>Use for parcels inside this jurisdiction; confirm the parcel's actual county before relying on county recorder or assessor records.</t>
        </is>
      </c>
      <c r="I37" s="1129" t="n">
        <v>46213</v>
      </c>
      <c r="J37" s="951" t="inlineStr">
        <is>
          <t>Critical</t>
        </is>
      </c>
    </row>
    <row r="38" ht="42" customHeight="1">
      <c r="A38" s="952" t="inlineStr">
        <is>
          <t>Aurora</t>
        </is>
      </c>
      <c r="B38" s="952" t="inlineStr">
        <is>
          <t>Permits</t>
        </is>
      </c>
      <c r="C38" s="952" t="inlineStr">
        <is>
          <t>Development Center Permitting</t>
        </is>
      </c>
      <c r="D38" s="952" t="inlineStr">
        <is>
          <t>Development permitting and online processes.</t>
        </is>
      </c>
      <c r="E38" s="952" t="inlineStr">
        <is>
          <t>Manage or research development-related permits.</t>
        </is>
      </c>
      <c r="F38" s="952" t="inlineStr">
        <is>
          <t>Yes</t>
        </is>
      </c>
      <c r="G38" s="1188" t="inlineStr">
        <is>
          <t>https://www.auroragov.org/business_services/development_center/permitting</t>
        </is>
      </c>
      <c r="H38" s="952" t="inlineStr">
        <is>
          <t>Use for parcels inside this jurisdiction; confirm the parcel's actual county before relying on county recorder or assessor records.</t>
        </is>
      </c>
      <c r="I38" s="1129" t="n">
        <v>46213</v>
      </c>
      <c r="J38" s="951" t="inlineStr">
        <is>
          <t>High</t>
        </is>
      </c>
    </row>
    <row r="39" ht="42" customHeight="1">
      <c r="A39" s="952" t="inlineStr">
        <is>
          <t>Aurora</t>
        </is>
      </c>
      <c r="B39" s="952" t="inlineStr">
        <is>
          <t>Online Portal</t>
        </is>
      </c>
      <c r="C39" s="952" t="inlineStr">
        <is>
          <t>Aurora4Biz</t>
        </is>
      </c>
      <c r="D39" s="952" t="inlineStr">
        <is>
          <t>Online business, permit and licensing services.</t>
        </is>
      </c>
      <c r="E39" s="952" t="inlineStr">
        <is>
          <t>Access city permitting and business services.</t>
        </is>
      </c>
      <c r="F39" s="952" t="inlineStr">
        <is>
          <t>Yes</t>
        </is>
      </c>
      <c r="G39" s="1188" t="inlineStr">
        <is>
          <t>https://www.auroragov.org/business_services/aurora4biz</t>
        </is>
      </c>
      <c r="H39" s="952" t="inlineStr">
        <is>
          <t>Use for parcels inside this jurisdiction; confirm the parcel's actual county before relying on county recorder or assessor records.</t>
        </is>
      </c>
      <c r="I39" s="1129" t="n">
        <v>46213</v>
      </c>
      <c r="J39" s="951" t="inlineStr">
        <is>
          <t>High</t>
        </is>
      </c>
    </row>
    <row r="40" ht="42" customHeight="1">
      <c r="A40" s="952" t="inlineStr">
        <is>
          <t>Aurora</t>
        </is>
      </c>
      <c r="B40" s="952" t="inlineStr">
        <is>
          <t>Meetings</t>
        </is>
      </c>
      <c r="C40" s="952" t="inlineStr">
        <is>
          <t>Planning &amp; Zoning Commission</t>
        </is>
      </c>
      <c r="D40" s="952" t="inlineStr">
        <is>
          <t>Commission schedules, records and participation information.</t>
        </is>
      </c>
      <c r="E40" s="952" t="inlineStr">
        <is>
          <t>Monitor land-use hearings and recommendations.</t>
        </is>
      </c>
      <c r="F40" s="952" t="inlineStr">
        <is>
          <t>Yes</t>
        </is>
      </c>
      <c r="G40" s="1188" t="inlineStr">
        <is>
          <t>https://www.auroragov.org/city_hall/boards___commissions/planning___zoning_commission</t>
        </is>
      </c>
      <c r="H40" s="952" t="inlineStr">
        <is>
          <t>Use for parcels inside this jurisdiction; confirm the parcel's actual county before relying on county recorder or assessor records.</t>
        </is>
      </c>
      <c r="I40" s="1129" t="n">
        <v>46213</v>
      </c>
      <c r="J40" s="951" t="inlineStr">
        <is>
          <t>High</t>
        </is>
      </c>
    </row>
    <row r="41" ht="42" customHeight="1">
      <c r="A41" s="952" t="inlineStr">
        <is>
          <t>Aurora</t>
        </is>
      </c>
      <c r="B41" s="952" t="inlineStr">
        <is>
          <t>Meetings</t>
        </is>
      </c>
      <c r="C41" s="952" t="inlineStr">
        <is>
          <t>City Council Meetings</t>
        </is>
      </c>
      <c r="D41" s="952" t="inlineStr">
        <is>
          <t>Council meeting agendas and records.</t>
        </is>
      </c>
      <c r="E41" s="952" t="inlineStr">
        <is>
          <t>Track final legislative and land-use actions.</t>
        </is>
      </c>
      <c r="F41" s="952" t="inlineStr">
        <is>
          <t>Yes</t>
        </is>
      </c>
      <c r="G41" s="1188" t="inlineStr">
        <is>
          <t>https://www.auroragov.org/city_hall/mayor___city_council/council_meetings</t>
        </is>
      </c>
      <c r="H41" s="952" t="inlineStr">
        <is>
          <t>Use for parcels inside this jurisdiction; confirm the parcel's actual county before relying on county recorder or assessor records.</t>
        </is>
      </c>
      <c r="I41" s="1129" t="n">
        <v>46213</v>
      </c>
      <c r="J41" s="951" t="inlineStr">
        <is>
          <t>High</t>
        </is>
      </c>
    </row>
    <row r="42" ht="42" customHeight="1">
      <c r="A42" s="952" t="inlineStr">
        <is>
          <t>Aurora</t>
        </is>
      </c>
      <c r="B42" s="952" t="inlineStr">
        <is>
          <t>Public Notices</t>
        </is>
      </c>
      <c r="C42" s="952" t="inlineStr">
        <is>
          <t>Public Hearings</t>
        </is>
      </c>
      <c r="D42" s="952" t="inlineStr">
        <is>
          <t>Official public-hearing notices.</t>
        </is>
      </c>
      <c r="E42" s="952" t="inlineStr">
        <is>
          <t>Confirm hearing dates, applications and public-comment opportunities.</t>
        </is>
      </c>
      <c r="F42" s="952" t="inlineStr">
        <is>
          <t>Yes</t>
        </is>
      </c>
      <c r="G42" s="1188" t="inlineStr">
        <is>
          <t>https://www.auroragov.org/city_hall/public_records/legal_notices/public_hearings</t>
        </is>
      </c>
      <c r="H42" s="952" t="inlineStr">
        <is>
          <t>Use for parcels inside this jurisdiction; confirm the parcel's actual county before relying on county recorder or assessor records.</t>
        </is>
      </c>
      <c r="I42" s="1129" t="n">
        <v>46213</v>
      </c>
      <c r="J42" s="951" t="inlineStr">
        <is>
          <t>High</t>
        </is>
      </c>
    </row>
    <row r="43" ht="42" customHeight="1">
      <c r="A43" s="952" t="inlineStr">
        <is>
          <t>Aurora</t>
        </is>
      </c>
      <c r="B43" s="952" t="inlineStr">
        <is>
          <t>Public Records</t>
        </is>
      </c>
      <c r="C43" s="952" t="inlineStr">
        <is>
          <t>Public Records</t>
        </is>
      </c>
      <c r="D43" s="952" t="inlineStr">
        <is>
          <t>Codes, ordinances, records and legal-notice navigation.</t>
        </is>
      </c>
      <c r="E43" s="952" t="inlineStr">
        <is>
          <t>Request or retrieve official city records.</t>
        </is>
      </c>
      <c r="F43" s="952" t="inlineStr">
        <is>
          <t>Yes</t>
        </is>
      </c>
      <c r="G43" s="1188" t="inlineStr">
        <is>
          <t>https://www.auroragov.org/city_hall/public_records</t>
        </is>
      </c>
      <c r="H43" s="952" t="inlineStr">
        <is>
          <t>Use for parcels inside this jurisdiction; confirm the parcel's actual county before relying on county recorder or assessor records.</t>
        </is>
      </c>
      <c r="I43" s="1129" t="n">
        <v>46213</v>
      </c>
      <c r="J43" s="951" t="inlineStr">
        <is>
          <t>High</t>
        </is>
      </c>
    </row>
    <row r="44" ht="42" customHeight="1">
      <c r="A44" s="952" t="inlineStr">
        <is>
          <t>Aurora</t>
        </is>
      </c>
      <c r="B44" s="952" t="inlineStr">
        <is>
          <t>News</t>
        </is>
      </c>
      <c r="C44" s="952" t="inlineStr">
        <is>
          <t>What's New</t>
        </is>
      </c>
      <c r="D44" s="952" t="inlineStr">
        <is>
          <t>Official city news and announcements.</t>
        </is>
      </c>
      <c r="E44" s="952" t="inlineStr">
        <is>
          <t>Monitor city changes, projects and public initiatives.</t>
        </is>
      </c>
      <c r="F44" s="952" t="inlineStr">
        <is>
          <t>Yes</t>
        </is>
      </c>
      <c r="G44" s="1188" t="inlineStr">
        <is>
          <t>https://www.auroragov.org/news/whats_new</t>
        </is>
      </c>
      <c r="H44" s="952" t="inlineStr">
        <is>
          <t>Use for parcels inside this jurisdiction; confirm the parcel's actual county before relying on county recorder or assessor records.</t>
        </is>
      </c>
      <c r="I44" s="1129" t="n">
        <v>46213</v>
      </c>
      <c r="J44" s="951" t="inlineStr">
        <is>
          <t>Useful</t>
        </is>
      </c>
    </row>
    <row r="45" ht="42" customHeight="1">
      <c r="A45" s="952" t="inlineStr">
        <is>
          <t>Bennett</t>
        </is>
      </c>
      <c r="B45" s="952" t="inlineStr">
        <is>
          <t>Official Website</t>
        </is>
      </c>
      <c r="C45" s="952" t="inlineStr">
        <is>
          <t>Town of Bennett</t>
        </is>
      </c>
      <c r="D45" s="952" t="inlineStr">
        <is>
          <t>Main town website.</t>
        </is>
      </c>
      <c r="E45" s="952" t="inlineStr">
        <is>
          <t>Navigate municipal services and updates.</t>
        </is>
      </c>
      <c r="F45" s="952" t="inlineStr">
        <is>
          <t>Yes</t>
        </is>
      </c>
      <c r="G45" s="1188" t="inlineStr">
        <is>
          <t>https://www.bennettco.gov/</t>
        </is>
      </c>
      <c r="H45" s="952" t="inlineStr">
        <is>
          <t>Use for parcels inside this jurisdiction; confirm the parcel's actual county before relying on county recorder or assessor records.</t>
        </is>
      </c>
      <c r="I45" s="1129" t="n">
        <v>46213</v>
      </c>
      <c r="J45" s="951" t="inlineStr">
        <is>
          <t>Reference</t>
        </is>
      </c>
    </row>
    <row r="46" ht="42" customHeight="1">
      <c r="A46" s="952" t="inlineStr">
        <is>
          <t>Bennett</t>
        </is>
      </c>
      <c r="B46" s="952" t="inlineStr">
        <is>
          <t>Zoning</t>
        </is>
      </c>
      <c r="C46" s="952" t="inlineStr">
        <is>
          <t>Bennett Zoning Map</t>
        </is>
      </c>
      <c r="D46" s="952" t="inlineStr">
        <is>
          <t>Official town zoning map.</t>
        </is>
      </c>
      <c r="E46" s="952" t="inlineStr">
        <is>
          <t>Identify the zoning district for a property.</t>
        </is>
      </c>
      <c r="F46" s="952" t="inlineStr">
        <is>
          <t>Yes</t>
        </is>
      </c>
      <c r="G46" s="1188" t="inlineStr">
        <is>
          <t>https://www.bennettco.gov/business/page/bennett-zoning-map</t>
        </is>
      </c>
      <c r="H46" s="952" t="inlineStr">
        <is>
          <t>Use for parcels inside this jurisdiction; confirm the parcel's actual county before relying on county recorder or assessor records.</t>
        </is>
      </c>
      <c r="I46" s="1129" t="n">
        <v>46213</v>
      </c>
      <c r="J46" s="951" t="inlineStr">
        <is>
          <t>Critical</t>
        </is>
      </c>
    </row>
    <row r="47" ht="42" customHeight="1">
      <c r="A47" s="952" t="inlineStr">
        <is>
          <t>Bennett</t>
        </is>
      </c>
      <c r="B47" s="952" t="inlineStr">
        <is>
          <t>Planning</t>
        </is>
      </c>
      <c r="C47" s="952" t="inlineStr">
        <is>
          <t>Planning and Zoning</t>
        </is>
      </c>
      <c r="D47" s="952" t="inlineStr">
        <is>
          <t>Planning and zoning services, forms and guidance.</t>
        </is>
      </c>
      <c r="E47" s="952" t="inlineStr">
        <is>
          <t>Start land-use and entitlement research.</t>
        </is>
      </c>
      <c r="F47" s="952" t="inlineStr">
        <is>
          <t>Yes</t>
        </is>
      </c>
      <c r="G47" s="1188" t="inlineStr">
        <is>
          <t>https://www.bennettco.gov/planning-economic-development/page/planning-and-zoning</t>
        </is>
      </c>
      <c r="H47" s="952" t="inlineStr">
        <is>
          <t>Use for parcels inside this jurisdiction; confirm the parcel's actual county before relying on county recorder or assessor records.</t>
        </is>
      </c>
      <c r="I47" s="1129" t="n">
        <v>46213</v>
      </c>
      <c r="J47" s="951" t="inlineStr">
        <is>
          <t>Critical</t>
        </is>
      </c>
    </row>
    <row r="48" ht="42" customHeight="1">
      <c r="A48" s="952" t="inlineStr">
        <is>
          <t>Bennett</t>
        </is>
      </c>
      <c r="B48" s="952" t="inlineStr">
        <is>
          <t>Planning</t>
        </is>
      </c>
      <c r="C48" s="952" t="inlineStr">
        <is>
          <t>Planning &amp; Economic Development</t>
        </is>
      </c>
      <c r="D48" s="952" t="inlineStr">
        <is>
          <t>Department-level planning and economic-development resources.</t>
        </is>
      </c>
      <c r="E48" s="952" t="inlineStr">
        <is>
          <t>Find staff, plans and development assistance.</t>
        </is>
      </c>
      <c r="F48" s="952" t="inlineStr">
        <is>
          <t>Yes</t>
        </is>
      </c>
      <c r="G48" s="1188" t="inlineStr">
        <is>
          <t>https://www.bennettco.gov/planning-economic-development</t>
        </is>
      </c>
      <c r="H48" s="952" t="inlineStr">
        <is>
          <t>Use for parcels inside this jurisdiction; confirm the parcel's actual county before relying on county recorder or assessor records.</t>
        </is>
      </c>
      <c r="I48" s="1129" t="n">
        <v>46213</v>
      </c>
      <c r="J48" s="951" t="inlineStr">
        <is>
          <t>High</t>
        </is>
      </c>
    </row>
    <row r="49" ht="42" customHeight="1">
      <c r="A49" s="952" t="inlineStr">
        <is>
          <t>Bennett</t>
        </is>
      </c>
      <c r="B49" s="952" t="inlineStr">
        <is>
          <t>Code</t>
        </is>
      </c>
      <c r="C49" s="952" t="inlineStr">
        <is>
          <t>Zoning and Subdivision Regulations</t>
        </is>
      </c>
      <c r="D49" s="952" t="inlineStr">
        <is>
          <t>Town zoning and subdivision regulations.</t>
        </is>
      </c>
      <c r="E49" s="952" t="inlineStr">
        <is>
          <t>Review allowed uses, lot standards and subdivision rules.</t>
        </is>
      </c>
      <c r="F49" s="952" t="inlineStr">
        <is>
          <t>Yes</t>
        </is>
      </c>
      <c r="G49" s="1188" t="inlineStr">
        <is>
          <t>https://www.bennettco.gov/planning-economic-development/page/zoning-and-subdivision-regulations</t>
        </is>
      </c>
      <c r="H49" s="952" t="inlineStr">
        <is>
          <t>Use for parcels inside this jurisdiction; confirm the parcel's actual county before relying on county recorder or assessor records.</t>
        </is>
      </c>
      <c r="I49" s="1129" t="n">
        <v>46213</v>
      </c>
      <c r="J49" s="951" t="inlineStr">
        <is>
          <t>Critical</t>
        </is>
      </c>
    </row>
    <row r="50" ht="42" customHeight="1">
      <c r="A50" s="952" t="inlineStr">
        <is>
          <t>Bennett</t>
        </is>
      </c>
      <c r="B50" s="952" t="inlineStr">
        <is>
          <t>Development</t>
        </is>
      </c>
      <c r="C50" s="952" t="inlineStr">
        <is>
          <t>Development Portal</t>
        </is>
      </c>
      <c r="D50" s="952" t="inlineStr">
        <is>
          <t>Development applications, projects and related tools.</t>
        </is>
      </c>
      <c r="E50" s="952" t="inlineStr">
        <is>
          <t>Begin project and entitlement research.</t>
        </is>
      </c>
      <c r="F50" s="952" t="inlineStr">
        <is>
          <t>Yes</t>
        </is>
      </c>
      <c r="G50" s="1188" t="inlineStr">
        <is>
          <t>https://www.bennettco.gov/development</t>
        </is>
      </c>
      <c r="H50" s="952" t="inlineStr">
        <is>
          <t>Use for parcels inside this jurisdiction; confirm the parcel's actual county before relying on county recorder or assessor records.</t>
        </is>
      </c>
      <c r="I50" s="1129" t="n">
        <v>46213</v>
      </c>
      <c r="J50" s="951" t="inlineStr">
        <is>
          <t>High</t>
        </is>
      </c>
    </row>
    <row r="51" ht="42" customHeight="1">
      <c r="A51" s="952" t="inlineStr">
        <is>
          <t>Bennett</t>
        </is>
      </c>
      <c r="B51" s="952" t="inlineStr">
        <is>
          <t>Development</t>
        </is>
      </c>
      <c r="C51" s="952" t="inlineStr">
        <is>
          <t>Active Projects</t>
        </is>
      </c>
      <c r="D51" s="952" t="inlineStr">
        <is>
          <t>Current town projects and development information.</t>
        </is>
      </c>
      <c r="E51" s="952" t="inlineStr">
        <is>
          <t>Monitor infrastructure and development activity.</t>
        </is>
      </c>
      <c r="F51" s="952" t="inlineStr">
        <is>
          <t>Yes</t>
        </is>
      </c>
      <c r="G51" s="1188" t="inlineStr">
        <is>
          <t>https://www.bennettco.gov/projects</t>
        </is>
      </c>
      <c r="H51" s="952" t="inlineStr">
        <is>
          <t>Use for parcels inside this jurisdiction; confirm the parcel's actual county before relying on county recorder or assessor records.</t>
        </is>
      </c>
      <c r="I51" s="1129" t="n">
        <v>46213</v>
      </c>
      <c r="J51" s="951" t="inlineStr">
        <is>
          <t>High</t>
        </is>
      </c>
    </row>
    <row r="52" ht="42" customHeight="1">
      <c r="A52" s="952" t="inlineStr">
        <is>
          <t>Bennett</t>
        </is>
      </c>
      <c r="B52" s="952" t="inlineStr">
        <is>
          <t>Development</t>
        </is>
      </c>
      <c r="C52" s="952" t="inlineStr">
        <is>
          <t>Applicant Guides</t>
        </is>
      </c>
      <c r="D52" s="952" t="inlineStr">
        <is>
          <t>Guides for planning and development applications.</t>
        </is>
      </c>
      <c r="E52" s="952" t="inlineStr">
        <is>
          <t>Understand application standards and submittals.</t>
        </is>
      </c>
      <c r="F52" s="952" t="inlineStr">
        <is>
          <t>Yes</t>
        </is>
      </c>
      <c r="G52" s="1188" t="inlineStr">
        <is>
          <t>https://www.bennettco.gov/planning-economic-development/page/applicant-guides</t>
        </is>
      </c>
      <c r="H52" s="952" t="inlineStr">
        <is>
          <t>Use for parcels inside this jurisdiction; confirm the parcel's actual county before relying on county recorder or assessor records.</t>
        </is>
      </c>
      <c r="I52" s="1129" t="n">
        <v>46213</v>
      </c>
      <c r="J52" s="951" t="inlineStr">
        <is>
          <t>High</t>
        </is>
      </c>
    </row>
    <row r="53" ht="42" customHeight="1">
      <c r="A53" s="952" t="inlineStr">
        <is>
          <t>Bennett</t>
        </is>
      </c>
      <c r="B53" s="952" t="inlineStr">
        <is>
          <t>Permits</t>
        </is>
      </c>
      <c r="C53" s="952" t="inlineStr">
        <is>
          <t>Self-Service Guide: Permits and Zoning</t>
        </is>
      </c>
      <c r="D53" s="952" t="inlineStr">
        <is>
          <t>Online guidance for permits and zoning services.</t>
        </is>
      </c>
      <c r="E53" s="952" t="inlineStr">
        <is>
          <t>Navigate permit and zoning requests.</t>
        </is>
      </c>
      <c r="F53" s="952" t="inlineStr">
        <is>
          <t>Yes</t>
        </is>
      </c>
      <c r="G53" s="1188" t="inlineStr">
        <is>
          <t>https://www.bennettco.gov/community-development/page/self-service-guide-permits-and-zoning</t>
        </is>
      </c>
      <c r="H53" s="952" t="inlineStr">
        <is>
          <t>Use for parcels inside this jurisdiction; confirm the parcel's actual county before relying on county recorder or assessor records.</t>
        </is>
      </c>
      <c r="I53" s="1129" t="n">
        <v>46213</v>
      </c>
      <c r="J53" s="951" t="inlineStr">
        <is>
          <t>High</t>
        </is>
      </c>
    </row>
    <row r="54" ht="42" customHeight="1">
      <c r="A54" s="952" t="inlineStr">
        <is>
          <t>Bennett</t>
        </is>
      </c>
      <c r="B54" s="952" t="inlineStr">
        <is>
          <t>Permits</t>
        </is>
      </c>
      <c r="C54" s="952" t="inlineStr">
        <is>
          <t>Building Department</t>
        </is>
      </c>
      <c r="D54" s="952" t="inlineStr">
        <is>
          <t>Building permits, inspections and code information.</t>
        </is>
      </c>
      <c r="E54" s="952" t="inlineStr">
        <is>
          <t>Research construction permitting.</t>
        </is>
      </c>
      <c r="F54" s="952" t="inlineStr">
        <is>
          <t>Yes</t>
        </is>
      </c>
      <c r="G54" s="1188" t="inlineStr">
        <is>
          <t>https://www.bennettco.gov/community-development/page/building-department</t>
        </is>
      </c>
      <c r="H54" s="952" t="inlineStr">
        <is>
          <t>Use for parcels inside this jurisdiction; confirm the parcel's actual county before relying on county recorder or assessor records.</t>
        </is>
      </c>
      <c r="I54" s="1129" t="n">
        <v>46213</v>
      </c>
      <c r="J54" s="951" t="inlineStr">
        <is>
          <t>Critical</t>
        </is>
      </c>
    </row>
    <row r="55" ht="42" customHeight="1">
      <c r="A55" s="952" t="inlineStr">
        <is>
          <t>Bennett</t>
        </is>
      </c>
      <c r="B55" s="952" t="inlineStr">
        <is>
          <t>Permits</t>
        </is>
      </c>
      <c r="C55" s="952" t="inlineStr">
        <is>
          <t>How to Obtain a Permit</t>
        </is>
      </c>
      <c r="D55" s="952" t="inlineStr">
        <is>
          <t>Step-by-step permit guidance.</t>
        </is>
      </c>
      <c r="E55" s="952" t="inlineStr">
        <is>
          <t>Prepare a building permit application.</t>
        </is>
      </c>
      <c r="F55" s="952" t="inlineStr">
        <is>
          <t>Yes</t>
        </is>
      </c>
      <c r="G55" s="1188" t="inlineStr">
        <is>
          <t>https://www.bennettco.gov/community-development/page/how-obtain-permit</t>
        </is>
      </c>
      <c r="H55" s="952" t="inlineStr">
        <is>
          <t>Use for parcels inside this jurisdiction; confirm the parcel's actual county before relying on county recorder or assessor records.</t>
        </is>
      </c>
      <c r="I55" s="1129" t="n">
        <v>46213</v>
      </c>
      <c r="J55" s="951" t="inlineStr">
        <is>
          <t>High</t>
        </is>
      </c>
    </row>
    <row r="56" ht="42" customHeight="1">
      <c r="A56" s="952" t="inlineStr">
        <is>
          <t>Bennett</t>
        </is>
      </c>
      <c r="B56" s="952" t="inlineStr">
        <is>
          <t>Long-Range Planning</t>
        </is>
      </c>
      <c r="C56" s="952" t="inlineStr">
        <is>
          <t>Master Plans and Guiding Documents</t>
        </is>
      </c>
      <c r="D56" s="952" t="inlineStr">
        <is>
          <t>Town master plans and policy documents.</t>
        </is>
      </c>
      <c r="E56" s="952" t="inlineStr">
        <is>
          <t>Evaluate future land-use and infrastructure direction.</t>
        </is>
      </c>
      <c r="F56" s="952" t="inlineStr">
        <is>
          <t>Yes</t>
        </is>
      </c>
      <c r="G56" s="1188" t="inlineStr">
        <is>
          <t>https://www.bennettco.gov/planning-economic-development/page/master-plans-and-guiding-documents</t>
        </is>
      </c>
      <c r="H56" s="952" t="inlineStr">
        <is>
          <t>Use for parcels inside this jurisdiction; confirm the parcel's actual county before relying on county recorder or assessor records.</t>
        </is>
      </c>
      <c r="I56" s="1129" t="n">
        <v>46213</v>
      </c>
      <c r="J56" s="951" t="inlineStr">
        <is>
          <t>High</t>
        </is>
      </c>
    </row>
    <row r="57" ht="42" customHeight="1">
      <c r="A57" s="952" t="inlineStr">
        <is>
          <t>Bennett</t>
        </is>
      </c>
      <c r="B57" s="952" t="inlineStr">
        <is>
          <t>Meetings</t>
        </is>
      </c>
      <c r="C57" s="952" t="inlineStr">
        <is>
          <t>Planning &amp; Zoning Commission</t>
        </is>
      </c>
      <c r="D57" s="952" t="inlineStr">
        <is>
          <t>Commission information and meeting resources.</t>
        </is>
      </c>
      <c r="E57" s="952" t="inlineStr">
        <is>
          <t>Monitor planning hearings and recommendations.</t>
        </is>
      </c>
      <c r="F57" s="952" t="inlineStr">
        <is>
          <t>Yes</t>
        </is>
      </c>
      <c r="G57" s="1188" t="inlineStr">
        <is>
          <t>https://www.bennettco.gov/planning-and-zoning-commission</t>
        </is>
      </c>
      <c r="H57" s="952" t="inlineStr">
        <is>
          <t>Use for parcels inside this jurisdiction; confirm the parcel's actual county before relying on county recorder or assessor records.</t>
        </is>
      </c>
      <c r="I57" s="1129" t="n">
        <v>46213</v>
      </c>
      <c r="J57" s="951" t="inlineStr">
        <is>
          <t>High</t>
        </is>
      </c>
    </row>
    <row r="58" ht="42" customHeight="1">
      <c r="A58" s="952" t="inlineStr">
        <is>
          <t>Bennett</t>
        </is>
      </c>
      <c r="B58" s="952" t="inlineStr">
        <is>
          <t>Meetings</t>
        </is>
      </c>
      <c r="C58" s="952" t="inlineStr">
        <is>
          <t>Recent Meetings</t>
        </is>
      </c>
      <c r="D58" s="952" t="inlineStr">
        <is>
          <t>Agendas and meeting records.</t>
        </is>
      </c>
      <c r="E58" s="952" t="inlineStr">
        <is>
          <t>Track board and commission actions.</t>
        </is>
      </c>
      <c r="F58" s="952" t="inlineStr">
        <is>
          <t>Yes</t>
        </is>
      </c>
      <c r="G58" s="1188" t="inlineStr">
        <is>
          <t>https://www.bennettco.gov/meetings/recent</t>
        </is>
      </c>
      <c r="H58" s="952" t="inlineStr">
        <is>
          <t>Use for parcels inside this jurisdiction; confirm the parcel's actual county before relying on county recorder or assessor records.</t>
        </is>
      </c>
      <c r="I58" s="1129" t="n">
        <v>46213</v>
      </c>
      <c r="J58" s="951" t="inlineStr">
        <is>
          <t>High</t>
        </is>
      </c>
    </row>
    <row r="59" ht="42" customHeight="1">
      <c r="A59" s="952" t="inlineStr">
        <is>
          <t>Bennett</t>
        </is>
      </c>
      <c r="B59" s="952" t="inlineStr">
        <is>
          <t>Public Records</t>
        </is>
      </c>
      <c r="C59" s="952" t="inlineStr">
        <is>
          <t>Public Records</t>
        </is>
      </c>
      <c r="D59" s="952" t="inlineStr">
        <is>
          <t>Town public-records request information.</t>
        </is>
      </c>
      <c r="E59" s="952" t="inlineStr">
        <is>
          <t>Obtain records not posted online.</t>
        </is>
      </c>
      <c r="F59" s="952" t="inlineStr">
        <is>
          <t>Yes</t>
        </is>
      </c>
      <c r="G59" s="1188" t="inlineStr">
        <is>
          <t>https://www.bennettco.gov/town-clerk/page/public-records</t>
        </is>
      </c>
      <c r="H59" s="952" t="inlineStr">
        <is>
          <t>Use for parcels inside this jurisdiction; confirm the parcel's actual county before relying on county recorder or assessor records.</t>
        </is>
      </c>
      <c r="I59" s="1129" t="n">
        <v>46213</v>
      </c>
      <c r="J59" s="951" t="inlineStr">
        <is>
          <t>High</t>
        </is>
      </c>
    </row>
    <row r="60" ht="42" customHeight="1">
      <c r="A60" s="952" t="inlineStr">
        <is>
          <t>Bennett</t>
        </is>
      </c>
      <c r="B60" s="952" t="inlineStr">
        <is>
          <t>News</t>
        </is>
      </c>
      <c r="C60" s="952" t="inlineStr">
        <is>
          <t>Town News</t>
        </is>
      </c>
      <c r="D60" s="952" t="inlineStr">
        <is>
          <t>Official Bennett news and notices.</t>
        </is>
      </c>
      <c r="E60" s="952" t="inlineStr">
        <is>
          <t>Monitor code, permit, project and public-service updates.</t>
        </is>
      </c>
      <c r="F60" s="952" t="inlineStr">
        <is>
          <t>Yes</t>
        </is>
      </c>
      <c r="G60" s="1188" t="inlineStr">
        <is>
          <t>https://www.bennettco.gov/news</t>
        </is>
      </c>
      <c r="H60" s="952" t="inlineStr">
        <is>
          <t>Use for parcels inside this jurisdiction; confirm the parcel's actual county before relying on county recorder or assessor records.</t>
        </is>
      </c>
      <c r="I60" s="1129" t="n">
        <v>46213</v>
      </c>
      <c r="J60" s="951" t="inlineStr">
        <is>
          <t>High</t>
        </is>
      </c>
    </row>
    <row r="61" ht="42" customHeight="1">
      <c r="A61" s="952" t="inlineStr">
        <is>
          <t>Brighton</t>
        </is>
      </c>
      <c r="B61" s="952" t="inlineStr">
        <is>
          <t>Official Website</t>
        </is>
      </c>
      <c r="C61" s="952" t="inlineStr">
        <is>
          <t>City of Brighton</t>
        </is>
      </c>
      <c r="D61" s="952" t="inlineStr">
        <is>
          <t>Main city website.</t>
        </is>
      </c>
      <c r="E61" s="952" t="inlineStr">
        <is>
          <t>Navigate city services and departments.</t>
        </is>
      </c>
      <c r="F61" s="952" t="inlineStr">
        <is>
          <t>Yes</t>
        </is>
      </c>
      <c r="G61" s="1188" t="inlineStr">
        <is>
          <t>https://www.brightonco.gov/</t>
        </is>
      </c>
      <c r="H61" s="952" t="inlineStr">
        <is>
          <t>Use for parcels inside this jurisdiction; confirm the parcel's actual county before relying on county recorder or assessor records.</t>
        </is>
      </c>
      <c r="I61" s="1129" t="n">
        <v>46213</v>
      </c>
      <c r="J61" s="951" t="inlineStr">
        <is>
          <t>Reference</t>
        </is>
      </c>
    </row>
    <row r="62" ht="42" customHeight="1">
      <c r="A62" s="952" t="inlineStr">
        <is>
          <t>Brighton</t>
        </is>
      </c>
      <c r="B62" s="952" t="inlineStr">
        <is>
          <t>GIS / Property</t>
        </is>
      </c>
      <c r="C62" s="952" t="inlineStr">
        <is>
          <t>Geographic Information Systems</t>
        </is>
      </c>
      <c r="D62" s="952" t="inlineStr">
        <is>
          <t>City GIS maps and data.</t>
        </is>
      </c>
      <c r="E62" s="952" t="inlineStr">
        <is>
          <t>Research parcels, infrastructure and municipal mapping.</t>
        </is>
      </c>
      <c r="F62" s="952" t="inlineStr">
        <is>
          <t>Yes</t>
        </is>
      </c>
      <c r="G62" s="1188" t="inlineStr">
        <is>
          <t>https://www.brightonco.gov/248/Geographic-Information-Systems</t>
        </is>
      </c>
      <c r="H62" s="952" t="inlineStr">
        <is>
          <t>Use for parcels inside this jurisdiction; confirm the parcel's actual county before relying on county recorder or assessor records.</t>
        </is>
      </c>
      <c r="I62" s="1129" t="n">
        <v>46213</v>
      </c>
      <c r="J62" s="951" t="inlineStr">
        <is>
          <t>Critical</t>
        </is>
      </c>
    </row>
    <row r="63" ht="42" customHeight="1">
      <c r="A63" s="952" t="inlineStr">
        <is>
          <t>Brighton</t>
        </is>
      </c>
      <c r="B63" s="952" t="inlineStr">
        <is>
          <t>Zoning / Planning</t>
        </is>
      </c>
      <c r="C63" s="952" t="inlineStr">
        <is>
          <t>Planning &amp; Zoning</t>
        </is>
      </c>
      <c r="D63" s="952" t="inlineStr">
        <is>
          <t>Planning, zoning, applications and staff resources.</t>
        </is>
      </c>
      <c r="E63" s="952" t="inlineStr">
        <is>
          <t>Start zoning and entitlement research.</t>
        </is>
      </c>
      <c r="F63" s="952" t="inlineStr">
        <is>
          <t>Yes</t>
        </is>
      </c>
      <c r="G63" s="1188" t="inlineStr">
        <is>
          <t>https://www.brightonco.gov/224/Planning-Zoning</t>
        </is>
      </c>
      <c r="H63" s="952" t="inlineStr">
        <is>
          <t>Use for parcels inside this jurisdiction; confirm the parcel's actual county before relying on county recorder or assessor records.</t>
        </is>
      </c>
      <c r="I63" s="1129" t="n">
        <v>46213</v>
      </c>
      <c r="J63" s="951" t="inlineStr">
        <is>
          <t>Critical</t>
        </is>
      </c>
    </row>
    <row r="64" ht="42" customHeight="1">
      <c r="A64" s="952" t="inlineStr">
        <is>
          <t>Brighton</t>
        </is>
      </c>
      <c r="B64" s="952" t="inlineStr">
        <is>
          <t>Code</t>
        </is>
      </c>
      <c r="C64" s="952" t="inlineStr">
        <is>
          <t>Land Use &amp; Development Code</t>
        </is>
      </c>
      <c r="D64" s="952" t="inlineStr">
        <is>
          <t>Current city land-use and development code.</t>
        </is>
      </c>
      <c r="E64" s="952" t="inlineStr">
        <is>
          <t>Review zoning districts, uses and development standards.</t>
        </is>
      </c>
      <c r="F64" s="952" t="inlineStr">
        <is>
          <t>Yes</t>
        </is>
      </c>
      <c r="G64" s="1188" t="inlineStr">
        <is>
          <t>https://www.brightonco.gov/363/Land-Use-Development-Code</t>
        </is>
      </c>
      <c r="H64" s="952" t="inlineStr">
        <is>
          <t>Use for parcels inside this jurisdiction; confirm the parcel's actual county before relying on county recorder or assessor records.</t>
        </is>
      </c>
      <c r="I64" s="1129" t="n">
        <v>46213</v>
      </c>
      <c r="J64" s="951" t="inlineStr">
        <is>
          <t>Critical</t>
        </is>
      </c>
    </row>
    <row r="65" ht="42" customHeight="1">
      <c r="A65" s="952" t="inlineStr">
        <is>
          <t>Brighton</t>
        </is>
      </c>
      <c r="B65" s="952" t="inlineStr">
        <is>
          <t>Development</t>
        </is>
      </c>
      <c r="C65" s="952" t="inlineStr">
        <is>
          <t>Land Use &amp; Development Applications</t>
        </is>
      </c>
      <c r="D65" s="952" t="inlineStr">
        <is>
          <t>Applications and procedural information.</t>
        </is>
      </c>
      <c r="E65" s="952" t="inlineStr">
        <is>
          <t>Identify entitlement types and application requirements.</t>
        </is>
      </c>
      <c r="F65" s="952" t="inlineStr">
        <is>
          <t>Yes</t>
        </is>
      </c>
      <c r="G65" s="1188" t="inlineStr">
        <is>
          <t>https://www.brightonco.gov/1142/Land-Use-Development-Applications</t>
        </is>
      </c>
      <c r="H65" s="952" t="inlineStr">
        <is>
          <t>Use for parcels inside this jurisdiction; confirm the parcel's actual county before relying on county recorder or assessor records.</t>
        </is>
      </c>
      <c r="I65" s="1129" t="n">
        <v>46213</v>
      </c>
      <c r="J65" s="951" t="inlineStr">
        <is>
          <t>High</t>
        </is>
      </c>
    </row>
    <row r="66" ht="42" customHeight="1">
      <c r="A66" s="952" t="inlineStr">
        <is>
          <t>Brighton</t>
        </is>
      </c>
      <c r="B66" s="952" t="inlineStr">
        <is>
          <t>Development</t>
        </is>
      </c>
      <c r="C66" s="952" t="inlineStr">
        <is>
          <t>Interactive Development Map</t>
        </is>
      </c>
      <c r="D66" s="952" t="inlineStr">
        <is>
          <t>Interactive map of development activity.</t>
        </is>
      </c>
      <c r="E66" s="952" t="inlineStr">
        <is>
          <t>Find active projects near a target property.</t>
        </is>
      </c>
      <c r="F66" s="952" t="inlineStr">
        <is>
          <t>Yes</t>
        </is>
      </c>
      <c r="G66" s="1188" t="inlineStr">
        <is>
          <t>https://www.brightonco.gov/1596/Interactive-Development-Map</t>
        </is>
      </c>
      <c r="H66" s="952" t="inlineStr">
        <is>
          <t>Use for parcels inside this jurisdiction; confirm the parcel's actual county before relying on county recorder or assessor records.</t>
        </is>
      </c>
      <c r="I66" s="1129" t="n">
        <v>46213</v>
      </c>
      <c r="J66" s="951" t="inlineStr">
        <is>
          <t>Critical</t>
        </is>
      </c>
    </row>
    <row r="67" ht="42" customHeight="1">
      <c r="A67" s="952" t="inlineStr">
        <is>
          <t>Brighton</t>
        </is>
      </c>
      <c r="B67" s="952" t="inlineStr">
        <is>
          <t>Development</t>
        </is>
      </c>
      <c r="C67" s="952" t="inlineStr">
        <is>
          <t>Development Resources</t>
        </is>
      </c>
      <c r="D67" s="952" t="inlineStr">
        <is>
          <t>Development standards, guides and applicant resources.</t>
        </is>
      </c>
      <c r="E67" s="952" t="inlineStr">
        <is>
          <t>Plan a development submittal or feasibility review.</t>
        </is>
      </c>
      <c r="F67" s="952" t="inlineStr">
        <is>
          <t>Yes</t>
        </is>
      </c>
      <c r="G67" s="1188" t="inlineStr">
        <is>
          <t>https://www.brightonco.gov/1146/Development-Resources</t>
        </is>
      </c>
      <c r="H67" s="952" t="inlineStr">
        <is>
          <t>Use for parcels inside this jurisdiction; confirm the parcel's actual county before relying on county recorder or assessor records.</t>
        </is>
      </c>
      <c r="I67" s="1129" t="n">
        <v>46213</v>
      </c>
      <c r="J67" s="951" t="inlineStr">
        <is>
          <t>High</t>
        </is>
      </c>
    </row>
    <row r="68" ht="42" customHeight="1">
      <c r="A68" s="952" t="inlineStr">
        <is>
          <t>Brighton</t>
        </is>
      </c>
      <c r="B68" s="952" t="inlineStr">
        <is>
          <t>Permits</t>
        </is>
      </c>
      <c r="C68" s="952" t="inlineStr">
        <is>
          <t>Permitting</t>
        </is>
      </c>
      <c r="D68" s="952" t="inlineStr">
        <is>
          <t>City permitting resources and online services.</t>
        </is>
      </c>
      <c r="E68" s="952" t="inlineStr">
        <is>
          <t>Research permit requirements and status.</t>
        </is>
      </c>
      <c r="F68" s="952" t="inlineStr">
        <is>
          <t>Yes</t>
        </is>
      </c>
      <c r="G68" s="1188" t="inlineStr">
        <is>
          <t>https://www.brightonco.gov/222/Permitting</t>
        </is>
      </c>
      <c r="H68" s="952" t="inlineStr">
        <is>
          <t>Use for parcels inside this jurisdiction; confirm the parcel's actual county before relying on county recorder or assessor records.</t>
        </is>
      </c>
      <c r="I68" s="1129" t="n">
        <v>46213</v>
      </c>
      <c r="J68" s="951" t="inlineStr">
        <is>
          <t>Critical</t>
        </is>
      </c>
    </row>
    <row r="69" ht="42" customHeight="1">
      <c r="A69" s="952" t="inlineStr">
        <is>
          <t>Brighton</t>
        </is>
      </c>
      <c r="B69" s="952" t="inlineStr">
        <is>
          <t>Codes</t>
        </is>
      </c>
      <c r="C69" s="952" t="inlineStr">
        <is>
          <t>Codes</t>
        </is>
      </c>
      <c r="D69" s="952" t="inlineStr">
        <is>
          <t>Building and municipal code resources.</t>
        </is>
      </c>
      <c r="E69" s="952" t="inlineStr">
        <is>
          <t>Confirm adopted construction and municipal standards.</t>
        </is>
      </c>
      <c r="F69" s="952" t="inlineStr">
        <is>
          <t>Yes</t>
        </is>
      </c>
      <c r="G69" s="1188" t="inlineStr">
        <is>
          <t>https://www.brightonco.gov/1194/Codes</t>
        </is>
      </c>
      <c r="H69" s="952" t="inlineStr">
        <is>
          <t>Use for parcels inside this jurisdiction; confirm the parcel's actual county before relying on county recorder or assessor records.</t>
        </is>
      </c>
      <c r="I69" s="1129" t="n">
        <v>46213</v>
      </c>
      <c r="J69" s="951" t="inlineStr">
        <is>
          <t>High</t>
        </is>
      </c>
    </row>
    <row r="70" ht="42" customHeight="1">
      <c r="A70" s="952" t="inlineStr">
        <is>
          <t>Brighton</t>
        </is>
      </c>
      <c r="B70" s="952" t="inlineStr">
        <is>
          <t>Long-Range Planning</t>
        </is>
      </c>
      <c r="C70" s="952" t="inlineStr">
        <is>
          <t>Long Range Planning</t>
        </is>
      </c>
      <c r="D70" s="952" t="inlineStr">
        <is>
          <t>Comprehensive and area planning resources.</t>
        </is>
      </c>
      <c r="E70" s="952" t="inlineStr">
        <is>
          <t>Research future land use and long-range initiatives.</t>
        </is>
      </c>
      <c r="F70" s="952" t="inlineStr">
        <is>
          <t>Yes</t>
        </is>
      </c>
      <c r="G70" s="1188" t="inlineStr">
        <is>
          <t>https://www.brightonco.gov/553/Long-Range-Planning</t>
        </is>
      </c>
      <c r="H70" s="952" t="inlineStr">
        <is>
          <t>Use for parcels inside this jurisdiction; confirm the parcel's actual county before relying on county recorder or assessor records.</t>
        </is>
      </c>
      <c r="I70" s="1129" t="n">
        <v>46213</v>
      </c>
      <c r="J70" s="951" t="inlineStr">
        <is>
          <t>High</t>
        </is>
      </c>
    </row>
    <row r="71" ht="42" customHeight="1">
      <c r="A71" s="952" t="inlineStr">
        <is>
          <t>Brighton</t>
        </is>
      </c>
      <c r="B71" s="952" t="inlineStr">
        <is>
          <t>Meetings</t>
        </is>
      </c>
      <c r="C71" s="952" t="inlineStr">
        <is>
          <t>Planning Commission</t>
        </is>
      </c>
      <c r="D71" s="952" t="inlineStr">
        <is>
          <t>Planning Commission information.</t>
        </is>
      </c>
      <c r="E71" s="952" t="inlineStr">
        <is>
          <t>Monitor land-use hearings and recommendations.</t>
        </is>
      </c>
      <c r="F71" s="952" t="inlineStr">
        <is>
          <t>Yes</t>
        </is>
      </c>
      <c r="G71" s="1188" t="inlineStr">
        <is>
          <t>https://www.brightonco.gov/197/Planning-Commission</t>
        </is>
      </c>
      <c r="H71" s="952" t="inlineStr">
        <is>
          <t>Use for parcels inside this jurisdiction; confirm the parcel's actual county before relying on county recorder or assessor records.</t>
        </is>
      </c>
      <c r="I71" s="1129" t="n">
        <v>46213</v>
      </c>
      <c r="J71" s="951" t="inlineStr">
        <is>
          <t>High</t>
        </is>
      </c>
    </row>
    <row r="72" ht="42" customHeight="1">
      <c r="A72" s="952" t="inlineStr">
        <is>
          <t>Brighton</t>
        </is>
      </c>
      <c r="B72" s="952" t="inlineStr">
        <is>
          <t>Meetings</t>
        </is>
      </c>
      <c r="C72" s="952" t="inlineStr">
        <is>
          <t>Agenda Center</t>
        </is>
      </c>
      <c r="D72" s="952" t="inlineStr">
        <is>
          <t>Agendas, minutes and meeting records.</t>
        </is>
      </c>
      <c r="E72" s="952" t="inlineStr">
        <is>
          <t>Track official city decisions.</t>
        </is>
      </c>
      <c r="F72" s="952" t="inlineStr">
        <is>
          <t>Yes</t>
        </is>
      </c>
      <c r="G72" s="1188" t="inlineStr">
        <is>
          <t>https://www.brightonco.gov/agendacenter</t>
        </is>
      </c>
      <c r="H72" s="952" t="inlineStr">
        <is>
          <t>Use for parcels inside this jurisdiction; confirm the parcel's actual county before relying on county recorder or assessor records.</t>
        </is>
      </c>
      <c r="I72" s="1129" t="n">
        <v>46213</v>
      </c>
      <c r="J72" s="951" t="inlineStr">
        <is>
          <t>High</t>
        </is>
      </c>
    </row>
    <row r="73" ht="42" customHeight="1">
      <c r="A73" s="952" t="inlineStr">
        <is>
          <t>Brighton</t>
        </is>
      </c>
      <c r="B73" s="952" t="inlineStr">
        <is>
          <t>Public Notices</t>
        </is>
      </c>
      <c r="C73" s="952" t="inlineStr">
        <is>
          <t>Legal Notices</t>
        </is>
      </c>
      <c r="D73" s="952" t="inlineStr">
        <is>
          <t>Official legal notices and hearing postings.</t>
        </is>
      </c>
      <c r="E73" s="952" t="inlineStr">
        <is>
          <t>Confirm formal notices and deadlines.</t>
        </is>
      </c>
      <c r="F73" s="952" t="inlineStr">
        <is>
          <t>Yes</t>
        </is>
      </c>
      <c r="G73" s="1188" t="inlineStr">
        <is>
          <t>https://www.brightonco.gov/453/Legal-Notices</t>
        </is>
      </c>
      <c r="H73" s="952" t="inlineStr">
        <is>
          <t>Use for parcels inside this jurisdiction; confirm the parcel's actual county before relying on county recorder or assessor records.</t>
        </is>
      </c>
      <c r="I73" s="1129" t="n">
        <v>46213</v>
      </c>
      <c r="J73" s="951" t="inlineStr">
        <is>
          <t>High</t>
        </is>
      </c>
    </row>
    <row r="74" ht="42" customHeight="1">
      <c r="A74" s="952" t="inlineStr">
        <is>
          <t>Brighton</t>
        </is>
      </c>
      <c r="B74" s="952" t="inlineStr">
        <is>
          <t>News</t>
        </is>
      </c>
      <c r="C74" s="952" t="inlineStr">
        <is>
          <t>City News</t>
        </is>
      </c>
      <c r="D74" s="952" t="inlineStr">
        <is>
          <t>Official city news and announcements.</t>
        </is>
      </c>
      <c r="E74" s="952" t="inlineStr">
        <is>
          <t>Monitor projects, policy and community changes.</t>
        </is>
      </c>
      <c r="F74" s="952" t="inlineStr">
        <is>
          <t>Yes</t>
        </is>
      </c>
      <c r="G74" s="1188" t="inlineStr">
        <is>
          <t>https://www.brightonco.gov/175/News</t>
        </is>
      </c>
      <c r="H74" s="952" t="inlineStr">
        <is>
          <t>Use for parcels inside this jurisdiction; confirm the parcel's actual county before relying on county recorder or assessor records.</t>
        </is>
      </c>
      <c r="I74" s="1129" t="n">
        <v>46213</v>
      </c>
      <c r="J74" s="951" t="inlineStr">
        <is>
          <t>Useful</t>
        </is>
      </c>
    </row>
    <row r="75" ht="42" customHeight="1">
      <c r="A75" s="952" t="inlineStr">
        <is>
          <t>Brighton</t>
        </is>
      </c>
      <c r="B75" s="952" t="inlineStr">
        <is>
          <t>Alerts</t>
        </is>
      </c>
      <c r="C75" s="952" t="inlineStr">
        <is>
          <t>Notify Me</t>
        </is>
      </c>
      <c r="D75" s="952" t="inlineStr">
        <is>
          <t>Email subscription categories and alerts.</t>
        </is>
      </c>
      <c r="E75" s="952" t="inlineStr">
        <is>
          <t>Subscribe to meeting, project and news updates.</t>
        </is>
      </c>
      <c r="F75" s="952" t="inlineStr">
        <is>
          <t>Yes</t>
        </is>
      </c>
      <c r="G75" s="1188" t="inlineStr">
        <is>
          <t>https://www.brightonco.gov/notifyme</t>
        </is>
      </c>
      <c r="H75" s="952" t="inlineStr">
        <is>
          <t>Use for parcels inside this jurisdiction; confirm the parcel's actual county before relying on county recorder or assessor records.</t>
        </is>
      </c>
      <c r="I75" s="1129" t="n">
        <v>46213</v>
      </c>
      <c r="J75" s="951" t="inlineStr">
        <is>
          <t>Useful</t>
        </is>
      </c>
    </row>
    <row r="76" ht="42" customHeight="1">
      <c r="A76" s="952" t="inlineStr">
        <is>
          <t>Commerce City</t>
        </is>
      </c>
      <c r="B76" s="952" t="inlineStr">
        <is>
          <t>Official Website</t>
        </is>
      </c>
      <c r="C76" s="952" t="inlineStr">
        <is>
          <t>Commerce City</t>
        </is>
      </c>
      <c r="D76" s="952" t="inlineStr">
        <is>
          <t>Main city website.</t>
        </is>
      </c>
      <c r="E76" s="952" t="inlineStr">
        <is>
          <t>Navigate city departments and services.</t>
        </is>
      </c>
      <c r="F76" s="952" t="inlineStr">
        <is>
          <t>Yes</t>
        </is>
      </c>
      <c r="G76" s="1188" t="inlineStr">
        <is>
          <t>https://www.c3gov.com/Home</t>
        </is>
      </c>
      <c r="H76" s="952" t="inlineStr">
        <is>
          <t>Use for parcels inside this jurisdiction; confirm the parcel's actual county before relying on county recorder or assessor records.</t>
        </is>
      </c>
      <c r="I76" s="1129" t="n">
        <v>46213</v>
      </c>
      <c r="J76" s="951" t="inlineStr">
        <is>
          <t>Reference</t>
        </is>
      </c>
    </row>
    <row r="77" ht="42" customHeight="1">
      <c r="A77" s="952" t="inlineStr">
        <is>
          <t>Commerce City</t>
        </is>
      </c>
      <c r="B77" s="952" t="inlineStr">
        <is>
          <t>GIS / Property</t>
        </is>
      </c>
      <c r="C77" s="952" t="inlineStr">
        <is>
          <t>Maps, Data &amp; GIS</t>
        </is>
      </c>
      <c r="D77" s="952" t="inlineStr">
        <is>
          <t>City maps, data and GIS resources.</t>
        </is>
      </c>
      <c r="E77" s="952" t="inlineStr">
        <is>
          <t>Research zoning, parcels, boundaries and infrastructure.</t>
        </is>
      </c>
      <c r="F77" s="952" t="inlineStr">
        <is>
          <t>Yes</t>
        </is>
      </c>
      <c r="G77" s="1188" t="inlineStr">
        <is>
          <t>https://www.c3gov.com/Residents/Maps-Data-GIS</t>
        </is>
      </c>
      <c r="H77" s="952" t="inlineStr">
        <is>
          <t>Use for parcels inside this jurisdiction; confirm the parcel's actual county before relying on county recorder or assessor records.</t>
        </is>
      </c>
      <c r="I77" s="1129" t="n">
        <v>46213</v>
      </c>
      <c r="J77" s="951" t="inlineStr">
        <is>
          <t>Critical</t>
        </is>
      </c>
    </row>
    <row r="78" ht="42" customHeight="1">
      <c r="A78" s="952" t="inlineStr">
        <is>
          <t>Commerce City</t>
        </is>
      </c>
      <c r="B78" s="952" t="inlineStr">
        <is>
          <t>Code</t>
        </is>
      </c>
      <c r="C78" s="952" t="inlineStr">
        <is>
          <t>Land Development Code</t>
        </is>
      </c>
      <c r="D78" s="952" t="inlineStr">
        <is>
          <t>City land-development regulations.</t>
        </is>
      </c>
      <c r="E78" s="952" t="inlineStr">
        <is>
          <t>Review zoning, use, subdivision and development standards.</t>
        </is>
      </c>
      <c r="F78" s="952" t="inlineStr">
        <is>
          <t>Yes</t>
        </is>
      </c>
      <c r="G78" s="1188" t="inlineStr">
        <is>
          <t>https://www.c3gov.com/Government/City-Codes/Land-Development-Code</t>
        </is>
      </c>
      <c r="H78" s="952" t="inlineStr">
        <is>
          <t>Use for parcels inside this jurisdiction; confirm the parcel's actual county before relying on county recorder or assessor records.</t>
        </is>
      </c>
      <c r="I78" s="1129" t="n">
        <v>46213</v>
      </c>
      <c r="J78" s="951" t="inlineStr">
        <is>
          <t>Critical</t>
        </is>
      </c>
    </row>
    <row r="79" ht="42" customHeight="1">
      <c r="A79" s="952" t="inlineStr">
        <is>
          <t>Commerce City</t>
        </is>
      </c>
      <c r="B79" s="952" t="inlineStr">
        <is>
          <t>Code</t>
        </is>
      </c>
      <c r="C79" s="952" t="inlineStr">
        <is>
          <t>Land Development Code Transition</t>
        </is>
      </c>
      <c r="D79" s="952" t="inlineStr">
        <is>
          <t>Information on current code changes and transition rules.</t>
        </is>
      </c>
      <c r="E79" s="952" t="inlineStr">
        <is>
          <t>Check which code version applies to a project.</t>
        </is>
      </c>
      <c r="F79" s="952" t="inlineStr">
        <is>
          <t>Yes</t>
        </is>
      </c>
      <c r="G79" s="1188" t="inlineStr">
        <is>
          <t>https://www.c3gov.com/Government/City-Codes/Land-Development-Code/Land-Development-Code-Transition</t>
        </is>
      </c>
      <c r="H79" s="952" t="inlineStr">
        <is>
          <t>Use for parcels inside this jurisdiction; confirm the parcel's actual county before relying on county recorder or assessor records.</t>
        </is>
      </c>
      <c r="I79" s="1129" t="n">
        <v>46213</v>
      </c>
      <c r="J79" s="951" t="inlineStr">
        <is>
          <t>High</t>
        </is>
      </c>
    </row>
    <row r="80" ht="42" customHeight="1">
      <c r="A80" s="952" t="inlineStr">
        <is>
          <t>Commerce City</t>
        </is>
      </c>
      <c r="B80" s="952" t="inlineStr">
        <is>
          <t>Zoning / Standards</t>
        </is>
      </c>
      <c r="C80" s="952" t="inlineStr">
        <is>
          <t>Land Use Standards</t>
        </is>
      </c>
      <c r="D80" s="952" t="inlineStr">
        <is>
          <t>Land-use and development standards.</t>
        </is>
      </c>
      <c r="E80" s="952" t="inlineStr">
        <is>
          <t>Confirm site and use requirements.</t>
        </is>
      </c>
      <c r="F80" s="952" t="inlineStr">
        <is>
          <t>Yes</t>
        </is>
      </c>
      <c r="G80" s="1188" t="inlineStr">
        <is>
          <t>https://www.c3gov.com/Business-Development/Developing-in-Commerce-City/Land-Use-Standards</t>
        </is>
      </c>
      <c r="H80" s="952" t="inlineStr">
        <is>
          <t>Use for parcels inside this jurisdiction; confirm the parcel's actual county before relying on county recorder or assessor records.</t>
        </is>
      </c>
      <c r="I80" s="1129" t="n">
        <v>46213</v>
      </c>
      <c r="J80" s="951" t="inlineStr">
        <is>
          <t>Critical</t>
        </is>
      </c>
    </row>
    <row r="81" ht="42" customHeight="1">
      <c r="A81" s="952" t="inlineStr">
        <is>
          <t>Commerce City</t>
        </is>
      </c>
      <c r="B81" s="952" t="inlineStr">
        <is>
          <t>Planning</t>
        </is>
      </c>
      <c r="C81" s="952" t="inlineStr">
        <is>
          <t>Community Development</t>
        </is>
      </c>
      <c r="D81" s="952" t="inlineStr">
        <is>
          <t>Planning, building and development department resources.</t>
        </is>
      </c>
      <c r="E81" s="952" t="inlineStr">
        <is>
          <t>Start land-use and development research.</t>
        </is>
      </c>
      <c r="F81" s="952" t="inlineStr">
        <is>
          <t>Yes</t>
        </is>
      </c>
      <c r="G81" s="1188" t="inlineStr">
        <is>
          <t>https://www.c3gov.com/Government/Departments-Divisions/Community-Development</t>
        </is>
      </c>
      <c r="H81" s="952" t="inlineStr">
        <is>
          <t>Use for parcels inside this jurisdiction; confirm the parcel's actual county before relying on county recorder or assessor records.</t>
        </is>
      </c>
      <c r="I81" s="1129" t="n">
        <v>46213</v>
      </c>
      <c r="J81" s="951" t="inlineStr">
        <is>
          <t>High</t>
        </is>
      </c>
    </row>
    <row r="82" ht="42" customHeight="1">
      <c r="A82" s="952" t="inlineStr">
        <is>
          <t>Commerce City</t>
        </is>
      </c>
      <c r="B82" s="952" t="inlineStr">
        <is>
          <t>Development</t>
        </is>
      </c>
      <c r="C82" s="952" t="inlineStr">
        <is>
          <t>Developing in Commerce City</t>
        </is>
      </c>
      <c r="D82" s="952" t="inlineStr">
        <is>
          <t>Development-process overview and resources.</t>
        </is>
      </c>
      <c r="E82" s="952" t="inlineStr">
        <is>
          <t>Understand approvals, standards and contacts.</t>
        </is>
      </c>
      <c r="F82" s="952" t="inlineStr">
        <is>
          <t>Yes</t>
        </is>
      </c>
      <c r="G82" s="1188" t="inlineStr">
        <is>
          <t>https://www.c3gov.com/Business-Development/Developing-in-Commerce-City</t>
        </is>
      </c>
      <c r="H82" s="952" t="inlineStr">
        <is>
          <t>Use for parcels inside this jurisdiction; confirm the parcel's actual county before relying on county recorder or assessor records.</t>
        </is>
      </c>
      <c r="I82" s="1129" t="n">
        <v>46213</v>
      </c>
      <c r="J82" s="951" t="inlineStr">
        <is>
          <t>High</t>
        </is>
      </c>
    </row>
    <row r="83" ht="42" customHeight="1">
      <c r="A83" s="952" t="inlineStr">
        <is>
          <t>Commerce City</t>
        </is>
      </c>
      <c r="B83" s="952" t="inlineStr">
        <is>
          <t>Development</t>
        </is>
      </c>
      <c r="C83" s="952" t="inlineStr">
        <is>
          <t>Land Use Approvals</t>
        </is>
      </c>
      <c r="D83" s="952" t="inlineStr">
        <is>
          <t>Land-use approval types and application guidance.</t>
        </is>
      </c>
      <c r="E83" s="952" t="inlineStr">
        <is>
          <t>Determine the entitlement process for a proposal.</t>
        </is>
      </c>
      <c r="F83" s="952" t="inlineStr">
        <is>
          <t>Yes</t>
        </is>
      </c>
      <c r="G83" s="1188" t="inlineStr">
        <is>
          <t>https://www.c3gov.com/Business-Development/Developing-in-Commerce-City/Land-Use-Approvals</t>
        </is>
      </c>
      <c r="H83" s="952" t="inlineStr">
        <is>
          <t>Use for parcels inside this jurisdiction; confirm the parcel's actual county before relying on county recorder or assessor records.</t>
        </is>
      </c>
      <c r="I83" s="1129" t="n">
        <v>46213</v>
      </c>
      <c r="J83" s="951" t="inlineStr">
        <is>
          <t>High</t>
        </is>
      </c>
    </row>
    <row r="84" ht="42" customHeight="1">
      <c r="A84" s="952" t="inlineStr">
        <is>
          <t>Commerce City</t>
        </is>
      </c>
      <c r="B84" s="952" t="inlineStr">
        <is>
          <t>Development</t>
        </is>
      </c>
      <c r="C84" s="952" t="inlineStr">
        <is>
          <t>Development Projects Map</t>
        </is>
      </c>
      <c r="D84" s="952" t="inlineStr">
        <is>
          <t>Map of active development projects.</t>
        </is>
      </c>
      <c r="E84" s="952" t="inlineStr">
        <is>
          <t>Identify projects near a property and monitor status.</t>
        </is>
      </c>
      <c r="F84" s="952" t="inlineStr">
        <is>
          <t>Yes</t>
        </is>
      </c>
      <c r="G84" s="1188" t="inlineStr">
        <is>
          <t>https://www.c3gov.com/Business-Development/Development-Projects-Map</t>
        </is>
      </c>
      <c r="H84" s="952" t="inlineStr">
        <is>
          <t>Use for parcels inside this jurisdiction; confirm the parcel's actual county before relying on county recorder or assessor records.</t>
        </is>
      </c>
      <c r="I84" s="1129" t="n">
        <v>46213</v>
      </c>
      <c r="J84" s="951" t="inlineStr">
        <is>
          <t>Critical</t>
        </is>
      </c>
    </row>
    <row r="85" ht="42" customHeight="1">
      <c r="A85" s="952" t="inlineStr">
        <is>
          <t>Commerce City</t>
        </is>
      </c>
      <c r="B85" s="952" t="inlineStr">
        <is>
          <t>Permits</t>
        </is>
      </c>
      <c r="C85" s="952" t="inlineStr">
        <is>
          <t>Building Permits &amp; Inspections</t>
        </is>
      </c>
      <c r="D85" s="952" t="inlineStr">
        <is>
          <t>Building-permit and inspection information.</t>
        </is>
      </c>
      <c r="E85" s="952" t="inlineStr">
        <is>
          <t>Research construction permits and inspections.</t>
        </is>
      </c>
      <c r="F85" s="952" t="inlineStr">
        <is>
          <t>Yes</t>
        </is>
      </c>
      <c r="G85" s="1188" t="inlineStr">
        <is>
          <t>https://www.c3gov.com/Business-Development/Building-Permits-Inspections</t>
        </is>
      </c>
      <c r="H85" s="952" t="inlineStr">
        <is>
          <t>Use for parcels inside this jurisdiction; confirm the parcel's actual county before relying on county recorder or assessor records.</t>
        </is>
      </c>
      <c r="I85" s="1129" t="n">
        <v>46213</v>
      </c>
      <c r="J85" s="951" t="inlineStr">
        <is>
          <t>Critical</t>
        </is>
      </c>
    </row>
    <row r="86" ht="42" customHeight="1">
      <c r="A86" s="952" t="inlineStr">
        <is>
          <t>Commerce City</t>
        </is>
      </c>
      <c r="B86" s="952" t="inlineStr">
        <is>
          <t>Online Portal</t>
        </is>
      </c>
      <c r="C86" s="952" t="inlineStr">
        <is>
          <t>eTRAKiT Portal</t>
        </is>
      </c>
      <c r="D86" s="952" t="inlineStr">
        <is>
          <t>Online permitting and project portal.</t>
        </is>
      </c>
      <c r="E86" s="952" t="inlineStr">
        <is>
          <t>Search or manage permits and development cases.</t>
        </is>
      </c>
      <c r="F86" s="952" t="inlineStr">
        <is>
          <t>Yes</t>
        </is>
      </c>
      <c r="G86" s="1188" t="inlineStr">
        <is>
          <t>https://www.c3gov.com/Business-Development/eTRAKiT-Portal</t>
        </is>
      </c>
      <c r="H86" s="952" t="inlineStr">
        <is>
          <t>Use for parcels inside this jurisdiction; confirm the parcel's actual county before relying on county recorder or assessor records.</t>
        </is>
      </c>
      <c r="I86" s="1129" t="n">
        <v>46213</v>
      </c>
      <c r="J86" s="951" t="inlineStr">
        <is>
          <t>High</t>
        </is>
      </c>
    </row>
    <row r="87" ht="42" customHeight="1">
      <c r="A87" s="952" t="inlineStr">
        <is>
          <t>Commerce City</t>
        </is>
      </c>
      <c r="B87" s="952" t="inlineStr">
        <is>
          <t>Long-Range Planning</t>
        </is>
      </c>
      <c r="C87" s="952" t="inlineStr">
        <is>
          <t>Comprehensive Plan</t>
        </is>
      </c>
      <c r="D87" s="952" t="inlineStr">
        <is>
          <t>City comprehensive plan and related documents.</t>
        </is>
      </c>
      <c r="E87" s="952" t="inlineStr">
        <is>
          <t>Evaluate future land use and city policy.</t>
        </is>
      </c>
      <c r="F87" s="952" t="inlineStr">
        <is>
          <t>Yes</t>
        </is>
      </c>
      <c r="G87" s="1188" t="inlineStr">
        <is>
          <t>https://www.c3gov.com/Government/City-Charter-Master-Plans/Comprehensive-Plan</t>
        </is>
      </c>
      <c r="H87" s="952" t="inlineStr">
        <is>
          <t>Use for parcels inside this jurisdiction; confirm the parcel's actual county before relying on county recorder or assessor records.</t>
        </is>
      </c>
      <c r="I87" s="1129" t="n">
        <v>46213</v>
      </c>
      <c r="J87" s="951" t="inlineStr">
        <is>
          <t>High</t>
        </is>
      </c>
    </row>
    <row r="88" ht="42" customHeight="1">
      <c r="A88" s="952" t="inlineStr">
        <is>
          <t>Commerce City</t>
        </is>
      </c>
      <c r="B88" s="952" t="inlineStr">
        <is>
          <t>Meetings</t>
        </is>
      </c>
      <c r="C88" s="952" t="inlineStr">
        <is>
          <t>Planning Commission</t>
        </is>
      </c>
      <c r="D88" s="952" t="inlineStr">
        <is>
          <t>Planning Commission information and meetings.</t>
        </is>
      </c>
      <c r="E88" s="952" t="inlineStr">
        <is>
          <t>Monitor planning hearings and recommendations.</t>
        </is>
      </c>
      <c r="F88" s="952" t="inlineStr">
        <is>
          <t>Yes</t>
        </is>
      </c>
      <c r="G88" s="1188" t="inlineStr">
        <is>
          <t>https://www.c3gov.com/Government/Boards-Commissions/Planning-Commission</t>
        </is>
      </c>
      <c r="H88" s="952" t="inlineStr">
        <is>
          <t>Use for parcels inside this jurisdiction; confirm the parcel's actual county before relying on county recorder or assessor records.</t>
        </is>
      </c>
      <c r="I88" s="1129" t="n">
        <v>46213</v>
      </c>
      <c r="J88" s="951" t="inlineStr">
        <is>
          <t>High</t>
        </is>
      </c>
    </row>
    <row r="89" ht="42" customHeight="1">
      <c r="A89" s="952" t="inlineStr">
        <is>
          <t>Commerce City</t>
        </is>
      </c>
      <c r="B89" s="952" t="inlineStr">
        <is>
          <t>Meetings</t>
        </is>
      </c>
      <c r="C89" s="952" t="inlineStr">
        <is>
          <t>Meeting Agendas and Schedules</t>
        </is>
      </c>
      <c r="D89" s="952" t="inlineStr">
        <is>
          <t>Agendas, schedules and public meeting records.</t>
        </is>
      </c>
      <c r="E89" s="952" t="inlineStr">
        <is>
          <t>Track city council and board action.</t>
        </is>
      </c>
      <c r="F89" s="952" t="inlineStr">
        <is>
          <t>Yes</t>
        </is>
      </c>
      <c r="G89" s="1188" t="inlineStr">
        <is>
          <t>https://www.c3gov.com/Site-Footer/Footer-Widgets/Quick-Links/Meeting-Agendas-and-Schedules</t>
        </is>
      </c>
      <c r="H89" s="952" t="inlineStr">
        <is>
          <t>Use for parcels inside this jurisdiction; confirm the parcel's actual county before relying on county recorder or assessor records.</t>
        </is>
      </c>
      <c r="I89" s="1129" t="n">
        <v>46213</v>
      </c>
      <c r="J89" s="951" t="inlineStr">
        <is>
          <t>High</t>
        </is>
      </c>
    </row>
    <row r="90" ht="42" customHeight="1">
      <c r="A90" s="952" t="inlineStr">
        <is>
          <t>Commerce City</t>
        </is>
      </c>
      <c r="B90" s="952" t="inlineStr">
        <is>
          <t>Public Notices</t>
        </is>
      </c>
      <c r="C90" s="952" t="inlineStr">
        <is>
          <t>Legal Notices &amp; Ordinances</t>
        </is>
      </c>
      <c r="D90" s="952" t="inlineStr">
        <is>
          <t>Official legal notices and ordinances.</t>
        </is>
      </c>
      <c r="E90" s="952" t="inlineStr">
        <is>
          <t>Confirm hearings, ordinances and public-notice deadlines.</t>
        </is>
      </c>
      <c r="F90" s="952" t="inlineStr">
        <is>
          <t>Yes</t>
        </is>
      </c>
      <c r="G90" s="1188" t="inlineStr">
        <is>
          <t>https://www.c3gov.com/Government/Departments-Divisions/City-Clerks-Office/Legal-Notices-Ordinances</t>
        </is>
      </c>
      <c r="H90" s="952" t="inlineStr">
        <is>
          <t>Use for parcels inside this jurisdiction; confirm the parcel's actual county before relying on county recorder or assessor records.</t>
        </is>
      </c>
      <c r="I90" s="1129" t="n">
        <v>46213</v>
      </c>
      <c r="J90" s="951" t="inlineStr">
        <is>
          <t>High</t>
        </is>
      </c>
    </row>
    <row r="91" ht="42" customHeight="1">
      <c r="A91" s="952" t="inlineStr">
        <is>
          <t>Commerce City</t>
        </is>
      </c>
      <c r="B91" s="952" t="inlineStr">
        <is>
          <t>News</t>
        </is>
      </c>
      <c r="C91" s="952" t="inlineStr">
        <is>
          <t>News &amp; Announcements</t>
        </is>
      </c>
      <c r="D91" s="952" t="inlineStr">
        <is>
          <t>Official city news and announcements.</t>
        </is>
      </c>
      <c r="E91" s="952" t="inlineStr">
        <is>
          <t>Monitor projects, policies and public updates.</t>
        </is>
      </c>
      <c r="F91" s="952" t="inlineStr">
        <is>
          <t>Yes</t>
        </is>
      </c>
      <c r="G91" s="1188" t="inlineStr">
        <is>
          <t>https://www.c3gov.com/Government/Media-News/News-Announcements</t>
        </is>
      </c>
      <c r="H91" s="952" t="inlineStr">
        <is>
          <t>Use for parcels inside this jurisdiction; confirm the parcel's actual county before relying on county recorder or assessor records.</t>
        </is>
      </c>
      <c r="I91" s="1129" t="n">
        <v>46213</v>
      </c>
      <c r="J91" s="951" t="inlineStr">
        <is>
          <t>Useful</t>
        </is>
      </c>
    </row>
    <row r="92" ht="42" customHeight="1">
      <c r="A92" s="952" t="inlineStr">
        <is>
          <t>Federal Heights</t>
        </is>
      </c>
      <c r="B92" s="952" t="inlineStr">
        <is>
          <t>Official Website</t>
        </is>
      </c>
      <c r="C92" s="952" t="inlineStr">
        <is>
          <t>City of Federal Heights</t>
        </is>
      </c>
      <c r="D92" s="952" t="inlineStr">
        <is>
          <t>Main city website.</t>
        </is>
      </c>
      <c r="E92" s="952" t="inlineStr">
        <is>
          <t>Navigate city services and departments.</t>
        </is>
      </c>
      <c r="F92" s="952" t="inlineStr">
        <is>
          <t>Yes</t>
        </is>
      </c>
      <c r="G92" s="1188" t="inlineStr">
        <is>
          <t>https://www.fedheights.org/</t>
        </is>
      </c>
      <c r="H92" s="952" t="inlineStr">
        <is>
          <t>Use for parcels inside this jurisdiction; confirm the parcel's actual county before relying on county recorder or assessor records.</t>
        </is>
      </c>
      <c r="I92" s="1129" t="n">
        <v>46213</v>
      </c>
      <c r="J92" s="951" t="inlineStr">
        <is>
          <t>Reference</t>
        </is>
      </c>
    </row>
    <row r="93" ht="42" customHeight="1">
      <c r="A93" s="952" t="inlineStr">
        <is>
          <t>Federal Heights</t>
        </is>
      </c>
      <c r="B93" s="952" t="inlineStr">
        <is>
          <t>GIS / Property</t>
        </is>
      </c>
      <c r="C93" s="952" t="inlineStr">
        <is>
          <t>City Maps and GIS Data</t>
        </is>
      </c>
      <c r="D93" s="952" t="inlineStr">
        <is>
          <t>City maps, zoning map and GIS resources.</t>
        </is>
      </c>
      <c r="E93" s="952" t="inlineStr">
        <is>
          <t>Identify municipal boundaries and mapped information.</t>
        </is>
      </c>
      <c r="F93" s="952" t="inlineStr">
        <is>
          <t>Yes</t>
        </is>
      </c>
      <c r="G93" s="1188" t="inlineStr">
        <is>
          <t>https://www.fedheights.org/index.asp?SEC=D1A883BE-0C29-4602-8CC9-5D6A08DA5503</t>
        </is>
      </c>
      <c r="H93" s="952" t="inlineStr">
        <is>
          <t>Use for parcels inside this jurisdiction; confirm the parcel's actual county before relying on county recorder or assessor records.</t>
        </is>
      </c>
      <c r="I93" s="1129" t="n">
        <v>46213</v>
      </c>
      <c r="J93" s="951" t="inlineStr">
        <is>
          <t>Critical</t>
        </is>
      </c>
    </row>
    <row r="94" ht="42" customHeight="1">
      <c r="A94" s="952" t="inlineStr">
        <is>
          <t>Federal Heights</t>
        </is>
      </c>
      <c r="B94" s="952" t="inlineStr">
        <is>
          <t>Zoning</t>
        </is>
      </c>
      <c r="C94" s="952" t="inlineStr">
        <is>
          <t>Zoning Information</t>
        </is>
      </c>
      <c r="D94" s="952" t="inlineStr">
        <is>
          <t>Zoning district and zoning process information.</t>
        </is>
      </c>
      <c r="E94" s="952" t="inlineStr">
        <is>
          <t>Confirm zoning rules and contacts.</t>
        </is>
      </c>
      <c r="F94" s="952" t="inlineStr">
        <is>
          <t>Yes</t>
        </is>
      </c>
      <c r="G94" s="1188" t="inlineStr">
        <is>
          <t>https://www.fedheights.org/index.asp?SEC=D7AA9940-8607-468A-8215-7308DD3BF799</t>
        </is>
      </c>
      <c r="H94" s="952" t="inlineStr">
        <is>
          <t>Use for parcels inside this jurisdiction; confirm the parcel's actual county before relying on county recorder or assessor records.</t>
        </is>
      </c>
      <c r="I94" s="1129" t="n">
        <v>46213</v>
      </c>
      <c r="J94" s="951" t="inlineStr">
        <is>
          <t>Critical</t>
        </is>
      </c>
    </row>
    <row r="95" ht="42" customHeight="1">
      <c r="A95" s="952" t="inlineStr">
        <is>
          <t>Federal Heights</t>
        </is>
      </c>
      <c r="B95" s="952" t="inlineStr">
        <is>
          <t>Planning</t>
        </is>
      </c>
      <c r="C95" s="952" t="inlineStr">
        <is>
          <t>Planning</t>
        </is>
      </c>
      <c r="D95" s="952" t="inlineStr">
        <is>
          <t>Planning services and land-use information.</t>
        </is>
      </c>
      <c r="E95" s="952" t="inlineStr">
        <is>
          <t>Start zoning or development research.</t>
        </is>
      </c>
      <c r="F95" s="952" t="inlineStr">
        <is>
          <t>Yes</t>
        </is>
      </c>
      <c r="G95" s="1188" t="inlineStr">
        <is>
          <t>https://www.fedheights.org/planning</t>
        </is>
      </c>
      <c r="H95" s="952" t="inlineStr">
        <is>
          <t>Use for parcels inside this jurisdiction; confirm the parcel's actual county before relying on county recorder or assessor records.</t>
        </is>
      </c>
      <c r="I95" s="1129" t="n">
        <v>46213</v>
      </c>
      <c r="J95" s="951" t="inlineStr">
        <is>
          <t>Critical</t>
        </is>
      </c>
    </row>
    <row r="96" ht="42" customHeight="1">
      <c r="A96" s="952" t="inlineStr">
        <is>
          <t>Federal Heights</t>
        </is>
      </c>
      <c r="B96" s="952" t="inlineStr">
        <is>
          <t>Code</t>
        </is>
      </c>
      <c r="C96" s="952" t="inlineStr">
        <is>
          <t>Municipal Code and Charter</t>
        </is>
      </c>
      <c r="D96" s="952" t="inlineStr">
        <is>
          <t>Municipal code and charter resources.</t>
        </is>
      </c>
      <c r="E96" s="952" t="inlineStr">
        <is>
          <t>Review official local regulations.</t>
        </is>
      </c>
      <c r="F96" s="952" t="inlineStr">
        <is>
          <t>Yes</t>
        </is>
      </c>
      <c r="G96" s="1188" t="inlineStr">
        <is>
          <t>https://www.fedheights.org/index.asp?SEC=E0D5E6BC-02A8-4AEF-88A1-9093297C3662</t>
        </is>
      </c>
      <c r="H96" s="952" t="inlineStr">
        <is>
          <t>Use for parcels inside this jurisdiction; confirm the parcel's actual county before relying on county recorder or assessor records.</t>
        </is>
      </c>
      <c r="I96" s="1129" t="n">
        <v>46213</v>
      </c>
      <c r="J96" s="951" t="inlineStr">
        <is>
          <t>High</t>
        </is>
      </c>
    </row>
    <row r="97" ht="42" customHeight="1">
      <c r="A97" s="952" t="inlineStr">
        <is>
          <t>Federal Heights</t>
        </is>
      </c>
      <c r="B97" s="952" t="inlineStr">
        <is>
          <t>Permits</t>
        </is>
      </c>
      <c r="C97" s="952" t="inlineStr">
        <is>
          <t>Building Department</t>
        </is>
      </c>
      <c r="D97" s="952" t="inlineStr">
        <is>
          <t>Building permits, inspections and adopted codes.</t>
        </is>
      </c>
      <c r="E97" s="952" t="inlineStr">
        <is>
          <t>Research building-permit requirements.</t>
        </is>
      </c>
      <c r="F97" s="952" t="inlineStr">
        <is>
          <t>Yes</t>
        </is>
      </c>
      <c r="G97" s="1188" t="inlineStr">
        <is>
          <t>https://www.fedheights.org/index.asp?SEC=D1CB6EB6-9C4B-4FA8-B119-EF1785E54CB6</t>
        </is>
      </c>
      <c r="H97" s="952" t="inlineStr">
        <is>
          <t>Use for parcels inside this jurisdiction; confirm the parcel's actual county before relying on county recorder or assessor records.</t>
        </is>
      </c>
      <c r="I97" s="1129" t="n">
        <v>46213</v>
      </c>
      <c r="J97" s="951" t="inlineStr">
        <is>
          <t>Critical</t>
        </is>
      </c>
    </row>
    <row r="98" ht="42" customHeight="1">
      <c r="A98" s="952" t="inlineStr">
        <is>
          <t>Federal Heights</t>
        </is>
      </c>
      <c r="B98" s="952" t="inlineStr">
        <is>
          <t>Permits</t>
        </is>
      </c>
      <c r="C98" s="952" t="inlineStr">
        <is>
          <t>Building Guides</t>
        </is>
      </c>
      <c r="D98" s="952" t="inlineStr">
        <is>
          <t>Building and permit guidance documents.</t>
        </is>
      </c>
      <c r="E98" s="952" t="inlineStr">
        <is>
          <t>Prepare a permit submittal.</t>
        </is>
      </c>
      <c r="F98" s="952" t="inlineStr">
        <is>
          <t>Yes</t>
        </is>
      </c>
      <c r="G98" s="1188" t="inlineStr">
        <is>
          <t>https://www.fedheights.org/index.asp?SEC=%7BCB7135BC-846F-468B-B85D-0ECE8B03FFCD%7D&amp;persistdesign=none</t>
        </is>
      </c>
      <c r="H98" s="952" t="inlineStr">
        <is>
          <t>Use for parcels inside this jurisdiction; confirm the parcel's actual county before relying on county recorder or assessor records.</t>
        </is>
      </c>
      <c r="I98" s="1129" t="n">
        <v>46213</v>
      </c>
      <c r="J98" s="951" t="inlineStr">
        <is>
          <t>High</t>
        </is>
      </c>
    </row>
    <row r="99" ht="42" customHeight="1">
      <c r="A99" s="952" t="inlineStr">
        <is>
          <t>Federal Heights</t>
        </is>
      </c>
      <c r="B99" s="952" t="inlineStr">
        <is>
          <t>Permit History</t>
        </is>
      </c>
      <c r="C99" s="952" t="inlineStr">
        <is>
          <t>Monthly Permit Reports</t>
        </is>
      </c>
      <c r="D99" s="952" t="inlineStr">
        <is>
          <t>Monthly building-permit reports.</t>
        </is>
      </c>
      <c r="E99" s="952" t="inlineStr">
        <is>
          <t>Review recent permit activity and construction trends.</t>
        </is>
      </c>
      <c r="F99" s="952" t="inlineStr">
        <is>
          <t>Yes</t>
        </is>
      </c>
      <c r="G99" s="1188" t="inlineStr">
        <is>
          <t>https://www.fedheights.org/index.asp?SEC=%7B76F23E1D-0819-4BAB-BD73-23D6092E8A3B%7D&amp;persistdesign=none</t>
        </is>
      </c>
      <c r="H99" s="952" t="inlineStr">
        <is>
          <t>Use for parcels inside this jurisdiction; confirm the parcel's actual county before relying on county recorder or assessor records.</t>
        </is>
      </c>
      <c r="I99" s="1129" t="n">
        <v>46213</v>
      </c>
      <c r="J99" s="951" t="inlineStr">
        <is>
          <t>High</t>
        </is>
      </c>
    </row>
    <row r="100" ht="42" customHeight="1">
      <c r="A100" s="952" t="inlineStr">
        <is>
          <t>Federal Heights</t>
        </is>
      </c>
      <c r="B100" s="952" t="inlineStr">
        <is>
          <t>Long-Range Planning</t>
        </is>
      </c>
      <c r="C100" s="952" t="inlineStr">
        <is>
          <t>Comprehensive Plan</t>
        </is>
      </c>
      <c r="D100" s="952" t="inlineStr">
        <is>
          <t>Comprehensive-plan information.</t>
        </is>
      </c>
      <c r="E100" s="952" t="inlineStr">
        <is>
          <t>Evaluate future land use and policy direction.</t>
        </is>
      </c>
      <c r="F100" s="952" t="inlineStr">
        <is>
          <t>Yes</t>
        </is>
      </c>
      <c r="G100" s="1188" t="inlineStr">
        <is>
          <t>https://www.fedheights.org/index.asp?SEC=%7B5CF1D2C4-3E29-4A1A-BBFA-2BE19B3ABFD0%7D</t>
        </is>
      </c>
      <c r="H100" s="952" t="inlineStr">
        <is>
          <t>Use for parcels inside this jurisdiction; confirm the parcel's actual county before relying on county recorder or assessor records.</t>
        </is>
      </c>
      <c r="I100" s="1129" t="n">
        <v>46213</v>
      </c>
      <c r="J100" s="951" t="inlineStr">
        <is>
          <t>High</t>
        </is>
      </c>
    </row>
    <row r="101" ht="42" customHeight="1">
      <c r="A101" s="952" t="inlineStr">
        <is>
          <t>Federal Heights</t>
        </is>
      </c>
      <c r="B101" s="952" t="inlineStr">
        <is>
          <t>Meetings</t>
        </is>
      </c>
      <c r="C101" s="952" t="inlineStr">
        <is>
          <t>Meetings and Study Sessions</t>
        </is>
      </c>
      <c r="D101" s="952" t="inlineStr">
        <is>
          <t>Council minutes and audio recordings.</t>
        </is>
      </c>
      <c r="E101" s="952" t="inlineStr">
        <is>
          <t>Track council decisions and discussions.</t>
        </is>
      </c>
      <c r="F101" s="952" t="inlineStr">
        <is>
          <t>Yes</t>
        </is>
      </c>
      <c r="G101" s="1188" t="inlineStr">
        <is>
          <t>https://www.fedheights.org/index.asp?SEC=%7BE66D34DF-8290-4807-83DA-3AF56D110C00%7D</t>
        </is>
      </c>
      <c r="H101" s="952" t="inlineStr">
        <is>
          <t>Use for parcels inside this jurisdiction; confirm the parcel's actual county before relying on county recorder or assessor records.</t>
        </is>
      </c>
      <c r="I101" s="1129" t="n">
        <v>46213</v>
      </c>
      <c r="J101" s="951" t="inlineStr">
        <is>
          <t>High</t>
        </is>
      </c>
    </row>
    <row r="102" ht="42" customHeight="1">
      <c r="A102" s="952" t="inlineStr">
        <is>
          <t>Federal Heights</t>
        </is>
      </c>
      <c r="B102" s="952" t="inlineStr">
        <is>
          <t>Public Records</t>
        </is>
      </c>
      <c r="C102" s="952" t="inlineStr">
        <is>
          <t>Public Records</t>
        </is>
      </c>
      <c r="D102" s="952" t="inlineStr">
        <is>
          <t>Public records request process.</t>
        </is>
      </c>
      <c r="E102" s="952" t="inlineStr">
        <is>
          <t>Request planning, permit or city records not posted online.</t>
        </is>
      </c>
      <c r="F102" s="952" t="inlineStr">
        <is>
          <t>Yes</t>
        </is>
      </c>
      <c r="G102" s="1188" t="inlineStr">
        <is>
          <t>https://www.fedheights.org/index.asp?SEC=%7B13723B89-BA4A-47C1-9634-50363F8CD1D2%7D&amp;persistdesign=none</t>
        </is>
      </c>
      <c r="H102" s="952" t="inlineStr">
        <is>
          <t>Use for parcels inside this jurisdiction; confirm the parcel's actual county before relying on county recorder or assessor records.</t>
        </is>
      </c>
      <c r="I102" s="1129" t="n">
        <v>46213</v>
      </c>
      <c r="J102" s="951" t="inlineStr">
        <is>
          <t>High</t>
        </is>
      </c>
    </row>
    <row r="103" ht="42" customHeight="1">
      <c r="A103" s="952" t="inlineStr">
        <is>
          <t>Federal Heights</t>
        </is>
      </c>
      <c r="B103" s="952" t="inlineStr">
        <is>
          <t>News</t>
        </is>
      </c>
      <c r="C103" s="952" t="inlineStr">
        <is>
          <t>News and Events</t>
        </is>
      </c>
      <c r="D103" s="952" t="inlineStr">
        <is>
          <t>Official news and city calendar.</t>
        </is>
      </c>
      <c r="E103" s="952" t="inlineStr">
        <is>
          <t>Monitor meetings, announcements and city activity.</t>
        </is>
      </c>
      <c r="F103" s="952" t="inlineStr">
        <is>
          <t>Yes</t>
        </is>
      </c>
      <c r="G103" s="1188" t="inlineStr">
        <is>
          <t>https://www.fedheights.org/index.asp?SEC=407F7286-34E9-495F-B5F7-88E905D7C9A5</t>
        </is>
      </c>
      <c r="H103" s="952" t="inlineStr">
        <is>
          <t>Use for parcels inside this jurisdiction; confirm the parcel's actual county before relying on county recorder or assessor records.</t>
        </is>
      </c>
      <c r="I103" s="1129" t="n">
        <v>46213</v>
      </c>
      <c r="J103" s="951" t="inlineStr">
        <is>
          <t>Useful</t>
        </is>
      </c>
    </row>
    <row r="104" ht="42" customHeight="1">
      <c r="A104" s="952" t="inlineStr">
        <is>
          <t>Federal Heights</t>
        </is>
      </c>
      <c r="B104" s="952" t="inlineStr">
        <is>
          <t>Newsletter</t>
        </is>
      </c>
      <c r="C104" s="952" t="inlineStr">
        <is>
          <t>The Federal Heights Focus</t>
        </is>
      </c>
      <c r="D104" s="952" t="inlineStr">
        <is>
          <t>Quarterly official city newsletter.</t>
        </is>
      </c>
      <c r="E104" s="952" t="inlineStr">
        <is>
          <t>Monitor policy, infrastructure and community updates.</t>
        </is>
      </c>
      <c r="F104" s="952" t="inlineStr">
        <is>
          <t>Yes</t>
        </is>
      </c>
      <c r="G104" s="1188" t="inlineStr">
        <is>
          <t>https://www.fedheights.org/index.asp?SEC=%7B2E7DCCA1-1FEF-4EA7-8AE7-6C3F92D19EF3%7D&amp;persistdesign=none</t>
        </is>
      </c>
      <c r="H104" s="952" t="inlineStr">
        <is>
          <t>Use for parcels inside this jurisdiction; confirm the parcel's actual county before relying on county recorder or assessor records.</t>
        </is>
      </c>
      <c r="I104" s="1129" t="n">
        <v>46213</v>
      </c>
      <c r="J104" s="951" t="inlineStr">
        <is>
          <t>Useful</t>
        </is>
      </c>
    </row>
    <row r="105" ht="42" customHeight="1">
      <c r="A105" s="952" t="inlineStr">
        <is>
          <t>Lochbuie</t>
        </is>
      </c>
      <c r="B105" s="952" t="inlineStr">
        <is>
          <t>Official Website</t>
        </is>
      </c>
      <c r="C105" s="952" t="inlineStr">
        <is>
          <t>Town of Lochbuie</t>
        </is>
      </c>
      <c r="D105" s="952" t="inlineStr">
        <is>
          <t>Main town website.</t>
        </is>
      </c>
      <c r="E105" s="952" t="inlineStr">
        <is>
          <t>Navigate municipal services and updates.</t>
        </is>
      </c>
      <c r="F105" s="952" t="inlineStr">
        <is>
          <t>Yes</t>
        </is>
      </c>
      <c r="G105" s="1188" t="inlineStr">
        <is>
          <t>https://www.lochbuie.org/</t>
        </is>
      </c>
      <c r="H105" s="952" t="inlineStr">
        <is>
          <t>Use for parcels inside this jurisdiction; confirm the parcel's actual county before relying on county recorder or assessor records.</t>
        </is>
      </c>
      <c r="I105" s="1129" t="n">
        <v>46213</v>
      </c>
      <c r="J105" s="951" t="inlineStr">
        <is>
          <t>Reference</t>
        </is>
      </c>
    </row>
    <row r="106" ht="42" customHeight="1">
      <c r="A106" s="952" t="inlineStr">
        <is>
          <t>Lochbuie</t>
        </is>
      </c>
      <c r="B106" s="952" t="inlineStr">
        <is>
          <t>GIS / Property</t>
        </is>
      </c>
      <c r="C106" s="952" t="inlineStr">
        <is>
          <t>Interactive Land Use Map</t>
        </is>
      </c>
      <c r="D106" s="952" t="inlineStr">
        <is>
          <t>Interactive land-use and planning map.</t>
        </is>
      </c>
      <c r="E106" s="952" t="inlineStr">
        <is>
          <t>Research zoning and land-use information.</t>
        </is>
      </c>
      <c r="F106" s="952" t="inlineStr">
        <is>
          <t>Yes</t>
        </is>
      </c>
      <c r="G106" s="1188" t="inlineStr">
        <is>
          <t>https://www.lochbuie.org/community-dev/page/interactive-land-use-map</t>
        </is>
      </c>
      <c r="H106" s="952" t="inlineStr">
        <is>
          <t>Use for parcels inside this jurisdiction; confirm the parcel's actual county before relying on county recorder or assessor records.</t>
        </is>
      </c>
      <c r="I106" s="1129" t="n">
        <v>46213</v>
      </c>
      <c r="J106" s="951" t="inlineStr">
        <is>
          <t>Critical</t>
        </is>
      </c>
    </row>
    <row r="107" ht="42" customHeight="1">
      <c r="A107" s="952" t="inlineStr">
        <is>
          <t>Lochbuie</t>
        </is>
      </c>
      <c r="B107" s="952" t="inlineStr">
        <is>
          <t>GIS / Maps</t>
        </is>
      </c>
      <c r="C107" s="952" t="inlineStr">
        <is>
          <t>Maps</t>
        </is>
      </c>
      <c r="D107" s="952" t="inlineStr">
        <is>
          <t>Town mapping resources.</t>
        </is>
      </c>
      <c r="E107" s="952" t="inlineStr">
        <is>
          <t>Confirm planning areas and municipal map information.</t>
        </is>
      </c>
      <c r="F107" s="952" t="inlineStr">
        <is>
          <t>Yes</t>
        </is>
      </c>
      <c r="G107" s="1188" t="inlineStr">
        <is>
          <t>https://www.lochbuie.org/community-dev/page/maps</t>
        </is>
      </c>
      <c r="H107" s="952" t="inlineStr">
        <is>
          <t>Use for parcels inside this jurisdiction; confirm the parcel's actual county before relying on county recorder or assessor records.</t>
        </is>
      </c>
      <c r="I107" s="1129" t="n">
        <v>46213</v>
      </c>
      <c r="J107" s="951" t="inlineStr">
        <is>
          <t>High</t>
        </is>
      </c>
    </row>
    <row r="108" ht="42" customHeight="1">
      <c r="A108" s="952" t="inlineStr">
        <is>
          <t>Lochbuie</t>
        </is>
      </c>
      <c r="B108" s="952" t="inlineStr">
        <is>
          <t>Zoning</t>
        </is>
      </c>
      <c r="C108" s="952" t="inlineStr">
        <is>
          <t>Zoning Map</t>
        </is>
      </c>
      <c r="D108" s="952" t="inlineStr">
        <is>
          <t>Official town zoning map.</t>
        </is>
      </c>
      <c r="E108" s="952" t="inlineStr">
        <is>
          <t>Identify a property's zoning district.</t>
        </is>
      </c>
      <c r="F108" s="952" t="inlineStr">
        <is>
          <t>Yes</t>
        </is>
      </c>
      <c r="G108" s="1188" t="inlineStr">
        <is>
          <t>https://www.lochbuie.org/administration/page/zoning-map</t>
        </is>
      </c>
      <c r="H108" s="952" t="inlineStr">
        <is>
          <t>Use for parcels inside this jurisdiction; confirm the parcel's actual county before relying on county recorder or assessor records.</t>
        </is>
      </c>
      <c r="I108" s="1129" t="n">
        <v>46213</v>
      </c>
      <c r="J108" s="951" t="inlineStr">
        <is>
          <t>Critical</t>
        </is>
      </c>
    </row>
    <row r="109" ht="42" customHeight="1">
      <c r="A109" s="952" t="inlineStr">
        <is>
          <t>Lochbuie</t>
        </is>
      </c>
      <c r="B109" s="952" t="inlineStr">
        <is>
          <t>Planning</t>
        </is>
      </c>
      <c r="C109" s="952" t="inlineStr">
        <is>
          <t>Current Planning</t>
        </is>
      </c>
      <c r="D109" s="952" t="inlineStr">
        <is>
          <t>Current planning applications and services.</t>
        </is>
      </c>
      <c r="E109" s="952" t="inlineStr">
        <is>
          <t>Research ongoing land-use review.</t>
        </is>
      </c>
      <c r="F109" s="952" t="inlineStr">
        <is>
          <t>Yes</t>
        </is>
      </c>
      <c r="G109" s="1188" t="inlineStr">
        <is>
          <t>https://www.lochbuie.org/community-dev/page/current-planning</t>
        </is>
      </c>
      <c r="H109" s="952" t="inlineStr">
        <is>
          <t>Use for parcels inside this jurisdiction; confirm the parcel's actual county before relying on county recorder or assessor records.</t>
        </is>
      </c>
      <c r="I109" s="1129" t="n">
        <v>46213</v>
      </c>
      <c r="J109" s="951" t="inlineStr">
        <is>
          <t>Critical</t>
        </is>
      </c>
    </row>
    <row r="110" ht="42" customHeight="1">
      <c r="A110" s="952" t="inlineStr">
        <is>
          <t>Lochbuie</t>
        </is>
      </c>
      <c r="B110" s="952" t="inlineStr">
        <is>
          <t>Planning</t>
        </is>
      </c>
      <c r="C110" s="952" t="inlineStr">
        <is>
          <t>Community Development</t>
        </is>
      </c>
      <c r="D110" s="952" t="inlineStr">
        <is>
          <t>Planning, building and development resources.</t>
        </is>
      </c>
      <c r="E110" s="952" t="inlineStr">
        <is>
          <t>Start project feasibility and entitlement research.</t>
        </is>
      </c>
      <c r="F110" s="952" t="inlineStr">
        <is>
          <t>Yes</t>
        </is>
      </c>
      <c r="G110" s="1188" t="inlineStr">
        <is>
          <t>https://www.lochbuie.org/community-dev</t>
        </is>
      </c>
      <c r="H110" s="952" t="inlineStr">
        <is>
          <t>Use for parcels inside this jurisdiction; confirm the parcel's actual county before relying on county recorder or assessor records.</t>
        </is>
      </c>
      <c r="I110" s="1129" t="n">
        <v>46213</v>
      </c>
      <c r="J110" s="951" t="inlineStr">
        <is>
          <t>High</t>
        </is>
      </c>
    </row>
    <row r="111" ht="42" customHeight="1">
      <c r="A111" s="952" t="inlineStr">
        <is>
          <t>Lochbuie</t>
        </is>
      </c>
      <c r="B111" s="952" t="inlineStr">
        <is>
          <t>Development</t>
        </is>
      </c>
      <c r="C111" s="952" t="inlineStr">
        <is>
          <t>Land Use Applications</t>
        </is>
      </c>
      <c r="D111" s="952" t="inlineStr">
        <is>
          <t>Land-use applications and procedural resources.</t>
        </is>
      </c>
      <c r="E111" s="952" t="inlineStr">
        <is>
          <t>Determine application types and requirements.</t>
        </is>
      </c>
      <c r="F111" s="952" t="inlineStr">
        <is>
          <t>Yes</t>
        </is>
      </c>
      <c r="G111" s="1188" t="inlineStr">
        <is>
          <t>https://www.lochbuie.org/community-dev/page/land-use-applications</t>
        </is>
      </c>
      <c r="H111" s="952" t="inlineStr">
        <is>
          <t>Use for parcels inside this jurisdiction; confirm the parcel's actual county before relying on county recorder or assessor records.</t>
        </is>
      </c>
      <c r="I111" s="1129" t="n">
        <v>46213</v>
      </c>
      <c r="J111" s="951" t="inlineStr">
        <is>
          <t>High</t>
        </is>
      </c>
    </row>
    <row r="112" ht="42" customHeight="1">
      <c r="A112" s="952" t="inlineStr">
        <is>
          <t>Lochbuie</t>
        </is>
      </c>
      <c r="B112" s="952" t="inlineStr">
        <is>
          <t>Development</t>
        </is>
      </c>
      <c r="C112" s="952" t="inlineStr">
        <is>
          <t>Development Resources</t>
        </is>
      </c>
      <c r="D112" s="952" t="inlineStr">
        <is>
          <t>Development forms, standards and guidance.</t>
        </is>
      </c>
      <c r="E112" s="952" t="inlineStr">
        <is>
          <t>Prepare a development submittal.</t>
        </is>
      </c>
      <c r="F112" s="952" t="inlineStr">
        <is>
          <t>Yes</t>
        </is>
      </c>
      <c r="G112" s="1188" t="inlineStr">
        <is>
          <t>https://www.lochbuie.org/community-dev/page/development-resources</t>
        </is>
      </c>
      <c r="H112" s="952" t="inlineStr">
        <is>
          <t>Use for parcels inside this jurisdiction; confirm the parcel's actual county before relying on county recorder or assessor records.</t>
        </is>
      </c>
      <c r="I112" s="1129" t="n">
        <v>46213</v>
      </c>
      <c r="J112" s="951" t="inlineStr">
        <is>
          <t>High</t>
        </is>
      </c>
    </row>
    <row r="113" ht="42" customHeight="1">
      <c r="A113" s="952" t="inlineStr">
        <is>
          <t>Lochbuie</t>
        </is>
      </c>
      <c r="B113" s="952" t="inlineStr">
        <is>
          <t>Development</t>
        </is>
      </c>
      <c r="C113" s="952" t="inlineStr">
        <is>
          <t>Active Projects</t>
        </is>
      </c>
      <c r="D113" s="952" t="inlineStr">
        <is>
          <t>Current town projects.</t>
        </is>
      </c>
      <c r="E113" s="952" t="inlineStr">
        <is>
          <t>Monitor development and infrastructure activity.</t>
        </is>
      </c>
      <c r="F113" s="952" t="inlineStr">
        <is>
          <t>Yes</t>
        </is>
      </c>
      <c r="G113" s="1188" t="inlineStr">
        <is>
          <t>https://www.lochbuie.org/projects</t>
        </is>
      </c>
      <c r="H113" s="952" t="inlineStr">
        <is>
          <t>Use for parcels inside this jurisdiction; confirm the parcel's actual county before relying on county recorder or assessor records.</t>
        </is>
      </c>
      <c r="I113" s="1129" t="n">
        <v>46213</v>
      </c>
      <c r="J113" s="951" t="inlineStr">
        <is>
          <t>High</t>
        </is>
      </c>
    </row>
    <row r="114" ht="42" customHeight="1">
      <c r="A114" s="952" t="inlineStr">
        <is>
          <t>Lochbuie</t>
        </is>
      </c>
      <c r="B114" s="952" t="inlineStr">
        <is>
          <t>Permits</t>
        </is>
      </c>
      <c r="C114" s="952" t="inlineStr">
        <is>
          <t>Building Permits and Inspections</t>
        </is>
      </c>
      <c r="D114" s="952" t="inlineStr">
        <is>
          <t>Building permit and inspection guidance.</t>
        </is>
      </c>
      <c r="E114" s="952" t="inlineStr">
        <is>
          <t>Research construction permitting.</t>
        </is>
      </c>
      <c r="F114" s="952" t="inlineStr">
        <is>
          <t>Yes</t>
        </is>
      </c>
      <c r="G114" s="1188" t="inlineStr">
        <is>
          <t>https://www.lochbuie.org/community-dev/page/building-permits-and-inspections</t>
        </is>
      </c>
      <c r="H114" s="952" t="inlineStr">
        <is>
          <t>Use for parcels inside this jurisdiction; confirm the parcel's actual county before relying on county recorder or assessor records.</t>
        </is>
      </c>
      <c r="I114" s="1129" t="n">
        <v>46213</v>
      </c>
      <c r="J114" s="951" t="inlineStr">
        <is>
          <t>Critical</t>
        </is>
      </c>
    </row>
    <row r="115" ht="42" customHeight="1">
      <c r="A115" s="952" t="inlineStr">
        <is>
          <t>Lochbuie</t>
        </is>
      </c>
      <c r="B115" s="952" t="inlineStr">
        <is>
          <t>Long-Range Planning</t>
        </is>
      </c>
      <c r="C115" s="952" t="inlineStr">
        <is>
          <t>Documents / Comprehensive Plan</t>
        </is>
      </c>
      <c r="D115" s="952" t="inlineStr">
        <is>
          <t>Adopted planning documents, including the current comprehensive plan.</t>
        </is>
      </c>
      <c r="E115" s="952" t="inlineStr">
        <is>
          <t>Evaluate future land-use and policy direction.</t>
        </is>
      </c>
      <c r="F115" s="952" t="inlineStr">
        <is>
          <t>Yes</t>
        </is>
      </c>
      <c r="G115" s="1188" t="inlineStr">
        <is>
          <t>https://www.lochbuie.org/community-dev/page/documents</t>
        </is>
      </c>
      <c r="H115" s="952" t="inlineStr">
        <is>
          <t>Use for parcels inside this jurisdiction; confirm the parcel's actual county before relying on county recorder or assessor records.</t>
        </is>
      </c>
      <c r="I115" s="1129" t="n">
        <v>46213</v>
      </c>
      <c r="J115" s="951" t="inlineStr">
        <is>
          <t>High</t>
        </is>
      </c>
    </row>
    <row r="116" ht="42" customHeight="1">
      <c r="A116" s="952" t="inlineStr">
        <is>
          <t>Lochbuie</t>
        </is>
      </c>
      <c r="B116" s="952" t="inlineStr">
        <is>
          <t>Long-Range Planning</t>
        </is>
      </c>
      <c r="C116" s="952" t="inlineStr">
        <is>
          <t>Long-Range Planning</t>
        </is>
      </c>
      <c r="D116" s="952" t="inlineStr">
        <is>
          <t>Long-range planning initiatives and plans.</t>
        </is>
      </c>
      <c r="E116" s="952" t="inlineStr">
        <is>
          <t>Track policy and growth planning.</t>
        </is>
      </c>
      <c r="F116" s="952" t="inlineStr">
        <is>
          <t>Yes</t>
        </is>
      </c>
      <c r="G116" s="1188" t="inlineStr">
        <is>
          <t>https://www.lochbuie.org/community-dev/page/long-range-planning</t>
        </is>
      </c>
      <c r="H116" s="952" t="inlineStr">
        <is>
          <t>Use for parcels inside this jurisdiction; confirm the parcel's actual county before relying on county recorder or assessor records.</t>
        </is>
      </c>
      <c r="I116" s="1129" t="n">
        <v>46213</v>
      </c>
      <c r="J116" s="951" t="inlineStr">
        <is>
          <t>High</t>
        </is>
      </c>
    </row>
    <row r="117" ht="42" customHeight="1">
      <c r="A117" s="952" t="inlineStr">
        <is>
          <t>Lochbuie</t>
        </is>
      </c>
      <c r="B117" s="952" t="inlineStr">
        <is>
          <t>Code</t>
        </is>
      </c>
      <c r="C117" s="952" t="inlineStr">
        <is>
          <t>Ordinances</t>
        </is>
      </c>
      <c r="D117" s="952" t="inlineStr">
        <is>
          <t>Town ordinances and adopted regulations.</t>
        </is>
      </c>
      <c r="E117" s="952" t="inlineStr">
        <is>
          <t>Review recent legal changes and local rules.</t>
        </is>
      </c>
      <c r="F117" s="952" t="inlineStr">
        <is>
          <t>Yes</t>
        </is>
      </c>
      <c r="G117" s="1188" t="inlineStr">
        <is>
          <t>https://www.lochbuie.org/publicnotice/page/ordinances</t>
        </is>
      </c>
      <c r="H117" s="952" t="inlineStr">
        <is>
          <t>Use for parcels inside this jurisdiction; confirm the parcel's actual county before relying on county recorder or assessor records.</t>
        </is>
      </c>
      <c r="I117" s="1129" t="n">
        <v>46213</v>
      </c>
      <c r="J117" s="951" t="inlineStr">
        <is>
          <t>High</t>
        </is>
      </c>
    </row>
    <row r="118" ht="42" customHeight="1">
      <c r="A118" s="952" t="inlineStr">
        <is>
          <t>Lochbuie</t>
        </is>
      </c>
      <c r="B118" s="952" t="inlineStr">
        <is>
          <t>Meetings</t>
        </is>
      </c>
      <c r="C118" s="952" t="inlineStr">
        <is>
          <t>Upcoming Meetings</t>
        </is>
      </c>
      <c r="D118" s="952" t="inlineStr">
        <is>
          <t>Upcoming board and commission meetings.</t>
        </is>
      </c>
      <c r="E118" s="952" t="inlineStr">
        <is>
          <t>Monitor hearing dates and agendas.</t>
        </is>
      </c>
      <c r="F118" s="952" t="inlineStr">
        <is>
          <t>Yes</t>
        </is>
      </c>
      <c r="G118" s="1188" t="inlineStr">
        <is>
          <t>https://www.lochbuie.org/meetings</t>
        </is>
      </c>
      <c r="H118" s="952" t="inlineStr">
        <is>
          <t>Use for parcels inside this jurisdiction; confirm the parcel's actual county before relying on county recorder or assessor records.</t>
        </is>
      </c>
      <c r="I118" s="1129" t="n">
        <v>46213</v>
      </c>
      <c r="J118" s="951" t="inlineStr">
        <is>
          <t>High</t>
        </is>
      </c>
    </row>
    <row r="119" ht="42" customHeight="1">
      <c r="A119" s="952" t="inlineStr">
        <is>
          <t>Lochbuie</t>
        </is>
      </c>
      <c r="B119" s="952" t="inlineStr">
        <is>
          <t>Public Notices</t>
        </is>
      </c>
      <c r="C119" s="952" t="inlineStr">
        <is>
          <t>Public Notices</t>
        </is>
      </c>
      <c r="D119" s="952" t="inlineStr">
        <is>
          <t>Official public notices.</t>
        </is>
      </c>
      <c r="E119" s="952" t="inlineStr">
        <is>
          <t>Confirm hearings, ordinances and deadlines.</t>
        </is>
      </c>
      <c r="F119" s="952" t="inlineStr">
        <is>
          <t>Yes</t>
        </is>
      </c>
      <c r="G119" s="1188" t="inlineStr">
        <is>
          <t>https://www.lochbuie.org/publicnotice</t>
        </is>
      </c>
      <c r="H119" s="952" t="inlineStr">
        <is>
          <t>Use for parcels inside this jurisdiction; confirm the parcel's actual county before relying on county recorder or assessor records.</t>
        </is>
      </c>
      <c r="I119" s="1129" t="n">
        <v>46213</v>
      </c>
      <c r="J119" s="951" t="inlineStr">
        <is>
          <t>High</t>
        </is>
      </c>
    </row>
    <row r="120" ht="42" customHeight="1">
      <c r="A120" s="952" t="inlineStr">
        <is>
          <t>Lochbuie</t>
        </is>
      </c>
      <c r="B120" s="952" t="inlineStr">
        <is>
          <t>News</t>
        </is>
      </c>
      <c r="C120" s="952" t="inlineStr">
        <is>
          <t>Town News</t>
        </is>
      </c>
      <c r="D120" s="952" t="inlineStr">
        <is>
          <t>Official town news.</t>
        </is>
      </c>
      <c r="E120" s="952" t="inlineStr">
        <is>
          <t>Monitor development and municipal announcements.</t>
        </is>
      </c>
      <c r="F120" s="952" t="inlineStr">
        <is>
          <t>Yes</t>
        </is>
      </c>
      <c r="G120" s="1188" t="inlineStr">
        <is>
          <t>https://www.lochbuie.org/news</t>
        </is>
      </c>
      <c r="H120" s="952" t="inlineStr">
        <is>
          <t>Use for parcels inside this jurisdiction; confirm the parcel's actual county before relying on county recorder or assessor records.</t>
        </is>
      </c>
      <c r="I120" s="1129" t="n">
        <v>46213</v>
      </c>
      <c r="J120" s="951" t="inlineStr">
        <is>
          <t>Useful</t>
        </is>
      </c>
    </row>
    <row r="121" ht="42" customHeight="1">
      <c r="A121" s="952" t="inlineStr">
        <is>
          <t>Lochbuie</t>
        </is>
      </c>
      <c r="B121" s="952" t="inlineStr">
        <is>
          <t>Alerts</t>
        </is>
      </c>
      <c r="C121" s="952" t="inlineStr">
        <is>
          <t>Resident Portal / Alerts</t>
        </is>
      </c>
      <c r="D121" s="952" t="inlineStr">
        <is>
          <t>Town alert and portal resources.</t>
        </is>
      </c>
      <c r="E121" s="952" t="inlineStr">
        <is>
          <t>Subscribe to current notices and updates.</t>
        </is>
      </c>
      <c r="F121" s="952" t="inlineStr">
        <is>
          <t>Yes</t>
        </is>
      </c>
      <c r="G121" s="1188" t="inlineStr">
        <is>
          <t>https://www.lochbuie.org/portal</t>
        </is>
      </c>
      <c r="H121" s="952" t="inlineStr">
        <is>
          <t>Use for parcels inside this jurisdiction; confirm the parcel's actual county before relying on county recorder or assessor records.</t>
        </is>
      </c>
      <c r="I121" s="1129" t="n">
        <v>46213</v>
      </c>
      <c r="J121" s="951" t="inlineStr">
        <is>
          <t>Useful</t>
        </is>
      </c>
    </row>
    <row r="122" ht="42" customHeight="1">
      <c r="A122" s="952" t="inlineStr">
        <is>
          <t>Northglenn</t>
        </is>
      </c>
      <c r="B122" s="952" t="inlineStr">
        <is>
          <t>Official Website</t>
        </is>
      </c>
      <c r="C122" s="952" t="inlineStr">
        <is>
          <t>City of Northglenn</t>
        </is>
      </c>
      <c r="D122" s="952" t="inlineStr">
        <is>
          <t>Main city website.</t>
        </is>
      </c>
      <c r="E122" s="952" t="inlineStr">
        <is>
          <t>Navigate city services and departments.</t>
        </is>
      </c>
      <c r="F122" s="952" t="inlineStr">
        <is>
          <t>Yes</t>
        </is>
      </c>
      <c r="G122" s="1188" t="inlineStr">
        <is>
          <t>https://www.northglenn.org/</t>
        </is>
      </c>
      <c r="H122" s="952" t="inlineStr">
        <is>
          <t>Use for parcels inside this jurisdiction; confirm the parcel's actual county before relying on county recorder or assessor records.</t>
        </is>
      </c>
      <c r="I122" s="1129" t="n">
        <v>46213</v>
      </c>
      <c r="J122" s="951" t="inlineStr">
        <is>
          <t>Reference</t>
        </is>
      </c>
    </row>
    <row r="123" ht="42" customHeight="1">
      <c r="A123" s="952" t="inlineStr">
        <is>
          <t>Northglenn</t>
        </is>
      </c>
      <c r="B123" s="952" t="inlineStr">
        <is>
          <t>Planning</t>
        </is>
      </c>
      <c r="C123" s="952" t="inlineStr">
        <is>
          <t>Planning &amp; Development</t>
        </is>
      </c>
      <c r="D123" s="952" t="inlineStr">
        <is>
          <t>Planning, development review and economic-development resources.</t>
        </is>
      </c>
      <c r="E123" s="952" t="inlineStr">
        <is>
          <t>Start land-use and development research.</t>
        </is>
      </c>
      <c r="F123" s="952" t="inlineStr">
        <is>
          <t>Yes</t>
        </is>
      </c>
      <c r="G123" s="1188" t="inlineStr">
        <is>
          <t>https://www.northglenn.org/government/departments/planning_development/index.php</t>
        </is>
      </c>
      <c r="H123" s="952" t="inlineStr">
        <is>
          <t>Use for parcels inside this jurisdiction; confirm the parcel's actual county before relying on county recorder or assessor records.</t>
        </is>
      </c>
      <c r="I123" s="1129" t="n">
        <v>46213</v>
      </c>
      <c r="J123" s="951" t="inlineStr">
        <is>
          <t>Critical</t>
        </is>
      </c>
    </row>
    <row r="124" ht="42" customHeight="1">
      <c r="A124" s="952" t="inlineStr">
        <is>
          <t>Northglenn</t>
        </is>
      </c>
      <c r="B124" s="952" t="inlineStr">
        <is>
          <t>Zoning</t>
        </is>
      </c>
      <c r="C124" s="952" t="inlineStr">
        <is>
          <t>Land Use &amp; Zoning</t>
        </is>
      </c>
      <c r="D124" s="952" t="inlineStr">
        <is>
          <t>Zoning, land-use code and applications.</t>
        </is>
      </c>
      <c r="E124" s="952" t="inlineStr">
        <is>
          <t>Confirm district rules and application options.</t>
        </is>
      </c>
      <c r="F124" s="952" t="inlineStr">
        <is>
          <t>Yes</t>
        </is>
      </c>
      <c r="G124" s="1188" t="inlineStr">
        <is>
          <t>https://www.northglenn.org/government/land_use_zoning/index.php</t>
        </is>
      </c>
      <c r="H124" s="952" t="inlineStr">
        <is>
          <t>Use for parcels inside this jurisdiction; confirm the parcel's actual county before relying on county recorder or assessor records.</t>
        </is>
      </c>
      <c r="I124" s="1129" t="n">
        <v>46213</v>
      </c>
      <c r="J124" s="951" t="inlineStr">
        <is>
          <t>Critical</t>
        </is>
      </c>
    </row>
    <row r="125" ht="42" customHeight="1">
      <c r="A125" s="952" t="inlineStr">
        <is>
          <t>Northglenn</t>
        </is>
      </c>
      <c r="B125" s="952" t="inlineStr">
        <is>
          <t>GIS / Zoning</t>
        </is>
      </c>
      <c r="C125" s="952" t="inlineStr">
        <is>
          <t>Zoning Map</t>
        </is>
      </c>
      <c r="D125" s="952" t="inlineStr">
        <is>
          <t>Official zoning map.</t>
        </is>
      </c>
      <c r="E125" s="952" t="inlineStr">
        <is>
          <t>Identify parcel zoning.</t>
        </is>
      </c>
      <c r="F125" s="952" t="inlineStr">
        <is>
          <t>Yes</t>
        </is>
      </c>
      <c r="G125" s="1188" t="inlineStr">
        <is>
          <t>https://www.northglenn.org/government/land_use_zoning/zoning_map.php</t>
        </is>
      </c>
      <c r="H125" s="952" t="inlineStr">
        <is>
          <t>Use for parcels inside this jurisdiction; confirm the parcel's actual county before relying on county recorder or assessor records.</t>
        </is>
      </c>
      <c r="I125" s="1129" t="n">
        <v>46213</v>
      </c>
      <c r="J125" s="951" t="inlineStr">
        <is>
          <t>Critical</t>
        </is>
      </c>
    </row>
    <row r="126" ht="42" customHeight="1">
      <c r="A126" s="952" t="inlineStr">
        <is>
          <t>Northglenn</t>
        </is>
      </c>
      <c r="B126" s="952" t="inlineStr">
        <is>
          <t>GIS / Property</t>
        </is>
      </c>
      <c r="C126" s="952" t="inlineStr">
        <is>
          <t>QuickZone</t>
        </is>
      </c>
      <c r="D126" s="952" t="inlineStr">
        <is>
          <t>Interactive zoning/property lookup.</t>
        </is>
      </c>
      <c r="E126" s="952" t="inlineStr">
        <is>
          <t>Search an address and retrieve zoning information.</t>
        </is>
      </c>
      <c r="F126" s="952" t="inlineStr">
        <is>
          <t>Yes</t>
        </is>
      </c>
      <c r="G126" s="1188" t="inlineStr">
        <is>
          <t>https://biz.northglenn.org/quickzone</t>
        </is>
      </c>
      <c r="H126" s="952" t="inlineStr">
        <is>
          <t>Use for parcels inside this jurisdiction; confirm the parcel's actual county before relying on county recorder or assessor records.</t>
        </is>
      </c>
      <c r="I126" s="1129" t="n">
        <v>46213</v>
      </c>
      <c r="J126" s="951" t="inlineStr">
        <is>
          <t>Critical</t>
        </is>
      </c>
    </row>
    <row r="127" ht="42" customHeight="1">
      <c r="A127" s="952" t="inlineStr">
        <is>
          <t>Northglenn</t>
        </is>
      </c>
      <c r="B127" s="952" t="inlineStr">
        <is>
          <t>Code</t>
        </is>
      </c>
      <c r="C127" s="952" t="inlineStr">
        <is>
          <t>Unified Development Ordinance</t>
        </is>
      </c>
      <c r="D127" s="952" t="inlineStr">
        <is>
          <t>Northglenn land-use and development code.</t>
        </is>
      </c>
      <c r="E127" s="952" t="inlineStr">
        <is>
          <t>Review permitted uses, design and development standards.</t>
        </is>
      </c>
      <c r="F127" s="952" t="inlineStr">
        <is>
          <t>Yes</t>
        </is>
      </c>
      <c r="G127" s="1188" t="inlineStr">
        <is>
          <t>https://www.northglenn.org/government/land_use_zoning/new_code_northglenn.php</t>
        </is>
      </c>
      <c r="H127" s="952" t="inlineStr">
        <is>
          <t>Use for parcels inside this jurisdiction; confirm the parcel's actual county before relying on county recorder or assessor records.</t>
        </is>
      </c>
      <c r="I127" s="1129" t="n">
        <v>46213</v>
      </c>
      <c r="J127" s="951" t="inlineStr">
        <is>
          <t>Critical</t>
        </is>
      </c>
    </row>
    <row r="128" ht="42" customHeight="1">
      <c r="A128" s="952" t="inlineStr">
        <is>
          <t>Northglenn</t>
        </is>
      </c>
      <c r="B128" s="952" t="inlineStr">
        <is>
          <t>Development</t>
        </is>
      </c>
      <c r="C128" s="952" t="inlineStr">
        <is>
          <t>Land Use Applications</t>
        </is>
      </c>
      <c r="D128" s="952" t="inlineStr">
        <is>
          <t>Land-use application types and materials.</t>
        </is>
      </c>
      <c r="E128" s="952" t="inlineStr">
        <is>
          <t>Determine entitlement requirements.</t>
        </is>
      </c>
      <c r="F128" s="952" t="inlineStr">
        <is>
          <t>Yes</t>
        </is>
      </c>
      <c r="G128" s="1188" t="inlineStr">
        <is>
          <t>https://www.northglenn.org/government/land_use_zoning/land_use_applications.php</t>
        </is>
      </c>
      <c r="H128" s="952" t="inlineStr">
        <is>
          <t>Use for parcels inside this jurisdiction; confirm the parcel's actual county before relying on county recorder or assessor records.</t>
        </is>
      </c>
      <c r="I128" s="1129" t="n">
        <v>46213</v>
      </c>
      <c r="J128" s="951" t="inlineStr">
        <is>
          <t>High</t>
        </is>
      </c>
    </row>
    <row r="129" ht="42" customHeight="1">
      <c r="A129" s="952" t="inlineStr">
        <is>
          <t>Northglenn</t>
        </is>
      </c>
      <c r="B129" s="952" t="inlineStr">
        <is>
          <t>Development</t>
        </is>
      </c>
      <c r="C129" s="952" t="inlineStr">
        <is>
          <t>Development Review Process</t>
        </is>
      </c>
      <c r="D129" s="952" t="inlineStr">
        <is>
          <t>Development review process and steps.</t>
        </is>
      </c>
      <c r="E129" s="952" t="inlineStr">
        <is>
          <t>Estimate project path and review timing.</t>
        </is>
      </c>
      <c r="F129" s="952" t="inlineStr">
        <is>
          <t>Yes</t>
        </is>
      </c>
      <c r="G129" s="1188" t="inlineStr">
        <is>
          <t>https://www.northglenn.org/government/departments/planning_development/development_review_process.php</t>
        </is>
      </c>
      <c r="H129" s="952" t="inlineStr">
        <is>
          <t>Use for parcels inside this jurisdiction; confirm the parcel's actual county before relying on county recorder or assessor records.</t>
        </is>
      </c>
      <c r="I129" s="1129" t="n">
        <v>46213</v>
      </c>
      <c r="J129" s="951" t="inlineStr">
        <is>
          <t>High</t>
        </is>
      </c>
    </row>
    <row r="130" ht="42" customHeight="1">
      <c r="A130" s="952" t="inlineStr">
        <is>
          <t>Northglenn</t>
        </is>
      </c>
      <c r="B130" s="952" t="inlineStr">
        <is>
          <t>Development</t>
        </is>
      </c>
      <c r="C130" s="952" t="inlineStr">
        <is>
          <t>Project Updates</t>
        </is>
      </c>
      <c r="D130" s="952" t="inlineStr">
        <is>
          <t>City project and construction updates.</t>
        </is>
      </c>
      <c r="E130" s="952" t="inlineStr">
        <is>
          <t>Monitor development and public infrastructure projects.</t>
        </is>
      </c>
      <c r="F130" s="952" t="inlineStr">
        <is>
          <t>Yes</t>
        </is>
      </c>
      <c r="G130" s="1188" t="inlineStr">
        <is>
          <t>https://www.northglenn.org/government/project_updates/</t>
        </is>
      </c>
      <c r="H130" s="952" t="inlineStr">
        <is>
          <t>Use for parcels inside this jurisdiction; confirm the parcel's actual county before relying on county recorder or assessor records.</t>
        </is>
      </c>
      <c r="I130" s="1129" t="n">
        <v>46213</v>
      </c>
      <c r="J130" s="951" t="inlineStr">
        <is>
          <t>High</t>
        </is>
      </c>
    </row>
    <row r="131" ht="42" customHeight="1">
      <c r="A131" s="952" t="inlineStr">
        <is>
          <t>Northglenn</t>
        </is>
      </c>
      <c r="B131" s="952" t="inlineStr">
        <is>
          <t>Permits</t>
        </is>
      </c>
      <c r="C131" s="952" t="inlineStr">
        <is>
          <t>Licenses and Permits</t>
        </is>
      </c>
      <c r="D131" s="952" t="inlineStr">
        <is>
          <t>City licensing and permit resources.</t>
        </is>
      </c>
      <c r="E131" s="952" t="inlineStr">
        <is>
          <t>Locate applicable permits and application links.</t>
        </is>
      </c>
      <c r="F131" s="952" t="inlineStr">
        <is>
          <t>Yes</t>
        </is>
      </c>
      <c r="G131" s="1188" t="inlineStr">
        <is>
          <t>https://www.northglenn.org/services/licenses_and_permits/index.php</t>
        </is>
      </c>
      <c r="H131" s="952" t="inlineStr">
        <is>
          <t>Use for parcels inside this jurisdiction; confirm the parcel's actual county before relying on county recorder or assessor records.</t>
        </is>
      </c>
      <c r="I131" s="1129" t="n">
        <v>46213</v>
      </c>
      <c r="J131" s="951" t="inlineStr">
        <is>
          <t>High</t>
        </is>
      </c>
    </row>
    <row r="132" ht="42" customHeight="1">
      <c r="A132" s="952" t="inlineStr">
        <is>
          <t>Northglenn</t>
        </is>
      </c>
      <c r="B132" s="952" t="inlineStr">
        <is>
          <t>Permits</t>
        </is>
      </c>
      <c r="C132" s="952" t="inlineStr">
        <is>
          <t>Pull a Permit</t>
        </is>
      </c>
      <c r="D132" s="952" t="inlineStr">
        <is>
          <t>Building-permit application guidance.</t>
        </is>
      </c>
      <c r="E132" s="952" t="inlineStr">
        <is>
          <t>Apply for or research building permits.</t>
        </is>
      </c>
      <c r="F132" s="952" t="inlineStr">
        <is>
          <t>Yes</t>
        </is>
      </c>
      <c r="G132" s="1188" t="inlineStr">
        <is>
          <t>https://www.northglenn.org/government/departments/building/pull_a_permit.php</t>
        </is>
      </c>
      <c r="H132" s="952" t="inlineStr">
        <is>
          <t>Use for parcels inside this jurisdiction; confirm the parcel's actual county before relying on county recorder or assessor records.</t>
        </is>
      </c>
      <c r="I132" s="1129" t="n">
        <v>46213</v>
      </c>
      <c r="J132" s="951" t="inlineStr">
        <is>
          <t>Critical</t>
        </is>
      </c>
    </row>
    <row r="133" ht="42" customHeight="1">
      <c r="A133" s="952" t="inlineStr">
        <is>
          <t>Northglenn</t>
        </is>
      </c>
      <c r="B133" s="952" t="inlineStr">
        <is>
          <t>Long-Range Planning</t>
        </is>
      </c>
      <c r="C133" s="952" t="inlineStr">
        <is>
          <t>Comprehensive Plan</t>
        </is>
      </c>
      <c r="D133" s="952" t="inlineStr">
        <is>
          <t>Comprehensive-plan resources.</t>
        </is>
      </c>
      <c r="E133" s="952" t="inlineStr">
        <is>
          <t>Evaluate future land use and city policy.</t>
        </is>
      </c>
      <c r="F133" s="952" t="inlineStr">
        <is>
          <t>Yes</t>
        </is>
      </c>
      <c r="G133" s="1188" t="inlineStr">
        <is>
          <t>https://www.northglenn.org/government/land_use_zoning/comprehensive_plan.php</t>
        </is>
      </c>
      <c r="H133" s="952" t="inlineStr">
        <is>
          <t>Use for parcels inside this jurisdiction; confirm the parcel's actual county before relying on county recorder or assessor records.</t>
        </is>
      </c>
      <c r="I133" s="1129" t="n">
        <v>46213</v>
      </c>
      <c r="J133" s="951" t="inlineStr">
        <is>
          <t>High</t>
        </is>
      </c>
    </row>
    <row r="134" ht="42" customHeight="1">
      <c r="A134" s="952" t="inlineStr">
        <is>
          <t>Northglenn</t>
        </is>
      </c>
      <c r="B134" s="952" t="inlineStr">
        <is>
          <t>Plans</t>
        </is>
      </c>
      <c r="C134" s="952" t="inlineStr">
        <is>
          <t>Area Plans</t>
        </is>
      </c>
      <c r="D134" s="952" t="inlineStr">
        <is>
          <t>Adopted small-area and corridor plans.</t>
        </is>
      </c>
      <c r="E134" s="952" t="inlineStr">
        <is>
          <t>Research area-specific policies affecting a property.</t>
        </is>
      </c>
      <c r="F134" s="952" t="inlineStr">
        <is>
          <t>Yes</t>
        </is>
      </c>
      <c r="G134" s="1188" t="inlineStr">
        <is>
          <t>https://www.northglenn.org/government/land_use_zoning/area_plans/index.php</t>
        </is>
      </c>
      <c r="H134" s="952" t="inlineStr">
        <is>
          <t>Use for parcels inside this jurisdiction; confirm the parcel's actual county before relying on county recorder or assessor records.</t>
        </is>
      </c>
      <c r="I134" s="1129" t="n">
        <v>46213</v>
      </c>
      <c r="J134" s="951" t="inlineStr">
        <is>
          <t>Useful</t>
        </is>
      </c>
    </row>
    <row r="135" ht="42" customHeight="1">
      <c r="A135" s="952" t="inlineStr">
        <is>
          <t>Northglenn</t>
        </is>
      </c>
      <c r="B135" s="952" t="inlineStr">
        <is>
          <t>Meetings</t>
        </is>
      </c>
      <c r="C135" s="952" t="inlineStr">
        <is>
          <t>Planning Commission</t>
        </is>
      </c>
      <c r="D135" s="952" t="inlineStr">
        <is>
          <t>Planning Commission information.</t>
        </is>
      </c>
      <c r="E135" s="952" t="inlineStr">
        <is>
          <t>Monitor land-use hearings and recommendations.</t>
        </is>
      </c>
      <c r="F135" s="952" t="inlineStr">
        <is>
          <t>Yes</t>
        </is>
      </c>
      <c r="G135" s="1188" t="inlineStr">
        <is>
          <t>https://www.northglenn.org/government/boards_commissions/planning_commission.php</t>
        </is>
      </c>
      <c r="H135" s="952" t="inlineStr">
        <is>
          <t>Use for parcels inside this jurisdiction; confirm the parcel's actual county before relying on county recorder or assessor records.</t>
        </is>
      </c>
      <c r="I135" s="1129" t="n">
        <v>46213</v>
      </c>
      <c r="J135" s="951" t="inlineStr">
        <is>
          <t>High</t>
        </is>
      </c>
    </row>
    <row r="136" ht="42" customHeight="1">
      <c r="A136" s="952" t="inlineStr">
        <is>
          <t>Northglenn</t>
        </is>
      </c>
      <c r="B136" s="952" t="inlineStr">
        <is>
          <t>Meetings / Records</t>
        </is>
      </c>
      <c r="C136" s="952" t="inlineStr">
        <is>
          <t>Public Meeting Records</t>
        </is>
      </c>
      <c r="D136" s="952" t="inlineStr">
        <is>
          <t>Searchable agendas, minutes and public meeting documents.</t>
        </is>
      </c>
      <c r="E136" s="952" t="inlineStr">
        <is>
          <t>Track city council and board actions.</t>
        </is>
      </c>
      <c r="F136" s="952" t="inlineStr">
        <is>
          <t>Yes</t>
        </is>
      </c>
      <c r="G136" s="1188" t="inlineStr">
        <is>
          <t>https://webdocs.northglenn.org/</t>
        </is>
      </c>
      <c r="H136" s="952" t="inlineStr">
        <is>
          <t>Use for parcels inside this jurisdiction; confirm the parcel's actual county before relying on county recorder or assessor records.</t>
        </is>
      </c>
      <c r="I136" s="1129" t="n">
        <v>46213</v>
      </c>
      <c r="J136" s="951" t="inlineStr">
        <is>
          <t>High</t>
        </is>
      </c>
    </row>
    <row r="137" ht="42" customHeight="1">
      <c r="A137" s="952" t="inlineStr">
        <is>
          <t>Northglenn</t>
        </is>
      </c>
      <c r="B137" s="952" t="inlineStr">
        <is>
          <t>News</t>
        </is>
      </c>
      <c r="C137" s="952" t="inlineStr">
        <is>
          <t>City News Listings</t>
        </is>
      </c>
      <c r="D137" s="952" t="inlineStr">
        <is>
          <t>Official city news and announcements.</t>
        </is>
      </c>
      <c r="E137" s="952" t="inlineStr">
        <is>
          <t>Monitor projects, hearings and municipal changes.</t>
        </is>
      </c>
      <c r="F137" s="952" t="inlineStr">
        <is>
          <t>Yes</t>
        </is>
      </c>
      <c r="G137" s="1188" t="inlineStr">
        <is>
          <t>https://www.northglenn.org/newslist.php</t>
        </is>
      </c>
      <c r="H137" s="952" t="inlineStr">
        <is>
          <t>Use for parcels inside this jurisdiction; confirm the parcel's actual county before relying on county recorder or assessor records.</t>
        </is>
      </c>
      <c r="I137" s="1129" t="n">
        <v>46213</v>
      </c>
      <c r="J137" s="951" t="inlineStr">
        <is>
          <t>Useful</t>
        </is>
      </c>
    </row>
    <row r="138" ht="42" customHeight="1">
      <c r="A138" s="952" t="inlineStr">
        <is>
          <t>Northglenn</t>
        </is>
      </c>
      <c r="B138" s="952" t="inlineStr">
        <is>
          <t>Alerts</t>
        </is>
      </c>
      <c r="C138" s="952" t="inlineStr">
        <is>
          <t>TextMyGov Notifications</t>
        </is>
      </c>
      <c r="D138" s="952" t="inlineStr">
        <is>
          <t>Text alerts for council, utilities and city updates.</t>
        </is>
      </c>
      <c r="E138" s="952" t="inlineStr">
        <is>
          <t>Subscribe to hearings, road closures and government notices.</t>
        </is>
      </c>
      <c r="F138" s="952" t="inlineStr">
        <is>
          <t>Yes</t>
        </is>
      </c>
      <c r="G138" s="1188" t="inlineStr">
        <is>
          <t>https://www.northglenn.org/community/communications/textmygov.php</t>
        </is>
      </c>
      <c r="H138" s="952" t="inlineStr">
        <is>
          <t>Use for parcels inside this jurisdiction; confirm the parcel's actual county before relying on county recorder or assessor records.</t>
        </is>
      </c>
      <c r="I138" s="1129" t="n">
        <v>46213</v>
      </c>
      <c r="J138" s="951" t="inlineStr">
        <is>
          <t>Useful</t>
        </is>
      </c>
    </row>
    <row r="139" ht="42" customHeight="1">
      <c r="A139" s="952" t="inlineStr">
        <is>
          <t>Thornton</t>
        </is>
      </c>
      <c r="B139" s="952" t="inlineStr">
        <is>
          <t>Official Website</t>
        </is>
      </c>
      <c r="C139" s="952" t="inlineStr">
        <is>
          <t>City of Thornton</t>
        </is>
      </c>
      <c r="D139" s="952" t="inlineStr">
        <is>
          <t>Main city website.</t>
        </is>
      </c>
      <c r="E139" s="952" t="inlineStr">
        <is>
          <t>Navigate city services and departments.</t>
        </is>
      </c>
      <c r="F139" s="952" t="inlineStr">
        <is>
          <t>Yes</t>
        </is>
      </c>
      <c r="G139" s="1188" t="inlineStr">
        <is>
          <t>https://www.thorntonco.gov/</t>
        </is>
      </c>
      <c r="H139" s="952" t="inlineStr">
        <is>
          <t>Use for parcels inside this jurisdiction; confirm the parcel's actual county before relying on county recorder or assessor records.</t>
        </is>
      </c>
      <c r="I139" s="1129" t="n">
        <v>46213</v>
      </c>
      <c r="J139" s="951" t="inlineStr">
        <is>
          <t>Reference</t>
        </is>
      </c>
    </row>
    <row r="140" ht="42" customHeight="1">
      <c r="A140" s="952" t="inlineStr">
        <is>
          <t>Thornton</t>
        </is>
      </c>
      <c r="B140" s="952" t="inlineStr">
        <is>
          <t>Planning</t>
        </is>
      </c>
      <c r="C140" s="952" t="inlineStr">
        <is>
          <t>City Development</t>
        </is>
      </c>
      <c r="D140" s="952" t="inlineStr">
        <is>
          <t>Planning, building, development engineering and long-range resources.</t>
        </is>
      </c>
      <c r="E140" s="952" t="inlineStr">
        <is>
          <t>Start land-use, permitting and development research.</t>
        </is>
      </c>
      <c r="F140" s="952" t="inlineStr">
        <is>
          <t>Yes</t>
        </is>
      </c>
      <c r="G140" s="1188" t="inlineStr">
        <is>
          <t>https://www.thorntonco.gov/business-development/city-development</t>
        </is>
      </c>
      <c r="H140" s="952" t="inlineStr">
        <is>
          <t>Use for parcels inside this jurisdiction; confirm the parcel's actual county before relying on county recorder or assessor records.</t>
        </is>
      </c>
      <c r="I140" s="1129" t="n">
        <v>46213</v>
      </c>
      <c r="J140" s="951" t="inlineStr">
        <is>
          <t>Critical</t>
        </is>
      </c>
    </row>
    <row r="141" ht="42" customHeight="1">
      <c r="A141" s="952" t="inlineStr">
        <is>
          <t>Thornton</t>
        </is>
      </c>
      <c r="B141" s="952" t="inlineStr">
        <is>
          <t>Zoning</t>
        </is>
      </c>
      <c r="C141" s="952" t="inlineStr">
        <is>
          <t>Current Planning &amp; Zoning</t>
        </is>
      </c>
      <c r="D141" s="952" t="inlineStr">
        <is>
          <t>Zoning, development applications and current planning.</t>
        </is>
      </c>
      <c r="E141" s="952" t="inlineStr">
        <is>
          <t>Confirm zoning and active entitlement processes.</t>
        </is>
      </c>
      <c r="F141" s="952" t="inlineStr">
        <is>
          <t>Yes</t>
        </is>
      </c>
      <c r="G141" s="1188" t="inlineStr">
        <is>
          <t>https://www.thorntonco.gov/business-development/city-development/current-planning-zoning</t>
        </is>
      </c>
      <c r="H141" s="952" t="inlineStr">
        <is>
          <t>Use for parcels inside this jurisdiction; confirm the parcel's actual county before relying on county recorder or assessor records.</t>
        </is>
      </c>
      <c r="I141" s="1129" t="n">
        <v>46213</v>
      </c>
      <c r="J141" s="951" t="inlineStr">
        <is>
          <t>Critical</t>
        </is>
      </c>
    </row>
    <row r="142" ht="42" customHeight="1">
      <c r="A142" s="952" t="inlineStr">
        <is>
          <t>Thornton</t>
        </is>
      </c>
      <c r="B142" s="952" t="inlineStr">
        <is>
          <t>Zoning</t>
        </is>
      </c>
      <c r="C142" s="952" t="inlineStr">
        <is>
          <t>Zoning Districts, Uses and Regulations</t>
        </is>
      </c>
      <c r="D142" s="952" t="inlineStr">
        <is>
          <t>District standards and use regulations.</t>
        </is>
      </c>
      <c r="E142" s="952" t="inlineStr">
        <is>
          <t>Evaluate allowed uses and dimensional standards.</t>
        </is>
      </c>
      <c r="F142" s="952" t="inlineStr">
        <is>
          <t>Yes</t>
        </is>
      </c>
      <c r="G142" s="1188" t="inlineStr">
        <is>
          <t>https://www.thorntonco.gov/business-development/city-development/current-planning-zoning/zoning-districts-uses-and-regulations</t>
        </is>
      </c>
      <c r="H142" s="952" t="inlineStr">
        <is>
          <t>Use for parcels inside this jurisdiction; confirm the parcel's actual county before relying on county recorder or assessor records.</t>
        </is>
      </c>
      <c r="I142" s="1129" t="n">
        <v>46213</v>
      </c>
      <c r="J142" s="951" t="inlineStr">
        <is>
          <t>Critical</t>
        </is>
      </c>
    </row>
    <row r="143" ht="42" customHeight="1">
      <c r="A143" s="952" t="inlineStr">
        <is>
          <t>Thornton</t>
        </is>
      </c>
      <c r="B143" s="952" t="inlineStr">
        <is>
          <t>GIS / Property</t>
        </is>
      </c>
      <c r="C143" s="952" t="inlineStr">
        <is>
          <t>Interactive Zoning / Property Map</t>
        </is>
      </c>
      <c r="D143" s="952" t="inlineStr">
        <is>
          <t>Interactive city zoning and parcel map.</t>
        </is>
      </c>
      <c r="E143" s="952" t="inlineStr">
        <is>
          <t>Locate a parcel and screen zoning and mapped attributes.</t>
        </is>
      </c>
      <c r="F143" s="952" t="inlineStr">
        <is>
          <t>Yes</t>
        </is>
      </c>
      <c r="G143" s="1188" t="inlineStr">
        <is>
          <t>https://cityofthornton.maps.arcgis.com/apps/webappviewer/index.html?id=643abe02e8b8446586b6eb6d8ed43f84</t>
        </is>
      </c>
      <c r="H143" s="952" t="inlineStr">
        <is>
          <t>Use for parcels inside this jurisdiction; confirm the parcel's actual county before relying on county recorder or assessor records.</t>
        </is>
      </c>
      <c r="I143" s="1129" t="n">
        <v>46213</v>
      </c>
      <c r="J143" s="951" t="inlineStr">
        <is>
          <t>Critical</t>
        </is>
      </c>
    </row>
    <row r="144" ht="42" customHeight="1">
      <c r="A144" s="952" t="inlineStr">
        <is>
          <t>Thornton</t>
        </is>
      </c>
      <c r="B144" s="952" t="inlineStr">
        <is>
          <t>GIS / Open Data</t>
        </is>
      </c>
      <c r="C144" s="952" t="inlineStr">
        <is>
          <t>Thornton GIS Open Data</t>
        </is>
      </c>
      <c r="D144" s="952" t="inlineStr">
        <is>
          <t>Downloadable city GIS layers and maps.</t>
        </is>
      </c>
      <c r="E144" s="952" t="inlineStr">
        <is>
          <t>Perform advanced mapping and spatial analysis.</t>
        </is>
      </c>
      <c r="F144" s="952" t="inlineStr">
        <is>
          <t>Yes</t>
        </is>
      </c>
      <c r="G144" s="1188" t="inlineStr">
        <is>
          <t>https://data-cityofthornton.opendata.arcgis.com/</t>
        </is>
      </c>
      <c r="H144" s="952" t="inlineStr">
        <is>
          <t>Use for parcels inside this jurisdiction; confirm the parcel's actual county before relying on county recorder or assessor records.</t>
        </is>
      </c>
      <c r="I144" s="1129" t="n">
        <v>46213</v>
      </c>
      <c r="J144" s="951" t="inlineStr">
        <is>
          <t>Useful</t>
        </is>
      </c>
    </row>
    <row r="145" ht="42" customHeight="1">
      <c r="A145" s="952" t="inlineStr">
        <is>
          <t>Thornton</t>
        </is>
      </c>
      <c r="B145" s="952" t="inlineStr">
        <is>
          <t>Development</t>
        </is>
      </c>
      <c r="C145" s="952" t="inlineStr">
        <is>
          <t>Planning Application Search</t>
        </is>
      </c>
      <c r="D145" s="952" t="inlineStr">
        <is>
          <t>CityView search for planning applications.</t>
        </is>
      </c>
      <c r="E145" s="952" t="inlineStr">
        <is>
          <t>Check planning cases and application records.</t>
        </is>
      </c>
      <c r="F145" s="952" t="inlineStr">
        <is>
          <t>Yes</t>
        </is>
      </c>
      <c r="G145" s="1188" t="inlineStr">
        <is>
          <t>https://cityviewportal.thorntonco.gov/Planning/Locator</t>
        </is>
      </c>
      <c r="H145" s="952" t="inlineStr">
        <is>
          <t>Use for parcels inside this jurisdiction; confirm the parcel's actual county before relying on county recorder or assessor records.</t>
        </is>
      </c>
      <c r="I145" s="1129" t="n">
        <v>46213</v>
      </c>
      <c r="J145" s="951" t="inlineStr">
        <is>
          <t>Critical</t>
        </is>
      </c>
    </row>
    <row r="146" ht="42" customHeight="1">
      <c r="A146" s="952" t="inlineStr">
        <is>
          <t>Thornton</t>
        </is>
      </c>
      <c r="B146" s="952" t="inlineStr">
        <is>
          <t>Development</t>
        </is>
      </c>
      <c r="C146" s="952" t="inlineStr">
        <is>
          <t>Active Development</t>
        </is>
      </c>
      <c r="D146" s="952" t="inlineStr">
        <is>
          <t>Current development projects and related information.</t>
        </is>
      </c>
      <c r="E146" s="952" t="inlineStr">
        <is>
          <t>Identify nearby development and status.</t>
        </is>
      </c>
      <c r="F146" s="952" t="inlineStr">
        <is>
          <t>Yes</t>
        </is>
      </c>
      <c r="G146" s="1188" t="inlineStr">
        <is>
          <t>https://www.thorntonco.gov/business-development/active-development</t>
        </is>
      </c>
      <c r="H146" s="952" t="inlineStr">
        <is>
          <t>Use for parcels inside this jurisdiction; confirm the parcel's actual county before relying on county recorder or assessor records.</t>
        </is>
      </c>
      <c r="I146" s="1129" t="n">
        <v>46213</v>
      </c>
      <c r="J146" s="951" t="inlineStr">
        <is>
          <t>Critical</t>
        </is>
      </c>
    </row>
    <row r="147" ht="42" customHeight="1">
      <c r="A147" s="952" t="inlineStr">
        <is>
          <t>Thornton</t>
        </is>
      </c>
      <c r="B147" s="952" t="inlineStr">
        <is>
          <t>Development</t>
        </is>
      </c>
      <c r="C147" s="952" t="inlineStr">
        <is>
          <t>Development Applications</t>
        </is>
      </c>
      <c r="D147" s="952" t="inlineStr">
        <is>
          <t>Application types and development review resources.</t>
        </is>
      </c>
      <c r="E147" s="952" t="inlineStr">
        <is>
          <t>Determine entitlement and submittal requirements.</t>
        </is>
      </c>
      <c r="F147" s="952" t="inlineStr">
        <is>
          <t>Yes</t>
        </is>
      </c>
      <c r="G147" s="1188" t="inlineStr">
        <is>
          <t>https://www.thorntonco.gov/business-development/city-development/current-planning-zoning/development-applications</t>
        </is>
      </c>
      <c r="H147" s="952" t="inlineStr">
        <is>
          <t>Use for parcels inside this jurisdiction; confirm the parcel's actual county before relying on county recorder or assessor records.</t>
        </is>
      </c>
      <c r="I147" s="1129" t="n">
        <v>46213</v>
      </c>
      <c r="J147" s="951" t="inlineStr">
        <is>
          <t>High</t>
        </is>
      </c>
    </row>
    <row r="148" ht="42" customHeight="1">
      <c r="A148" s="952" t="inlineStr">
        <is>
          <t>Thornton</t>
        </is>
      </c>
      <c r="B148" s="952" t="inlineStr">
        <is>
          <t>Development</t>
        </is>
      </c>
      <c r="C148" s="952" t="inlineStr">
        <is>
          <t>Development Engineering &amp; Construction</t>
        </is>
      </c>
      <c r="D148" s="952" t="inlineStr">
        <is>
          <t>Engineering, construction and infrastructure review.</t>
        </is>
      </c>
      <c r="E148" s="952" t="inlineStr">
        <is>
          <t>Research civil plans, access and construction requirements.</t>
        </is>
      </c>
      <c r="F148" s="952" t="inlineStr">
        <is>
          <t>Yes</t>
        </is>
      </c>
      <c r="G148" s="1188" t="inlineStr">
        <is>
          <t>https://www.thorntonco.gov/business-development/city-development/development-engineering-construction</t>
        </is>
      </c>
      <c r="H148" s="952" t="inlineStr">
        <is>
          <t>Use for parcels inside this jurisdiction; confirm the parcel's actual county before relying on county recorder or assessor records.</t>
        </is>
      </c>
      <c r="I148" s="1129" t="n">
        <v>46213</v>
      </c>
      <c r="J148" s="951" t="inlineStr">
        <is>
          <t>High</t>
        </is>
      </c>
    </row>
    <row r="149" ht="42" customHeight="1">
      <c r="A149" s="952" t="inlineStr">
        <is>
          <t>Thornton</t>
        </is>
      </c>
      <c r="B149" s="952" t="inlineStr">
        <is>
          <t>Permits</t>
        </is>
      </c>
      <c r="C149" s="952" t="inlineStr">
        <is>
          <t>Building Permits &amp; Inspections</t>
        </is>
      </c>
      <c r="D149" s="952" t="inlineStr">
        <is>
          <t>Building permits, inspections and contractor information.</t>
        </is>
      </c>
      <c r="E149" s="952" t="inlineStr">
        <is>
          <t>Research construction permits.</t>
        </is>
      </c>
      <c r="F149" s="952" t="inlineStr">
        <is>
          <t>Yes</t>
        </is>
      </c>
      <c r="G149" s="1188" t="inlineStr">
        <is>
          <t>https://www.thorntonco.gov/business-development/city-development/building-permits-inspections</t>
        </is>
      </c>
      <c r="H149" s="952" t="inlineStr">
        <is>
          <t>Use for parcels inside this jurisdiction; confirm the parcel's actual county before relying on county recorder or assessor records.</t>
        </is>
      </c>
      <c r="I149" s="1129" t="n">
        <v>46213</v>
      </c>
      <c r="J149" s="951" t="inlineStr">
        <is>
          <t>Critical</t>
        </is>
      </c>
    </row>
    <row r="150" ht="42" customHeight="1">
      <c r="A150" s="952" t="inlineStr">
        <is>
          <t>Thornton</t>
        </is>
      </c>
      <c r="B150" s="952" t="inlineStr">
        <is>
          <t>Permits</t>
        </is>
      </c>
      <c r="C150" s="952" t="inlineStr">
        <is>
          <t>Permit Search</t>
        </is>
      </c>
      <c r="D150" s="952" t="inlineStr">
        <is>
          <t>CityView permit and submittal search.</t>
        </is>
      </c>
      <c r="E150" s="952" t="inlineStr">
        <is>
          <t>Check permit records and status.</t>
        </is>
      </c>
      <c r="F150" s="952" t="inlineStr">
        <is>
          <t>Yes</t>
        </is>
      </c>
      <c r="G150" s="1188" t="inlineStr">
        <is>
          <t>https://cityviewportal.thorntonco.gov/Permit/LocatorSubmittals</t>
        </is>
      </c>
      <c r="H150" s="952" t="inlineStr">
        <is>
          <t>Use for parcels inside this jurisdiction; confirm the parcel's actual county before relying on county recorder or assessor records.</t>
        </is>
      </c>
      <c r="I150" s="1129" t="n">
        <v>46213</v>
      </c>
      <c r="J150" s="951" t="inlineStr">
        <is>
          <t>Critical</t>
        </is>
      </c>
    </row>
    <row r="151" ht="42" customHeight="1">
      <c r="A151" s="952" t="inlineStr">
        <is>
          <t>Thornton</t>
        </is>
      </c>
      <c r="B151" s="952" t="inlineStr">
        <is>
          <t>Online Portal</t>
        </is>
      </c>
      <c r="C151" s="952" t="inlineStr">
        <is>
          <t>Thornton Permit Portal</t>
        </is>
      </c>
      <c r="D151" s="952" t="inlineStr">
        <is>
          <t>Online permit application portal.</t>
        </is>
      </c>
      <c r="E151" s="952" t="inlineStr">
        <is>
          <t>Submit or manage permits.</t>
        </is>
      </c>
      <c r="F151" s="952" t="inlineStr">
        <is>
          <t>Yes</t>
        </is>
      </c>
      <c r="G151" s="1188" t="inlineStr">
        <is>
          <t>https://permits.thorntonco.gov/</t>
        </is>
      </c>
      <c r="H151" s="952" t="inlineStr">
        <is>
          <t>Use for parcels inside this jurisdiction; confirm the parcel's actual county before relying on county recorder or assessor records.</t>
        </is>
      </c>
      <c r="I151" s="1129" t="n">
        <v>46213</v>
      </c>
      <c r="J151" s="951" t="inlineStr">
        <is>
          <t>High</t>
        </is>
      </c>
    </row>
    <row r="152" ht="42" customHeight="1">
      <c r="A152" s="952" t="inlineStr">
        <is>
          <t>Thornton</t>
        </is>
      </c>
      <c r="B152" s="952" t="inlineStr">
        <is>
          <t>Long-Range Planning</t>
        </is>
      </c>
      <c r="C152" s="952" t="inlineStr">
        <is>
          <t>Long Range Planning</t>
        </is>
      </c>
      <c r="D152" s="952" t="inlineStr">
        <is>
          <t>Long-range planning programs and resources.</t>
        </is>
      </c>
      <c r="E152" s="952" t="inlineStr">
        <is>
          <t>Evaluate future growth and policy context.</t>
        </is>
      </c>
      <c r="F152" s="952" t="inlineStr">
        <is>
          <t>Yes</t>
        </is>
      </c>
      <c r="G152" s="1188" t="inlineStr">
        <is>
          <t>https://www.thorntonco.gov/business-development/city-development/long-range-planning</t>
        </is>
      </c>
      <c r="H152" s="952" t="inlineStr">
        <is>
          <t>Use for parcels inside this jurisdiction; confirm the parcel's actual county before relying on county recorder or assessor records.</t>
        </is>
      </c>
      <c r="I152" s="1129" t="n">
        <v>46213</v>
      </c>
      <c r="J152" s="951" t="inlineStr">
        <is>
          <t>High</t>
        </is>
      </c>
    </row>
    <row r="153" ht="42" customHeight="1">
      <c r="A153" s="952" t="inlineStr">
        <is>
          <t>Thornton</t>
        </is>
      </c>
      <c r="B153" s="952" t="inlineStr">
        <is>
          <t>Long-Range Planning</t>
        </is>
      </c>
      <c r="C153" s="952" t="inlineStr">
        <is>
          <t>Thornton Comprehensive Plan</t>
        </is>
      </c>
      <c r="D153" s="952" t="inlineStr">
        <is>
          <t>Current comprehensive-plan resources.</t>
        </is>
      </c>
      <c r="E153" s="952" t="inlineStr">
        <is>
          <t>Review future land use and citywide policy.</t>
        </is>
      </c>
      <c r="F153" s="952" t="inlineStr">
        <is>
          <t>Yes</t>
        </is>
      </c>
      <c r="G153" s="1188" t="inlineStr">
        <is>
          <t>https://www.thorntonco.gov/business-development/city-development/long-range-planning/plans/thornton-comprehensive-plan</t>
        </is>
      </c>
      <c r="H153" s="952" t="inlineStr">
        <is>
          <t>Use for parcels inside this jurisdiction; confirm the parcel's actual county before relying on county recorder or assessor records.</t>
        </is>
      </c>
      <c r="I153" s="1129" t="n">
        <v>46213</v>
      </c>
      <c r="J153" s="951" t="inlineStr">
        <is>
          <t>High</t>
        </is>
      </c>
    </row>
    <row r="154" ht="42" customHeight="1">
      <c r="A154" s="952" t="inlineStr">
        <is>
          <t>Thornton</t>
        </is>
      </c>
      <c r="B154" s="952" t="inlineStr">
        <is>
          <t>Long-Range Planning</t>
        </is>
      </c>
      <c r="C154" s="952" t="inlineStr">
        <is>
          <t>Current Long-Range Projects</t>
        </is>
      </c>
      <c r="D154" s="952" t="inlineStr">
        <is>
          <t>Current planning initiatives and plan updates.</t>
        </is>
      </c>
      <c r="E154" s="952" t="inlineStr">
        <is>
          <t>Track future policy changes affecting property.</t>
        </is>
      </c>
      <c r="F154" s="952" t="inlineStr">
        <is>
          <t>Yes</t>
        </is>
      </c>
      <c r="G154" s="1188" t="inlineStr">
        <is>
          <t>https://www.thorntonco.gov/business-development/city-development/long-range-planning/current-projects</t>
        </is>
      </c>
      <c r="H154" s="952" t="inlineStr">
        <is>
          <t>Use for parcels inside this jurisdiction; confirm the parcel's actual county before relying on county recorder or assessor records.</t>
        </is>
      </c>
      <c r="I154" s="1129" t="n">
        <v>46213</v>
      </c>
      <c r="J154" s="951" t="inlineStr">
        <is>
          <t>High</t>
        </is>
      </c>
    </row>
    <row r="155" ht="42" customHeight="1">
      <c r="A155" s="952" t="inlineStr">
        <is>
          <t>Thornton</t>
        </is>
      </c>
      <c r="B155" s="952" t="inlineStr">
        <is>
          <t>Meetings</t>
        </is>
      </c>
      <c r="C155" s="952" t="inlineStr">
        <is>
          <t>Planning Commission / Board of Adjustment</t>
        </is>
      </c>
      <c r="D155" s="952" t="inlineStr">
        <is>
          <t>Board and commission information.</t>
        </is>
      </c>
      <c r="E155" s="952" t="inlineStr">
        <is>
          <t>Monitor land-use hearings, variances and appeals.</t>
        </is>
      </c>
      <c r="F155" s="952" t="inlineStr">
        <is>
          <t>Yes</t>
        </is>
      </c>
      <c r="G155" s="1188" t="inlineStr">
        <is>
          <t>https://www.thorntonco.gov/government/boards-commissions/planning-commission-board-adjustment</t>
        </is>
      </c>
      <c r="H155" s="952" t="inlineStr">
        <is>
          <t>Use for parcels inside this jurisdiction; confirm the parcel's actual county before relying on county recorder or assessor records.</t>
        </is>
      </c>
      <c r="I155" s="1129" t="n">
        <v>46213</v>
      </c>
      <c r="J155" s="951" t="inlineStr">
        <is>
          <t>High</t>
        </is>
      </c>
    </row>
    <row r="156" ht="42" customHeight="1">
      <c r="A156" s="952" t="inlineStr">
        <is>
          <t>Thornton</t>
        </is>
      </c>
      <c r="B156" s="952" t="inlineStr">
        <is>
          <t>Meetings</t>
        </is>
      </c>
      <c r="C156" s="952" t="inlineStr">
        <is>
          <t>Upcoming Meetings</t>
        </is>
      </c>
      <c r="D156" s="952" t="inlineStr">
        <is>
          <t>City council and public meeting calendar.</t>
        </is>
      </c>
      <c r="E156" s="952" t="inlineStr">
        <is>
          <t>Track meeting dates and agenda publication.</t>
        </is>
      </c>
      <c r="F156" s="952" t="inlineStr">
        <is>
          <t>Yes</t>
        </is>
      </c>
      <c r="G156" s="1188" t="inlineStr">
        <is>
          <t>https://www.thorntonco.gov/government/mayor-council/upcoming-meetings</t>
        </is>
      </c>
      <c r="H156" s="952" t="inlineStr">
        <is>
          <t>Use for parcels inside this jurisdiction; confirm the parcel's actual county before relying on county recorder or assessor records.</t>
        </is>
      </c>
      <c r="I156" s="1129" t="n">
        <v>46213</v>
      </c>
      <c r="J156" s="951" t="inlineStr">
        <is>
          <t>High</t>
        </is>
      </c>
    </row>
    <row r="157" ht="42" customHeight="1">
      <c r="A157" s="952" t="inlineStr">
        <is>
          <t>Thornton</t>
        </is>
      </c>
      <c r="B157" s="952" t="inlineStr">
        <is>
          <t>Public Notices</t>
        </is>
      </c>
      <c r="C157" s="952" t="inlineStr">
        <is>
          <t>Public Notices</t>
        </is>
      </c>
      <c r="D157" s="952" t="inlineStr">
        <is>
          <t>Approved ordinances, hearing notices and other public notices.</t>
        </is>
      </c>
      <c r="E157" s="952" t="inlineStr">
        <is>
          <t>Confirm formal hearings and legal actions.</t>
        </is>
      </c>
      <c r="F157" s="952" t="inlineStr">
        <is>
          <t>Yes</t>
        </is>
      </c>
      <c r="G157" s="1188" t="inlineStr">
        <is>
          <t>https://www.thorntonco.gov/government/public-notices</t>
        </is>
      </c>
      <c r="H157" s="952" t="inlineStr">
        <is>
          <t>Use for parcels inside this jurisdiction; confirm the parcel's actual county before relying on county recorder or assessor records.</t>
        </is>
      </c>
      <c r="I157" s="1129" t="n">
        <v>46213</v>
      </c>
      <c r="J157" s="951" t="inlineStr">
        <is>
          <t>High</t>
        </is>
      </c>
    </row>
    <row r="158" ht="42" customHeight="1">
      <c r="A158" s="952" t="inlineStr">
        <is>
          <t>Thornton</t>
        </is>
      </c>
      <c r="B158" s="952" t="inlineStr">
        <is>
          <t>News</t>
        </is>
      </c>
      <c r="C158" s="952" t="inlineStr">
        <is>
          <t>Thornton News</t>
        </is>
      </c>
      <c r="D158" s="952" t="inlineStr">
        <is>
          <t>Official city news and City Voice items.</t>
        </is>
      </c>
      <c r="E158" s="952" t="inlineStr">
        <is>
          <t>Monitor projects, council actions and city updates.</t>
        </is>
      </c>
      <c r="F158" s="952" t="inlineStr">
        <is>
          <t>Yes</t>
        </is>
      </c>
      <c r="G158" s="1188" t="inlineStr">
        <is>
          <t>https://www.thorntonco.gov/news</t>
        </is>
      </c>
      <c r="H158" s="952" t="inlineStr">
        <is>
          <t>Use for parcels inside this jurisdiction; confirm the parcel's actual county before relying on county recorder or assessor records.</t>
        </is>
      </c>
      <c r="I158" s="1129" t="n">
        <v>46213</v>
      </c>
      <c r="J158" s="951" t="inlineStr">
        <is>
          <t>Useful</t>
        </is>
      </c>
    </row>
    <row r="159" ht="42" customHeight="1">
      <c r="A159" s="952" t="inlineStr">
        <is>
          <t>Thornton</t>
        </is>
      </c>
      <c r="B159" s="952" t="inlineStr">
        <is>
          <t>Alerts</t>
        </is>
      </c>
      <c r="C159" s="952" t="inlineStr">
        <is>
          <t>T-Alerts</t>
        </is>
      </c>
      <c r="D159" s="952" t="inlineStr">
        <is>
          <t>Email subscriptions for meetings, development and city topics.</t>
        </is>
      </c>
      <c r="E159" s="952" t="inlineStr">
        <is>
          <t>Subscribe to current updates and meeting documents.</t>
        </is>
      </c>
      <c r="F159" s="952" t="inlineStr">
        <is>
          <t>Yes</t>
        </is>
      </c>
      <c r="G159" s="1188" t="inlineStr">
        <is>
          <t>https://talerts.thorntonco.gov/</t>
        </is>
      </c>
      <c r="H159" s="952" t="inlineStr">
        <is>
          <t>Use for parcels inside this jurisdiction; confirm the parcel's actual county before relying on county recorder or assessor records.</t>
        </is>
      </c>
      <c r="I159" s="1129" t="n">
        <v>46213</v>
      </c>
      <c r="J159" s="951" t="inlineStr">
        <is>
          <t>Useful</t>
        </is>
      </c>
    </row>
    <row r="160" ht="42" customHeight="1">
      <c r="A160" s="952" t="inlineStr">
        <is>
          <t>Westminster</t>
        </is>
      </c>
      <c r="B160" s="952" t="inlineStr">
        <is>
          <t>Official Website</t>
        </is>
      </c>
      <c r="C160" s="952" t="inlineStr">
        <is>
          <t>City of Westminster</t>
        </is>
      </c>
      <c r="D160" s="952" t="inlineStr">
        <is>
          <t>Main city website.</t>
        </is>
      </c>
      <c r="E160" s="952" t="inlineStr">
        <is>
          <t>Navigate city services and departments.</t>
        </is>
      </c>
      <c r="F160" s="952" t="inlineStr">
        <is>
          <t>Yes</t>
        </is>
      </c>
      <c r="G160" s="1188" t="inlineStr">
        <is>
          <t>https://www.westminsterco.gov/</t>
        </is>
      </c>
      <c r="H160" s="952" t="inlineStr">
        <is>
          <t>Use for parcels inside this jurisdiction; confirm the parcel's actual county before relying on county recorder or assessor records.</t>
        </is>
      </c>
      <c r="I160" s="1129" t="n">
        <v>46213</v>
      </c>
      <c r="J160" s="951" t="inlineStr">
        <is>
          <t>Reference</t>
        </is>
      </c>
    </row>
    <row r="161" ht="42" customHeight="1">
      <c r="A161" s="952" t="inlineStr">
        <is>
          <t>Westminster</t>
        </is>
      </c>
      <c r="B161" s="952" t="inlineStr">
        <is>
          <t>GIS / Property</t>
        </is>
      </c>
      <c r="C161" s="952" t="inlineStr">
        <is>
          <t>Maps</t>
        </is>
      </c>
      <c r="D161" s="952" t="inlineStr">
        <is>
          <t>City maps and GIS resources.</t>
        </is>
      </c>
      <c r="E161" s="952" t="inlineStr">
        <is>
          <t>Research zoning, parcels, utilities and city boundaries.</t>
        </is>
      </c>
      <c r="F161" s="952" t="inlineStr">
        <is>
          <t>Yes</t>
        </is>
      </c>
      <c r="G161" s="1188" t="inlineStr">
        <is>
          <t>https://www.westminsterco.gov/471/Maps</t>
        </is>
      </c>
      <c r="H161" s="952" t="inlineStr">
        <is>
          <t>Use for parcels inside this jurisdiction; confirm the parcel's actual county before relying on county recorder or assessor records.</t>
        </is>
      </c>
      <c r="I161" s="1129" t="n">
        <v>46213</v>
      </c>
      <c r="J161" s="951" t="inlineStr">
        <is>
          <t>Critical</t>
        </is>
      </c>
    </row>
    <row r="162" ht="42" customHeight="1">
      <c r="A162" s="952" t="inlineStr">
        <is>
          <t>Westminster</t>
        </is>
      </c>
      <c r="B162" s="952" t="inlineStr">
        <is>
          <t>Zoning</t>
        </is>
      </c>
      <c r="C162" s="952" t="inlineStr">
        <is>
          <t>Zoning</t>
        </is>
      </c>
      <c r="D162" s="952" t="inlineStr">
        <is>
          <t>Zoning map, districts and zoning resources.</t>
        </is>
      </c>
      <c r="E162" s="952" t="inlineStr">
        <is>
          <t>Confirm zoning and use standards.</t>
        </is>
      </c>
      <c r="F162" s="952" t="inlineStr">
        <is>
          <t>Yes</t>
        </is>
      </c>
      <c r="G162" s="1188" t="inlineStr">
        <is>
          <t>https://www.westminsterco.gov/727/Zoning</t>
        </is>
      </c>
      <c r="H162" s="952" t="inlineStr">
        <is>
          <t>Use for parcels inside this jurisdiction; confirm the parcel's actual county before relying on county recorder or assessor records.</t>
        </is>
      </c>
      <c r="I162" s="1129" t="n">
        <v>46213</v>
      </c>
      <c r="J162" s="951" t="inlineStr">
        <is>
          <t>Critical</t>
        </is>
      </c>
    </row>
    <row r="163" ht="42" customHeight="1">
      <c r="A163" s="952" t="inlineStr">
        <is>
          <t>Westminster</t>
        </is>
      </c>
      <c r="B163" s="952" t="inlineStr">
        <is>
          <t>Planning</t>
        </is>
      </c>
      <c r="C163" s="952" t="inlineStr">
        <is>
          <t>Planning</t>
        </is>
      </c>
      <c r="D163" s="952" t="inlineStr">
        <is>
          <t>Planning services, plans and development review.</t>
        </is>
      </c>
      <c r="E163" s="952" t="inlineStr">
        <is>
          <t>Start land-use and entitlement research.</t>
        </is>
      </c>
      <c r="F163" s="952" t="inlineStr">
        <is>
          <t>Yes</t>
        </is>
      </c>
      <c r="G163" s="1188" t="inlineStr">
        <is>
          <t>https://www.westminsterco.gov/707/Planning</t>
        </is>
      </c>
      <c r="H163" s="952" t="inlineStr">
        <is>
          <t>Use for parcels inside this jurisdiction; confirm the parcel's actual county before relying on county recorder or assessor records.</t>
        </is>
      </c>
      <c r="I163" s="1129" t="n">
        <v>46213</v>
      </c>
      <c r="J163" s="951" t="inlineStr">
        <is>
          <t>Critical</t>
        </is>
      </c>
    </row>
    <row r="164" ht="42" customHeight="1">
      <c r="A164" s="952" t="inlineStr">
        <is>
          <t>Westminster</t>
        </is>
      </c>
      <c r="B164" s="952" t="inlineStr">
        <is>
          <t>Development</t>
        </is>
      </c>
      <c r="C164" s="952" t="inlineStr">
        <is>
          <t>Develop in Westminster</t>
        </is>
      </c>
      <c r="D164" s="952" t="inlineStr">
        <is>
          <t>Development process, applications and standards.</t>
        </is>
      </c>
      <c r="E164" s="952" t="inlineStr">
        <is>
          <t>Understand approvals and development requirements.</t>
        </is>
      </c>
      <c r="F164" s="952" t="inlineStr">
        <is>
          <t>Yes</t>
        </is>
      </c>
      <c r="G164" s="1188" t="inlineStr">
        <is>
          <t>https://www.westminsterco.gov/703/Develop-in-Westminster</t>
        </is>
      </c>
      <c r="H164" s="952" t="inlineStr">
        <is>
          <t>Use for parcels inside this jurisdiction; confirm the parcel's actual county before relying on county recorder or assessor records.</t>
        </is>
      </c>
      <c r="I164" s="1129" t="n">
        <v>46213</v>
      </c>
      <c r="J164" s="951" t="inlineStr">
        <is>
          <t>High</t>
        </is>
      </c>
    </row>
    <row r="165" ht="42" customHeight="1">
      <c r="A165" s="952" t="inlineStr">
        <is>
          <t>Westminster</t>
        </is>
      </c>
      <c r="B165" s="952" t="inlineStr">
        <is>
          <t>Development</t>
        </is>
      </c>
      <c r="C165" s="952" t="inlineStr">
        <is>
          <t>Current Development Project Map</t>
        </is>
      </c>
      <c r="D165" s="952" t="inlineStr">
        <is>
          <t>Interactive map of current development projects.</t>
        </is>
      </c>
      <c r="E165" s="952" t="inlineStr">
        <is>
          <t>Identify active projects near a property.</t>
        </is>
      </c>
      <c r="F165" s="952" t="inlineStr">
        <is>
          <t>Yes</t>
        </is>
      </c>
      <c r="G165" s="1188" t="inlineStr">
        <is>
          <t>https://www.westminsterco.gov/855/Current-Development-Project-Map</t>
        </is>
      </c>
      <c r="H165" s="952" t="inlineStr">
        <is>
          <t>Use for parcels inside this jurisdiction; confirm the parcel's actual county before relying on county recorder or assessor records.</t>
        </is>
      </c>
      <c r="I165" s="1129" t="n">
        <v>46213</v>
      </c>
      <c r="J165" s="951" t="inlineStr">
        <is>
          <t>Critical</t>
        </is>
      </c>
    </row>
    <row r="166" ht="42" customHeight="1">
      <c r="A166" s="952" t="inlineStr">
        <is>
          <t>Westminster</t>
        </is>
      </c>
      <c r="B166" s="952" t="inlineStr">
        <is>
          <t>Development</t>
        </is>
      </c>
      <c r="C166" s="952" t="inlineStr">
        <is>
          <t>Redevelopment</t>
        </is>
      </c>
      <c r="D166" s="952" t="inlineStr">
        <is>
          <t>Redevelopment plans and initiatives.</t>
        </is>
      </c>
      <c r="E166" s="952" t="inlineStr">
        <is>
          <t>Research targeted redevelopment areas and programs.</t>
        </is>
      </c>
      <c r="F166" s="952" t="inlineStr">
        <is>
          <t>Yes</t>
        </is>
      </c>
      <c r="G166" s="1188" t="inlineStr">
        <is>
          <t>https://www.westminsterco.gov/1060/Redevelopment</t>
        </is>
      </c>
      <c r="H166" s="952" t="inlineStr">
        <is>
          <t>Use for parcels inside this jurisdiction; confirm the parcel's actual county before relying on county recorder or assessor records.</t>
        </is>
      </c>
      <c r="I166" s="1129" t="n">
        <v>46213</v>
      </c>
      <c r="J166" s="951" t="inlineStr">
        <is>
          <t>High</t>
        </is>
      </c>
    </row>
    <row r="167" ht="42" customHeight="1">
      <c r="A167" s="952" t="inlineStr">
        <is>
          <t>Westminster</t>
        </is>
      </c>
      <c r="B167" s="952" t="inlineStr">
        <is>
          <t>Permits</t>
        </is>
      </c>
      <c r="C167" s="952" t="inlineStr">
        <is>
          <t>Permits &amp; Licenses</t>
        </is>
      </c>
      <c r="D167" s="952" t="inlineStr">
        <is>
          <t>Permit and licensing resources.</t>
        </is>
      </c>
      <c r="E167" s="952" t="inlineStr">
        <is>
          <t>Find applicable city permits and licenses.</t>
        </is>
      </c>
      <c r="F167" s="952" t="inlineStr">
        <is>
          <t>Yes</t>
        </is>
      </c>
      <c r="G167" s="1188" t="inlineStr">
        <is>
          <t>https://www.westminsterco.gov/833/Permits-Licenses</t>
        </is>
      </c>
      <c r="H167" s="952" t="inlineStr">
        <is>
          <t>Use for parcels inside this jurisdiction; confirm the parcel's actual county before relying on county recorder or assessor records.</t>
        </is>
      </c>
      <c r="I167" s="1129" t="n">
        <v>46213</v>
      </c>
      <c r="J167" s="951" t="inlineStr">
        <is>
          <t>High</t>
        </is>
      </c>
    </row>
    <row r="168" ht="42" customHeight="1">
      <c r="A168" s="952" t="inlineStr">
        <is>
          <t>Westminster</t>
        </is>
      </c>
      <c r="B168" s="952" t="inlineStr">
        <is>
          <t>Permits</t>
        </is>
      </c>
      <c r="C168" s="952" t="inlineStr">
        <is>
          <t>Apply for a Permit / Project</t>
        </is>
      </c>
      <c r="D168" s="952" t="inlineStr">
        <is>
          <t>Online permit and project application guidance.</t>
        </is>
      </c>
      <c r="E168" s="952" t="inlineStr">
        <is>
          <t>Apply for or research permits and projects.</t>
        </is>
      </c>
      <c r="F168" s="952" t="inlineStr">
        <is>
          <t>Yes</t>
        </is>
      </c>
      <c r="G168" s="1188" t="inlineStr">
        <is>
          <t>https://www.westminsterco.gov/617/Apply-for-a-Permit-Project</t>
        </is>
      </c>
      <c r="H168" s="952" t="inlineStr">
        <is>
          <t>Use for parcels inside this jurisdiction; confirm the parcel's actual county before relying on county recorder or assessor records.</t>
        </is>
      </c>
      <c r="I168" s="1129" t="n">
        <v>46213</v>
      </c>
      <c r="J168" s="951" t="inlineStr">
        <is>
          <t>Critical</t>
        </is>
      </c>
    </row>
    <row r="169" ht="42" customHeight="1">
      <c r="A169" s="952" t="inlineStr">
        <is>
          <t>Westminster</t>
        </is>
      </c>
      <c r="B169" s="952" t="inlineStr">
        <is>
          <t>Long-Range Planning</t>
        </is>
      </c>
      <c r="C169" s="952" t="inlineStr">
        <is>
          <t>Comprehensive Plan (November 2025)</t>
        </is>
      </c>
      <c r="D169" s="952" t="inlineStr">
        <is>
          <t>Current city comprehensive plan PDF.</t>
        </is>
      </c>
      <c r="E169" s="952" t="inlineStr">
        <is>
          <t>Evaluate future land use, policy and growth direction.</t>
        </is>
      </c>
      <c r="F169" s="952" t="inlineStr">
        <is>
          <t>Yes</t>
        </is>
      </c>
      <c r="G169" s="1188" t="inlineStr">
        <is>
          <t>https://www.westminsterco.gov/DocumentCenter/View/5605/Comprehensive-Plan_November2025-LR</t>
        </is>
      </c>
      <c r="H169" s="952" t="inlineStr">
        <is>
          <t>Use for parcels inside this jurisdiction; confirm the parcel's actual county before relying on county recorder or assessor records.</t>
        </is>
      </c>
      <c r="I169" s="1129" t="n">
        <v>46213</v>
      </c>
      <c r="J169" s="951" t="inlineStr">
        <is>
          <t>High</t>
        </is>
      </c>
    </row>
    <row r="170" ht="42" customHeight="1">
      <c r="A170" s="952" t="inlineStr">
        <is>
          <t>Westminster</t>
        </is>
      </c>
      <c r="B170" s="952" t="inlineStr">
        <is>
          <t>Standards</t>
        </is>
      </c>
      <c r="C170" s="952" t="inlineStr">
        <is>
          <t>City Standards &amp; Specifications</t>
        </is>
      </c>
      <c r="D170" s="952" t="inlineStr">
        <is>
          <t>Engineering and development standards.</t>
        </is>
      </c>
      <c r="E170" s="952" t="inlineStr">
        <is>
          <t>Review technical requirements for construction and infrastructure.</t>
        </is>
      </c>
      <c r="F170" s="952" t="inlineStr">
        <is>
          <t>Yes</t>
        </is>
      </c>
      <c r="G170" s="1188" t="inlineStr">
        <is>
          <t>https://www.westminsterco.gov/747/City-Standards-Specifications</t>
        </is>
      </c>
      <c r="H170" s="952" t="inlineStr">
        <is>
          <t>Use for parcels inside this jurisdiction; confirm the parcel's actual county before relying on county recorder or assessor records.</t>
        </is>
      </c>
      <c r="I170" s="1129" t="n">
        <v>46213</v>
      </c>
      <c r="J170" s="951" t="inlineStr">
        <is>
          <t>High</t>
        </is>
      </c>
    </row>
    <row r="171" ht="42" customHeight="1">
      <c r="A171" s="952" t="inlineStr">
        <is>
          <t>Westminster</t>
        </is>
      </c>
      <c r="B171" s="952" t="inlineStr">
        <is>
          <t>Code Enforcement</t>
        </is>
      </c>
      <c r="C171" s="952" t="inlineStr">
        <is>
          <t>Code Enforcement</t>
        </is>
      </c>
      <c r="D171" s="952" t="inlineStr">
        <is>
          <t>Property and municipal code compliance information.</t>
        </is>
      </c>
      <c r="E171" s="952" t="inlineStr">
        <is>
          <t>Research complaint and compliance processes.</t>
        </is>
      </c>
      <c r="F171" s="952" t="inlineStr">
        <is>
          <t>Yes</t>
        </is>
      </c>
      <c r="G171" s="1188" t="inlineStr">
        <is>
          <t>https://www.westminsterco.gov/639/Code-Enforcement</t>
        </is>
      </c>
      <c r="H171" s="952" t="inlineStr">
        <is>
          <t>Use for parcels inside this jurisdiction; confirm the parcel's actual county before relying on county recorder or assessor records.</t>
        </is>
      </c>
      <c r="I171" s="1129" t="n">
        <v>46213</v>
      </c>
      <c r="J171" s="951" t="inlineStr">
        <is>
          <t>Useful</t>
        </is>
      </c>
    </row>
    <row r="172" ht="42" customHeight="1">
      <c r="A172" s="952" t="inlineStr">
        <is>
          <t>Westminster</t>
        </is>
      </c>
      <c r="B172" s="952" t="inlineStr">
        <is>
          <t>Meetings</t>
        </is>
      </c>
      <c r="C172" s="952" t="inlineStr">
        <is>
          <t>Planning Commission</t>
        </is>
      </c>
      <c r="D172" s="952" t="inlineStr">
        <is>
          <t>Planning Commission information and meetings.</t>
        </is>
      </c>
      <c r="E172" s="952" t="inlineStr">
        <is>
          <t>Monitor land-use hearings and recommendations.</t>
        </is>
      </c>
      <c r="F172" s="952" t="inlineStr">
        <is>
          <t>Yes</t>
        </is>
      </c>
      <c r="G172" s="1188" t="inlineStr">
        <is>
          <t>https://www.westminsterco.gov/614/Planning-Commission</t>
        </is>
      </c>
      <c r="H172" s="952" t="inlineStr">
        <is>
          <t>Use for parcels inside this jurisdiction; confirm the parcel's actual county before relying on county recorder or assessor records.</t>
        </is>
      </c>
      <c r="I172" s="1129" t="n">
        <v>46213</v>
      </c>
      <c r="J172" s="951" t="inlineStr">
        <is>
          <t>High</t>
        </is>
      </c>
    </row>
    <row r="173" ht="42" customHeight="1">
      <c r="A173" s="952" t="inlineStr">
        <is>
          <t>Westminster</t>
        </is>
      </c>
      <c r="B173" s="952" t="inlineStr">
        <is>
          <t>Meetings</t>
        </is>
      </c>
      <c r="C173" s="952" t="inlineStr">
        <is>
          <t>Agenda Center</t>
        </is>
      </c>
      <c r="D173" s="952" t="inlineStr">
        <is>
          <t>Agendas and minutes for boards and council.</t>
        </is>
      </c>
      <c r="E173" s="952" t="inlineStr">
        <is>
          <t>Track official decisions and meeting records.</t>
        </is>
      </c>
      <c r="F173" s="952" t="inlineStr">
        <is>
          <t>Yes</t>
        </is>
      </c>
      <c r="G173" s="1188" t="inlineStr">
        <is>
          <t>https://www.westminsterco.gov/AgendaCenter</t>
        </is>
      </c>
      <c r="H173" s="952" t="inlineStr">
        <is>
          <t>Use for parcels inside this jurisdiction; confirm the parcel's actual county before relying on county recorder or assessor records.</t>
        </is>
      </c>
      <c r="I173" s="1129" t="n">
        <v>46213</v>
      </c>
      <c r="J173" s="951" t="inlineStr">
        <is>
          <t>High</t>
        </is>
      </c>
    </row>
    <row r="174" ht="42" customHeight="1">
      <c r="A174" s="952" t="inlineStr">
        <is>
          <t>Westminster</t>
        </is>
      </c>
      <c r="B174" s="952" t="inlineStr">
        <is>
          <t>Public Notices</t>
        </is>
      </c>
      <c r="C174" s="952" t="inlineStr">
        <is>
          <t>Public Notices</t>
        </is>
      </c>
      <c r="D174" s="952" t="inlineStr">
        <is>
          <t>Official public and legal notices.</t>
        </is>
      </c>
      <c r="E174" s="952" t="inlineStr">
        <is>
          <t>Confirm hearings, ordinances and notice deadlines.</t>
        </is>
      </c>
      <c r="F174" s="952" t="inlineStr">
        <is>
          <t>Yes</t>
        </is>
      </c>
      <c r="G174" s="1188" t="inlineStr">
        <is>
          <t>https://www.westminsterco.gov/1098/Public-Notices</t>
        </is>
      </c>
      <c r="H174" s="952" t="inlineStr">
        <is>
          <t>Use for parcels inside this jurisdiction; confirm the parcel's actual county before relying on county recorder or assessor records.</t>
        </is>
      </c>
      <c r="I174" s="1129" t="n">
        <v>46213</v>
      </c>
      <c r="J174" s="951" t="inlineStr">
        <is>
          <t>High</t>
        </is>
      </c>
    </row>
    <row r="175" ht="42" customHeight="1">
      <c r="A175" s="952" t="inlineStr">
        <is>
          <t>Westminster</t>
        </is>
      </c>
      <c r="B175" s="952" t="inlineStr">
        <is>
          <t>News</t>
        </is>
      </c>
      <c r="C175" s="952" t="inlineStr">
        <is>
          <t>City News</t>
        </is>
      </c>
      <c r="D175" s="952" t="inlineStr">
        <is>
          <t>Official city news releases and updates.</t>
        </is>
      </c>
      <c r="E175" s="952" t="inlineStr">
        <is>
          <t>Monitor development, policy and public projects.</t>
        </is>
      </c>
      <c r="F175" s="952" t="inlineStr">
        <is>
          <t>Yes</t>
        </is>
      </c>
      <c r="G175" s="1188" t="inlineStr">
        <is>
          <t>https://www.westminsterco.gov/m/NewsFlash</t>
        </is>
      </c>
      <c r="H175" s="952" t="inlineStr">
        <is>
          <t>Use for parcels inside this jurisdiction; confirm the parcel's actual county before relying on county recorder or assessor records.</t>
        </is>
      </c>
      <c r="I175" s="1129" t="n">
        <v>46213</v>
      </c>
      <c r="J175" s="951" t="inlineStr">
        <is>
          <t>Useful</t>
        </is>
      </c>
    </row>
    <row r="176" ht="42" customHeight="1">
      <c r="A176" s="952" t="inlineStr">
        <is>
          <t>Westminster</t>
        </is>
      </c>
      <c r="B176" s="952" t="inlineStr">
        <is>
          <t>Public Records</t>
        </is>
      </c>
      <c r="C176" s="952" t="inlineStr">
        <is>
          <t>Public Records Request</t>
        </is>
      </c>
      <c r="D176" s="952" t="inlineStr">
        <is>
          <t>City public-records request information.</t>
        </is>
      </c>
      <c r="E176" s="952" t="inlineStr">
        <is>
          <t>Request planning, permit and other official records.</t>
        </is>
      </c>
      <c r="F176" s="952" t="inlineStr">
        <is>
          <t>Yes</t>
        </is>
      </c>
      <c r="G176" s="1188" t="inlineStr">
        <is>
          <t>https://www.westminsterco.gov/565/Public-Records-Request</t>
        </is>
      </c>
      <c r="H176" s="952" t="inlineStr">
        <is>
          <t>Use for parcels inside this jurisdiction; confirm the parcel's actual county before relying on county recorder or assessor records.</t>
        </is>
      </c>
      <c r="I176" s="1129" t="n">
        <v>46213</v>
      </c>
      <c r="J176" s="951" t="inlineStr">
        <is>
          <t>High</t>
        </is>
      </c>
    </row>
  </sheetData>
  <mergeCells count="2">
    <mergeCell ref="A1:J1"/>
    <mergeCell ref="A2:J2"/>
  </mergeCells>
  <dataValidations count="1">
    <dataValidation sqref="J5:J176"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I49"/>
  <sheetViews>
    <sheetView workbookViewId="0">
      <selection activeCell="A1" sqref="A1"/>
    </sheetView>
  </sheetViews>
  <sheetFormatPr baseColWidth="8" defaultRowHeight="15"/>
  <cols>
    <col width="52" customWidth="1" min="1" max="1"/>
    <col width="24" customWidth="1" min="2" max="2"/>
    <col width="31" customWidth="1" min="3" max="3"/>
    <col width="52" customWidth="1" min="4" max="4"/>
    <col width="13" customWidth="1" min="5" max="5"/>
    <col width="52" customWidth="1" min="6" max="6"/>
    <col width="21" customWidth="1" min="7" max="7"/>
    <col width="52" customWidth="1" min="8" max="8"/>
    <col width="10" customWidth="1" min="9" max="9"/>
  </cols>
  <sheetData>
    <row r="1" ht="32" customHeight="1">
      <c r="A1" s="1190" t="inlineStr">
        <is>
          <t>Public Meetings, Land-Use Cases, Legal Notices, Alerts &amp; Local News</t>
        </is>
      </c>
    </row>
    <row r="2" ht="28" customHeight="1">
      <c r="A2" s="1191" t="inlineStr">
        <is>
          <t>Monitor these sources for pending changes. Independent media adds context but does not replace official agendas, notices or records.</t>
        </is>
      </c>
    </row>
    <row r="4" ht="30" customHeight="1">
      <c r="A4" s="1187" t="inlineStr">
        <is>
          <t>Area</t>
        </is>
      </c>
      <c r="B4" s="959" t="inlineStr">
        <is>
          <t>Type</t>
        </is>
      </c>
      <c r="C4" s="959" t="inlineStr">
        <is>
          <t>Resource</t>
        </is>
      </c>
      <c r="D4" s="1187" t="inlineStr">
        <is>
          <t>Why It Matters</t>
        </is>
      </c>
      <c r="E4" s="959" t="inlineStr">
        <is>
          <t>Official / Independent</t>
        </is>
      </c>
      <c r="F4" s="1187" t="inlineStr">
        <is>
          <t>URL</t>
        </is>
      </c>
      <c r="G4" s="959" t="inlineStr">
        <is>
          <t>Verified</t>
        </is>
      </c>
      <c r="H4" s="1187" t="inlineStr">
        <is>
          <t>Monitoring Tip</t>
        </is>
      </c>
      <c r="I4" s="959" t="inlineStr">
        <is>
          <t>Priority</t>
        </is>
      </c>
    </row>
    <row r="5" ht="42" customHeight="1">
      <c r="A5" s="952" t="inlineStr">
        <is>
          <t>Adams County</t>
        </is>
      </c>
      <c r="B5" s="952" t="inlineStr">
        <is>
          <t>Public meetings</t>
        </is>
      </c>
      <c r="C5" s="952" t="inlineStr">
        <is>
          <t>County Public Meetings</t>
        </is>
      </c>
      <c r="D5" s="952" t="inlineStr">
        <is>
          <t>Central page for county boards, commissions and hearings.</t>
        </is>
      </c>
      <c r="E5" s="952" t="inlineStr">
        <is>
          <t>Official</t>
        </is>
      </c>
      <c r="F5" s="1188" t="inlineStr">
        <is>
          <t>https://adamscountyco.gov/about-adams-county/public-meetings/</t>
        </is>
      </c>
      <c r="G5" s="1129" t="n">
        <v>46213</v>
      </c>
      <c r="H5" s="952" t="inlineStr">
        <is>
          <t>Review weekly and before any due-diligence deadline.</t>
        </is>
      </c>
      <c r="I5" s="951" t="inlineStr">
        <is>
          <t>Critical</t>
        </is>
      </c>
    </row>
    <row r="6" ht="42" customHeight="1">
      <c r="A6" s="952" t="inlineStr">
        <is>
          <t>Adams County</t>
        </is>
      </c>
      <c r="B6" s="952" t="inlineStr">
        <is>
          <t>Land-use cases</t>
        </is>
      </c>
      <c r="C6" s="952" t="inlineStr">
        <is>
          <t>Current Land Use Cases</t>
        </is>
      </c>
      <c r="D6" s="952" t="inlineStr">
        <is>
          <t>Shows scheduled land-use cases requiring hearings and recent decisions.</t>
        </is>
      </c>
      <c r="E6" s="952" t="inlineStr">
        <is>
          <t>Official</t>
        </is>
      </c>
      <c r="F6" s="1188" t="inlineStr">
        <is>
          <t>https://adamscountyco.gov/our-county/community-economic-development/planning-development/current-land-use-cases/</t>
        </is>
      </c>
      <c r="G6" s="1129" t="n">
        <v>46213</v>
      </c>
      <c r="H6" s="952" t="inlineStr">
        <is>
          <t>Check by location, case number and hearing body.</t>
        </is>
      </c>
      <c r="I6" s="951" t="inlineStr">
        <is>
          <t>Critical</t>
        </is>
      </c>
    </row>
    <row r="7" ht="42" customHeight="1">
      <c r="A7" s="952" t="inlineStr">
        <is>
          <t>Adams County</t>
        </is>
      </c>
      <c r="B7" s="952" t="inlineStr">
        <is>
          <t>Agendas</t>
        </is>
      </c>
      <c r="C7" s="952" t="inlineStr">
        <is>
          <t>Current Meeting Agendas &amp; Archives</t>
        </is>
      </c>
      <c r="D7" s="952" t="inlineStr">
        <is>
          <t>BOCC agendas, minutes, audio and public comments.</t>
        </is>
      </c>
      <c r="E7" s="952" t="inlineStr">
        <is>
          <t>Official</t>
        </is>
      </c>
      <c r="F7" s="1188" t="inlineStr">
        <is>
          <t>https://adamscountyco.gov/our-county/elected-officials/board-of-county-commissioners/current-meeting-agendas-archives/</t>
        </is>
      </c>
      <c r="G7" s="1129" t="n">
        <v>46213</v>
      </c>
      <c r="H7" s="952" t="inlineStr">
        <is>
          <t>Search agendas for address, applicant or project name.</t>
        </is>
      </c>
      <c r="I7" s="951" t="inlineStr">
        <is>
          <t>Critical</t>
        </is>
      </c>
    </row>
    <row r="8" ht="42" customHeight="1">
      <c r="A8" s="952" t="inlineStr">
        <is>
          <t>Adams County</t>
        </is>
      </c>
      <c r="B8" s="952" t="inlineStr">
        <is>
          <t>Archives</t>
        </is>
      </c>
      <c r="C8" s="952" t="inlineStr">
        <is>
          <t>Archived Hearing Agendas &amp; Audio</t>
        </is>
      </c>
      <c r="D8" s="952" t="inlineStr">
        <is>
          <t>Archived BOCC, Board of Adjustment and Planning Commission records.</t>
        </is>
      </c>
      <c r="E8" s="952" t="inlineStr">
        <is>
          <t>Official</t>
        </is>
      </c>
      <c r="F8" s="1188" t="inlineStr">
        <is>
          <t>https://adamscountyco.gov/about-adams-county/public-meetings/archived-hearing-agendas-audio/</t>
        </is>
      </c>
      <c r="G8" s="1129" t="n">
        <v>46213</v>
      </c>
      <c r="H8" s="952" t="inlineStr">
        <is>
          <t>Use for entitlement history and past decisions.</t>
        </is>
      </c>
      <c r="I8" s="951" t="inlineStr">
        <is>
          <t>High</t>
        </is>
      </c>
    </row>
    <row r="9" ht="42" customHeight="1">
      <c r="A9" s="952" t="inlineStr">
        <is>
          <t>Adams County</t>
        </is>
      </c>
      <c r="B9" s="952" t="inlineStr">
        <is>
          <t>Official news</t>
        </is>
      </c>
      <c r="C9" s="952" t="inlineStr">
        <is>
          <t>Adams County News</t>
        </is>
      </c>
      <c r="D9" s="952" t="inlineStr">
        <is>
          <t>County announcements, policy changes and project updates.</t>
        </is>
      </c>
      <c r="E9" s="952" t="inlineStr">
        <is>
          <t>Official</t>
        </is>
      </c>
      <c r="F9" s="1188" t="inlineStr">
        <is>
          <t>https://adamscountyco.gov/about-adams-county/news/</t>
        </is>
      </c>
      <c r="G9" s="1129" t="n">
        <v>46213</v>
      </c>
      <c r="H9" s="952" t="inlineStr">
        <is>
          <t>Subscribe or review regularly.</t>
        </is>
      </c>
      <c r="I9" s="951" t="inlineStr">
        <is>
          <t>High</t>
        </is>
      </c>
    </row>
    <row r="10" ht="42" customHeight="1">
      <c r="A10" s="952" t="inlineStr">
        <is>
          <t>Adams County</t>
        </is>
      </c>
      <c r="B10" s="952" t="inlineStr">
        <is>
          <t>Planning updates</t>
        </is>
      </c>
      <c r="C10" s="952" t="inlineStr">
        <is>
          <t>Planning &amp; Development News</t>
        </is>
      </c>
      <c r="D10" s="952" t="inlineStr">
        <is>
          <t>Planning initiatives, code amendments and development updates.</t>
        </is>
      </c>
      <c r="E10" s="952" t="inlineStr">
        <is>
          <t>Official</t>
        </is>
      </c>
      <c r="F10" s="1188" t="inlineStr">
        <is>
          <t>https://adamscountyco.gov/our-county/community-economic-development/planning-development/news-updates/</t>
        </is>
      </c>
      <c r="G10" s="1129" t="n">
        <v>46213</v>
      </c>
      <c r="H10" s="952" t="inlineStr">
        <is>
          <t>Review for code-update and plan-update notices.</t>
        </is>
      </c>
      <c r="I10" s="951" t="inlineStr">
        <is>
          <t>High</t>
        </is>
      </c>
    </row>
    <row r="11" ht="42" customHeight="1">
      <c r="A11" s="952" t="inlineStr">
        <is>
          <t>Adams County</t>
        </is>
      </c>
      <c r="B11" s="952" t="inlineStr">
        <is>
          <t>Public documents</t>
        </is>
      </c>
      <c r="C11" s="952" t="inlineStr">
        <is>
          <t>Public Document Postings</t>
        </is>
      </c>
      <c r="D11" s="952" t="inlineStr">
        <is>
          <t>Recorded/public postings and notices.</t>
        </is>
      </c>
      <c r="E11" s="952" t="inlineStr">
        <is>
          <t>Official</t>
        </is>
      </c>
      <c r="F11" s="1188" t="inlineStr">
        <is>
          <t>https://adamscountyco.gov/our-county/elected-officials/clerk-recorder/recording/public-document-postings/</t>
        </is>
      </c>
      <c r="G11" s="1129" t="n">
        <v>46213</v>
      </c>
      <c r="H11" s="952" t="inlineStr">
        <is>
          <t>Search relevant names and legal descriptions.</t>
        </is>
      </c>
      <c r="I11" s="951" t="inlineStr">
        <is>
          <t>Useful</t>
        </is>
      </c>
    </row>
    <row r="12" ht="42" customHeight="1">
      <c r="A12" s="952" t="inlineStr">
        <is>
          <t>Arvada</t>
        </is>
      </c>
      <c r="B12" s="952" t="inlineStr">
        <is>
          <t>Agendas</t>
        </is>
      </c>
      <c r="C12" s="952" t="inlineStr">
        <is>
          <t>Agenda Center</t>
        </is>
      </c>
      <c r="D12" s="952" t="inlineStr">
        <is>
          <t>City council, boards and commission agendas and minutes.</t>
        </is>
      </c>
      <c r="E12" s="952" t="inlineStr">
        <is>
          <t>Official</t>
        </is>
      </c>
      <c r="F12" s="1188" t="inlineStr">
        <is>
          <t>https://www.arvadaco.gov/AgendaCenter</t>
        </is>
      </c>
      <c r="G12" s="1129" t="n">
        <v>46213</v>
      </c>
      <c r="H12" s="952" t="inlineStr">
        <is>
          <t>Search project name, address and case number.</t>
        </is>
      </c>
      <c r="I12" s="951" t="inlineStr">
        <is>
          <t>High</t>
        </is>
      </c>
    </row>
    <row r="13" ht="42" customHeight="1">
      <c r="A13" s="952" t="inlineStr">
        <is>
          <t>Arvada</t>
        </is>
      </c>
      <c r="B13" s="952" t="inlineStr">
        <is>
          <t>Legal notices</t>
        </is>
      </c>
      <c r="C13" s="952" t="inlineStr">
        <is>
          <t>Meetings and Other Legal Notices</t>
        </is>
      </c>
      <c r="D13" s="952" t="inlineStr">
        <is>
          <t>Formal meeting and legal notices.</t>
        </is>
      </c>
      <c r="E13" s="952" t="inlineStr">
        <is>
          <t>Official</t>
        </is>
      </c>
      <c r="F13" s="1188" t="inlineStr">
        <is>
          <t>https://www.arvadaco.gov/245/Meetings-and-Other-Legal-Notices</t>
        </is>
      </c>
      <c r="G13" s="1129" t="n">
        <v>46213</v>
      </c>
      <c r="H13" s="952" t="inlineStr">
        <is>
          <t>Review before relying on an application status.</t>
        </is>
      </c>
      <c r="I13" s="951" t="inlineStr">
        <is>
          <t>High</t>
        </is>
      </c>
    </row>
    <row r="14" ht="42" customHeight="1">
      <c r="A14" s="952" t="inlineStr">
        <is>
          <t>Arvada</t>
        </is>
      </c>
      <c r="B14" s="952" t="inlineStr">
        <is>
          <t>Official news</t>
        </is>
      </c>
      <c r="C14" s="952" t="inlineStr">
        <is>
          <t>News Releases</t>
        </is>
      </c>
      <c r="D14" s="952" t="inlineStr">
        <is>
          <t>Official city announcements.</t>
        </is>
      </c>
      <c r="E14" s="952" t="inlineStr">
        <is>
          <t>Official</t>
        </is>
      </c>
      <c r="F14" s="1188" t="inlineStr">
        <is>
          <t>https://www.arvadaco.gov/908/News-Releases</t>
        </is>
      </c>
      <c r="G14" s="1129" t="n">
        <v>46213</v>
      </c>
      <c r="H14" s="952" t="inlineStr">
        <is>
          <t>Monitor weekly for project and policy changes.</t>
        </is>
      </c>
      <c r="I14" s="951" t="inlineStr">
        <is>
          <t>Useful</t>
        </is>
      </c>
    </row>
    <row r="15" ht="42" customHeight="1">
      <c r="A15" s="952" t="inlineStr">
        <is>
          <t>Aurora</t>
        </is>
      </c>
      <c r="B15" s="952" t="inlineStr">
        <is>
          <t>Planning meetings</t>
        </is>
      </c>
      <c r="C15" s="952" t="inlineStr">
        <is>
          <t>Planning &amp; Zoning Commission</t>
        </is>
      </c>
      <c r="D15" s="952" t="inlineStr">
        <is>
          <t>Commission records and public participation information.</t>
        </is>
      </c>
      <c r="E15" s="952" t="inlineStr">
        <is>
          <t>Official</t>
        </is>
      </c>
      <c r="F15" s="1188" t="inlineStr">
        <is>
          <t>https://www.auroragov.org/city_hall/boards___commissions/planning___zoning_commission</t>
        </is>
      </c>
      <c r="G15" s="1129" t="n">
        <v>46213</v>
      </c>
      <c r="H15" s="952" t="inlineStr">
        <is>
          <t>Check agendas for land-use cases.</t>
        </is>
      </c>
      <c r="I15" s="951" t="inlineStr">
        <is>
          <t>High</t>
        </is>
      </c>
    </row>
    <row r="16" ht="42" customHeight="1">
      <c r="A16" s="952" t="inlineStr">
        <is>
          <t>Aurora</t>
        </is>
      </c>
      <c r="B16" s="952" t="inlineStr">
        <is>
          <t>Council meetings</t>
        </is>
      </c>
      <c r="C16" s="952" t="inlineStr">
        <is>
          <t>City Council Meetings</t>
        </is>
      </c>
      <c r="D16" s="952" t="inlineStr">
        <is>
          <t>Council agendas and records.</t>
        </is>
      </c>
      <c r="E16" s="952" t="inlineStr">
        <is>
          <t>Official</t>
        </is>
      </c>
      <c r="F16" s="1188" t="inlineStr">
        <is>
          <t>https://www.auroragov.org/city_hall/mayor___city_council/council_meetings</t>
        </is>
      </c>
      <c r="G16" s="1129" t="n">
        <v>46213</v>
      </c>
      <c r="H16" s="952" t="inlineStr">
        <is>
          <t>Track final approvals and ordinances.</t>
        </is>
      </c>
      <c r="I16" s="951" t="inlineStr">
        <is>
          <t>High</t>
        </is>
      </c>
    </row>
    <row r="17" ht="42" customHeight="1">
      <c r="A17" s="952" t="inlineStr">
        <is>
          <t>Aurora</t>
        </is>
      </c>
      <c r="B17" s="952" t="inlineStr">
        <is>
          <t>Public hearings</t>
        </is>
      </c>
      <c r="C17" s="952" t="inlineStr">
        <is>
          <t>Public Hearings</t>
        </is>
      </c>
      <c r="D17" s="952" t="inlineStr">
        <is>
          <t>Official notices of public hearings.</t>
        </is>
      </c>
      <c r="E17" s="952" t="inlineStr">
        <is>
          <t>Official</t>
        </is>
      </c>
      <c r="F17" s="1188" t="inlineStr">
        <is>
          <t>https://www.auroragov.org/city_hall/public_records/legal_notices/public_hearings</t>
        </is>
      </c>
      <c r="G17" s="1129" t="n">
        <v>46213</v>
      </c>
      <c r="H17" s="952" t="inlineStr">
        <is>
          <t>Check frequently during an active application.</t>
        </is>
      </c>
      <c r="I17" s="951" t="inlineStr">
        <is>
          <t>Critical</t>
        </is>
      </c>
    </row>
    <row r="18" ht="42" customHeight="1">
      <c r="A18" s="952" t="inlineStr">
        <is>
          <t>Aurora</t>
        </is>
      </c>
      <c r="B18" s="952" t="inlineStr">
        <is>
          <t>Official news</t>
        </is>
      </c>
      <c r="C18" s="952" t="inlineStr">
        <is>
          <t>What's New</t>
        </is>
      </c>
      <c r="D18" s="952" t="inlineStr">
        <is>
          <t>Official city news feed.</t>
        </is>
      </c>
      <c r="E18" s="952" t="inlineStr">
        <is>
          <t>Official</t>
        </is>
      </c>
      <c r="F18" s="1188" t="inlineStr">
        <is>
          <t>https://www.auroragov.org/news/whats_new</t>
        </is>
      </c>
      <c r="G18" s="1129" t="n">
        <v>46213</v>
      </c>
      <c r="H18" s="952" t="inlineStr">
        <is>
          <t>Monitor citywide projects and policy changes.</t>
        </is>
      </c>
      <c r="I18" s="951" t="inlineStr">
        <is>
          <t>Useful</t>
        </is>
      </c>
    </row>
    <row r="19" ht="42" customHeight="1">
      <c r="A19" s="952" t="inlineStr">
        <is>
          <t>Bennett</t>
        </is>
      </c>
      <c r="B19" s="952" t="inlineStr">
        <is>
          <t>Meetings</t>
        </is>
      </c>
      <c r="C19" s="952" t="inlineStr">
        <is>
          <t>Recent Meetings</t>
        </is>
      </c>
      <c r="D19" s="952" t="inlineStr">
        <is>
          <t>Board and commission agendas and minutes.</t>
        </is>
      </c>
      <c r="E19" s="952" t="inlineStr">
        <is>
          <t>Official</t>
        </is>
      </c>
      <c r="F19" s="1188" t="inlineStr">
        <is>
          <t>https://www.bennettco.gov/meetings/recent</t>
        </is>
      </c>
      <c r="G19" s="1129" t="n">
        <v>46213</v>
      </c>
      <c r="H19" s="952" t="inlineStr">
        <is>
          <t>Search planning and board records.</t>
        </is>
      </c>
      <c r="I19" s="951" t="inlineStr">
        <is>
          <t>High</t>
        </is>
      </c>
    </row>
    <row r="20" ht="42" customHeight="1">
      <c r="A20" s="952" t="inlineStr">
        <is>
          <t>Bennett</t>
        </is>
      </c>
      <c r="B20" s="952" t="inlineStr">
        <is>
          <t>Planning meetings</t>
        </is>
      </c>
      <c r="C20" s="952" t="inlineStr">
        <is>
          <t>Planning &amp; Zoning Commission</t>
        </is>
      </c>
      <c r="D20" s="952" t="inlineStr">
        <is>
          <t>Planning commission information and records.</t>
        </is>
      </c>
      <c r="E20" s="952" t="inlineStr">
        <is>
          <t>Official</t>
        </is>
      </c>
      <c r="F20" s="1188" t="inlineStr">
        <is>
          <t>https://www.bennettco.gov/planning-and-zoning-commission</t>
        </is>
      </c>
      <c r="G20" s="1129" t="n">
        <v>46213</v>
      </c>
      <c r="H20" s="952" t="inlineStr">
        <is>
          <t>Review upcoming land-use hearings.</t>
        </is>
      </c>
      <c r="I20" s="951" t="inlineStr">
        <is>
          <t>High</t>
        </is>
      </c>
    </row>
    <row r="21" ht="42" customHeight="1">
      <c r="A21" s="952" t="inlineStr">
        <is>
          <t>Bennett</t>
        </is>
      </c>
      <c r="B21" s="952" t="inlineStr">
        <is>
          <t>Official news</t>
        </is>
      </c>
      <c r="C21" s="952" t="inlineStr">
        <is>
          <t>Town News</t>
        </is>
      </c>
      <c r="D21" s="952" t="inlineStr">
        <is>
          <t>Town announcements and current notices.</t>
        </is>
      </c>
      <c r="E21" s="952" t="inlineStr">
        <is>
          <t>Official</t>
        </is>
      </c>
      <c r="F21" s="1188" t="inlineStr">
        <is>
          <t>https://www.bennettco.gov/news</t>
        </is>
      </c>
      <c r="G21" s="1129" t="n">
        <v>46213</v>
      </c>
      <c r="H21" s="952" t="inlineStr">
        <is>
          <t>Review regularly for code and permit changes.</t>
        </is>
      </c>
      <c r="I21" s="951" t="inlineStr">
        <is>
          <t>High</t>
        </is>
      </c>
    </row>
    <row r="22" ht="42" customHeight="1">
      <c r="A22" s="952" t="inlineStr">
        <is>
          <t>Brighton</t>
        </is>
      </c>
      <c r="B22" s="952" t="inlineStr">
        <is>
          <t>Agendas</t>
        </is>
      </c>
      <c r="C22" s="952" t="inlineStr">
        <is>
          <t>Agenda Center</t>
        </is>
      </c>
      <c r="D22" s="952" t="inlineStr">
        <is>
          <t>Council and board agendas and minutes.</t>
        </is>
      </c>
      <c r="E22" s="952" t="inlineStr">
        <is>
          <t>Official</t>
        </is>
      </c>
      <c r="F22" s="1188" t="inlineStr">
        <is>
          <t>https://www.brightonco.gov/agendacenter</t>
        </is>
      </c>
      <c r="G22" s="1129" t="n">
        <v>46213</v>
      </c>
      <c r="H22" s="952" t="inlineStr">
        <is>
          <t>Search address, project or applicant.</t>
        </is>
      </c>
      <c r="I22" s="951" t="inlineStr">
        <is>
          <t>High</t>
        </is>
      </c>
    </row>
    <row r="23" ht="42" customHeight="1">
      <c r="A23" s="952" t="inlineStr">
        <is>
          <t>Brighton</t>
        </is>
      </c>
      <c r="B23" s="952" t="inlineStr">
        <is>
          <t>Legal notices</t>
        </is>
      </c>
      <c r="C23" s="952" t="inlineStr">
        <is>
          <t>Legal Notices</t>
        </is>
      </c>
      <c r="D23" s="952" t="inlineStr">
        <is>
          <t>Official legal and hearing notices.</t>
        </is>
      </c>
      <c r="E23" s="952" t="inlineStr">
        <is>
          <t>Official</t>
        </is>
      </c>
      <c r="F23" s="1188" t="inlineStr">
        <is>
          <t>https://www.brightonco.gov/453/Legal-Notices</t>
        </is>
      </c>
      <c r="G23" s="1129" t="n">
        <v>46213</v>
      </c>
      <c r="H23" s="952" t="inlineStr">
        <is>
          <t>Confirm hearing dates and comment periods.</t>
        </is>
      </c>
      <c r="I23" s="951" t="inlineStr">
        <is>
          <t>Critical</t>
        </is>
      </c>
    </row>
    <row r="24" ht="42" customHeight="1">
      <c r="A24" s="952" t="inlineStr">
        <is>
          <t>Brighton</t>
        </is>
      </c>
      <c r="B24" s="952" t="inlineStr">
        <is>
          <t>Official news</t>
        </is>
      </c>
      <c r="C24" s="952" t="inlineStr">
        <is>
          <t>City News</t>
        </is>
      </c>
      <c r="D24" s="952" t="inlineStr">
        <is>
          <t>Official city announcements.</t>
        </is>
      </c>
      <c r="E24" s="952" t="inlineStr">
        <is>
          <t>Official</t>
        </is>
      </c>
      <c r="F24" s="1188" t="inlineStr">
        <is>
          <t>https://www.brightonco.gov/175/News</t>
        </is>
      </c>
      <c r="G24" s="1129" t="n">
        <v>46213</v>
      </c>
      <c r="H24" s="952" t="inlineStr">
        <is>
          <t>Monitor development and infrastructure updates.</t>
        </is>
      </c>
      <c r="I24" s="951" t="inlineStr">
        <is>
          <t>Useful</t>
        </is>
      </c>
    </row>
    <row r="25" ht="42" customHeight="1">
      <c r="A25" s="952" t="inlineStr">
        <is>
          <t>Brighton</t>
        </is>
      </c>
      <c r="B25" s="952" t="inlineStr">
        <is>
          <t>Subscriptions</t>
        </is>
      </c>
      <c r="C25" s="952" t="inlineStr">
        <is>
          <t>Notify Me</t>
        </is>
      </c>
      <c r="D25" s="952" t="inlineStr">
        <is>
          <t>Email subscriptions for agendas, notices and news.</t>
        </is>
      </c>
      <c r="E25" s="952" t="inlineStr">
        <is>
          <t>Official</t>
        </is>
      </c>
      <c r="F25" s="1188" t="inlineStr">
        <is>
          <t>https://www.brightonco.gov/notifyme</t>
        </is>
      </c>
      <c r="G25" s="1129" t="n">
        <v>46213</v>
      </c>
      <c r="H25" s="952" t="inlineStr">
        <is>
          <t>Subscribe to planning and city council categories.</t>
        </is>
      </c>
      <c r="I25" s="951" t="inlineStr">
        <is>
          <t>Useful</t>
        </is>
      </c>
    </row>
    <row r="26" ht="42" customHeight="1">
      <c r="A26" s="952" t="inlineStr">
        <is>
          <t>Commerce City</t>
        </is>
      </c>
      <c r="B26" s="952" t="inlineStr">
        <is>
          <t>Agendas</t>
        </is>
      </c>
      <c r="C26" s="952" t="inlineStr">
        <is>
          <t>Meeting Agendas and Schedules</t>
        </is>
      </c>
      <c r="D26" s="952" t="inlineStr">
        <is>
          <t>Council and board agendas, meetings and schedules.</t>
        </is>
      </c>
      <c r="E26" s="952" t="inlineStr">
        <is>
          <t>Official</t>
        </is>
      </c>
      <c r="F26" s="1188" t="inlineStr">
        <is>
          <t>https://www.c3gov.com/Site-Footer/Footer-Widgets/Quick-Links/Meeting-Agendas-and-Schedules</t>
        </is>
      </c>
      <c r="G26" s="1129" t="n">
        <v>46213</v>
      </c>
      <c r="H26" s="952" t="inlineStr">
        <is>
          <t>Search all meeting records for project terms.</t>
        </is>
      </c>
      <c r="I26" s="951" t="inlineStr">
        <is>
          <t>High</t>
        </is>
      </c>
    </row>
    <row r="27" ht="42" customHeight="1">
      <c r="A27" s="952" t="inlineStr">
        <is>
          <t>Commerce City</t>
        </is>
      </c>
      <c r="B27" s="952" t="inlineStr">
        <is>
          <t>Legal notices</t>
        </is>
      </c>
      <c r="C27" s="952" t="inlineStr">
        <is>
          <t>Legal Notices &amp; Ordinances</t>
        </is>
      </c>
      <c r="D27" s="952" t="inlineStr">
        <is>
          <t>Formal notices and ordinance postings.</t>
        </is>
      </c>
      <c r="E27" s="952" t="inlineStr">
        <is>
          <t>Official</t>
        </is>
      </c>
      <c r="F27" s="1188" t="inlineStr">
        <is>
          <t>https://www.c3gov.com/Government/Departments-Divisions/City-Clerks-Office/Legal-Notices-Ordinances</t>
        </is>
      </c>
      <c r="G27" s="1129" t="n">
        <v>46213</v>
      </c>
      <c r="H27" s="952" t="inlineStr">
        <is>
          <t>Confirm legal notice and adoption status.</t>
        </is>
      </c>
      <c r="I27" s="951" t="inlineStr">
        <is>
          <t>Critical</t>
        </is>
      </c>
    </row>
    <row r="28" ht="42" customHeight="1">
      <c r="A28" s="952" t="inlineStr">
        <is>
          <t>Commerce City</t>
        </is>
      </c>
      <c r="B28" s="952" t="inlineStr">
        <is>
          <t>Official news</t>
        </is>
      </c>
      <c r="C28" s="952" t="inlineStr">
        <is>
          <t>News &amp; Announcements</t>
        </is>
      </c>
      <c r="D28" s="952" t="inlineStr">
        <is>
          <t>Official city news feed.</t>
        </is>
      </c>
      <c r="E28" s="952" t="inlineStr">
        <is>
          <t>Official</t>
        </is>
      </c>
      <c r="F28" s="1188" t="inlineStr">
        <is>
          <t>https://www.c3gov.com/Government/Media-News/News-Announcements</t>
        </is>
      </c>
      <c r="G28" s="1129" t="n">
        <v>46213</v>
      </c>
      <c r="H28" s="952" t="inlineStr">
        <is>
          <t>Monitor projects, code changes and public programs.</t>
        </is>
      </c>
      <c r="I28" s="951" t="inlineStr">
        <is>
          <t>Useful</t>
        </is>
      </c>
    </row>
    <row r="29" ht="42" customHeight="1">
      <c r="A29" s="952" t="inlineStr">
        <is>
          <t>Federal Heights</t>
        </is>
      </c>
      <c r="B29" s="952" t="inlineStr">
        <is>
          <t>Meetings</t>
        </is>
      </c>
      <c r="C29" s="952" t="inlineStr">
        <is>
          <t>Meetings and Study Sessions</t>
        </is>
      </c>
      <c r="D29" s="952" t="inlineStr">
        <is>
          <t>Minutes and audio recordings.</t>
        </is>
      </c>
      <c r="E29" s="952" t="inlineStr">
        <is>
          <t>Official</t>
        </is>
      </c>
      <c r="F29" s="1188" t="inlineStr">
        <is>
          <t>https://www.fedheights.org/index.asp?SEC=%7BE66D34DF-8290-4807-83DA-3AF56D110C00%7D</t>
        </is>
      </c>
      <c r="G29" s="1129" t="n">
        <v>46213</v>
      </c>
      <c r="H29" s="952" t="inlineStr">
        <is>
          <t>Review council records for property-related actions.</t>
        </is>
      </c>
      <c r="I29" s="951" t="inlineStr">
        <is>
          <t>High</t>
        </is>
      </c>
    </row>
    <row r="30" ht="42" customHeight="1">
      <c r="A30" s="952" t="inlineStr">
        <is>
          <t>Federal Heights</t>
        </is>
      </c>
      <c r="B30" s="952" t="inlineStr">
        <is>
          <t>Official news</t>
        </is>
      </c>
      <c r="C30" s="952" t="inlineStr">
        <is>
          <t>News and Events</t>
        </is>
      </c>
      <c r="D30" s="952" t="inlineStr">
        <is>
          <t>Official calendar and announcements.</t>
        </is>
      </c>
      <c r="E30" s="952" t="inlineStr">
        <is>
          <t>Official</t>
        </is>
      </c>
      <c r="F30" s="1188" t="inlineStr">
        <is>
          <t>https://www.fedheights.org/index.asp?SEC=407F7286-34E9-495F-B5F7-88E905D7C9A5</t>
        </is>
      </c>
      <c r="G30" s="1129" t="n">
        <v>46213</v>
      </c>
      <c r="H30" s="952" t="inlineStr">
        <is>
          <t>Review current calendar and notices.</t>
        </is>
      </c>
      <c r="I30" s="951" t="inlineStr">
        <is>
          <t>Useful</t>
        </is>
      </c>
    </row>
    <row r="31" ht="42" customHeight="1">
      <c r="A31" s="952" t="inlineStr">
        <is>
          <t>Federal Heights</t>
        </is>
      </c>
      <c r="B31" s="952" t="inlineStr">
        <is>
          <t>Newsletter</t>
        </is>
      </c>
      <c r="C31" s="952" t="inlineStr">
        <is>
          <t>Federal Heights Focus</t>
        </is>
      </c>
      <c r="D31" s="952" t="inlineStr">
        <is>
          <t>Quarterly city newsletter.</t>
        </is>
      </c>
      <c r="E31" s="952" t="inlineStr">
        <is>
          <t>Official</t>
        </is>
      </c>
      <c r="F31" s="1188" t="inlineStr">
        <is>
          <t>https://www.fedheights.org/index.asp?SEC=%7B2E7DCCA1-1FEF-4EA7-8AE7-6C3F92D19EF3%7D&amp;persistdesign=none</t>
        </is>
      </c>
      <c r="G31" s="1129" t="n">
        <v>46213</v>
      </c>
      <c r="H31" s="952" t="inlineStr">
        <is>
          <t>Use for longer-term city project updates.</t>
        </is>
      </c>
      <c r="I31" s="951" t="inlineStr">
        <is>
          <t>Useful</t>
        </is>
      </c>
    </row>
    <row r="32" ht="42" customHeight="1">
      <c r="A32" s="952" t="inlineStr">
        <is>
          <t>Lochbuie</t>
        </is>
      </c>
      <c r="B32" s="952" t="inlineStr">
        <is>
          <t>Meetings</t>
        </is>
      </c>
      <c r="C32" s="952" t="inlineStr">
        <is>
          <t>Upcoming Meetings</t>
        </is>
      </c>
      <c r="D32" s="952" t="inlineStr">
        <is>
          <t>Upcoming town meetings.</t>
        </is>
      </c>
      <c r="E32" s="952" t="inlineStr">
        <is>
          <t>Official</t>
        </is>
      </c>
      <c r="F32" s="1188" t="inlineStr">
        <is>
          <t>https://www.lochbuie.org/meetings</t>
        </is>
      </c>
      <c r="G32" s="1129" t="n">
        <v>46213</v>
      </c>
      <c r="H32" s="952" t="inlineStr">
        <is>
          <t>Review agendas before board action.</t>
        </is>
      </c>
      <c r="I32" s="951" t="inlineStr">
        <is>
          <t>High</t>
        </is>
      </c>
    </row>
    <row r="33" ht="42" customHeight="1">
      <c r="A33" s="952" t="inlineStr">
        <is>
          <t>Lochbuie</t>
        </is>
      </c>
      <c r="B33" s="952" t="inlineStr">
        <is>
          <t>Public notices</t>
        </is>
      </c>
      <c r="C33" s="952" t="inlineStr">
        <is>
          <t>Public Notices</t>
        </is>
      </c>
      <c r="D33" s="952" t="inlineStr">
        <is>
          <t>Formal town notices.</t>
        </is>
      </c>
      <c r="E33" s="952" t="inlineStr">
        <is>
          <t>Official</t>
        </is>
      </c>
      <c r="F33" s="1188" t="inlineStr">
        <is>
          <t>https://www.lochbuie.org/publicnotice</t>
        </is>
      </c>
      <c r="G33" s="1129" t="n">
        <v>46213</v>
      </c>
      <c r="H33" s="952" t="inlineStr">
        <is>
          <t>Confirm hearings and ordinance notices.</t>
        </is>
      </c>
      <c r="I33" s="951" t="inlineStr">
        <is>
          <t>Critical</t>
        </is>
      </c>
    </row>
    <row r="34" ht="42" customHeight="1">
      <c r="A34" s="952" t="inlineStr">
        <is>
          <t>Lochbuie</t>
        </is>
      </c>
      <c r="B34" s="952" t="inlineStr">
        <is>
          <t>Official news</t>
        </is>
      </c>
      <c r="C34" s="952" t="inlineStr">
        <is>
          <t>Town News</t>
        </is>
      </c>
      <c r="D34" s="952" t="inlineStr">
        <is>
          <t>Official town news feed.</t>
        </is>
      </c>
      <c r="E34" s="952" t="inlineStr">
        <is>
          <t>Official</t>
        </is>
      </c>
      <c r="F34" s="1188" t="inlineStr">
        <is>
          <t>https://www.lochbuie.org/news</t>
        </is>
      </c>
      <c r="G34" s="1129" t="n">
        <v>46213</v>
      </c>
      <c r="H34" s="952" t="inlineStr">
        <is>
          <t>Monitor development and infrastructure changes.</t>
        </is>
      </c>
      <c r="I34" s="951" t="inlineStr">
        <is>
          <t>Useful</t>
        </is>
      </c>
    </row>
    <row r="35" ht="42" customHeight="1">
      <c r="A35" s="952" t="inlineStr">
        <is>
          <t>Northglenn</t>
        </is>
      </c>
      <c r="B35" s="952" t="inlineStr">
        <is>
          <t>Meeting records</t>
        </is>
      </c>
      <c r="C35" s="952" t="inlineStr">
        <is>
          <t>Public Meeting Records</t>
        </is>
      </c>
      <c r="D35" s="952" t="inlineStr">
        <is>
          <t>Searchable agendas, minutes and hearing documents.</t>
        </is>
      </c>
      <c r="E35" s="952" t="inlineStr">
        <is>
          <t>Official</t>
        </is>
      </c>
      <c r="F35" s="1188" t="inlineStr">
        <is>
          <t>https://webdocs.northglenn.org/</t>
        </is>
      </c>
      <c r="G35" s="1129" t="n">
        <v>46213</v>
      </c>
      <c r="H35" s="952" t="inlineStr">
        <is>
          <t>Search address, case number, ordinance and applicant.</t>
        </is>
      </c>
      <c r="I35" s="951" t="inlineStr">
        <is>
          <t>Critical</t>
        </is>
      </c>
    </row>
    <row r="36" ht="42" customHeight="1">
      <c r="A36" s="952" t="inlineStr">
        <is>
          <t>Northglenn</t>
        </is>
      </c>
      <c r="B36" s="952" t="inlineStr">
        <is>
          <t>Official news</t>
        </is>
      </c>
      <c r="C36" s="952" t="inlineStr">
        <is>
          <t>City News Listings</t>
        </is>
      </c>
      <c r="D36" s="952" t="inlineStr">
        <is>
          <t>Official city news feed.</t>
        </is>
      </c>
      <c r="E36" s="952" t="inlineStr">
        <is>
          <t>Official</t>
        </is>
      </c>
      <c r="F36" s="1188" t="inlineStr">
        <is>
          <t>https://www.northglenn.org/newslist.php</t>
        </is>
      </c>
      <c r="G36" s="1129" t="n">
        <v>46213</v>
      </c>
      <c r="H36" s="952" t="inlineStr">
        <is>
          <t>Monitor citywide projects and policy updates.</t>
        </is>
      </c>
      <c r="I36" s="951" t="inlineStr">
        <is>
          <t>Useful</t>
        </is>
      </c>
    </row>
    <row r="37" ht="42" customHeight="1">
      <c r="A37" s="952" t="inlineStr">
        <is>
          <t>Northglenn</t>
        </is>
      </c>
      <c r="B37" s="952" t="inlineStr">
        <is>
          <t>Alerts</t>
        </is>
      </c>
      <c r="C37" s="952" t="inlineStr">
        <is>
          <t>TextMyGov</t>
        </is>
      </c>
      <c r="D37" s="952" t="inlineStr">
        <is>
          <t>Text notifications for council, utilities and city topics.</t>
        </is>
      </c>
      <c r="E37" s="952" t="inlineStr">
        <is>
          <t>Official</t>
        </is>
      </c>
      <c r="F37" s="1188" t="inlineStr">
        <is>
          <t>https://www.northglenn.org/community/communications/textmygov.php</t>
        </is>
      </c>
      <c r="G37" s="1129" t="n">
        <v>46213</v>
      </c>
      <c r="H37" s="952" t="inlineStr">
        <is>
          <t>Subscribe to City Council and Utilities alerts.</t>
        </is>
      </c>
      <c r="I37" s="951" t="inlineStr">
        <is>
          <t>Useful</t>
        </is>
      </c>
    </row>
    <row r="38" ht="42" customHeight="1">
      <c r="A38" s="952" t="inlineStr">
        <is>
          <t>Thornton</t>
        </is>
      </c>
      <c r="B38" s="952" t="inlineStr">
        <is>
          <t>Meetings</t>
        </is>
      </c>
      <c r="C38" s="952" t="inlineStr">
        <is>
          <t>Upcoming Meetings</t>
        </is>
      </c>
      <c r="D38" s="952" t="inlineStr">
        <is>
          <t>Council and public meeting calendar.</t>
        </is>
      </c>
      <c r="E38" s="952" t="inlineStr">
        <is>
          <t>Official</t>
        </is>
      </c>
      <c r="F38" s="1188" t="inlineStr">
        <is>
          <t>https://www.thorntonco.gov/government/mayor-council/upcoming-meetings</t>
        </is>
      </c>
      <c r="G38" s="1129" t="n">
        <v>46213</v>
      </c>
      <c r="H38" s="952" t="inlineStr">
        <is>
          <t>Open meeting details and linked documents.</t>
        </is>
      </c>
      <c r="I38" s="951" t="inlineStr">
        <is>
          <t>High</t>
        </is>
      </c>
    </row>
    <row r="39" ht="42" customHeight="1">
      <c r="A39" s="952" t="inlineStr">
        <is>
          <t>Thornton</t>
        </is>
      </c>
      <c r="B39" s="952" t="inlineStr">
        <is>
          <t>Public notices</t>
        </is>
      </c>
      <c r="C39" s="952" t="inlineStr">
        <is>
          <t>Public Notices</t>
        </is>
      </c>
      <c r="D39" s="952" t="inlineStr">
        <is>
          <t>Hearing notices, approved ordinances and other notices.</t>
        </is>
      </c>
      <c r="E39" s="952" t="inlineStr">
        <is>
          <t>Official</t>
        </is>
      </c>
      <c r="F39" s="1188" t="inlineStr">
        <is>
          <t>https://www.thorntonco.gov/government/public-notices</t>
        </is>
      </c>
      <c r="G39" s="1129" t="n">
        <v>46213</v>
      </c>
      <c r="H39" s="952" t="inlineStr">
        <is>
          <t>Confirm current hearing and ordinance status.</t>
        </is>
      </c>
      <c r="I39" s="951" t="inlineStr">
        <is>
          <t>Critical</t>
        </is>
      </c>
    </row>
    <row r="40" ht="42" customHeight="1">
      <c r="A40" s="952" t="inlineStr">
        <is>
          <t>Thornton</t>
        </is>
      </c>
      <c r="B40" s="952" t="inlineStr">
        <is>
          <t>Official news</t>
        </is>
      </c>
      <c r="C40" s="952" t="inlineStr">
        <is>
          <t>Thornton News</t>
        </is>
      </c>
      <c r="D40" s="952" t="inlineStr">
        <is>
          <t>Official news and City Voice feed.</t>
        </is>
      </c>
      <c r="E40" s="952" t="inlineStr">
        <is>
          <t>Official</t>
        </is>
      </c>
      <c r="F40" s="1188" t="inlineStr">
        <is>
          <t>https://www.thorntonco.gov/news</t>
        </is>
      </c>
      <c r="G40" s="1129" t="n">
        <v>46213</v>
      </c>
      <c r="H40" s="952" t="inlineStr">
        <is>
          <t>Monitor council, development and infrastructure updates.</t>
        </is>
      </c>
      <c r="I40" s="951" t="inlineStr">
        <is>
          <t>Useful</t>
        </is>
      </c>
    </row>
    <row r="41" ht="42" customHeight="1">
      <c r="A41" s="952" t="inlineStr">
        <is>
          <t>Thornton</t>
        </is>
      </c>
      <c r="B41" s="952" t="inlineStr">
        <is>
          <t>Subscriptions</t>
        </is>
      </c>
      <c r="C41" s="952" t="inlineStr">
        <is>
          <t>T-Alerts</t>
        </is>
      </c>
      <c r="D41" s="952" t="inlineStr">
        <is>
          <t>Email subscriptions including city council documents and business topics.</t>
        </is>
      </c>
      <c r="E41" s="952" t="inlineStr">
        <is>
          <t>Official</t>
        </is>
      </c>
      <c r="F41" s="1188" t="inlineStr">
        <is>
          <t>https://talerts.thorntonco.gov/</t>
        </is>
      </c>
      <c r="G41" s="1129" t="n">
        <v>46213</v>
      </c>
      <c r="H41" s="952" t="inlineStr">
        <is>
          <t>Subscribe to City Council Meeting Documents and Thornton News.</t>
        </is>
      </c>
      <c r="I41" s="951" t="inlineStr">
        <is>
          <t>Useful</t>
        </is>
      </c>
    </row>
    <row r="42" ht="42" customHeight="1">
      <c r="A42" s="952" t="inlineStr">
        <is>
          <t>Westminster</t>
        </is>
      </c>
      <c r="B42" s="952" t="inlineStr">
        <is>
          <t>Agendas</t>
        </is>
      </c>
      <c r="C42" s="952" t="inlineStr">
        <is>
          <t>Agenda Center</t>
        </is>
      </c>
      <c r="D42" s="952" t="inlineStr">
        <is>
          <t>Council and board agendas and minutes.</t>
        </is>
      </c>
      <c r="E42" s="952" t="inlineStr">
        <is>
          <t>Official</t>
        </is>
      </c>
      <c r="F42" s="1188" t="inlineStr">
        <is>
          <t>https://www.westminsterco.gov/AgendaCenter</t>
        </is>
      </c>
      <c r="G42" s="1129" t="n">
        <v>46213</v>
      </c>
      <c r="H42" s="952" t="inlineStr">
        <is>
          <t>Search project names and land-use cases.</t>
        </is>
      </c>
      <c r="I42" s="951" t="inlineStr">
        <is>
          <t>High</t>
        </is>
      </c>
    </row>
    <row r="43" ht="42" customHeight="1">
      <c r="A43" s="952" t="inlineStr">
        <is>
          <t>Westminster</t>
        </is>
      </c>
      <c r="B43" s="952" t="inlineStr">
        <is>
          <t>Public notices</t>
        </is>
      </c>
      <c r="C43" s="952" t="inlineStr">
        <is>
          <t>Public Notices</t>
        </is>
      </c>
      <c r="D43" s="952" t="inlineStr">
        <is>
          <t>Formal notices and public-hearing information.</t>
        </is>
      </c>
      <c r="E43" s="952" t="inlineStr">
        <is>
          <t>Official</t>
        </is>
      </c>
      <c r="F43" s="1188" t="inlineStr">
        <is>
          <t>https://www.westminsterco.gov/1098/Public-Notices</t>
        </is>
      </c>
      <c r="G43" s="1129" t="n">
        <v>46213</v>
      </c>
      <c r="H43" s="952" t="inlineStr">
        <is>
          <t>Review during any active entitlement or code amendment.</t>
        </is>
      </c>
      <c r="I43" s="951" t="inlineStr">
        <is>
          <t>Critical</t>
        </is>
      </c>
    </row>
    <row r="44" ht="42" customHeight="1">
      <c r="A44" s="952" t="inlineStr">
        <is>
          <t>Westminster</t>
        </is>
      </c>
      <c r="B44" s="952" t="inlineStr">
        <is>
          <t>Official news</t>
        </is>
      </c>
      <c r="C44" s="952" t="inlineStr">
        <is>
          <t>City News</t>
        </is>
      </c>
      <c r="D44" s="952" t="inlineStr">
        <is>
          <t>Official city news feed.</t>
        </is>
      </c>
      <c r="E44" s="952" t="inlineStr">
        <is>
          <t>Official</t>
        </is>
      </c>
      <c r="F44" s="1188" t="inlineStr">
        <is>
          <t>https://www.westminsterco.gov/m/NewsFlash</t>
        </is>
      </c>
      <c r="G44" s="1129" t="n">
        <v>46213</v>
      </c>
      <c r="H44" s="952" t="inlineStr">
        <is>
          <t>Monitor development, policy and infrastructure announcements.</t>
        </is>
      </c>
      <c r="I44" s="951" t="inlineStr">
        <is>
          <t>Useful</t>
        </is>
      </c>
    </row>
    <row r="45" ht="42" customHeight="1">
      <c r="A45" s="952" t="inlineStr">
        <is>
          <t>Aurora / Adams County</t>
        </is>
      </c>
      <c r="B45" s="952" t="inlineStr">
        <is>
          <t>Independent local news</t>
        </is>
      </c>
      <c r="C45" s="952" t="inlineStr">
        <is>
          <t>Sentinel Colorado</t>
        </is>
      </c>
      <c r="D45" s="952" t="inlineStr">
        <is>
          <t>Independent reporting on Aurora and the surrounding region.</t>
        </is>
      </c>
      <c r="E45" s="952" t="inlineStr">
        <is>
          <t>Independent</t>
        </is>
      </c>
      <c r="F45" s="1188" t="inlineStr">
        <is>
          <t>https://sentinelcolorado.com/</t>
        </is>
      </c>
      <c r="G45" s="1129" t="n">
        <v>46213</v>
      </c>
      <c r="H45" s="952" t="inlineStr">
        <is>
          <t>Use for context; verify hearings and legal status on official city/county pages.</t>
        </is>
      </c>
      <c r="I45" s="951" t="inlineStr">
        <is>
          <t>Useful</t>
        </is>
      </c>
    </row>
    <row r="46" ht="42" customHeight="1">
      <c r="A46" s="952" t="inlineStr">
        <is>
          <t>Bennett / Strasburg / Watkins</t>
        </is>
      </c>
      <c r="B46" s="952" t="inlineStr">
        <is>
          <t>Independent local news</t>
        </is>
      </c>
      <c r="C46" s="952" t="inlineStr">
        <is>
          <t>I-70 Scout &amp; Eastern Colorado News</t>
        </is>
      </c>
      <c r="D46" s="952" t="inlineStr">
        <is>
          <t>Local reporting along the eastern I-70 corridor.</t>
        </is>
      </c>
      <c r="E46" s="952" t="inlineStr">
        <is>
          <t>Independent</t>
        </is>
      </c>
      <c r="F46" s="1188" t="inlineStr">
        <is>
          <t>https://i-70scout.com/blog/</t>
        </is>
      </c>
      <c r="G46" s="1129" t="n">
        <v>46213</v>
      </c>
      <c r="H46" s="952" t="inlineStr">
        <is>
          <t>Use for local context and project reporting; verify with official notices.</t>
        </is>
      </c>
      <c r="I46" s="951" t="inlineStr">
        <is>
          <t>Useful</t>
        </is>
      </c>
    </row>
    <row r="47" ht="42" customHeight="1">
      <c r="A47" s="952" t="inlineStr">
        <is>
          <t>Arvada</t>
        </is>
      </c>
      <c r="B47" s="952" t="inlineStr">
        <is>
          <t>Independent local news</t>
        </is>
      </c>
      <c r="C47" s="952" t="inlineStr">
        <is>
          <t>Arvada Press</t>
        </is>
      </c>
      <c r="D47" s="952" t="inlineStr">
        <is>
          <t>Community news focused on Arvada.</t>
        </is>
      </c>
      <c r="E47" s="952" t="inlineStr">
        <is>
          <t>Independent</t>
        </is>
      </c>
      <c r="F47" s="1188" t="inlineStr">
        <is>
          <t>https://arvadapress.presspatron.com/</t>
        </is>
      </c>
      <c r="G47" s="1129" t="n">
        <v>46213</v>
      </c>
      <c r="H47" s="952" t="inlineStr">
        <is>
          <t>Use for context; verify land-use decisions in city records.</t>
        </is>
      </c>
      <c r="I47" s="951" t="inlineStr">
        <is>
          <t>Useful</t>
        </is>
      </c>
    </row>
    <row r="48" ht="42" customHeight="1">
      <c r="A48" s="952" t="inlineStr">
        <is>
          <t>Brighton / Commerce City / Northglenn / Thornton / Westminster</t>
        </is>
      </c>
      <c r="B48" s="952" t="inlineStr">
        <is>
          <t>Independent local news</t>
        </is>
      </c>
      <c r="C48" s="952" t="inlineStr">
        <is>
          <t>Colorado Community Media Local Guide</t>
        </is>
      </c>
      <c r="D48" s="952" t="inlineStr">
        <is>
          <t>Gateway to local community-news outlets and editions.</t>
        </is>
      </c>
      <c r="E48" s="952" t="inlineStr">
        <is>
          <t>Independent</t>
        </is>
      </c>
      <c r="F48" s="1188" t="inlineStr">
        <is>
          <t>https://local.coloradocommunitymedia.com/</t>
        </is>
      </c>
      <c r="G48" s="1129" t="n">
        <v>46213</v>
      </c>
      <c r="H48" s="952" t="inlineStr">
        <is>
          <t>Use for context and reporting; verify legal notices and approvals officially.</t>
        </is>
      </c>
      <c r="I48" s="951" t="inlineStr">
        <is>
          <t>Useful</t>
        </is>
      </c>
    </row>
    <row r="49" ht="42" customHeight="1">
      <c r="A49" s="952" t="inlineStr">
        <is>
          <t>Westminster</t>
        </is>
      </c>
      <c r="B49" s="952" t="inlineStr">
        <is>
          <t>Independent local news</t>
        </is>
      </c>
      <c r="C49" s="952" t="inlineStr">
        <is>
          <t>Westminster Window Colorado Trust</t>
        </is>
      </c>
      <c r="D49" s="952" t="inlineStr">
        <is>
          <t>Community and government-news newsletter focused on Westminster.</t>
        </is>
      </c>
      <c r="E49" s="952" t="inlineStr">
        <is>
          <t>Independent</t>
        </is>
      </c>
      <c r="F49" s="1188" t="inlineStr">
        <is>
          <t>https://westminster-window-colorado-trust.beehiiv.com/</t>
        </is>
      </c>
      <c r="G49" s="1129" t="n">
        <v>46213</v>
      </c>
      <c r="H49" s="952" t="inlineStr">
        <is>
          <t>Use as a secondary monitoring source.</t>
        </is>
      </c>
      <c r="I49" s="951" t="inlineStr">
        <is>
          <t>Useful</t>
        </is>
      </c>
    </row>
  </sheetData>
  <mergeCells count="2">
    <mergeCell ref="A1:I1"/>
    <mergeCell ref="A2:I2"/>
  </mergeCells>
  <dataValidations count="1">
    <dataValidation sqref="I5:I49" showDropDown="0" showInputMessage="0" showErrorMessage="0" allowBlank="0" type="list">
      <formula1>"Critical,High,Useful,Reference"</formula1>
    </dataValidation>
  </dataValidations>
  <hyperlinks>
    <hyperlink xmlns:r="http://schemas.openxmlformats.org/officeDocument/2006/relationships" ref="F5" r:id="rId1"/>
    <hyperlink xmlns:r="http://schemas.openxmlformats.org/officeDocument/2006/relationships" ref="F6" r:id="rId2"/>
    <hyperlink xmlns:r="http://schemas.openxmlformats.org/officeDocument/2006/relationships" ref="F7" r:id="rId3"/>
    <hyperlink xmlns:r="http://schemas.openxmlformats.org/officeDocument/2006/relationships" ref="F8" r:id="rId4"/>
    <hyperlink xmlns:r="http://schemas.openxmlformats.org/officeDocument/2006/relationships" ref="F9" r:id="rId5"/>
    <hyperlink xmlns:r="http://schemas.openxmlformats.org/officeDocument/2006/relationships" ref="F10" r:id="rId6"/>
    <hyperlink xmlns:r="http://schemas.openxmlformats.org/officeDocument/2006/relationships" ref="F11" r:id="rId7"/>
    <hyperlink xmlns:r="http://schemas.openxmlformats.org/officeDocument/2006/relationships" ref="F12" r:id="rId8"/>
    <hyperlink xmlns:r="http://schemas.openxmlformats.org/officeDocument/2006/relationships" ref="F13" r:id="rId9"/>
    <hyperlink xmlns:r="http://schemas.openxmlformats.org/officeDocument/2006/relationships" ref="F14" r:id="rId10"/>
    <hyperlink xmlns:r="http://schemas.openxmlformats.org/officeDocument/2006/relationships" ref="F15" r:id="rId11"/>
    <hyperlink xmlns:r="http://schemas.openxmlformats.org/officeDocument/2006/relationships" ref="F16" r:id="rId12"/>
    <hyperlink xmlns:r="http://schemas.openxmlformats.org/officeDocument/2006/relationships" ref="F17" r:id="rId13"/>
    <hyperlink xmlns:r="http://schemas.openxmlformats.org/officeDocument/2006/relationships" ref="F18" r:id="rId14"/>
    <hyperlink xmlns:r="http://schemas.openxmlformats.org/officeDocument/2006/relationships" ref="F19" r:id="rId15"/>
    <hyperlink xmlns:r="http://schemas.openxmlformats.org/officeDocument/2006/relationships" ref="F20" r:id="rId16"/>
    <hyperlink xmlns:r="http://schemas.openxmlformats.org/officeDocument/2006/relationships" ref="F21" r:id="rId17"/>
    <hyperlink xmlns:r="http://schemas.openxmlformats.org/officeDocument/2006/relationships" ref="F22" r:id="rId18"/>
    <hyperlink xmlns:r="http://schemas.openxmlformats.org/officeDocument/2006/relationships" ref="F23" r:id="rId19"/>
    <hyperlink xmlns:r="http://schemas.openxmlformats.org/officeDocument/2006/relationships" ref="F24" r:id="rId20"/>
    <hyperlink xmlns:r="http://schemas.openxmlformats.org/officeDocument/2006/relationships" ref="F25" r:id="rId21"/>
    <hyperlink xmlns:r="http://schemas.openxmlformats.org/officeDocument/2006/relationships" ref="F26" r:id="rId22"/>
    <hyperlink xmlns:r="http://schemas.openxmlformats.org/officeDocument/2006/relationships" ref="F27" r:id="rId23"/>
    <hyperlink xmlns:r="http://schemas.openxmlformats.org/officeDocument/2006/relationships" ref="F28" r:id="rId24"/>
    <hyperlink xmlns:r="http://schemas.openxmlformats.org/officeDocument/2006/relationships" ref="F29" r:id="rId25"/>
    <hyperlink xmlns:r="http://schemas.openxmlformats.org/officeDocument/2006/relationships" ref="F30" r:id="rId26"/>
    <hyperlink xmlns:r="http://schemas.openxmlformats.org/officeDocument/2006/relationships" ref="F31" r:id="rId27"/>
    <hyperlink xmlns:r="http://schemas.openxmlformats.org/officeDocument/2006/relationships" ref="F32" r:id="rId28"/>
    <hyperlink xmlns:r="http://schemas.openxmlformats.org/officeDocument/2006/relationships" ref="F33" r:id="rId29"/>
    <hyperlink xmlns:r="http://schemas.openxmlformats.org/officeDocument/2006/relationships" ref="F34" r:id="rId30"/>
    <hyperlink xmlns:r="http://schemas.openxmlformats.org/officeDocument/2006/relationships" ref="F35" r:id="rId31"/>
    <hyperlink xmlns:r="http://schemas.openxmlformats.org/officeDocument/2006/relationships" ref="F36" r:id="rId32"/>
    <hyperlink xmlns:r="http://schemas.openxmlformats.org/officeDocument/2006/relationships" ref="F37" r:id="rId33"/>
    <hyperlink xmlns:r="http://schemas.openxmlformats.org/officeDocument/2006/relationships" ref="F38" r:id="rId34"/>
    <hyperlink xmlns:r="http://schemas.openxmlformats.org/officeDocument/2006/relationships" ref="F39" r:id="rId35"/>
    <hyperlink xmlns:r="http://schemas.openxmlformats.org/officeDocument/2006/relationships" ref="F40" r:id="rId36"/>
    <hyperlink xmlns:r="http://schemas.openxmlformats.org/officeDocument/2006/relationships" ref="F41" r:id="rId37"/>
    <hyperlink xmlns:r="http://schemas.openxmlformats.org/officeDocument/2006/relationships" ref="F42" r:id="rId38"/>
    <hyperlink xmlns:r="http://schemas.openxmlformats.org/officeDocument/2006/relationships" ref="F43" r:id="rId39"/>
    <hyperlink xmlns:r="http://schemas.openxmlformats.org/officeDocument/2006/relationships" ref="F44" r:id="rId40"/>
    <hyperlink xmlns:r="http://schemas.openxmlformats.org/officeDocument/2006/relationships" ref="F45" r:id="rId41"/>
    <hyperlink xmlns:r="http://schemas.openxmlformats.org/officeDocument/2006/relationships" ref="F46" r:id="rId42"/>
    <hyperlink xmlns:r="http://schemas.openxmlformats.org/officeDocument/2006/relationships" ref="F47" r:id="rId43"/>
    <hyperlink xmlns:r="http://schemas.openxmlformats.org/officeDocument/2006/relationships" ref="F48" r:id="rId44"/>
    <hyperlink xmlns:r="http://schemas.openxmlformats.org/officeDocument/2006/relationships" ref="F49" r:id="rId45"/>
  </hyperlinks>
  <pageMargins left="0.75" right="0.75" top="1" bottom="1" header="0.5" footer="0.5"/>
</worksheet>
</file>

<file path=xl/worksheets/sheet21.xml><?xml version="1.0" encoding="utf-8"?>
<worksheet xmlns="http://schemas.openxmlformats.org/spreadsheetml/2006/main">
  <sheetPr>
    <tabColor rgb="00D97706"/>
    <outlinePr summaryBelow="1" summaryRight="1"/>
    <pageSetUpPr/>
  </sheetPr>
  <dimension ref="A1:I42"/>
  <sheetViews>
    <sheetView workbookViewId="0">
      <selection activeCell="A1" sqref="A1"/>
    </sheetView>
  </sheetViews>
  <sheetFormatPr baseColWidth="8" defaultRowHeight="15"/>
  <cols>
    <col width="52" customWidth="1" min="1" max="1"/>
    <col width="25" customWidth="1" min="2" max="2"/>
    <col width="31" customWidth="1" min="3" max="3"/>
    <col width="52" customWidth="1" min="4" max="4"/>
    <col width="52" customWidth="1" min="5" max="5"/>
    <col width="6" customWidth="1" min="6" max="6"/>
    <col width="52" customWidth="1" min="7" max="7"/>
    <col width="21" customWidth="1" min="8" max="8"/>
    <col width="10" customWidth="1" min="9" max="9"/>
  </cols>
  <sheetData>
    <row r="1" ht="32" customHeight="1">
      <c r="A1" s="1190" t="inlineStr">
        <is>
          <t>Colorado, Regional &amp; Federal Property Due-Diligence Resources</t>
        </is>
      </c>
    </row>
    <row r="2" ht="28" customHeight="1">
      <c r="A2" s="1191" t="inlineStr">
        <is>
          <t>Special districts, business/UCC, water, oil and gas, environmental, flood, soils, wetlands, transportation, historic and HOA research tools.</t>
        </is>
      </c>
    </row>
    <row r="4" ht="30" customHeight="1">
      <c r="A4" s="1187" t="inlineStr">
        <is>
          <t>Level / Agency</t>
        </is>
      </c>
      <c r="B4" s="959" t="inlineStr">
        <is>
          <t>Category</t>
        </is>
      </c>
      <c r="C4" s="959" t="inlineStr">
        <is>
          <t>Resource</t>
        </is>
      </c>
      <c r="D4" s="1187" t="inlineStr">
        <is>
          <t>What It Provides</t>
        </is>
      </c>
      <c r="E4" s="1187" t="inlineStr">
        <is>
          <t>Best Use</t>
        </is>
      </c>
      <c r="F4" s="959" t="inlineStr">
        <is>
          <t>Official</t>
        </is>
      </c>
      <c r="G4" s="1187" t="inlineStr">
        <is>
          <t>URL</t>
        </is>
      </c>
      <c r="H4" s="959" t="inlineStr">
        <is>
          <t>Verified</t>
        </is>
      </c>
      <c r="I4" s="959" t="inlineStr">
        <is>
          <t>Priority</t>
        </is>
      </c>
    </row>
    <row r="5" ht="42" customHeight="1">
      <c r="A5" s="952" t="inlineStr">
        <is>
          <t>Colorado Secretary of State</t>
        </is>
      </c>
      <c r="B5" s="952" t="inlineStr">
        <is>
          <t>Business Entities</t>
        </is>
      </c>
      <c r="C5" s="952" t="inlineStr">
        <is>
          <t>Search Business Records</t>
        </is>
      </c>
      <c r="D5" s="952" t="inlineStr">
        <is>
          <t>Search corporations, LLCs, trade names and filing documents.</t>
        </is>
      </c>
      <c r="E5" s="952" t="inlineStr">
        <is>
          <t>Identify owners, applicants, developers, lenders and registered agents.</t>
        </is>
      </c>
      <c r="F5" s="952" t="inlineStr">
        <is>
          <t>Yes</t>
        </is>
      </c>
      <c r="G5" s="1188" t="inlineStr">
        <is>
          <t>https://co.colorado.gov/search-business-records</t>
        </is>
      </c>
      <c r="H5" s="1129" t="n">
        <v>46213</v>
      </c>
      <c r="I5" s="951" t="inlineStr">
        <is>
          <t>High</t>
        </is>
      </c>
    </row>
    <row r="6" ht="42" customHeight="1">
      <c r="A6" s="952" t="inlineStr">
        <is>
          <t>Colorado Secretary of State</t>
        </is>
      </c>
      <c r="B6" s="952" t="inlineStr">
        <is>
          <t>UCC / Liens</t>
        </is>
      </c>
      <c r="C6" s="952" t="inlineStr">
        <is>
          <t>UCC Records Search</t>
        </is>
      </c>
      <c r="D6" s="952" t="inlineStr">
        <is>
          <t>Search UCC financing statements and related secured-transaction records.</t>
        </is>
      </c>
      <c r="E6" s="952" t="inlineStr">
        <is>
          <t>Screen for UCC filings and certain statutory liens associated with a debtor.</t>
        </is>
      </c>
      <c r="F6" s="952" t="inlineStr">
        <is>
          <t>Yes</t>
        </is>
      </c>
      <c r="G6" s="1188" t="inlineStr">
        <is>
          <t>https://www.sos.state.co.us/ucc/pages/home.xhtml</t>
        </is>
      </c>
      <c r="H6" s="1129" t="n">
        <v>46213</v>
      </c>
      <c r="I6" s="951" t="inlineStr">
        <is>
          <t>High</t>
        </is>
      </c>
    </row>
    <row r="7" ht="42" customHeight="1">
      <c r="A7" s="952" t="inlineStr">
        <is>
          <t>Colorado DOLA</t>
        </is>
      </c>
      <c r="B7" s="952" t="inlineStr">
        <is>
          <t>Special Districts</t>
        </is>
      </c>
      <c r="C7" s="952" t="inlineStr">
        <is>
          <t>Colorado Special Districts Map</t>
        </is>
      </c>
      <c r="D7" s="952" t="inlineStr">
        <is>
          <t>Map and information for special-district boundaries.</t>
        </is>
      </c>
      <c r="E7" s="952" t="inlineStr">
        <is>
          <t>Identify water, sanitation, fire, metro and other districts that may tax or serve a property.</t>
        </is>
      </c>
      <c r="F7" s="952" t="inlineStr">
        <is>
          <t>Yes</t>
        </is>
      </c>
      <c r="G7" s="1188" t="inlineStr">
        <is>
          <t>https://gis.dola.colorado.gov/CO_SpecialDistrict/</t>
        </is>
      </c>
      <c r="H7" s="1129" t="n">
        <v>46213</v>
      </c>
      <c r="I7" s="951" t="inlineStr">
        <is>
          <t>Critical</t>
        </is>
      </c>
    </row>
    <row r="8" ht="42" customHeight="1">
      <c r="A8" s="952" t="inlineStr">
        <is>
          <t>Colorado DOLA</t>
        </is>
      </c>
      <c r="B8" s="952" t="inlineStr">
        <is>
          <t>Local Governments</t>
        </is>
      </c>
      <c r="C8" s="952" t="inlineStr">
        <is>
          <t>Local Government Information System</t>
        </is>
      </c>
      <c r="D8" s="952" t="inlineStr">
        <is>
          <t>Local-government contacts, budgets and election filings.</t>
        </is>
      </c>
      <c r="E8" s="952" t="inlineStr">
        <is>
          <t>Research special districts and other local-government entities.</t>
        </is>
      </c>
      <c r="F8" s="952" t="inlineStr">
        <is>
          <t>Yes</t>
        </is>
      </c>
      <c r="G8" s="1188" t="inlineStr">
        <is>
          <t>https://dola.colorado.gov/dlg_lgis_ui_pu/</t>
        </is>
      </c>
      <c r="H8" s="1129" t="n">
        <v>46213</v>
      </c>
      <c r="I8" s="951" t="inlineStr">
        <is>
          <t>High</t>
        </is>
      </c>
    </row>
    <row r="9" ht="42" customHeight="1">
      <c r="A9" s="952" t="inlineStr">
        <is>
          <t>Colorado DOLA</t>
        </is>
      </c>
      <c r="B9" s="952" t="inlineStr">
        <is>
          <t>Taxing Entities</t>
        </is>
      </c>
      <c r="C9" s="952" t="inlineStr">
        <is>
          <t>Search Colorado Property Tax Entities</t>
        </is>
      </c>
      <c r="D9" s="952" t="inlineStr">
        <is>
          <t>Search entities associated with property taxation.</t>
        </is>
      </c>
      <c r="E9" s="952" t="inlineStr">
        <is>
          <t>Understand tax districts and locate entity information; verify mill levies with county offices.</t>
        </is>
      </c>
      <c r="F9" s="952" t="inlineStr">
        <is>
          <t>Yes</t>
        </is>
      </c>
      <c r="G9" s="1188" t="inlineStr">
        <is>
          <t>https://dola.colorado.gov/dlg_lgis_ui_pu/publicLGTaxEntities.jsf</t>
        </is>
      </c>
      <c r="H9" s="1129" t="n">
        <v>46213</v>
      </c>
      <c r="I9" s="951" t="inlineStr">
        <is>
          <t>High</t>
        </is>
      </c>
    </row>
    <row r="10" ht="42" customHeight="1">
      <c r="A10" s="952" t="inlineStr">
        <is>
          <t>Colorado DOLA</t>
        </is>
      </c>
      <c r="B10" s="952" t="inlineStr">
        <is>
          <t>Municipal Boundaries</t>
        </is>
      </c>
      <c r="C10" s="952" t="inlineStr">
        <is>
          <t>Colorado Municipal Boundaries</t>
        </is>
      </c>
      <c r="D10" s="952" t="inlineStr">
        <is>
          <t>State municipal boundary map.</t>
        </is>
      </c>
      <c r="E10" s="952" t="inlineStr">
        <is>
          <t>Confirm whether a parcel is incorporated and identify the municipality.</t>
        </is>
      </c>
      <c r="F10" s="952" t="inlineStr">
        <is>
          <t>Yes</t>
        </is>
      </c>
      <c r="G10" s="1188" t="inlineStr">
        <is>
          <t>https://gis.dola.colorado.gov/CO_Muni/</t>
        </is>
      </c>
      <c r="H10" s="1129" t="n">
        <v>46213</v>
      </c>
      <c r="I10" s="951" t="inlineStr">
        <is>
          <t>Critical</t>
        </is>
      </c>
    </row>
    <row r="11" ht="42" customHeight="1">
      <c r="A11" s="952" t="inlineStr">
        <is>
          <t>Colorado DOLA</t>
        </is>
      </c>
      <c r="B11" s="952" t="inlineStr">
        <is>
          <t>GIS Downloads</t>
        </is>
      </c>
      <c r="C11" s="952" t="inlineStr">
        <is>
          <t>GIS Data Sources</t>
        </is>
      </c>
      <c r="D11" s="952" t="inlineStr">
        <is>
          <t>State-maintained boundary and demographic GIS datasets.</t>
        </is>
      </c>
      <c r="E11" s="952" t="inlineStr">
        <is>
          <t>Download municipal, annexation and special-district data.</t>
        </is>
      </c>
      <c r="F11" s="952" t="inlineStr">
        <is>
          <t>Yes</t>
        </is>
      </c>
      <c r="G11" s="1188" t="inlineStr">
        <is>
          <t>https://demography.dola.colorado.gov/assets/html/gis_data.html</t>
        </is>
      </c>
      <c r="H11" s="1129" t="n">
        <v>46213</v>
      </c>
      <c r="I11" s="951" t="inlineStr">
        <is>
          <t>Useful</t>
        </is>
      </c>
    </row>
    <row r="12" ht="42" customHeight="1">
      <c r="A12" s="952" t="inlineStr">
        <is>
          <t>Colorado State Demography Office</t>
        </is>
      </c>
      <c r="B12" s="952" t="inlineStr">
        <is>
          <t>Demographics</t>
        </is>
      </c>
      <c r="C12" s="952" t="inlineStr">
        <is>
          <t>Data Bundle Lookup</t>
        </is>
      </c>
      <c r="D12" s="952" t="inlineStr">
        <is>
          <t>Population, housing and demographic data bundles.</t>
        </is>
      </c>
      <c r="E12" s="952" t="inlineStr">
        <is>
          <t>Support market, planning and growth analysis.</t>
        </is>
      </c>
      <c r="F12" s="952" t="inlineStr">
        <is>
          <t>Yes</t>
        </is>
      </c>
      <c r="G12" s="1188" t="inlineStr">
        <is>
          <t>https://demography.dola.colorado.gov/assets/lookups/dashboard_lookup.html</t>
        </is>
      </c>
      <c r="H12" s="1129" t="n">
        <v>46213</v>
      </c>
      <c r="I12" s="951" t="inlineStr">
        <is>
          <t>Useful</t>
        </is>
      </c>
    </row>
    <row r="13" ht="42" customHeight="1">
      <c r="A13" s="952" t="inlineStr">
        <is>
          <t>Colorado Geospatial Portal</t>
        </is>
      </c>
      <c r="B13" s="952" t="inlineStr">
        <is>
          <t>GIS / Open Data</t>
        </is>
      </c>
      <c r="C13" s="952" t="inlineStr">
        <is>
          <t>Colorado Geospatial Portal</t>
        </is>
      </c>
      <c r="D13" s="952" t="inlineStr">
        <is>
          <t>Statewide open GIS datasets and maps.</t>
        </is>
      </c>
      <c r="E13" s="952" t="inlineStr">
        <is>
          <t>Find state layers for environment, transportation, boundaries and natural resources.</t>
        </is>
      </c>
      <c r="F13" s="952" t="inlineStr">
        <is>
          <t>Yes</t>
        </is>
      </c>
      <c r="G13" s="1188" t="inlineStr">
        <is>
          <t>https://geodata.colorado.gov/</t>
        </is>
      </c>
      <c r="H13" s="1129" t="n">
        <v>46213</v>
      </c>
      <c r="I13" s="951" t="inlineStr">
        <is>
          <t>High</t>
        </is>
      </c>
    </row>
    <row r="14" ht="42" customHeight="1">
      <c r="A14" s="952" t="inlineStr">
        <is>
          <t>Colorado OIT</t>
        </is>
      </c>
      <c r="B14" s="952" t="inlineStr">
        <is>
          <t>GIS Viewer</t>
        </is>
      </c>
      <c r="C14" s="952" t="inlineStr">
        <is>
          <t>Colorado State Map Viewer</t>
        </is>
      </c>
      <c r="D14" s="952" t="inlineStr">
        <is>
          <t>Statewide interactive map viewer.</t>
        </is>
      </c>
      <c r="E14" s="952" t="inlineStr">
        <is>
          <t>Screen state datasets without desktop GIS.</t>
        </is>
      </c>
      <c r="F14" s="952" t="inlineStr">
        <is>
          <t>Yes</t>
        </is>
      </c>
      <c r="G14" s="1188" t="inlineStr">
        <is>
          <t>https://gis.colorado.gov/viewer/?page=Home</t>
        </is>
      </c>
      <c r="H14" s="1129" t="n">
        <v>46213</v>
      </c>
      <c r="I14" s="951" t="inlineStr">
        <is>
          <t>Useful</t>
        </is>
      </c>
    </row>
    <row r="15" ht="42" customHeight="1">
      <c r="A15" s="952" t="inlineStr">
        <is>
          <t>DRCOG</t>
        </is>
      </c>
      <c r="B15" s="952" t="inlineStr">
        <is>
          <t>Regional GIS / Planning</t>
        </is>
      </c>
      <c r="C15" s="952" t="inlineStr">
        <is>
          <t>Data, Maps &amp; Modeling</t>
        </is>
      </c>
      <c r="D15" s="952" t="inlineStr">
        <is>
          <t>Denver-region data, maps, forecasts and modeling resources.</t>
        </is>
      </c>
      <c r="E15" s="952" t="inlineStr">
        <is>
          <t>Research regional growth, transportation, parcels and planning context.</t>
        </is>
      </c>
      <c r="F15" s="952" t="inlineStr">
        <is>
          <t>Yes</t>
        </is>
      </c>
      <c r="G15" s="1188" t="inlineStr">
        <is>
          <t>https://drcog.org/data-maps-modeling</t>
        </is>
      </c>
      <c r="H15" s="1129" t="n">
        <v>46213</v>
      </c>
      <c r="I15" s="951" t="inlineStr">
        <is>
          <t>High</t>
        </is>
      </c>
    </row>
    <row r="16" ht="42" customHeight="1">
      <c r="A16" s="952" t="inlineStr">
        <is>
          <t>Colorado Division of Water Resources</t>
        </is>
      </c>
      <c r="B16" s="952" t="inlineStr">
        <is>
          <t>Water</t>
        </is>
      </c>
      <c r="C16" s="952" t="inlineStr">
        <is>
          <t>CDSS / DWR Tools</t>
        </is>
      </c>
      <c r="D16" s="952" t="inlineStr">
        <is>
          <t>Water-rights, structures, hydrography and decision-support tools.</t>
        </is>
      </c>
      <c r="E16" s="952" t="inlineStr">
        <is>
          <t>Research water rights, ditches, structures and hydrologic data.</t>
        </is>
      </c>
      <c r="F16" s="952" t="inlineStr">
        <is>
          <t>Yes</t>
        </is>
      </c>
      <c r="G16" s="1188" t="inlineStr">
        <is>
          <t>https://dwr.state.co.us/Tools</t>
        </is>
      </c>
      <c r="H16" s="1129" t="n">
        <v>46213</v>
      </c>
      <c r="I16" s="951" t="inlineStr">
        <is>
          <t>Critical</t>
        </is>
      </c>
    </row>
    <row r="17" ht="42" customHeight="1">
      <c r="A17" s="952" t="inlineStr">
        <is>
          <t>Colorado Division of Water Resources</t>
        </is>
      </c>
      <c r="B17" s="952" t="inlineStr">
        <is>
          <t>Wells</t>
        </is>
      </c>
      <c r="C17" s="952" t="inlineStr">
        <is>
          <t>Well Permits</t>
        </is>
      </c>
      <c r="D17" s="952" t="inlineStr">
        <is>
          <t>Well permit search and information.</t>
        </is>
      </c>
      <c r="E17" s="952" t="inlineStr">
        <is>
          <t>Check permitted wells and well records near a parcel.</t>
        </is>
      </c>
      <c r="F17" s="952" t="inlineStr">
        <is>
          <t>Yes</t>
        </is>
      </c>
      <c r="G17" s="1188" t="inlineStr">
        <is>
          <t>https://dwr.state.co.us/Tools/WellPermits</t>
        </is>
      </c>
      <c r="H17" s="1129" t="n">
        <v>46213</v>
      </c>
      <c r="I17" s="951" t="inlineStr">
        <is>
          <t>Critical</t>
        </is>
      </c>
    </row>
    <row r="18" ht="42" customHeight="1">
      <c r="A18" s="952" t="inlineStr">
        <is>
          <t>Colorado Energy &amp; Carbon Management Commission</t>
        </is>
      </c>
      <c r="B18" s="952" t="inlineStr">
        <is>
          <t>Oil &amp; Gas</t>
        </is>
      </c>
      <c r="C18" s="952" t="inlineStr">
        <is>
          <t>ECMC Maps</t>
        </is>
      </c>
      <c r="D18" s="952" t="inlineStr">
        <is>
          <t>Oil and gas wells, facilities and regulatory map tools.</t>
        </is>
      </c>
      <c r="E18" s="952" t="inlineStr">
        <is>
          <t>Screen nearby oil/gas infrastructure, setbacks and regulatory records.</t>
        </is>
      </c>
      <c r="F18" s="952" t="inlineStr">
        <is>
          <t>Yes</t>
        </is>
      </c>
      <c r="G18" s="1188" t="inlineStr">
        <is>
          <t>https://ecmc.state.co.us/maps.html</t>
        </is>
      </c>
      <c r="H18" s="1129" t="n">
        <v>46213</v>
      </c>
      <c r="I18" s="951" t="inlineStr">
        <is>
          <t>Critical</t>
        </is>
      </c>
    </row>
    <row r="19" ht="42" customHeight="1">
      <c r="A19" s="952" t="inlineStr">
        <is>
          <t>Colorado Energy &amp; Carbon Management Commission</t>
        </is>
      </c>
      <c r="B19" s="952" t="inlineStr">
        <is>
          <t>Oil &amp; Gas Data</t>
        </is>
      </c>
      <c r="C19" s="952" t="inlineStr">
        <is>
          <t>ECMC Data</t>
        </is>
      </c>
      <c r="D19" s="952" t="inlineStr">
        <is>
          <t>Downloadable oil and gas data and records.</t>
        </is>
      </c>
      <c r="E19" s="952" t="inlineStr">
        <is>
          <t>Perform detailed facility and well research.</t>
        </is>
      </c>
      <c r="F19" s="952" t="inlineStr">
        <is>
          <t>Yes</t>
        </is>
      </c>
      <c r="G19" s="1188" t="inlineStr">
        <is>
          <t>https://ecmc.state.co.us/data.html</t>
        </is>
      </c>
      <c r="H19" s="1129" t="n">
        <v>46213</v>
      </c>
      <c r="I19" s="951" t="inlineStr">
        <is>
          <t>High</t>
        </is>
      </c>
    </row>
    <row r="20" ht="42" customHeight="1">
      <c r="A20" s="952" t="inlineStr">
        <is>
          <t>CDPHE</t>
        </is>
      </c>
      <c r="B20" s="952" t="inlineStr">
        <is>
          <t>Environmental</t>
        </is>
      </c>
      <c r="C20" s="952" t="inlineStr">
        <is>
          <t>Maps and GIS for Health and Environment</t>
        </is>
      </c>
      <c r="D20" s="952" t="inlineStr">
        <is>
          <t>Environmental, health, cleanup and facility mapping resources.</t>
        </is>
      </c>
      <c r="E20" s="952" t="inlineStr">
        <is>
          <t>Screen environmental and public-health conditions.</t>
        </is>
      </c>
      <c r="F20" s="952" t="inlineStr">
        <is>
          <t>Yes</t>
        </is>
      </c>
      <c r="G20" s="1188" t="inlineStr">
        <is>
          <t>https://cdphe.colorado.gov/maps-and-gis-for-health-and-environment</t>
        </is>
      </c>
      <c r="H20" s="1129" t="n">
        <v>46213</v>
      </c>
      <c r="I20" s="951" t="inlineStr">
        <is>
          <t>Critical</t>
        </is>
      </c>
    </row>
    <row r="21" ht="42" customHeight="1">
      <c r="A21" s="952" t="inlineStr">
        <is>
          <t>CDPHE</t>
        </is>
      </c>
      <c r="B21" s="952" t="inlineStr">
        <is>
          <t>Contamination</t>
        </is>
      </c>
      <c r="C21" s="952" t="inlineStr">
        <is>
          <t>Environmental Maps and GIS Data</t>
        </is>
      </c>
      <c r="D21" s="952" t="inlineStr">
        <is>
          <t>Hazardous Materials and Waste Management map portal and records search.</t>
        </is>
      </c>
      <c r="E21" s="952" t="inlineStr">
        <is>
          <t>Locate regulated facilities, waste sites and associated records.</t>
        </is>
      </c>
      <c r="F21" s="952" t="inlineStr">
        <is>
          <t>Yes</t>
        </is>
      </c>
      <c r="G21" s="1188" t="inlineStr">
        <is>
          <t>https://cdphe.colorado.gov/hm/gis-data</t>
        </is>
      </c>
      <c r="H21" s="1129" t="n">
        <v>46213</v>
      </c>
      <c r="I21" s="951" t="inlineStr">
        <is>
          <t>Critical</t>
        </is>
      </c>
    </row>
    <row r="22" ht="42" customHeight="1">
      <c r="A22" s="952" t="inlineStr">
        <is>
          <t>CDPHE</t>
        </is>
      </c>
      <c r="B22" s="952" t="inlineStr">
        <is>
          <t>Contamination</t>
        </is>
      </c>
      <c r="C22" s="952" t="inlineStr">
        <is>
          <t>How to Find Out if a Site Is Contaminated</t>
        </is>
      </c>
      <c r="D22" s="952" t="inlineStr">
        <is>
          <t>Guide to cleanup, covenant, tank and federal environmental databases.</t>
        </is>
      </c>
      <c r="E22" s="952" t="inlineStr">
        <is>
          <t>Build an environmental-screening search plan.</t>
        </is>
      </c>
      <c r="F22" s="952" t="inlineStr">
        <is>
          <t>Yes</t>
        </is>
      </c>
      <c r="G22" s="1188" t="inlineStr">
        <is>
          <t>https://cdphe.colorado.gov/hm/if-site-contaminated</t>
        </is>
      </c>
      <c r="H22" s="1129" t="n">
        <v>46213</v>
      </c>
      <c r="I22" s="951" t="inlineStr">
        <is>
          <t>High</t>
        </is>
      </c>
    </row>
    <row r="23" ht="42" customHeight="1">
      <c r="A23" s="952" t="inlineStr">
        <is>
          <t>CDPHE</t>
        </is>
      </c>
      <c r="B23" s="952" t="inlineStr">
        <is>
          <t>Water Quality</t>
        </is>
      </c>
      <c r="C23" s="952" t="inlineStr">
        <is>
          <t>Clean Water GIS Maps</t>
        </is>
      </c>
      <c r="D23" s="952" t="inlineStr">
        <is>
          <t>Impaired waters, stream segments, TMDLs and watershed-plan maps.</t>
        </is>
      </c>
      <c r="E23" s="952" t="inlineStr">
        <is>
          <t>Screen nearby surface-water quality and regulatory context.</t>
        </is>
      </c>
      <c r="F23" s="952" t="inlineStr">
        <is>
          <t>Yes</t>
        </is>
      </c>
      <c r="G23" s="1188" t="inlineStr">
        <is>
          <t>https://cdphe.colorado.gov/clean-water-gis-maps</t>
        </is>
      </c>
      <c r="H23" s="1129" t="n">
        <v>46213</v>
      </c>
      <c r="I23" s="951" t="inlineStr">
        <is>
          <t>High</t>
        </is>
      </c>
    </row>
    <row r="24" ht="42" customHeight="1">
      <c r="A24" s="952" t="inlineStr">
        <is>
          <t>CDPHE</t>
        </is>
      </c>
      <c r="B24" s="952" t="inlineStr">
        <is>
          <t>PFAS</t>
        </is>
      </c>
      <c r="C24" s="952" t="inlineStr">
        <is>
          <t>PFAS Mapping</t>
        </is>
      </c>
      <c r="D24" s="952" t="inlineStr">
        <is>
          <t>PFAS sampling and vulnerability mapping resources.</t>
        </is>
      </c>
      <c r="E24" s="952" t="inlineStr">
        <is>
          <t>Screen known sampling and modeled PFAS concerns.</t>
        </is>
      </c>
      <c r="F24" s="952" t="inlineStr">
        <is>
          <t>Yes</t>
        </is>
      </c>
      <c r="G24" s="1188" t="inlineStr">
        <is>
          <t>https://cdphe.colorado.gov/pfas/mapping</t>
        </is>
      </c>
      <c r="H24" s="1129" t="n">
        <v>46213</v>
      </c>
      <c r="I24" s="951" t="inlineStr">
        <is>
          <t>Useful</t>
        </is>
      </c>
    </row>
    <row r="25" ht="42" customHeight="1">
      <c r="A25" s="952" t="inlineStr">
        <is>
          <t>FEMA</t>
        </is>
      </c>
      <c r="B25" s="952" t="inlineStr">
        <is>
          <t>Flood</t>
        </is>
      </c>
      <c r="C25" s="952" t="inlineStr">
        <is>
          <t>Flood Maps</t>
        </is>
      </c>
      <c r="D25" s="952" t="inlineStr">
        <is>
          <t>FEMA flood-hazard mapping overview and resources.</t>
        </is>
      </c>
      <c r="E25" s="952" t="inlineStr">
        <is>
          <t>Understand official flood-map products and updates.</t>
        </is>
      </c>
      <c r="F25" s="952" t="inlineStr">
        <is>
          <t>Yes</t>
        </is>
      </c>
      <c r="G25" s="1188" t="inlineStr">
        <is>
          <t>https://www.fema.gov/flood-maps</t>
        </is>
      </c>
      <c r="H25" s="1129" t="n">
        <v>46213</v>
      </c>
      <c r="I25" s="951" t="inlineStr">
        <is>
          <t>Critical</t>
        </is>
      </c>
    </row>
    <row r="26" ht="42" customHeight="1">
      <c r="A26" s="952" t="inlineStr">
        <is>
          <t>FEMA</t>
        </is>
      </c>
      <c r="B26" s="952" t="inlineStr">
        <is>
          <t>Flood</t>
        </is>
      </c>
      <c r="C26" s="952" t="inlineStr">
        <is>
          <t>Flood Map Service Center</t>
        </is>
      </c>
      <c r="D26" s="952" t="inlineStr">
        <is>
          <t>Official address and map search for effective flood maps.</t>
        </is>
      </c>
      <c r="E26" s="952" t="inlineStr">
        <is>
          <t>Search flood zones, panels and Letters of Map Change.</t>
        </is>
      </c>
      <c r="F26" s="952" t="inlineStr">
        <is>
          <t>Yes</t>
        </is>
      </c>
      <c r="G26" s="1188" t="inlineStr">
        <is>
          <t>https://msc.fema.gov/portal/search</t>
        </is>
      </c>
      <c r="H26" s="1129" t="n">
        <v>46213</v>
      </c>
      <c r="I26" s="951" t="inlineStr">
        <is>
          <t>Critical</t>
        </is>
      </c>
    </row>
    <row r="27" ht="42" customHeight="1">
      <c r="A27" s="952" t="inlineStr">
        <is>
          <t>FEMA</t>
        </is>
      </c>
      <c r="B27" s="952" t="inlineStr">
        <is>
          <t>Flood / GIS</t>
        </is>
      </c>
      <c r="C27" s="952" t="inlineStr">
        <is>
          <t>National Flood Hazard Layer</t>
        </is>
      </c>
      <c r="D27" s="952" t="inlineStr">
        <is>
          <t>GIS representation of current flood-hazard information.</t>
        </is>
      </c>
      <c r="E27" s="952" t="inlineStr">
        <is>
          <t>Overlay flood data in mapping workflows.</t>
        </is>
      </c>
      <c r="F27" s="952" t="inlineStr">
        <is>
          <t>Yes</t>
        </is>
      </c>
      <c r="G27" s="1188" t="inlineStr">
        <is>
          <t>https://www.fema.gov/flood-maps/national-flood-hazard-layer</t>
        </is>
      </c>
      <c r="H27" s="1129" t="n">
        <v>46213</v>
      </c>
      <c r="I27" s="951" t="inlineStr">
        <is>
          <t>High</t>
        </is>
      </c>
    </row>
    <row r="28" ht="42" customHeight="1">
      <c r="A28" s="952" t="inlineStr">
        <is>
          <t>U.S. EPA</t>
        </is>
      </c>
      <c r="B28" s="952" t="inlineStr">
        <is>
          <t>Environmental</t>
        </is>
      </c>
      <c r="C28" s="952" t="inlineStr">
        <is>
          <t>Cleanups in My Community</t>
        </is>
      </c>
      <c r="D28" s="952" t="inlineStr">
        <is>
          <t>Map of federal and state cleanup sites and programs.</t>
        </is>
      </c>
      <c r="E28" s="952" t="inlineStr">
        <is>
          <t>Screen nearby cleanup and regulated sites.</t>
        </is>
      </c>
      <c r="F28" s="952" t="inlineStr">
        <is>
          <t>Yes</t>
        </is>
      </c>
      <c r="G28" s="1188" t="inlineStr">
        <is>
          <t>https://www.epa.gov/cleanups/cleanups-my-community</t>
        </is>
      </c>
      <c r="H28" s="1129" t="n">
        <v>46213</v>
      </c>
      <c r="I28" s="951" t="inlineStr">
        <is>
          <t>Critical</t>
        </is>
      </c>
    </row>
    <row r="29" ht="42" customHeight="1">
      <c r="A29" s="952" t="inlineStr">
        <is>
          <t>U.S. EPA</t>
        </is>
      </c>
      <c r="B29" s="952" t="inlineStr">
        <is>
          <t>Environmental</t>
        </is>
      </c>
      <c r="C29" s="952" t="inlineStr">
        <is>
          <t>Direct Cleanup Map</t>
        </is>
      </c>
      <c r="D29" s="952" t="inlineStr">
        <is>
          <t>Interactive cleanup-site map.</t>
        </is>
      </c>
      <c r="E29" s="952" t="inlineStr">
        <is>
          <t>Search a specific address or area for cleanup records.</t>
        </is>
      </c>
      <c r="F29" s="952" t="inlineStr">
        <is>
          <t>Yes</t>
        </is>
      </c>
      <c r="G29" s="1188" t="inlineStr">
        <is>
          <t>https://map22.epa.gov/cimc/</t>
        </is>
      </c>
      <c r="H29" s="1129" t="n">
        <v>46213</v>
      </c>
      <c r="I29" s="951" t="inlineStr">
        <is>
          <t>High</t>
        </is>
      </c>
    </row>
    <row r="30" ht="42" customHeight="1">
      <c r="A30" s="952" t="inlineStr">
        <is>
          <t>U.S. EPA</t>
        </is>
      </c>
      <c r="B30" s="952" t="inlineStr">
        <is>
          <t>Superfund</t>
        </is>
      </c>
      <c r="C30" s="952" t="inlineStr">
        <is>
          <t>Search Superfund Sites</t>
        </is>
      </c>
      <c r="D30" s="952" t="inlineStr">
        <is>
          <t>Superfund and National Priorities List search resources.</t>
        </is>
      </c>
      <c r="E30" s="952" t="inlineStr">
        <is>
          <t>Check nearby federal Superfund sites and site documents.</t>
        </is>
      </c>
      <c r="F30" s="952" t="inlineStr">
        <is>
          <t>Yes</t>
        </is>
      </c>
      <c r="G30" s="1188" t="inlineStr">
        <is>
          <t>https://www.epa.gov/superfund/search-superfund-sites-where-you-live</t>
        </is>
      </c>
      <c r="H30" s="1129" t="n">
        <v>46213</v>
      </c>
      <c r="I30" s="951" t="inlineStr">
        <is>
          <t>High</t>
        </is>
      </c>
    </row>
    <row r="31" ht="42" customHeight="1">
      <c r="A31" s="952" t="inlineStr">
        <is>
          <t>USDA NRCS</t>
        </is>
      </c>
      <c r="B31" s="952" t="inlineStr">
        <is>
          <t>Soils</t>
        </is>
      </c>
      <c r="C31" s="952" t="inlineStr">
        <is>
          <t>Web Soil Survey</t>
        </is>
      </c>
      <c r="D31" s="952" t="inlineStr">
        <is>
          <t>Authoritative soil maps and interpretations.</t>
        </is>
      </c>
      <c r="E31" s="952" t="inlineStr">
        <is>
          <t>Evaluate soil type, drainage, engineering and agricultural characteristics.</t>
        </is>
      </c>
      <c r="F31" s="952" t="inlineStr">
        <is>
          <t>Yes</t>
        </is>
      </c>
      <c r="G31" s="1188" t="inlineStr">
        <is>
          <t>https://websoilsurvey.nrcs.usda.gov/</t>
        </is>
      </c>
      <c r="H31" s="1129" t="n">
        <v>46213</v>
      </c>
      <c r="I31" s="951" t="inlineStr">
        <is>
          <t>Critical</t>
        </is>
      </c>
    </row>
    <row r="32" ht="42" customHeight="1">
      <c r="A32" s="952" t="inlineStr">
        <is>
          <t>U.S. Fish &amp; Wildlife Service</t>
        </is>
      </c>
      <c r="B32" s="952" t="inlineStr">
        <is>
          <t>Wetlands</t>
        </is>
      </c>
      <c r="C32" s="952" t="inlineStr">
        <is>
          <t>National Wetlands Inventory Mapper</t>
        </is>
      </c>
      <c r="D32" s="952" t="inlineStr">
        <is>
          <t>Mapped wetland and aquatic-resource information.</t>
        </is>
      </c>
      <c r="E32" s="952" t="inlineStr">
        <is>
          <t>Screen for potential wetlands; field verification may still be required.</t>
        </is>
      </c>
      <c r="F32" s="952" t="inlineStr">
        <is>
          <t>Yes</t>
        </is>
      </c>
      <c r="G32" s="1188" t="inlineStr">
        <is>
          <t>https://www.fws.gov/program/national-wetlands-inventory/wetlands-mapper</t>
        </is>
      </c>
      <c r="H32" s="1129" t="n">
        <v>46213</v>
      </c>
      <c r="I32" s="951" t="inlineStr">
        <is>
          <t>High</t>
        </is>
      </c>
    </row>
    <row r="33" ht="42" customHeight="1">
      <c r="A33" s="952" t="inlineStr">
        <is>
          <t>CDOT</t>
        </is>
      </c>
      <c r="B33" s="952" t="inlineStr">
        <is>
          <t>Transportation</t>
        </is>
      </c>
      <c r="C33" s="952" t="inlineStr">
        <is>
          <t>Online Transportation Information System</t>
        </is>
      </c>
      <c r="D33" s="952" t="inlineStr">
        <is>
          <t>Traffic, highway attributes, planning and geographic data.</t>
        </is>
      </c>
      <c r="E33" s="952" t="inlineStr">
        <is>
          <t>Research state-highway context and transportation planning.</t>
        </is>
      </c>
      <c r="F33" s="952" t="inlineStr">
        <is>
          <t>Yes</t>
        </is>
      </c>
      <c r="G33" s="1188" t="inlineStr">
        <is>
          <t>https://dtdapps.codot.gov/otis</t>
        </is>
      </c>
      <c r="H33" s="1129" t="n">
        <v>46213</v>
      </c>
      <c r="I33" s="951" t="inlineStr">
        <is>
          <t>Critical</t>
        </is>
      </c>
    </row>
    <row r="34" ht="42" customHeight="1">
      <c r="A34" s="952" t="inlineStr">
        <is>
          <t>CDOT</t>
        </is>
      </c>
      <c r="B34" s="952" t="inlineStr">
        <is>
          <t>Transportation</t>
        </is>
      </c>
      <c r="C34" s="952" t="inlineStr">
        <is>
          <t>Highway Data Explorer</t>
        </is>
      </c>
      <c r="D34" s="952" t="inlineStr">
        <is>
          <t>Map-based state highway data and attributes.</t>
        </is>
      </c>
      <c r="E34" s="952" t="inlineStr">
        <is>
          <t>Review highway classification, geometry and related data.</t>
        </is>
      </c>
      <c r="F34" s="952" t="inlineStr">
        <is>
          <t>Yes</t>
        </is>
      </c>
      <c r="G34" s="1188" t="inlineStr">
        <is>
          <t>https://dtdapps.codot.gov/otis/HighwayData</t>
        </is>
      </c>
      <c r="H34" s="1129" t="n">
        <v>46213</v>
      </c>
      <c r="I34" s="951" t="inlineStr">
        <is>
          <t>High</t>
        </is>
      </c>
    </row>
    <row r="35" ht="42" customHeight="1">
      <c r="A35" s="952" t="inlineStr">
        <is>
          <t>CDOT</t>
        </is>
      </c>
      <c r="B35" s="952" t="inlineStr">
        <is>
          <t>Traffic</t>
        </is>
      </c>
      <c r="C35" s="952" t="inlineStr">
        <is>
          <t>Traffic Data Explorer</t>
        </is>
      </c>
      <c r="D35" s="952" t="inlineStr">
        <is>
          <t>Traffic stations, AADT and projected traffic data.</t>
        </is>
      </c>
      <c r="E35" s="952" t="inlineStr">
        <is>
          <t>Support access, development and market analysis.</t>
        </is>
      </c>
      <c r="F35" s="952" t="inlineStr">
        <is>
          <t>Yes</t>
        </is>
      </c>
      <c r="G35" s="1188" t="inlineStr">
        <is>
          <t>https://dtdapps.codot.gov/otis/TrafficData</t>
        </is>
      </c>
      <c r="H35" s="1129" t="n">
        <v>46213</v>
      </c>
      <c r="I35" s="951" t="inlineStr">
        <is>
          <t>High</t>
        </is>
      </c>
    </row>
    <row r="36" ht="42" customHeight="1">
      <c r="A36" s="952" t="inlineStr">
        <is>
          <t>History Colorado</t>
        </is>
      </c>
      <c r="B36" s="952" t="inlineStr">
        <is>
          <t>Historic Properties</t>
        </is>
      </c>
      <c r="C36" s="952" t="inlineStr">
        <is>
          <t>Compass Information</t>
        </is>
      </c>
      <c r="D36" s="952" t="inlineStr">
        <is>
          <t>State cultural-resource inventory and research guidance.</t>
        </is>
      </c>
      <c r="E36" s="952" t="inlineStr">
        <is>
          <t>Screen historic resources and understand access to cultural-resource data.</t>
        </is>
      </c>
      <c r="F36" s="952" t="inlineStr">
        <is>
          <t>Yes</t>
        </is>
      </c>
      <c r="G36" s="1188" t="inlineStr">
        <is>
          <t>https://www.historycolorado.org/compass-information</t>
        </is>
      </c>
      <c r="H36" s="1129" t="n">
        <v>46213</v>
      </c>
      <c r="I36" s="951" t="inlineStr">
        <is>
          <t>High</t>
        </is>
      </c>
    </row>
    <row r="37" ht="42" customHeight="1">
      <c r="A37" s="952" t="inlineStr">
        <is>
          <t>History Colorado</t>
        </is>
      </c>
      <c r="B37" s="952" t="inlineStr">
        <is>
          <t>Historic Properties</t>
        </is>
      </c>
      <c r="C37" s="952" t="inlineStr">
        <is>
          <t>National &amp; State Register Listed Properties</t>
        </is>
      </c>
      <c r="D37" s="952" t="inlineStr">
        <is>
          <t>Lists and records of registered historic properties.</t>
        </is>
      </c>
      <c r="E37" s="952" t="inlineStr">
        <is>
          <t>Check whether a property or nearby resource is listed.</t>
        </is>
      </c>
      <c r="F37" s="952" t="inlineStr">
        <is>
          <t>Yes</t>
        </is>
      </c>
      <c r="G37" s="1188" t="inlineStr">
        <is>
          <t>https://www.historycolorado.org/national-state-register-listed-properties</t>
        </is>
      </c>
      <c r="H37" s="1129" t="n">
        <v>46213</v>
      </c>
      <c r="I37" s="951" t="inlineStr">
        <is>
          <t>High</t>
        </is>
      </c>
    </row>
    <row r="38" ht="42" customHeight="1">
      <c r="A38" s="952" t="inlineStr">
        <is>
          <t>Colorado Division of Real Estate</t>
        </is>
      </c>
      <c r="B38" s="952" t="inlineStr">
        <is>
          <t>HOA</t>
        </is>
      </c>
      <c r="C38" s="952" t="inlineStr">
        <is>
          <t>HOA Center</t>
        </is>
      </c>
      <c r="D38" s="952" t="inlineStr">
        <is>
          <t>Information about common-interest communities, CCIOA and HOA resources.</t>
        </is>
      </c>
      <c r="E38" s="952" t="inlineStr">
        <is>
          <t>Understand HOA registration and common-interest community issues.</t>
        </is>
      </c>
      <c r="F38" s="952" t="inlineStr">
        <is>
          <t>Yes</t>
        </is>
      </c>
      <c r="G38" s="1188" t="inlineStr">
        <is>
          <t>https://dre.colorado.gov/hoa-center</t>
        </is>
      </c>
      <c r="H38" s="1129" t="n">
        <v>46213</v>
      </c>
      <c r="I38" s="951" t="inlineStr">
        <is>
          <t>High</t>
        </is>
      </c>
    </row>
    <row r="39" ht="42" customHeight="1">
      <c r="A39" s="952" t="inlineStr">
        <is>
          <t>Colorado Division of Real Estate</t>
        </is>
      </c>
      <c r="B39" s="952" t="inlineStr">
        <is>
          <t>HOA</t>
        </is>
      </c>
      <c r="C39" s="952" t="inlineStr">
        <is>
          <t>HOA Registration Services</t>
        </is>
      </c>
      <c r="D39" s="952" t="inlineStr">
        <is>
          <t>HOA registration lookup guidance and registration resources.</t>
        </is>
      </c>
      <c r="E39" s="952" t="inlineStr">
        <is>
          <t>Check an association's registration status and identify contacts.</t>
        </is>
      </c>
      <c r="F39" s="952" t="inlineStr">
        <is>
          <t>Yes</t>
        </is>
      </c>
      <c r="G39" s="1188" t="inlineStr">
        <is>
          <t>https://dre.colorado.gov/hoa-registration-services</t>
        </is>
      </c>
      <c r="H39" s="1129" t="n">
        <v>46213</v>
      </c>
      <c r="I39" s="951" t="inlineStr">
        <is>
          <t>High</t>
        </is>
      </c>
    </row>
    <row r="40" ht="42" customHeight="1">
      <c r="A40" s="952" t="inlineStr">
        <is>
          <t>Colorado DORA</t>
        </is>
      </c>
      <c r="B40" s="952" t="inlineStr">
        <is>
          <t>Professional Licenses</t>
        </is>
      </c>
      <c r="C40" s="952" t="inlineStr">
        <is>
          <t>Verify a Professional or Business License</t>
        </is>
      </c>
      <c r="D40" s="952" t="inlineStr">
        <is>
          <t>Search licenses for brokers, engineers, architects and other regulated professionals.</t>
        </is>
      </c>
      <c r="E40" s="952" t="inlineStr">
        <is>
          <t>Verify people and firms involved in a transaction or project.</t>
        </is>
      </c>
      <c r="F40" s="952" t="inlineStr">
        <is>
          <t>Yes</t>
        </is>
      </c>
      <c r="G40" s="1188" t="inlineStr">
        <is>
          <t>https://co.colorado.gov/verify-status-professionals-license</t>
        </is>
      </c>
      <c r="H40" s="1129" t="n">
        <v>46213</v>
      </c>
      <c r="I40" s="951" t="inlineStr">
        <is>
          <t>Useful</t>
        </is>
      </c>
    </row>
    <row r="41" ht="42" customHeight="1">
      <c r="A41" s="952" t="inlineStr">
        <is>
          <t>Colorado State Land Board</t>
        </is>
      </c>
      <c r="B41" s="952" t="inlineStr">
        <is>
          <t>State Trust Land</t>
        </is>
      </c>
      <c r="C41" s="952" t="inlineStr">
        <is>
          <t>State Land Board Online Services</t>
        </is>
      </c>
      <c r="D41" s="952" t="inlineStr">
        <is>
          <t>State trust land and lease-related online services.</t>
        </is>
      </c>
      <c r="E41" s="952" t="inlineStr">
        <is>
          <t>Screen potential state trust land interests and obtain state land information.</t>
        </is>
      </c>
      <c r="F41" s="952" t="inlineStr">
        <is>
          <t>Yes</t>
        </is>
      </c>
      <c r="G41" s="1188" t="inlineStr">
        <is>
          <t>https://secure.slb.colorado.gov/</t>
        </is>
      </c>
      <c r="H41" s="1129" t="n">
        <v>46213</v>
      </c>
      <c r="I41" s="951" t="inlineStr">
        <is>
          <t>Useful</t>
        </is>
      </c>
    </row>
    <row r="42" ht="42" customHeight="1">
      <c r="A42" s="952" t="inlineStr">
        <is>
          <t>BLM</t>
        </is>
      </c>
      <c r="B42" s="952" t="inlineStr">
        <is>
          <t>Federal Land / GIS</t>
        </is>
      </c>
      <c r="C42" s="952" t="inlineStr">
        <is>
          <t>Colorado GIS Datasets</t>
        </is>
      </c>
      <c r="D42" s="952" t="inlineStr">
        <is>
          <t>Federal land and resource GIS datasets.</t>
        </is>
      </c>
      <c r="E42" s="952" t="inlineStr">
        <is>
          <t>Screen federal land status and download BLM layers.</t>
        </is>
      </c>
      <c r="F42" s="952" t="inlineStr">
        <is>
          <t>Yes</t>
        </is>
      </c>
      <c r="G42" s="1188" t="inlineStr">
        <is>
          <t>https://www.blm.gov/maps/frequently-requested/colorado/gis-datasets</t>
        </is>
      </c>
      <c r="H42" s="1129" t="n">
        <v>46213</v>
      </c>
      <c r="I42" s="951" t="inlineStr">
        <is>
          <t>Useful</t>
        </is>
      </c>
    </row>
  </sheetData>
  <mergeCells count="2">
    <mergeCell ref="A1:I1"/>
    <mergeCell ref="A2:I2"/>
  </mergeCells>
  <dataValidations count="1">
    <dataValidation sqref="I5:I42"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s>
  <pageMargins left="0.75" right="0.75" top="1" bottom="1" header="0.5" footer="0.5"/>
</worksheet>
</file>

<file path=xl/worksheets/sheet22.xml><?xml version="1.0" encoding="utf-8"?>
<worksheet xmlns="http://schemas.openxmlformats.org/spreadsheetml/2006/main">
  <sheetPr>
    <tabColor rgb="00D97706"/>
    <outlinePr summaryBelow="1" summaryRight="1"/>
    <pageSetUpPr/>
  </sheetPr>
  <dimension ref="A1:I36"/>
  <sheetViews>
    <sheetView workbookViewId="0">
      <selection activeCell="A1" sqref="A1"/>
    </sheetView>
  </sheetViews>
  <sheetFormatPr baseColWidth="8" defaultRowHeight="15"/>
  <cols>
    <col width="6" customWidth="1" min="1" max="1"/>
    <col width="32" customWidth="1" min="2" max="2"/>
    <col width="52" customWidth="1" min="3" max="3"/>
    <col width="52" customWidth="1" min="4" max="4"/>
    <col width="52" customWidth="1" min="5" max="5"/>
    <col width="52" customWidth="1" min="6" max="6"/>
    <col width="52" customWidth="1" min="7" max="7"/>
    <col width="13" customWidth="1" min="8" max="8"/>
    <col width="34" customWidth="1" min="9" max="9"/>
  </cols>
  <sheetData>
    <row r="1" ht="32" customHeight="1">
      <c r="A1" s="957" t="inlineStr">
        <is>
          <t>Property Due-Diligence Checklist</t>
        </is>
      </c>
    </row>
    <row r="2" ht="28" customHeight="1">
      <c r="A2" s="958" t="inlineStr">
        <is>
          <t>Use one copy per property. Update Status, add notes, and save the evidence listed for each step. This is a research workflow, not legal, survey, engineering or title advice.</t>
        </is>
      </c>
    </row>
    <row r="4" ht="30" customHeight="1">
      <c r="A4" s="959" t="inlineStr">
        <is>
          <t>Step</t>
        </is>
      </c>
      <c r="B4" s="959" t="inlineStr">
        <is>
          <t>Topic</t>
        </is>
      </c>
      <c r="C4" s="1187" t="inlineStr">
        <is>
          <t>Question / Action</t>
        </is>
      </c>
      <c r="D4" s="1187" t="inlineStr">
        <is>
          <t>Primary Resource</t>
        </is>
      </c>
      <c r="E4" s="1187" t="inlineStr">
        <is>
          <t>URL</t>
        </is>
      </c>
      <c r="F4" s="1187" t="inlineStr">
        <is>
          <t>Evidence to Save</t>
        </is>
      </c>
      <c r="G4" s="1187" t="inlineStr">
        <is>
          <t>Red Flags / Follow-up</t>
        </is>
      </c>
      <c r="H4" s="959" t="inlineStr">
        <is>
          <t>Status</t>
        </is>
      </c>
      <c r="I4" s="959" t="inlineStr">
        <is>
          <t>Notes</t>
        </is>
      </c>
    </row>
    <row r="5" ht="42" customHeight="1">
      <c r="A5" s="951" t="n">
        <v>1</v>
      </c>
      <c r="B5" s="952" t="inlineStr">
        <is>
          <t>Parcel identity</t>
        </is>
      </c>
      <c r="C5" s="952" t="inlineStr">
        <is>
          <t>Normalize the street address and obtain the Adams County parcel/account number.</t>
        </is>
      </c>
      <c r="D5" s="952" t="inlineStr">
        <is>
          <t>Adams County Search Real Property</t>
        </is>
      </c>
      <c r="E5" s="1188" t="inlineStr">
        <is>
          <t>https://adamscountyco.gov/service/search-real-property/</t>
        </is>
      </c>
      <c r="F5" s="952" t="inlineStr">
        <is>
          <t>Property summary, APN/account number and screenshot/PDF</t>
        </is>
      </c>
      <c r="G5" s="952" t="inlineStr">
        <is>
          <t>Address mismatch, multiple parcels, condominium unit confusion</t>
        </is>
      </c>
      <c r="H5" s="951" t="inlineStr">
        <is>
          <t>Not Started</t>
        </is>
      </c>
      <c r="I5" s="952" t="n"/>
    </row>
    <row r="6" ht="42" customHeight="1">
      <c r="A6" s="951" t="n">
        <v>2</v>
      </c>
      <c r="B6" s="952" t="inlineStr">
        <is>
          <t>Jurisdiction</t>
        </is>
      </c>
      <c r="C6" s="952" t="inlineStr">
        <is>
          <t>Confirm the parcel's county, municipal boundary and whether it is unincorporated.</t>
        </is>
      </c>
      <c r="D6" s="952" t="inlineStr">
        <is>
          <t>County Cities &amp; Towns + Colorado Municipal Boundaries</t>
        </is>
      </c>
      <c r="E6" s="1188" t="inlineStr">
        <is>
          <t>https://gis.dola.colorado.gov/CO_Muni/</t>
        </is>
      </c>
      <c r="F6" s="952" t="inlineStr">
        <is>
          <t>Boundary map and jurisdiction note</t>
        </is>
      </c>
      <c r="G6" s="952" t="inlineStr">
        <is>
          <t>Mailing city differs from legal jurisdiction; recent annexation</t>
        </is>
      </c>
      <c r="H6" s="951" t="inlineStr">
        <is>
          <t>Not Started</t>
        </is>
      </c>
      <c r="I6" s="952" t="n"/>
    </row>
    <row r="7" ht="42" customHeight="1">
      <c r="A7" s="951" t="n">
        <v>3</v>
      </c>
      <c r="B7" s="952" t="inlineStr">
        <is>
          <t>Ownership</t>
        </is>
      </c>
      <c r="C7" s="952" t="inlineStr">
        <is>
          <t>Verify current owner name, mailing address, legal description and assessment record.</t>
        </is>
      </c>
      <c r="D7" s="952" t="inlineStr">
        <is>
          <t>Adams County Assessor Quick Search</t>
        </is>
      </c>
      <c r="E7" s="1188" t="inlineStr">
        <is>
          <t>https://gisapp.adcogov.org/quicksearch/</t>
        </is>
      </c>
      <c r="F7" s="952" t="inlineStr">
        <is>
          <t>Assessor property detail</t>
        </is>
      </c>
      <c r="G7" s="952" t="inlineStr">
        <is>
          <t>Owner entity name differs from contract; stale mailing address</t>
        </is>
      </c>
      <c r="H7" s="951" t="inlineStr">
        <is>
          <t>Not Started</t>
        </is>
      </c>
      <c r="I7" s="952" t="n"/>
    </row>
    <row r="8" ht="42" customHeight="1">
      <c r="A8" s="951" t="n">
        <v>4</v>
      </c>
      <c r="B8" s="952" t="inlineStr">
        <is>
          <t>Legal description</t>
        </is>
      </c>
      <c r="C8" s="952" t="inlineStr">
        <is>
          <t>Compare the assessor legal description with the deed and survey/plat.</t>
        </is>
      </c>
      <c r="D8" s="952" t="inlineStr">
        <is>
          <t>Adams County Landmark Web</t>
        </is>
      </c>
      <c r="E8" s="1188" t="inlineStr">
        <is>
          <t>https://recording.adamscountyco.gov/landmarkweb/</t>
        </is>
      </c>
      <c r="F8" s="952" t="inlineStr">
        <is>
          <t>Latest vesting deed and legal description</t>
        </is>
      </c>
      <c r="G8" s="952" t="inlineStr">
        <is>
          <t>Abbreviated assessor description, omitted tract, exception or easement</t>
        </is>
      </c>
      <c r="H8" s="951" t="inlineStr">
        <is>
          <t>Not Started</t>
        </is>
      </c>
      <c r="I8" s="952" t="n"/>
    </row>
    <row r="9" ht="42" customHeight="1">
      <c r="A9" s="951" t="n">
        <v>5</v>
      </c>
      <c r="B9" s="952" t="inlineStr">
        <is>
          <t>Deed chain</t>
        </is>
      </c>
      <c r="C9" s="952" t="inlineStr">
        <is>
          <t>Pull the current vesting deed and prior deeds needed to understand title history.</t>
        </is>
      </c>
      <c r="D9" s="952" t="inlineStr">
        <is>
          <t>Adams County Landmark Web</t>
        </is>
      </c>
      <c r="E9" s="1188" t="inlineStr">
        <is>
          <t>https://recording.adamscountyco.gov/landmarkweb/</t>
        </is>
      </c>
      <c r="F9" s="952" t="inlineStr">
        <is>
          <t>Recorded deed images and document numbers</t>
        </is>
      </c>
      <c r="G9" s="952" t="inlineStr">
        <is>
          <t>Quitclaim transfers, estate/probate issues, entity changes, recording gaps</t>
        </is>
      </c>
      <c r="H9" s="951" t="inlineStr">
        <is>
          <t>Not Started</t>
        </is>
      </c>
      <c r="I9" s="952" t="n"/>
    </row>
    <row r="10" ht="42" customHeight="1">
      <c r="A10" s="951" t="n">
        <v>6</v>
      </c>
      <c r="B10" s="952" t="inlineStr">
        <is>
          <t>Recorded encumbrances</t>
        </is>
      </c>
      <c r="C10" s="952" t="inlineStr">
        <is>
          <t>Search for deeds of trust, releases, easements, covenants, liens, notices and agreements.</t>
        </is>
      </c>
      <c r="D10" s="952" t="inlineStr">
        <is>
          <t>Adams County Recorded Documents</t>
        </is>
      </c>
      <c r="E10" s="1188" t="inlineStr">
        <is>
          <t>https://adamscountyco.gov/service/find-public-records-recorded-documents/</t>
        </is>
      </c>
      <c r="F10" s="952" t="inlineStr">
        <is>
          <t>Index results and relevant document images</t>
        </is>
      </c>
      <c r="G10" s="952" t="inlineStr">
        <is>
          <t>Unreleased liens, access easements, restrictive covenants, notices of default</t>
        </is>
      </c>
      <c r="H10" s="951" t="inlineStr">
        <is>
          <t>Not Started</t>
        </is>
      </c>
      <c r="I10" s="952" t="n"/>
    </row>
    <row r="11" ht="42" customHeight="1">
      <c r="A11" s="951" t="n">
        <v>7</v>
      </c>
      <c r="B11" s="952" t="inlineStr">
        <is>
          <t>Title</t>
        </is>
      </c>
      <c r="C11" s="952" t="inlineStr">
        <is>
          <t>Order a title commitment and compare exceptions with independently found records.</t>
        </is>
      </c>
      <c r="D11" s="952" t="inlineStr">
        <is>
          <t>Licensed title company / attorney</t>
        </is>
      </c>
      <c r="E11" s="963" t="n"/>
      <c r="F11" s="952" t="inlineStr">
        <is>
          <t>Current title commitment and exception documents</t>
        </is>
      </c>
      <c r="G11" s="952" t="inlineStr">
        <is>
          <t>Unresolved requirements, gap risk, standard exceptions that need survey evidence</t>
        </is>
      </c>
      <c r="H11" s="951" t="inlineStr">
        <is>
          <t>Not Started</t>
        </is>
      </c>
      <c r="I11" s="952" t="n"/>
    </row>
    <row r="12" ht="42" customHeight="1">
      <c r="A12" s="951" t="n">
        <v>8</v>
      </c>
      <c r="B12" s="952" t="inlineStr">
        <is>
          <t>Taxes</t>
        </is>
      </c>
      <c r="C12" s="952" t="inlineStr">
        <is>
          <t>Verify current and prior property-tax status, delinquency and payment history.</t>
        </is>
      </c>
      <c r="D12" s="952" t="inlineStr">
        <is>
          <t>Adams County Tax Portal</t>
        </is>
      </c>
      <c r="E12" s="1188" t="inlineStr">
        <is>
          <t>https://adcotax.com/</t>
        </is>
      </c>
      <c r="F12" s="952" t="inlineStr">
        <is>
          <t>Tax statement and payment history</t>
        </is>
      </c>
      <c r="G12" s="952" t="inlineStr">
        <is>
          <t>Delinquent taxes, omitted taxes, special assessments</t>
        </is>
      </c>
      <c r="H12" s="951" t="inlineStr">
        <is>
          <t>Not Started</t>
        </is>
      </c>
      <c r="I12" s="952" t="n"/>
    </row>
    <row r="13" ht="42" customHeight="1">
      <c r="A13" s="951" t="n">
        <v>9</v>
      </c>
      <c r="B13" s="952" t="inlineStr">
        <is>
          <t>Tax liens / deed</t>
        </is>
      </c>
      <c r="C13" s="952" t="inlineStr">
        <is>
          <t>Check tax-lien sale and treasurer's deed information when delinquency appears.</t>
        </is>
      </c>
      <c r="D13" s="952" t="inlineStr">
        <is>
          <t>Adams County Tax Lien Sale</t>
        </is>
      </c>
      <c r="E13" s="1188" t="inlineStr">
        <is>
          <t>https://adamscountyco.gov/our-county/elected-officials/treasurer-public-trustee/treasurer-division/tax-lien-sale/</t>
        </is>
      </c>
      <c r="F13" s="952" t="inlineStr">
        <is>
          <t>Tax-lien research notes</t>
        </is>
      </c>
      <c r="G13" s="952" t="inlineStr">
        <is>
          <t>Outstanding certificates, redemption deadlines, treasurer's deed process</t>
        </is>
      </c>
      <c r="H13" s="951" t="inlineStr">
        <is>
          <t>Not Started</t>
        </is>
      </c>
      <c r="I13" s="952" t="n"/>
    </row>
    <row r="14" ht="42" customHeight="1">
      <c r="A14" s="951" t="n">
        <v>10</v>
      </c>
      <c r="B14" s="952" t="inlineStr">
        <is>
          <t>Foreclosure</t>
        </is>
      </c>
      <c r="C14" s="952" t="inlineStr">
        <is>
          <t>Search public trustee foreclosure records and reports.</t>
        </is>
      </c>
      <c r="D14" s="952" t="inlineStr">
        <is>
          <t>Adams County Foreclosure Search</t>
        </is>
      </c>
      <c r="E14" s="1188" t="inlineStr">
        <is>
          <t>https://apps.adcogov.org/PTForeclosureSearch/?ds=1</t>
        </is>
      </c>
      <c r="F14" s="952" t="inlineStr">
        <is>
          <t>Foreclosure search results</t>
        </is>
      </c>
      <c r="G14" s="952" t="inlineStr">
        <is>
          <t>Active case, sale date, withdrawn/restarted case, borrower-name variants</t>
        </is>
      </c>
      <c r="H14" s="951" t="inlineStr">
        <is>
          <t>Not Started</t>
        </is>
      </c>
      <c r="I14" s="952" t="n"/>
    </row>
    <row r="15" ht="42" customHeight="1">
      <c r="A15" s="951" t="n">
        <v>11</v>
      </c>
      <c r="B15" s="952" t="inlineStr">
        <is>
          <t>Survey / plat</t>
        </is>
      </c>
      <c r="C15" s="952" t="inlineStr">
        <is>
          <t>Locate recorded plats and surveys; obtain a current survey if boundaries or improvements matter.</t>
        </is>
      </c>
      <c r="D15" s="952" t="inlineStr">
        <is>
          <t>Adams County Land Survey Plats</t>
        </is>
      </c>
      <c r="E15" s="1188" t="inlineStr">
        <is>
          <t>https://adamscountyco.gov/our-county/elected-officials/clerk-recorder/recording/land-survey-plats/</t>
        </is>
      </c>
      <c r="F15" s="952" t="inlineStr">
        <is>
          <t>Recorded plat/survey and current field survey when appropriate</t>
        </is>
      </c>
      <c r="G15" s="952" t="inlineStr">
        <is>
          <t>Encroachments, gaps/overlaps, fence conflicts, unrecorded access</t>
        </is>
      </c>
      <c r="H15" s="951" t="inlineStr">
        <is>
          <t>Not Started</t>
        </is>
      </c>
      <c r="I15" s="952" t="n"/>
    </row>
    <row r="16" ht="42" customHeight="1">
      <c r="A16" s="951" t="n">
        <v>12</v>
      </c>
      <c r="B16" s="952" t="inlineStr">
        <is>
          <t>Zoning district</t>
        </is>
      </c>
      <c r="C16" s="952" t="inlineStr">
        <is>
          <t>Confirm zoning with the correct city/town or Adams County for an unincorporated parcel.</t>
        </is>
      </c>
      <c r="D16" s="952" t="inlineStr">
        <is>
          <t>Quick Matrix / local zoning page</t>
        </is>
      </c>
      <c r="E16" s="963" t="n"/>
      <c r="F16" s="952" t="inlineStr">
        <is>
          <t>Zoning map screenshot and written zoning confirmation when material</t>
        </is>
      </c>
      <c r="G16" s="952" t="inlineStr">
        <is>
          <t>Split zoning, overlay district, pending rezoning, map/code conflict</t>
        </is>
      </c>
      <c r="H16" s="951" t="inlineStr">
        <is>
          <t>Not Started</t>
        </is>
      </c>
      <c r="I16" s="952" t="n"/>
    </row>
    <row r="17" ht="42" customHeight="1">
      <c r="A17" s="951" t="n">
        <v>13</v>
      </c>
      <c r="B17" s="952" t="inlineStr">
        <is>
          <t>Allowed use</t>
        </is>
      </c>
      <c r="C17" s="952" t="inlineStr">
        <is>
          <t>Read the current code for permitted, conditional, accessory and prohibited uses.</t>
        </is>
      </c>
      <c r="D17" s="952" t="inlineStr">
        <is>
          <t>Local land-use code</t>
        </is>
      </c>
      <c r="E17" s="963" t="n"/>
      <c r="F17" s="952" t="inlineStr">
        <is>
          <t>Code sections and planner confirmation</t>
        </is>
      </c>
      <c r="G17" s="952" t="inlineStr">
        <is>
          <t>Use requires hearing, spacing/separation rule, nonconforming status</t>
        </is>
      </c>
      <c r="H17" s="951" t="inlineStr">
        <is>
          <t>Not Started</t>
        </is>
      </c>
      <c r="I17" s="952" t="n"/>
    </row>
    <row r="18" ht="42" customHeight="1">
      <c r="A18" s="951" t="n">
        <v>14</v>
      </c>
      <c r="B18" s="952" t="inlineStr">
        <is>
          <t>Dimensional / design standards</t>
        </is>
      </c>
      <c r="C18" s="952" t="inlineStr">
        <is>
          <t>Check setbacks, height, lot coverage, parking, landscaping, design and sign rules.</t>
        </is>
      </c>
      <c r="D18" s="952" t="inlineStr">
        <is>
          <t>Local zoning/development code</t>
        </is>
      </c>
      <c r="E18" s="963" t="n"/>
      <c r="F18" s="952" t="inlineStr">
        <is>
          <t>Applicable standard excerpts</t>
        </is>
      </c>
      <c r="G18" s="952" t="inlineStr">
        <is>
          <t>Existing or proposed improvements do not comply</t>
        </is>
      </c>
      <c r="H18" s="951" t="inlineStr">
        <is>
          <t>Not Started</t>
        </is>
      </c>
      <c r="I18" s="952" t="n"/>
    </row>
    <row r="19" ht="42" customHeight="1">
      <c r="A19" s="951" t="n">
        <v>15</v>
      </c>
      <c r="B19" s="952" t="inlineStr">
        <is>
          <t>Overlays / constraints</t>
        </is>
      </c>
      <c r="C19" s="952" t="inlineStr">
        <is>
          <t>Check airport, flood, historic, oil/gas, design, corridor and other overlay districts.</t>
        </is>
      </c>
      <c r="D19" s="952" t="inlineStr">
        <is>
          <t>Local GIS + county/state tools</t>
        </is>
      </c>
      <c r="E19" s="963" t="n"/>
      <c r="F19" s="952" t="inlineStr">
        <is>
          <t>Overlay maps and applicable standards</t>
        </is>
      </c>
      <c r="G19" s="952" t="inlineStr">
        <is>
          <t>Overlay adds approval, disclosure or construction limits</t>
        </is>
      </c>
      <c r="H19" s="951" t="inlineStr">
        <is>
          <t>Not Started</t>
        </is>
      </c>
      <c r="I19" s="952" t="n"/>
    </row>
    <row r="20" ht="42" customHeight="1">
      <c r="A20" s="951" t="n">
        <v>16</v>
      </c>
      <c r="B20" s="952" t="inlineStr">
        <is>
          <t>Future land use</t>
        </is>
      </c>
      <c r="C20" s="952" t="inlineStr">
        <is>
          <t>Review the comprehensive plan, future land-use map and adopted area/corridor plans.</t>
        </is>
      </c>
      <c r="D20" s="952" t="inlineStr">
        <is>
          <t>Local comprehensive/long-range plan</t>
        </is>
      </c>
      <c r="E20" s="963" t="n"/>
      <c r="F20" s="952" t="inlineStr">
        <is>
          <t>Future land-use designation and policy notes</t>
        </is>
      </c>
      <c r="G20" s="952" t="inlineStr">
        <is>
          <t>Future designation conflicts with intended use; planned roadway or redevelopment area</t>
        </is>
      </c>
      <c r="H20" s="951" t="inlineStr">
        <is>
          <t>Not Started</t>
        </is>
      </c>
      <c r="I20" s="952" t="n"/>
    </row>
    <row r="21" ht="42" customHeight="1">
      <c r="A21" s="951" t="n">
        <v>17</v>
      </c>
      <c r="B21" s="952" t="inlineStr">
        <is>
          <t>Active development</t>
        </is>
      </c>
      <c r="C21" s="952" t="inlineStr">
        <is>
          <t>Search active development maps and project-status portals near the parcel.</t>
        </is>
      </c>
      <c r="D21" s="952" t="inlineStr">
        <is>
          <t>Local development projects page</t>
        </is>
      </c>
      <c r="E21" s="963" t="n"/>
      <c r="F21" s="952" t="inlineStr">
        <is>
          <t>Nearby project list/map</t>
        </is>
      </c>
      <c r="G21" s="952" t="inlineStr">
        <is>
          <t>Large pending project changes traffic, drainage, views, demand or compatibility</t>
        </is>
      </c>
      <c r="H21" s="951" t="inlineStr">
        <is>
          <t>Not Started</t>
        </is>
      </c>
      <c r="I21" s="952" t="n"/>
    </row>
    <row r="22" ht="42" customHeight="1">
      <c r="A22" s="951" t="n">
        <v>18</v>
      </c>
      <c r="B22" s="952" t="inlineStr">
        <is>
          <t>Hearings / cases</t>
        </is>
      </c>
      <c r="C22" s="952" t="inlineStr">
        <is>
          <t>Search current land-use cases, agendas and public notices by address, owner and project name.</t>
        </is>
      </c>
      <c r="D22" s="952" t="inlineStr">
        <is>
          <t>Meetings &amp; News sheet</t>
        </is>
      </c>
      <c r="E22" s="963" t="n"/>
      <c r="F22" s="952" t="inlineStr">
        <is>
          <t>Agendas, staff reports and hearing notices</t>
        </is>
      </c>
      <c r="G22" s="952" t="inlineStr">
        <is>
          <t>Pending rezoning, variance, annexation, subdivision or code amendment</t>
        </is>
      </c>
      <c r="H22" s="951" t="inlineStr">
        <is>
          <t>Not Started</t>
        </is>
      </c>
      <c r="I22" s="952" t="n"/>
    </row>
    <row r="23" ht="42" customHeight="1">
      <c r="A23" s="951" t="n">
        <v>19</v>
      </c>
      <c r="B23" s="952" t="inlineStr">
        <is>
          <t>Permit history</t>
        </is>
      </c>
      <c r="C23" s="952" t="inlineStr">
        <is>
          <t>Search building and development permits; request older records when online data is incomplete.</t>
        </is>
      </c>
      <c r="D23" s="952" t="inlineStr">
        <is>
          <t>Local permit portal / public records</t>
        </is>
      </c>
      <c r="E23" s="963" t="n"/>
      <c r="F23" s="952" t="inlineStr">
        <is>
          <t>Permit list, plans, certificates and inspection history</t>
        </is>
      </c>
      <c r="G23" s="952" t="inlineStr">
        <is>
          <t>Unpermitted work, open permit, failed inspection, missing certificate of occupancy</t>
        </is>
      </c>
      <c r="H23" s="951" t="inlineStr">
        <is>
          <t>Not Started</t>
        </is>
      </c>
      <c r="I23" s="952" t="n"/>
    </row>
    <row r="24" ht="42" customHeight="1">
      <c r="A24" s="951" t="n">
        <v>20</v>
      </c>
      <c r="B24" s="952" t="inlineStr">
        <is>
          <t>Code compliance</t>
        </is>
      </c>
      <c r="C24" s="952" t="inlineStr">
        <is>
          <t>Check for open code cases, violations and nuisance/unsafe-building records.</t>
        </is>
      </c>
      <c r="D24" s="952" t="inlineStr">
        <is>
          <t>Local code enforcement / records request</t>
        </is>
      </c>
      <c r="E24" s="963" t="n"/>
      <c r="F24" s="952" t="inlineStr">
        <is>
          <t>Code case history and clearance confirmation</t>
        </is>
      </c>
      <c r="G24" s="952" t="inlineStr">
        <is>
          <t>Open violation, repeat complaint, abatement lien or unsafe condition</t>
        </is>
      </c>
      <c r="H24" s="951" t="inlineStr">
        <is>
          <t>Not Started</t>
        </is>
      </c>
      <c r="I24" s="952" t="n"/>
    </row>
    <row r="25" ht="42" customHeight="1">
      <c r="A25" s="951" t="n">
        <v>21</v>
      </c>
      <c r="B25" s="952" t="inlineStr">
        <is>
          <t>Utilities / districts</t>
        </is>
      </c>
      <c r="C25" s="952" t="inlineStr">
        <is>
          <t>Identify water, sewer, fire, metro and other special districts; verify service and fees.</t>
        </is>
      </c>
      <c r="D25" s="952" t="inlineStr">
        <is>
          <t>Colorado Special Districts Map</t>
        </is>
      </c>
      <c r="E25" s="1188" t="inlineStr">
        <is>
          <t>https://gis.dola.colorado.gov/CO_SpecialDistrict/</t>
        </is>
      </c>
      <c r="F25" s="952" t="inlineStr">
        <is>
          <t>District list, service letters, fee schedules</t>
        </is>
      </c>
      <c r="G25" s="952" t="inlineStr">
        <is>
          <t>No committed service, high tap fees, multiple mill levies, private system</t>
        </is>
      </c>
      <c r="H25" s="951" t="inlineStr">
        <is>
          <t>Not Started</t>
        </is>
      </c>
      <c r="I25" s="952" t="n"/>
    </row>
    <row r="26" ht="42" customHeight="1">
      <c r="A26" s="951" t="n">
        <v>22</v>
      </c>
      <c r="B26" s="952" t="inlineStr">
        <is>
          <t>Water rights / wells</t>
        </is>
      </c>
      <c r="C26" s="952" t="inlineStr">
        <is>
          <t>Search wells, water rights, ditches and structures that may affect or serve the property.</t>
        </is>
      </c>
      <c r="D26" s="952" t="inlineStr">
        <is>
          <t>Colorado DWR Tools</t>
        </is>
      </c>
      <c r="E26" s="1188" t="inlineStr">
        <is>
          <t>https://dwr.state.co.us/Tools</t>
        </is>
      </c>
      <c r="F26" s="952" t="inlineStr">
        <is>
          <t>Well permit and water-right/structure records</t>
        </is>
      </c>
      <c r="G26" s="952" t="inlineStr">
        <is>
          <t>Unpermitted well, limited use, ditch easement, no transferable water</t>
        </is>
      </c>
      <c r="H26" s="951" t="inlineStr">
        <is>
          <t>Not Started</t>
        </is>
      </c>
      <c r="I26" s="952" t="n"/>
    </row>
    <row r="27" ht="42" customHeight="1">
      <c r="A27" s="951" t="n">
        <v>23</v>
      </c>
      <c r="B27" s="952" t="inlineStr">
        <is>
          <t>Flood / drainage</t>
        </is>
      </c>
      <c r="C27" s="952" t="inlineStr">
        <is>
          <t>Check FEMA maps, local floodplain layers, drainage studies and Letters of Map Change.</t>
        </is>
      </c>
      <c r="D27" s="952" t="inlineStr">
        <is>
          <t>FEMA Flood Map Service Center</t>
        </is>
      </c>
      <c r="E27" s="1188" t="inlineStr">
        <is>
          <t>https://msc.fema.gov/portal/search</t>
        </is>
      </c>
      <c r="F27" s="952" t="inlineStr">
        <is>
          <t>FIRM panel, flood zone, LOMC and local drainage information</t>
        </is>
      </c>
      <c r="G27" s="952" t="inlineStr">
        <is>
          <t>Special Flood Hazard Area, floodway, shallow flooding, required elevation/floodproofing</t>
        </is>
      </c>
      <c r="H27" s="951" t="inlineStr">
        <is>
          <t>Not Started</t>
        </is>
      </c>
      <c r="I27" s="952" t="n"/>
    </row>
    <row r="28" ht="42" customHeight="1">
      <c r="A28" s="951" t="n">
        <v>24</v>
      </c>
      <c r="B28" s="952" t="inlineStr">
        <is>
          <t>Soils / geotechnical</t>
        </is>
      </c>
      <c r="C28" s="952" t="inlineStr">
        <is>
          <t>Review Web Soil Survey and obtain geotechnical information appropriate to the project.</t>
        </is>
      </c>
      <c r="D28" s="952" t="inlineStr">
        <is>
          <t>USDA Web Soil Survey</t>
        </is>
      </c>
      <c r="E28" s="1188" t="inlineStr">
        <is>
          <t>https://websoilsurvey.nrcs.usda.gov/</t>
        </is>
      </c>
      <c r="F28" s="952" t="inlineStr">
        <is>
          <t>Soil report and geotechnical report when needed</t>
        </is>
      </c>
      <c r="G28" s="952" t="inlineStr">
        <is>
          <t>Expansive/collapsible soils, high water table, poor bearing or drainage</t>
        </is>
      </c>
      <c r="H28" s="951" t="inlineStr">
        <is>
          <t>Not Started</t>
        </is>
      </c>
      <c r="I28" s="952" t="n"/>
    </row>
    <row r="29" ht="42" customHeight="1">
      <c r="A29" s="951" t="n">
        <v>25</v>
      </c>
      <c r="B29" s="952" t="inlineStr">
        <is>
          <t>Wetlands / waters</t>
        </is>
      </c>
      <c r="C29" s="952" t="inlineStr">
        <is>
          <t>Screen wetlands and surface waters; determine whether delineation or permits are needed.</t>
        </is>
      </c>
      <c r="D29" s="952" t="inlineStr">
        <is>
          <t>National Wetlands Inventory</t>
        </is>
      </c>
      <c r="E29" s="1188" t="inlineStr">
        <is>
          <t>https://www.fws.gov/program/national-wetlands-inventory/wetlands-mapper</t>
        </is>
      </c>
      <c r="F29" s="952" t="inlineStr">
        <is>
          <t>Wetland map and consultant/agency determination if needed</t>
        </is>
      </c>
      <c r="G29" s="952" t="inlineStr">
        <is>
          <t>Mapped or field-indicated wetlands, jurisdictional waters, buffers</t>
        </is>
      </c>
      <c r="H29" s="951" t="inlineStr">
        <is>
          <t>Not Started</t>
        </is>
      </c>
      <c r="I29" s="952" t="n"/>
    </row>
    <row r="30" ht="42" customHeight="1">
      <c r="A30" s="951" t="n">
        <v>26</v>
      </c>
      <c r="B30" s="952" t="inlineStr">
        <is>
          <t>Environmental</t>
        </is>
      </c>
      <c r="C30" s="952" t="inlineStr">
        <is>
          <t>Search state and federal cleanup, waste, tank, covenant and Superfund databases.</t>
        </is>
      </c>
      <c r="D30" s="952" t="inlineStr">
        <is>
          <t>CDPHE Environmental Maps</t>
        </is>
      </c>
      <c r="E30" s="1188" t="inlineStr">
        <is>
          <t>https://cdphe.colorado.gov/hm/gis-data</t>
        </is>
      </c>
      <c r="F30" s="952" t="inlineStr">
        <is>
          <t>Database results and environmental reports</t>
        </is>
      </c>
      <c r="G30" s="952" t="inlineStr">
        <is>
          <t>Cleanup site, environmental covenant, leaking tank, landfill or hazardous facility</t>
        </is>
      </c>
      <c r="H30" s="951" t="inlineStr">
        <is>
          <t>Not Started</t>
        </is>
      </c>
      <c r="I30" s="952" t="n"/>
    </row>
    <row r="31" ht="42" customHeight="1">
      <c r="A31" s="951" t="n">
        <v>27</v>
      </c>
      <c r="B31" s="952" t="inlineStr">
        <is>
          <t>Oil and gas</t>
        </is>
      </c>
      <c r="C31" s="952" t="inlineStr">
        <is>
          <t>Check ECMC maps for wells, facilities, pipelines and regulatory records.</t>
        </is>
      </c>
      <c r="D31" s="952" t="inlineStr">
        <is>
          <t>ECMC Maps</t>
        </is>
      </c>
      <c r="E31" s="1188" t="inlineStr">
        <is>
          <t>https://ecmc.state.co.us/maps.html</t>
        </is>
      </c>
      <c r="F31" s="952" t="inlineStr">
        <is>
          <t>Facility map and relevant records</t>
        </is>
      </c>
      <c r="G31" s="952" t="inlineStr">
        <is>
          <t>Active/abandoned well, flowline, setback issue, remediation or access obligations</t>
        </is>
      </c>
      <c r="H31" s="951" t="inlineStr">
        <is>
          <t>Not Started</t>
        </is>
      </c>
      <c r="I31" s="952" t="n"/>
    </row>
    <row r="32" ht="42" customHeight="1">
      <c r="A32" s="951" t="n">
        <v>28</v>
      </c>
      <c r="B32" s="952" t="inlineStr">
        <is>
          <t>Access / roads / traffic</t>
        </is>
      </c>
      <c r="C32" s="952" t="inlineStr">
        <is>
          <t>Confirm legal and physical access, road jurisdiction, access permits and traffic conditions.</t>
        </is>
      </c>
      <c r="D32" s="952" t="inlineStr">
        <is>
          <t>Local public works + CDOT OTIS</t>
        </is>
      </c>
      <c r="E32" s="1188" t="inlineStr">
        <is>
          <t>https://dtdapps.codot.gov/otis</t>
        </is>
      </c>
      <c r="F32" s="952" t="inlineStr">
        <is>
          <t>Access documents, road data and agency correspondence</t>
        </is>
      </c>
      <c r="G32" s="952" t="inlineStr">
        <is>
          <t>No legal access, private-road maintenance, access-control restriction, future widening</t>
        </is>
      </c>
      <c r="H32" s="951" t="inlineStr">
        <is>
          <t>Not Started</t>
        </is>
      </c>
      <c r="I32" s="952" t="n"/>
    </row>
    <row r="33" ht="42" customHeight="1">
      <c r="A33" s="951" t="n">
        <v>29</v>
      </c>
      <c r="B33" s="952" t="inlineStr">
        <is>
          <t>Historic / cultural</t>
        </is>
      </c>
      <c r="C33" s="952" t="inlineStr">
        <is>
          <t>Check local historic overlays and state listed-property/cultural-resource tools.</t>
        </is>
      </c>
      <c r="D33" s="952" t="inlineStr">
        <is>
          <t>History Colorado Listed Properties</t>
        </is>
      </c>
      <c r="E33" s="1188" t="inlineStr">
        <is>
          <t>https://www.historycolorado.org/national-state-register-listed-properties</t>
        </is>
      </c>
      <c r="F33" s="952" t="inlineStr">
        <is>
          <t>Historic-status records and review requirements</t>
        </is>
      </c>
      <c r="G33" s="952" t="inlineStr">
        <is>
          <t>Designation or eligible resource limits demolition/alteration</t>
        </is>
      </c>
      <c r="H33" s="951" t="inlineStr">
        <is>
          <t>Not Started</t>
        </is>
      </c>
      <c r="I33" s="952" t="n"/>
    </row>
    <row r="34" ht="42" customHeight="1">
      <c r="A34" s="951" t="n">
        <v>30</v>
      </c>
      <c r="B34" s="952" t="inlineStr">
        <is>
          <t>HOA / covenants</t>
        </is>
      </c>
      <c r="C34" s="952" t="inlineStr">
        <is>
          <t>Search recorded declarations and confirm HOA registration, governing documents, dues and violations.</t>
        </is>
      </c>
      <c r="D34" s="952" t="inlineStr">
        <is>
          <t>Colorado HOA Center + county recorder</t>
        </is>
      </c>
      <c r="E34" s="1188" t="inlineStr">
        <is>
          <t>https://dre.colorado.gov/hoa-center</t>
        </is>
      </c>
      <c r="F34" s="952" t="inlineStr">
        <is>
          <t>Declarations, bylaws, budgets, status letter and registration</t>
        </is>
      </c>
      <c r="G34" s="952" t="inlineStr">
        <is>
          <t>Unregistered association, litigation, special assessment, rental/use restrictions</t>
        </is>
      </c>
      <c r="H34" s="951" t="inlineStr">
        <is>
          <t>Not Started</t>
        </is>
      </c>
      <c r="I34" s="952" t="n"/>
    </row>
    <row r="35" ht="42" customHeight="1">
      <c r="A35" s="951" t="n">
        <v>31</v>
      </c>
      <c r="B35" s="952" t="inlineStr">
        <is>
          <t>Entities / UCC</t>
        </is>
      </c>
      <c r="C35" s="952" t="inlineStr">
        <is>
          <t>Research seller/owner/applicant entities and UCC records where relevant.</t>
        </is>
      </c>
      <c r="D35" s="952" t="inlineStr">
        <is>
          <t>Colorado business and UCC searches</t>
        </is>
      </c>
      <c r="E35" s="1188" t="inlineStr">
        <is>
          <t>https://co.colorado.gov/search-business-records</t>
        </is>
      </c>
      <c r="F35" s="952" t="inlineStr">
        <is>
          <t>Entity filings, good-standing information and UCC results</t>
        </is>
      </c>
      <c r="G35" s="952" t="inlineStr">
        <is>
          <t>Dissolved entity, authority problem, secured filing, name mismatch</t>
        </is>
      </c>
      <c r="H35" s="951" t="inlineStr">
        <is>
          <t>Not Started</t>
        </is>
      </c>
      <c r="I35" s="952" t="n"/>
    </row>
    <row r="36" ht="42" customHeight="1">
      <c r="A36" s="951" t="n">
        <v>32</v>
      </c>
      <c r="B36" s="952" t="inlineStr">
        <is>
          <t>Final verification</t>
        </is>
      </c>
      <c r="C36" s="952" t="inlineStr">
        <is>
          <t>Confirm material conclusions with the responsible agency, title company, surveyor, engineer, planner and legal counsel.</t>
        </is>
      </c>
      <c r="D36" s="952" t="inlineStr">
        <is>
          <t>Responsible professionals and agencies</t>
        </is>
      </c>
      <c r="E36" s="963" t="n"/>
      <c r="F36" s="952" t="inlineStr">
        <is>
          <t>Written confirmations and final diligence memo</t>
        </is>
      </c>
      <c r="G36" s="952" t="inlineStr">
        <is>
          <t>Reliance only on GIS or informal web information; unresolved conflicts</t>
        </is>
      </c>
      <c r="H36" s="951" t="inlineStr">
        <is>
          <t>Not Started</t>
        </is>
      </c>
      <c r="I36" s="952" t="n"/>
    </row>
  </sheetData>
  <mergeCells count="2">
    <mergeCell ref="A1:I1"/>
    <mergeCell ref="A2:I2"/>
  </mergeCells>
  <dataValidations count="1">
    <dataValidation sqref="H5:H36" showDropDown="0" showInputMessage="0" showErrorMessage="0" allowBlank="0" type="list">
      <formula1>"Not Started,In Progress,Complete,N/A"</formula1>
    </dataValidation>
  </dataValidations>
  <hyperlinks>
    <hyperlink xmlns:r="http://schemas.openxmlformats.org/officeDocument/2006/relationships" ref="E5" r:id="rId1"/>
    <hyperlink xmlns:r="http://schemas.openxmlformats.org/officeDocument/2006/relationships" ref="E6" r:id="rId2"/>
    <hyperlink xmlns:r="http://schemas.openxmlformats.org/officeDocument/2006/relationships" ref="E7" r:id="rId3"/>
    <hyperlink xmlns:r="http://schemas.openxmlformats.org/officeDocument/2006/relationships" ref="E8" r:id="rId4"/>
    <hyperlink xmlns:r="http://schemas.openxmlformats.org/officeDocument/2006/relationships" ref="E9" r:id="rId5"/>
    <hyperlink xmlns:r="http://schemas.openxmlformats.org/officeDocument/2006/relationships" ref="E10" r:id="rId6"/>
    <hyperlink xmlns:r="http://schemas.openxmlformats.org/officeDocument/2006/relationships" ref="E12" r:id="rId7"/>
    <hyperlink xmlns:r="http://schemas.openxmlformats.org/officeDocument/2006/relationships" ref="E13" r:id="rId8"/>
    <hyperlink xmlns:r="http://schemas.openxmlformats.org/officeDocument/2006/relationships" ref="E14" r:id="rId9"/>
    <hyperlink xmlns:r="http://schemas.openxmlformats.org/officeDocument/2006/relationships" ref="E15" r:id="rId10"/>
    <hyperlink xmlns:r="http://schemas.openxmlformats.org/officeDocument/2006/relationships" ref="E25" r:id="rId11"/>
    <hyperlink xmlns:r="http://schemas.openxmlformats.org/officeDocument/2006/relationships" ref="E26" r:id="rId12"/>
    <hyperlink xmlns:r="http://schemas.openxmlformats.org/officeDocument/2006/relationships" ref="E27" r:id="rId13"/>
    <hyperlink xmlns:r="http://schemas.openxmlformats.org/officeDocument/2006/relationships" ref="E28" r:id="rId14"/>
    <hyperlink xmlns:r="http://schemas.openxmlformats.org/officeDocument/2006/relationships" ref="E29" r:id="rId15"/>
    <hyperlink xmlns:r="http://schemas.openxmlformats.org/officeDocument/2006/relationships" ref="E30" r:id="rId16"/>
    <hyperlink xmlns:r="http://schemas.openxmlformats.org/officeDocument/2006/relationships" ref="E31" r:id="rId17"/>
    <hyperlink xmlns:r="http://schemas.openxmlformats.org/officeDocument/2006/relationships" ref="E32" r:id="rId18"/>
    <hyperlink xmlns:r="http://schemas.openxmlformats.org/officeDocument/2006/relationships" ref="E33" r:id="rId19"/>
    <hyperlink xmlns:r="http://schemas.openxmlformats.org/officeDocument/2006/relationships" ref="E34" r:id="rId20"/>
    <hyperlink xmlns:r="http://schemas.openxmlformats.org/officeDocument/2006/relationships" ref="E35" r:id="rId21"/>
  </hyperlinks>
  <pageMargins left="0.75" right="0.75" top="1" bottom="1" header="0.5" footer="0.5"/>
</worksheet>
</file>

<file path=xl/worksheets/sheet23.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4.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5.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2026-07-12T20:37:25Z</dcterms:modified>
  <cp:lastModifiedBy>Armon Goldanloo</cp:lastModifiedBy>
  <cp:lastPrinted>2021-04-29T19:41:45Z</cp:lastPrinted>
</cp:coreProperties>
</file>